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Geometry" state="visible" r:id="rId5"/>
    <sheet sheetId="3" name="Block_Clip" state="visible" r:id="rId6"/>
    <sheet sheetId="4" name="Block" state="visible" r:id="rId7"/>
    <sheet sheetId="5" name="Steel" state="visible" r:id="rId8"/>
    <sheet sheetId="6" name="PM_Angle" state="visible" r:id="rId9"/>
    <sheet sheetId="7" name="MxMy_FixedP" state="visible" r:id="rId10"/>
    <sheet sheetId="8" name="PM_Theta" state="visible" r:id="rId11"/>
    <sheet sheetId="9" name="Equilibrium" state="visible" r:id="rId12"/>
    <sheet sheetId="10" name="Design_Check" state="visible" r:id="rId13"/>
  </sheets>
  <definedNames>
    <definedName name="fck">Input!$C$15</definedName>
    <definedName name="alpha">Input!$C$16</definedName>
    <definedName name="sig_blk">Input!$C$17</definedName>
    <definedName name="beta_1">Input!$C$18</definedName>
    <definedName name="ecu">Input!$C$19</definedName>
    <definedName name="ec_pivot">Input!$C$20</definedName>
    <definedName name="Es">Input!$C$25</definedName>
    <definedName name="fy_char">Input!$C$26</definedName>
    <definedName name="gamma_s">Input!$C$27</definedName>
    <definedName name="fy">Input!$C$28</definedName>
    <definedName name="epsy">Input!$C$29</definedName>
    <definedName name="phi_c">Input!$C$36</definedName>
    <definedName name="phi_t">Input!$C$37</definedName>
    <definedName name="ept_lim">Input!$C$38</definedName>
    <definedName name="cap_r">Input!$C$39</definedName>
    <definedName name="theta">Input!$C$43</definedName>
    <definedName name="u_max">Input!$C$44</definedName>
    <definedName name="d_theta">Input!$C$45</definedName>
    <definedName name="blk_tol">Input!$C$46</definedName>
    <definedName name="xc">Input!$C$47</definedName>
    <definedName name="yc">Input!$C$48</definedName>
    <definedName name="Pu">Input!$C$58</definedName>
    <definedName name="Mux">Input!$C$59</definedName>
    <definedName name="Muy">Input!$C$60</definedName>
    <definedName name="theta_L">Input!$C$62</definedName>
    <definedName name="Mu">Input!$C$63</definedName>
    <definedName name="Geom_Area">Geometry!$G$35</definedName>
    <definedName name="Bar_No">Geometry!$B$39:$B$56</definedName>
    <definedName name="Bar_X">Geometry!$E$39:$E$56</definedName>
    <definedName name="Bar_Y">Geometry!$F$39:$F$56</definedName>
    <definedName name="Bar_As">Geometry!$G$39:$G$56</definedName>
    <definedName name="Bar_U">Geometry!$H$39:$H$56</definedName>
    <definedName name="Blk_St">Block!$B$6:$B$25</definedName>
    <definedName name="Blk_c">Block!$C$6:$C$25</definedName>
    <definedName name="Blk_Cc">Block!$J$6:$J$25</definedName>
    <definedName name="Blk_Mcx">Block!$K$6:$K$25</definedName>
    <definedName name="Blk_Mcy">Block!$L$6:$L$25</definedName>
    <definedName name="Stl_St">Steel!$B$6:$B$365</definedName>
    <definedName name="Stl_Ept">Steel!$H$6:$H$365</definedName>
    <definedName name="Stl_F">Steel!$M$6:$M$365</definedName>
    <definedName name="Stl_Mx">Steel!$N$6:$N$365</definedName>
    <definedName name="Stl_My">Steel!$O$6:$O$365</definedName>
  </definedNames>
  <calcPr calcId="171027" fullCalcOnLoad="1"/>
</workbook>
</file>

<file path=xl/sharedStrings.xml><?xml version="1.0" encoding="utf-8"?>
<sst xmlns="http://schemas.openxmlformats.org/spreadsheetml/2006/main" count="787" uniqueCount="313">
  <si>
    <t>EQUIVALENT RECTANGULAR STRESS BLOCK — SECTION CALCULATION</t>
  </si>
  <si>
    <t>Project</t>
  </si>
  <si>
    <t>PM-advanced (7) 2D reference case</t>
  </si>
  <si>
    <t>Every shaded cell drives live formulas on the other sheets. Only the clipped-polygon geometry and the sampled surface grid are engine values; the ledger, φ, contour and residual are formulas.</t>
  </si>
  <si>
    <t>Section</t>
  </si>
  <si>
    <t>PM-advanced (7) 2D — 1500x1200 chamfered section, two voids</t>
  </si>
  <si>
    <t>Generated</t>
  </si>
  <si>
    <t>2026-08-11 08:16:37</t>
  </si>
  <si>
    <t>Calculation profile</t>
  </si>
  <si>
    <t>profile</t>
  </si>
  <si>
    <t>KDS 14 20 20 — Equivalent rectangular block</t>
  </si>
  <si>
    <t/>
  </si>
  <si>
    <t>method equivalent-rectangular-block</t>
  </si>
  <si>
    <t>resistance profile</t>
  </si>
  <si>
    <t>KDS 2024 current set · resistance: KDS 14 20 10:2021 + KDS 14 20 20:2022</t>
  </si>
  <si>
    <t>2024 partial-revision framework (effective 2025-01-05)</t>
  </si>
  <si>
    <t>verification status</t>
  </si>
  <si>
    <t>draft</t>
  </si>
  <si>
    <t>not an engineering approval; see docs/00-README §4</t>
  </si>
  <si>
    <t>modified from defaults</t>
  </si>
  <si>
    <t>no</t>
  </si>
  <si>
    <t>concrete model basis</t>
  </si>
  <si>
    <t>code-default</t>
  </si>
  <si>
    <t>Concrete — equivalent block</t>
  </si>
  <si>
    <t>standard</t>
  </si>
  <si>
    <t>KDS</t>
  </si>
  <si>
    <t>KDS C30 (workbook Input)</t>
  </si>
  <si>
    <t>fck</t>
  </si>
  <si>
    <t>MPa</t>
  </si>
  <si>
    <t>characteristic/input strength</t>
  </si>
  <si>
    <t>α (σblock/fck)</t>
  </si>
  <si>
    <t>-</t>
  </si>
  <si>
    <t>resolved by the code adapter; KDS writes it as η·0.85, ACI as 0.85</t>
  </si>
  <si>
    <t>σblock = α·fck</t>
  </si>
  <si>
    <t>β1</t>
  </si>
  <si>
    <t>block depth a = β1·c</t>
  </si>
  <si>
    <t>εcu</t>
  </si>
  <si>
    <t>extreme compression fibre strain</t>
  </si>
  <si>
    <t>εc,pivot</t>
  </si>
  <si>
    <t>not active</t>
  </si>
  <si>
    <t>displaced concrete deducted</t>
  </si>
  <si>
    <t>yes</t>
  </si>
  <si>
    <t>bars inside the block carry σs − σblock</t>
  </si>
  <si>
    <t>Reinforcement</t>
  </si>
  <si>
    <t>SD400 (workbook Input)</t>
  </si>
  <si>
    <t>Es</t>
  </si>
  <si>
    <t>fy (characteristic)</t>
  </si>
  <si>
    <t>γs</t>
  </si>
  <si>
    <t>not applied by this material family</t>
  </si>
  <si>
    <t>fy (model)</t>
  </si>
  <si>
    <t>εy = fy/Es</t>
  </si>
  <si>
    <t>εu (declared)</t>
  </si>
  <si>
    <t>not declared</t>
  </si>
  <si>
    <t>rupture is not enforced</t>
  </si>
  <si>
    <t>law</t>
  </si>
  <si>
    <t>Elastic – perfectly plastic: fs = clamp(Es·ε, −fy, +fy)</t>
  </si>
  <si>
    <t>Strength reduction and axial cap</t>
  </si>
  <si>
    <t>resistance format</t>
  </si>
  <si>
    <t>global resultant factor</t>
  </si>
  <si>
    <t>one φ scales the complete P-Mx-My resultant</t>
  </si>
  <si>
    <t>transverse reinforcement</t>
  </si>
  <si>
    <t>other</t>
  </si>
  <si>
    <t>selects the compression-controlled φ and the cap ratio</t>
  </si>
  <si>
    <t>φ compression (active)</t>
  </si>
  <si>
    <t>φ tension</t>
  </si>
  <si>
    <t>εt,limit</t>
  </si>
  <si>
    <t>fixed 0.005 at or below fy = 400 MPa, else 2.5·εy</t>
  </si>
  <si>
    <t>axial cap ratio</t>
  </si>
  <si>
    <t>axial cap applied</t>
  </si>
  <si>
    <t>clips the design surface at cap ratio × the factored compression pole</t>
  </si>
  <si>
    <t>Analysis</t>
  </si>
  <si>
    <t>θ (block-normal direction)</t>
  </si>
  <si>
    <t>deg</t>
  </si>
  <si>
    <t>exact requested direction; no angular interpolation or nearest-direction snapping</t>
  </si>
  <si>
    <t>u_max (compression edge)</t>
  </si>
  <si>
    <t>mm</t>
  </si>
  <si>
    <t>max of n·(x,y) over the outer boundary at θ; an engine value because it needs the polygon</t>
  </si>
  <si>
    <t>Dθ (projected depth)</t>
  </si>
  <si>
    <t>block-boundary tolerance</t>
  </si>
  <si>
    <t>the kernel's own 1e-10 · characteristic length; a bar within it counts as inside the block</t>
  </si>
  <si>
    <t>xc</t>
  </si>
  <si>
    <t>analysis origin = net concrete centroid</t>
  </si>
  <si>
    <t>yc</t>
  </si>
  <si>
    <t>all X, Y below are measured from it</t>
  </si>
  <si>
    <t>requested station schedule</t>
  </si>
  <si>
    <t>unified-27-v2</t>
  </si>
  <si>
    <t>active layers at θ</t>
  </si>
  <si>
    <t>non-pole layers remaining after coincident layers and the design axial cap are removed from mesh topology</t>
  </si>
  <si>
    <t>Design directions</t>
  </si>
  <si>
    <t>fixed 36</t>
  </si>
  <si>
    <t>fixed-P directions</t>
  </si>
  <si>
    <t>independent fixed grid used by MxMy_FixedP</t>
  </si>
  <si>
    <t>direction interpolation error</t>
  </si>
  <si>
    <t>TOLERANCE NOT REACHED</t>
  </si>
  <si>
    <t>station chord diagnostic</t>
  </si>
  <si>
    <t>diagnostic only; the requested station schedule is fixed</t>
  </si>
  <si>
    <t>surface closed</t>
  </si>
  <si>
    <t>0 boundary edges</t>
  </si>
  <si>
    <t>Demand (factored ULS)</t>
  </si>
  <si>
    <t>Pu</t>
  </si>
  <si>
    <t>kN</t>
  </si>
  <si>
    <t>ULS-1 workbook Newton demand (on the 15 deg surface)</t>
  </si>
  <si>
    <t>Mux</t>
  </si>
  <si>
    <t>kN·m</t>
  </si>
  <si>
    <t>Muy</t>
  </si>
  <si>
    <t>θ_L (demand direction)</t>
  </si>
  <si>
    <t>atan2 of the demand moment vector. Used only to query the finished surface. It is not the block-normal direction θ above.</t>
  </si>
  <si>
    <t>Mu resultant</t>
  </si>
  <si>
    <t>Sign convention used by this workbook</t>
  </si>
  <si>
    <t>Mx</t>
  </si>
  <si>
    <t>+Σ F·(y−yc)</t>
  </si>
  <si>
    <t>My</t>
  </si>
  <si>
    <t>+Σ F·(x−xc)</t>
  </si>
  <si>
    <t>Project-wide convention used by both stress-strain and equivalent-block mechanics. Positive force eccentricity along +x produces +My.</t>
  </si>
  <si>
    <t>What is a formula and what is an engine value</t>
  </si>
  <si>
    <t>Geometry vertices, bar schedule</t>
  </si>
  <si>
    <t>engine value</t>
  </si>
  <si>
    <t>input data</t>
  </si>
  <si>
    <t>Clipped block polygon (Block_Clip)</t>
  </si>
  <si>
    <t>half-plane clipping of a multiply connected polygon is not a spreadsheet operation</t>
  </si>
  <si>
    <t>Block area and first moments</t>
  </si>
  <si>
    <t>formula</t>
  </si>
  <si>
    <t>shoelace over the clipped polygon, reconciled against the value the ledger uses</t>
  </si>
  <si>
    <t>u_max, Dθ</t>
  </si>
  <si>
    <t>support extremum over the boundary at θ</t>
  </si>
  <si>
    <t>Station depths c</t>
  </si>
  <si>
    <t>solved so a bar sits exactly at a code/rupture strain</t>
  </si>
  <si>
    <t>Strain, stress, force, moment ledger</t>
  </si>
  <si>
    <t>the audit trail a reviewer follows term by term</t>
  </si>
  <si>
    <t>φ and design resultants</t>
  </si>
  <si>
    <t>the transition rule is algebra over εt, εy and the named φ factors</t>
  </si>
  <si>
    <t>36 x fixed-station surface grid (MxMy_FixedP)</t>
  </si>
  <si>
    <t>fixed-P deliberately excludes adaptive vertices; two sentinels flag a stale import</t>
  </si>
  <si>
    <t>Contour, ray query, plane cut</t>
  </si>
  <si>
    <t>this is the logic under audit, so it stays visible</t>
  </si>
  <si>
    <t>Converged capacity-ray state (Equilibrium)</t>
  </si>
  <si>
    <t>bracketed scalar solve on the design-surface boundary; the workbook verifies the state instead of re-deriving it</t>
  </si>
  <si>
    <t>Capacity-state residual</t>
  </si>
  <si>
    <t>the workbook proves the stored state balances the scaled demand ray at capacity</t>
  </si>
  <si>
    <t>SECTION GEOMETRY ABOUT THE ANALYSIS ORIGIN</t>
  </si>
  <si>
    <t>Ring vertices are input data. Area and first moments are recomputed here by the shoelace formula so the origin used by every other sheet is verifiable.</t>
  </si>
  <si>
    <t>#</t>
  </si>
  <si>
    <t>solid</t>
  </si>
  <si>
    <t>ring</t>
  </si>
  <si>
    <t>X (mm)</t>
  </si>
  <si>
    <t>Y (mm)</t>
  </si>
  <si>
    <t>X·Ynext − Xnext·Y</t>
  </si>
  <si>
    <t>(X+Xnext)·cross</t>
  </si>
  <si>
    <t>(Y+Ynext)·cross</t>
  </si>
  <si>
    <t>outer</t>
  </si>
  <si>
    <t>ring total</t>
  </si>
  <si>
    <t>signed area, Sx, Sy of this ring</t>
  </si>
  <si>
    <t>hole 1</t>
  </si>
  <si>
    <t>subtracted as a hole</t>
  </si>
  <si>
    <t>hole 2</t>
  </si>
  <si>
    <t>NET</t>
  </si>
  <si>
    <t>Reinforcement schedule</t>
  </si>
  <si>
    <t>id</t>
  </si>
  <si>
    <t>Ø (mm)</t>
  </si>
  <si>
    <t>As (mm²)</t>
  </si>
  <si>
    <t>n·(X,Y) (mm)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</si>
  <si>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</si>
  <si>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</si>
  <si>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</si>
  <si>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</si>
  <si>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</si>
  <si>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</si>
  <si>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</si>
  <si>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</si>
  <si>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</si>
  <si>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</si>
  <si>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</si>
  <si>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</si>
  <si>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</si>
  <si>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</si>
  <si>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</si>
  <si>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</si>
  <si>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</si>
  <si>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</si>
  <si>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ΣAs</t>
  </si>
  <si>
    <t>n·(X,Y) is the bar projection on the block normal, computed from the absolute coordinates the kernel uses.</t>
  </si>
  <si>
    <t>CLIPPED COMPRESSION POLYGON, u ≥ u_max − β1·c</t>
  </si>
  <si>
    <t>The clipping itself is an engine value. Its area and first moments are recomputed here by shoelace so the numbers the Block ledger multiplies by σblock are independently verifiable.</t>
  </si>
  <si>
    <t>station</t>
  </si>
  <si>
    <t>sign</t>
  </si>
  <si>
    <t>cross</t>
  </si>
  <si>
    <t>(X+Xn)·cross</t>
  </si>
  <si>
    <t>(Y+Yn)·cross</t>
  </si>
  <si>
    <t>ring Σ</t>
  </si>
  <si>
    <t>station Σ</t>
  </si>
  <si>
    <t>CONCRETE BLOCK LEDGER AT θ</t>
  </si>
  <si>
    <t>One row per neutral-axis state at the audited direction. Cc, Mcx and Mcy are formulas over σblock and the clipped moments recomputed on Block_Clip, so changing fck or α on Input propagates through the whole ledger.</t>
  </si>
  <si>
    <t>st</t>
  </si>
  <si>
    <t>c (mm)</t>
  </si>
  <si>
    <t>a = β1·c</t>
  </si>
  <si>
    <t>A_blk (mm²)</t>
  </si>
  <si>
    <t>Sx (mm³)</t>
  </si>
  <si>
    <t>Sy (mm³)</t>
  </si>
  <si>
    <t>x̄ (mm)</t>
  </si>
  <si>
    <t>ȳ (mm)</t>
  </si>
  <si>
    <t>Cc (kN)</t>
  </si>
  <si>
    <t>Mcx (kN·m)</t>
  </si>
  <si>
    <t>Mcy (kN·m)</t>
  </si>
  <si>
    <t>A engine (mm²)</t>
  </si>
  <si>
    <t>shoelace vs engine</t>
  </si>
  <si>
    <t>Array comparison; on older Excel builds confirm with Ctrl+Shift+Enter.</t>
  </si>
  <si>
    <t>REINFORCEMENT LEDGER — EVERY BAR AT EVERY STATION</t>
  </si>
  <si>
    <t>ε = εc,max·(1 − depth/c), with depth measured from the compression edge. Normally εc,max = εcu. For the KDS Appendix all-compression domain, εc,max follows the εc0 compression pivot until the neutral axis reaches the far edge. A bar inside the block carries σs − σblock.</t>
  </si>
  <si>
    <t>bar</t>
  </si>
  <si>
    <t>u (mm)</t>
  </si>
  <si>
    <t>depth (mm)</t>
  </si>
  <si>
    <t>ε</t>
  </si>
  <si>
    <t>εt</t>
  </si>
  <si>
    <t>σs (MPa)</t>
  </si>
  <si>
    <t>in block</t>
  </si>
  <si>
    <t>σdisp</t>
  </si>
  <si>
    <t>σnet</t>
  </si>
  <si>
    <t>F (kN)</t>
  </si>
  <si>
    <t>Mx (kN·m)</t>
  </si>
  <si>
    <t>My (kN·m)</t>
  </si>
  <si>
    <t>NOMINAL AND DESIGN RESULTANTS AT θ</t>
  </si>
  <si>
    <t>P = Cc + ΣFs. φ interpolates linearly between φc at εy and φt at εt,limit on the controlling (most tensile) bar — the same rule the adapter applies, written out. The engine columns are the solver's own design resultants; the Δ column is the reconciliation.</t>
  </si>
  <si>
    <t>ΣFs (kN)</t>
  </si>
  <si>
    <t>Pn (kN)</t>
  </si>
  <si>
    <t>Mnx (kN·m)</t>
  </si>
  <si>
    <t>Mny (kN·m)</t>
  </si>
  <si>
    <t>εt,ctrl</t>
  </si>
  <si>
    <t>φ</t>
  </si>
  <si>
    <t>class</t>
  </si>
  <si>
    <t>φPn (kN)</t>
  </si>
  <si>
    <t>φMnx (kN·m)</t>
  </si>
  <si>
    <t>φMny (kN·m)</t>
  </si>
  <si>
    <t>engine φPn</t>
  </si>
  <si>
    <t>Δ (kN)</t>
  </si>
  <si>
    <t>worst |Δ|</t>
  </si>
  <si>
    <t>DESIGN SURFACE AT P = Pu, AND THE DEMAND-RAY QUERY</t>
  </si>
  <si>
    <t>The grid is the independent fixed Design surface (27 stations and 36 directions). Everything after it — the P-interval bracket, the linear interpolation to Pu, and the ray query at θ_L — is a formula. No adaptive vertices are generated.</t>
  </si>
  <si>
    <t>dir</t>
  </si>
  <si>
    <t>θ (deg)</t>
  </si>
  <si>
    <t>row</t>
  </si>
  <si>
    <t>P (kN)</t>
  </si>
  <si>
    <t>P next</t>
  </si>
  <si>
    <t>Mx next</t>
  </si>
  <si>
    <t>My next</t>
  </si>
  <si>
    <t>brackets Pu</t>
  </si>
  <si>
    <t>t</t>
  </si>
  <si>
    <t>Mx @ Pu</t>
  </si>
  <si>
    <t>My @ Pu</t>
  </si>
  <si>
    <t>Demand-ray query at θ_L</t>
  </si>
  <si>
    <t>contour crossings at Pu</t>
  </si>
  <si>
    <t>number of grid edges the P = Pu plane cuts</t>
  </si>
  <si>
    <t>M(θ) on the contour</t>
  </si>
  <si>
    <t>mean radius of the contour points within 6° of the demand direction</t>
  </si>
  <si>
    <t>Mu demand</t>
  </si>
  <si>
    <t>from Input</t>
  </si>
  <si>
    <t>fixed-P utilization</t>
  </si>
  <si>
    <t>Mu / M(θ) — a diagnostic, not the governing check</t>
  </si>
  <si>
    <t>engine M(θ) on the triangulated surface</t>
  </si>
  <si>
    <t>no intersection</t>
  </si>
  <si>
    <t>The engine cuts a triangulated surface; this sheet can only interpolate the sampled grid it carries. Both readings are reported instead of pretending they are identical.</t>
  </si>
  <si>
    <t>GEOMETRIC P–Mθ DEMAND-PLANE DIAGNOSTIC</t>
  </si>
  <si>
    <t>Independent geometric demand-plane diagnostic on the fixed 27-station / fixed-direction Design surface. The application Vertical chart is instead a direct exact-β meridian recovered from the valid equilibrium state.</t>
  </si>
  <si>
    <t>path</t>
  </si>
  <si>
    <t>Mθ (kN·m)</t>
  </si>
  <si>
    <t>CONVERGED EQUIVALENT-BLOCK CAPACITY STATE ON THE DEMAND RAY</t>
  </si>
  <si>
    <t>θ* (block normal)</t>
  </si>
  <si>
    <t>solved direction; not the demand moment direction</t>
  </si>
  <si>
    <t>c*</t>
  </si>
  <si>
    <t>solved neutral-axis depth</t>
  </si>
  <si>
    <t>a* = β1·c*</t>
  </si>
  <si>
    <t>A_blk*</t>
  </si>
  <si>
    <t>mm²</t>
  </si>
  <si>
    <t>exact clipping at the solved state</t>
  </si>
  <si>
    <t>Cc*</t>
  </si>
  <si>
    <t>ΣFs*</t>
  </si>
  <si>
    <t>Pn*</t>
  </si>
  <si>
    <t>Mnx*</t>
  </si>
  <si>
    <t>Mny*</t>
  </si>
  <si>
    <t>controlling bar 1</t>
  </si>
  <si>
    <t>φ*</t>
  </si>
  <si>
    <t>compression-controlled</t>
  </si>
  <si>
    <t>utilization (governing ray)</t>
  </si>
  <si>
    <t>factored demand against the design surface</t>
  </si>
  <si>
    <t>capacity load factor λ</t>
  </si>
  <si>
    <t>boundary capacity = λ × factored demand; utilization = 1/λ</t>
  </si>
  <si>
    <t>axial cap governed</t>
  </si>
  <si>
    <t>Residual against the scaled demand ray at capacity</t>
  </si>
  <si>
    <t>P capacity residual</t>
  </si>
  <si>
    <t>Mx capacity residual</t>
  </si>
  <si>
    <t>My capacity residual</t>
  </si>
  <si>
    <t>relative residual</t>
  </si>
  <si>
    <t>A general demand does not lie on the design surface. The proportional solver scales it by λ to the boundary; this residual verifies that boundary state. It is not an independent check of the surface.</t>
  </si>
  <si>
    <t>GOVERNING DESIGN-RESISTANCE CHECK</t>
  </si>
  <si>
    <t>The design surface is authoritative for acceptance. Nominal resultants stay available for audit and are never compared directly with factored ULS demand.</t>
  </si>
  <si>
    <t>calculation profile</t>
  </si>
  <si>
    <t>kds-2024-current-set-global-strength-reduction</t>
  </si>
  <si>
    <t>preview status only; not an engineering approval</t>
  </si>
  <si>
    <t>axial cap</t>
  </si>
  <si>
    <t>0.8 × factored compression pole</t>
  </si>
  <si>
    <t>demand basis</t>
  </si>
  <si>
    <t>factoredULS</t>
  </si>
  <si>
    <t>the governing check accepts factored ULS only</t>
  </si>
  <si>
    <t>Factored ULS assessment</t>
  </si>
  <si>
    <t>governing utilization</t>
  </si>
  <si>
    <t>proportional 3D ray against the design surface</t>
  </si>
  <si>
    <t>n/a</t>
  </si>
  <si>
    <t>secondary diagnostic at constant axial force</t>
  </si>
  <si>
    <t>solver converged</t>
  </si>
  <si>
    <t>strain admissible</t>
  </si>
  <si>
    <t>message</t>
  </si>
  <si>
    <t>Factored ULS demand checked by the equivalent-block proportional-ray solver.</t>
  </si>
  <si>
    <t>verdict</t>
  </si>
  <si>
    <t>Preview output. It is not an accepted design result and must not be released as a design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</si>
</sst>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0"/>
    <numFmt numFmtId="165" formatCode="0.000000"/>
    <numFmt numFmtId="166" formatCode="#,##0.0000"/>
    <numFmt numFmtId="167" formatCode="#,##0.0"/>
    <numFmt numFmtId="168" formatCode="0.0000000"/>
    <numFmt numFmtId="169" formatCode="0.0000"/>
    <numFmt numFmtId="170" formatCode="0.000E+00"/>
  </numFmts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6B7280"/>
    </font>
    <font>
      <b/>
      <color rgb="FF1F3864"/>
      <sz val="11"/>
    </font>
    <font>
      <b/>
    </font>
    <font>
      <b/>
      <color rgb="FF92400E"/>
    </font>
    <font>
      <color rgb="FF1F3864"/>
    </font>
    <font>
      <b/>
      <sz val="10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5"/>
      </patternFill>
    </fill>
    <fill>
      <patternFill patternType="solid">
        <fgColor rgb="FFFFF3CD"/>
      </patternFill>
    </fill>
    <fill>
      <patternFill patternType="solid">
        <fgColor rgb="FFEFEFEF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 style="hair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/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/>
    <xf numFmtId="165" fontId="0" fillId="4" borderId="1" xfId="0" applyNumberFormat="1" applyFill="1" applyBorder="1"/>
    <xf numFmtId="166" fontId="4" fillId="0" borderId="0" xfId="0" applyNumberFormat="1" applyFont="1"/>
    <xf numFmtId="4" fontId="0" fillId="0" borderId="0" xfId="0" applyNumberFormat="1"/>
    <xf numFmtId="0" fontId="5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6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2" fillId="0" borderId="0" xfId="0" applyFont="1"/>
    <xf numFmtId="167" fontId="4" fillId="0" borderId="0" xfId="0" applyNumberFormat="1" applyFont="1"/>
    <xf numFmtId="166" fontId="0" fillId="0" borderId="0" xfId="0" applyNumberFormat="1"/>
    <xf numFmtId="164" fontId="0" fillId="5" borderId="0" xfId="0" applyNumberFormat="1" applyFill="1"/>
    <xf numFmtId="165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5" borderId="0" xfId="0" applyFill="1"/>
    <xf numFmtId="166" fontId="0" fillId="5" borderId="0" xfId="0" applyNumberFormat="1" applyFill="1"/>
    <xf numFmtId="17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20" customWidth="1"/>
    <col min="4" max="4" width="10" customWidth="1"/>
    <col min="5" max="5" width="66" customWidth="1"/>
  </cols>
  <sheetData>
    <row r="1" ht="22" customHeight="1" spans="2:5" x14ac:dyDescent="0.25">
      <c r="B1" s="1" t="s">
        <v>0</v>
      </c>
      <c r="C1" s="1"/>
      <c r="D1" s="1"/>
      <c r="E1" s="1"/>
    </row>
    <row r="2" spans="2:5" x14ac:dyDescent="0.25">
      <c r="B2" t="s">
        <v>1</v>
      </c>
      <c r="C2" t="s">
        <v>2</v>
      </c>
      <c r="E2" s="2" t="s">
        <v>3</v>
      </c>
    </row>
    <row r="3" spans="2:5" x14ac:dyDescent="0.25">
      <c r="B3" t="s">
        <v>4</v>
      </c>
      <c r="C3" t="s">
        <v>5</v>
      </c>
      <c r="E3" s="2"/>
    </row>
    <row r="4" spans="2:5" x14ac:dyDescent="0.25">
      <c r="B4" t="s">
        <v>6</v>
      </c>
      <c r="C4" t="s">
        <v>7</v>
      </c>
      <c r="E4" s="2"/>
    </row>
    <row r="6" spans="2:5" x14ac:dyDescent="0.25">
      <c r="B6" s="3" t="s">
        <v>8</v>
      </c>
      <c r="C6" s="3"/>
      <c r="D6" s="3"/>
      <c r="E6" s="3"/>
    </row>
    <row r="7" spans="2:5" x14ac:dyDescent="0.25">
      <c r="B7" t="s">
        <v>9</v>
      </c>
      <c r="C7" s="4" t="s">
        <v>10</v>
      </c>
      <c r="D7" t="s">
        <v>11</v>
      </c>
      <c r="E7" s="2" t="s">
        <v>12</v>
      </c>
    </row>
    <row r="8" spans="2:5" x14ac:dyDescent="0.25">
      <c r="B8" t="s">
        <v>13</v>
      </c>
      <c r="C8" s="4" t="s">
        <v>14</v>
      </c>
      <c r="D8" t="s">
        <v>11</v>
      </c>
      <c r="E8" s="2" t="s">
        <v>15</v>
      </c>
    </row>
    <row r="9" spans="2:5" x14ac:dyDescent="0.25">
      <c r="B9" t="s">
        <v>16</v>
      </c>
      <c r="C9" s="4" t="s">
        <v>17</v>
      </c>
      <c r="D9" t="s">
        <v>11</v>
      </c>
      <c r="E9" s="2" t="s">
        <v>18</v>
      </c>
    </row>
    <row r="10" spans="2:4" x14ac:dyDescent="0.25">
      <c r="B10" t="s">
        <v>19</v>
      </c>
      <c r="C10" s="4" t="s">
        <v>20</v>
      </c>
      <c r="D10" t="s">
        <v>11</v>
      </c>
    </row>
    <row r="11" spans="2:4" x14ac:dyDescent="0.25">
      <c r="B11" t="s">
        <v>21</v>
      </c>
      <c r="C11" s="4" t="s">
        <v>22</v>
      </c>
      <c r="D11" t="s">
        <v>11</v>
      </c>
    </row>
    <row r="13" spans="2:5" x14ac:dyDescent="0.25">
      <c r="B13" s="3" t="s">
        <v>23</v>
      </c>
      <c r="C13" s="3"/>
      <c r="D13" s="3"/>
      <c r="E13" s="3"/>
    </row>
    <row r="14" spans="2:5" x14ac:dyDescent="0.25">
      <c r="B14" t="s">
        <v>24</v>
      </c>
      <c r="C14" s="4" t="s">
        <v>25</v>
      </c>
      <c r="D14" t="s">
        <v>11</v>
      </c>
      <c r="E14" s="2" t="s">
        <v>26</v>
      </c>
    </row>
    <row r="15" spans="2:5" x14ac:dyDescent="0.25">
      <c r="B15" t="s">
        <v>27</v>
      </c>
      <c r="C15" s="5">
        <v>30</v>
      </c>
      <c r="D15" t="s">
        <v>28</v>
      </c>
      <c r="E15" s="2" t="s">
        <v>29</v>
      </c>
    </row>
    <row r="16" spans="2:5" x14ac:dyDescent="0.25">
      <c r="B16" t="s">
        <v>30</v>
      </c>
      <c r="C16" s="5">
        <v>0.85</v>
      </c>
      <c r="D16" t="s">
        <v>31</v>
      </c>
      <c r="E16" s="2" t="s">
        <v>32</v>
      </c>
    </row>
    <row r="17" spans="2:4" x14ac:dyDescent="0.25">
      <c r="B17" t="s">
        <v>33</v>
      </c>
      <c r="C17" s="5">
        <f>alpha*fck</f>
        <v>25.5</v>
      </c>
      <c r="D17" t="s">
        <v>28</v>
      </c>
    </row>
    <row r="18" spans="2:5" x14ac:dyDescent="0.25">
      <c r="B18" t="s">
        <v>34</v>
      </c>
      <c r="C18" s="5">
        <v>0.8</v>
      </c>
      <c r="D18" t="s">
        <v>31</v>
      </c>
      <c r="E18" s="2" t="s">
        <v>35</v>
      </c>
    </row>
    <row r="19" spans="2:5" x14ac:dyDescent="0.25">
      <c r="B19" t="s">
        <v>36</v>
      </c>
      <c r="C19" s="6">
        <v>0.0033</v>
      </c>
      <c r="D19" t="s">
        <v>31</v>
      </c>
      <c r="E19" s="2" t="s">
        <v>37</v>
      </c>
    </row>
    <row r="20" spans="2:5" x14ac:dyDescent="0.25">
      <c r="B20" t="s">
        <v>38</v>
      </c>
      <c r="C20" s="5">
        <v>0</v>
      </c>
      <c r="D20" t="s">
        <v>31</v>
      </c>
      <c r="E20" s="2" t="s">
        <v>39</v>
      </c>
    </row>
    <row r="21" spans="2:5" x14ac:dyDescent="0.25">
      <c r="B21" t="s">
        <v>40</v>
      </c>
      <c r="C21" s="4" t="s">
        <v>41</v>
      </c>
      <c r="D21" t="s">
        <v>11</v>
      </c>
      <c r="E21" s="2" t="s">
        <v>42</v>
      </c>
    </row>
    <row r="23" spans="2:5" x14ac:dyDescent="0.25">
      <c r="B23" s="3" t="s">
        <v>43</v>
      </c>
      <c r="C23" s="3"/>
      <c r="D23" s="3"/>
      <c r="E23" s="3"/>
    </row>
    <row r="24" spans="2:5" x14ac:dyDescent="0.25">
      <c r="B24" t="s">
        <v>24</v>
      </c>
      <c r="C24" s="4" t="s">
        <v>25</v>
      </c>
      <c r="D24" t="s">
        <v>11</v>
      </c>
      <c r="E24" s="2" t="s">
        <v>44</v>
      </c>
    </row>
    <row r="25" spans="2:4" x14ac:dyDescent="0.25">
      <c r="B25" t="s">
        <v>45</v>
      </c>
      <c r="C25" s="5">
        <v>200000</v>
      </c>
      <c r="D25" t="s">
        <v>28</v>
      </c>
    </row>
    <row r="26" spans="2:4" x14ac:dyDescent="0.25">
      <c r="B26" t="s">
        <v>46</v>
      </c>
      <c r="C26" s="5">
        <v>400</v>
      </c>
      <c r="D26" t="s">
        <v>28</v>
      </c>
    </row>
    <row r="27" spans="2:5" x14ac:dyDescent="0.25">
      <c r="B27" t="s">
        <v>47</v>
      </c>
      <c r="C27" s="5">
        <v>1</v>
      </c>
      <c r="D27" t="s">
        <v>31</v>
      </c>
      <c r="E27" s="2" t="s">
        <v>48</v>
      </c>
    </row>
    <row r="28" spans="2:4" x14ac:dyDescent="0.25">
      <c r="B28" t="s">
        <v>49</v>
      </c>
      <c r="C28" s="5">
        <f>fy_char</f>
        <v>400</v>
      </c>
      <c r="D28" t="s">
        <v>28</v>
      </c>
    </row>
    <row r="29" spans="2:4" x14ac:dyDescent="0.25">
      <c r="B29" t="s">
        <v>50</v>
      </c>
      <c r="C29" s="6">
        <f>fy/Es</f>
        <v>0.002</v>
      </c>
      <c r="D29" t="s">
        <v>31</v>
      </c>
    </row>
    <row r="30" spans="2:5" x14ac:dyDescent="0.25">
      <c r="B30" t="s">
        <v>51</v>
      </c>
      <c r="C30" s="4" t="s">
        <v>52</v>
      </c>
      <c r="D30" t="s">
        <v>31</v>
      </c>
      <c r="E30" s="2" t="s">
        <v>53</v>
      </c>
    </row>
    <row r="31" spans="2:4" x14ac:dyDescent="0.25">
      <c r="B31" t="s">
        <v>54</v>
      </c>
      <c r="C31" s="4" t="s">
        <v>55</v>
      </c>
      <c r="D31" t="s">
        <v>11</v>
      </c>
    </row>
    <row r="33" spans="2:5" x14ac:dyDescent="0.25">
      <c r="B33" s="3" t="s">
        <v>56</v>
      </c>
      <c r="C33" s="3"/>
      <c r="D33" s="3"/>
      <c r="E33" s="3"/>
    </row>
    <row r="34" spans="2:5" x14ac:dyDescent="0.25">
      <c r="B34" t="s">
        <v>57</v>
      </c>
      <c r="C34" s="4" t="s">
        <v>58</v>
      </c>
      <c r="D34" t="s">
        <v>11</v>
      </c>
      <c r="E34" s="2" t="s">
        <v>59</v>
      </c>
    </row>
    <row r="35" spans="2:5" x14ac:dyDescent="0.25">
      <c r="B35" t="s">
        <v>60</v>
      </c>
      <c r="C35" s="4" t="s">
        <v>61</v>
      </c>
      <c r="D35" t="s">
        <v>11</v>
      </c>
      <c r="E35" s="2" t="s">
        <v>62</v>
      </c>
    </row>
    <row r="36" spans="2:4" x14ac:dyDescent="0.25">
      <c r="B36" t="s">
        <v>63</v>
      </c>
      <c r="C36" s="5">
        <v>0.65</v>
      </c>
      <c r="D36" t="s">
        <v>31</v>
      </c>
    </row>
    <row r="37" spans="2:4" x14ac:dyDescent="0.25">
      <c r="B37" t="s">
        <v>64</v>
      </c>
      <c r="C37" s="5">
        <v>0.85</v>
      </c>
      <c r="D37" t="s">
        <v>31</v>
      </c>
    </row>
    <row r="38" spans="2:5" x14ac:dyDescent="0.25">
      <c r="B38" t="s">
        <v>65</v>
      </c>
      <c r="C38" s="6">
        <v>0.005</v>
      </c>
      <c r="D38" t="s">
        <v>31</v>
      </c>
      <c r="E38" s="2" t="s">
        <v>66</v>
      </c>
    </row>
    <row r="39" spans="2:4" x14ac:dyDescent="0.25">
      <c r="B39" t="s">
        <v>67</v>
      </c>
      <c r="C39" s="5">
        <v>0.8</v>
      </c>
      <c r="D39" t="s">
        <v>31</v>
      </c>
    </row>
    <row r="40" spans="2:5" x14ac:dyDescent="0.25">
      <c r="B40" t="s">
        <v>68</v>
      </c>
      <c r="C40" s="4" t="s">
        <v>41</v>
      </c>
      <c r="D40" t="s">
        <v>11</v>
      </c>
      <c r="E40" s="2" t="s">
        <v>69</v>
      </c>
    </row>
    <row r="42" spans="2:5" x14ac:dyDescent="0.25">
      <c r="B42" s="3" t="s">
        <v>70</v>
      </c>
      <c r="C42" s="3"/>
      <c r="D42" s="3"/>
      <c r="E42" s="3"/>
    </row>
    <row r="43" spans="2:5" x14ac:dyDescent="0.25">
      <c r="B43" t="s">
        <v>71</v>
      </c>
      <c r="C43" s="5">
        <v>14.999999999999982</v>
      </c>
      <c r="D43" t="s">
        <v>72</v>
      </c>
      <c r="E43" s="2" t="s">
        <v>73</v>
      </c>
    </row>
    <row r="44" spans="2:5" x14ac:dyDescent="0.25">
      <c r="B44" t="s">
        <v>74</v>
      </c>
      <c r="C44" s="5">
        <v>827.9719877578094</v>
      </c>
      <c r="D44" t="s">
        <v>75</v>
      </c>
      <c r="E44" s="2" t="s">
        <v>76</v>
      </c>
    </row>
    <row r="45" spans="2:4" x14ac:dyDescent="0.25">
      <c r="B45" t="s">
        <v>77</v>
      </c>
      <c r="C45" s="5">
        <v>1655.9439755156188</v>
      </c>
      <c r="D45" t="s">
        <v>75</v>
      </c>
    </row>
    <row r="46" spans="2:5" x14ac:dyDescent="0.25">
      <c r="B46" t="s">
        <v>78</v>
      </c>
      <c r="C46" s="6">
        <v>1.5e-7</v>
      </c>
      <c r="D46" t="s">
        <v>75</v>
      </c>
      <c r="E46" s="2" t="s">
        <v>79</v>
      </c>
    </row>
    <row r="47" spans="2:5" x14ac:dyDescent="0.25">
      <c r="B47" t="s">
        <v>80</v>
      </c>
      <c r="C47" s="5">
        <v>0</v>
      </c>
      <c r="D47" t="s">
        <v>75</v>
      </c>
      <c r="E47" s="2" t="s">
        <v>81</v>
      </c>
    </row>
    <row r="48" spans="2:5" x14ac:dyDescent="0.25">
      <c r="B48" t="s">
        <v>82</v>
      </c>
      <c r="C48" s="5">
        <v>0</v>
      </c>
      <c r="D48" t="s">
        <v>75</v>
      </c>
      <c r="E48" s="2" t="s">
        <v>83</v>
      </c>
    </row>
    <row r="49" spans="2:5" x14ac:dyDescent="0.25">
      <c r="B49" t="s">
        <v>84</v>
      </c>
      <c r="C49" s="5">
        <v>27</v>
      </c>
      <c r="D49" t="s">
        <v>31</v>
      </c>
      <c r="E49" s="2" t="s">
        <v>85</v>
      </c>
    </row>
    <row r="50" spans="2:5" x14ac:dyDescent="0.25">
      <c r="B50" t="s">
        <v>86</v>
      </c>
      <c r="C50" s="5">
        <v>20</v>
      </c>
      <c r="D50" t="s">
        <v>31</v>
      </c>
      <c r="E50" s="2" t="s">
        <v>87</v>
      </c>
    </row>
    <row r="51" spans="2:5" x14ac:dyDescent="0.25">
      <c r="B51" t="s">
        <v>88</v>
      </c>
      <c r="C51" s="5">
        <v>36</v>
      </c>
      <c r="D51" t="s">
        <v>31</v>
      </c>
      <c r="E51" s="2" t="s">
        <v>89</v>
      </c>
    </row>
    <row r="52" spans="2:5" x14ac:dyDescent="0.25">
      <c r="B52" t="s">
        <v>90</v>
      </c>
      <c r="C52" s="5">
        <v>36</v>
      </c>
      <c r="D52" t="s">
        <v>31</v>
      </c>
      <c r="E52" s="2" t="s">
        <v>91</v>
      </c>
    </row>
    <row r="53" spans="2:5" x14ac:dyDescent="0.25">
      <c r="B53" t="s">
        <v>92</v>
      </c>
      <c r="C53" s="5">
        <v>0.08503092104591244</v>
      </c>
      <c r="D53" t="s">
        <v>31</v>
      </c>
      <c r="E53" s="2" t="s">
        <v>93</v>
      </c>
    </row>
    <row r="54" spans="2:5" x14ac:dyDescent="0.25">
      <c r="B54" t="s">
        <v>94</v>
      </c>
      <c r="C54" s="5">
        <v>0.0542944477756481</v>
      </c>
      <c r="D54" t="s">
        <v>31</v>
      </c>
      <c r="E54" s="2" t="s">
        <v>95</v>
      </c>
    </row>
    <row r="55" spans="2:5" x14ac:dyDescent="0.25">
      <c r="B55" t="s">
        <v>96</v>
      </c>
      <c r="C55" s="4" t="s">
        <v>41</v>
      </c>
      <c r="D55" t="s">
        <v>11</v>
      </c>
      <c r="E55" s="2" t="s">
        <v>97</v>
      </c>
    </row>
    <row r="57" spans="2:5" x14ac:dyDescent="0.25">
      <c r="B57" s="3" t="s">
        <v>98</v>
      </c>
      <c r="C57" s="3"/>
      <c r="D57" s="3"/>
      <c r="E57" s="3"/>
    </row>
    <row r="58" spans="2:5" x14ac:dyDescent="0.25">
      <c r="B58" t="s">
        <v>99</v>
      </c>
      <c r="C58" s="5">
        <v>24942.922102452183</v>
      </c>
      <c r="D58" t="s">
        <v>100</v>
      </c>
      <c r="E58" s="2" t="s">
        <v>101</v>
      </c>
    </row>
    <row r="59" spans="2:4" x14ac:dyDescent="0.25">
      <c r="B59" t="s">
        <v>102</v>
      </c>
      <c r="C59" s="5">
        <v>3714.165943842699</v>
      </c>
      <c r="D59" t="s">
        <v>103</v>
      </c>
    </row>
    <row r="60" spans="2:4" x14ac:dyDescent="0.25">
      <c r="B60" t="s">
        <v>104</v>
      </c>
      <c r="C60" s="5">
        <v>1431.7807276950741</v>
      </c>
      <c r="D60" t="s">
        <v>103</v>
      </c>
    </row>
    <row r="62" spans="2:5" x14ac:dyDescent="0.25">
      <c r="B62" t="s">
        <v>105</v>
      </c>
      <c r="C62" s="7">
        <f>IF(AND(Mux=0,Muy=0),0,DEGREES(ATAN2(Mux,Muy)))</f>
      </c>
      <c r="D62" t="s">
        <v>72</v>
      </c>
      <c r="E62" s="2" t="s">
        <v>106</v>
      </c>
    </row>
    <row r="63" spans="2:4" x14ac:dyDescent="0.25">
      <c r="B63" t="s">
        <v>107</v>
      </c>
      <c r="C63" s="8">
        <f>SQRT(Mux^2+Muy^2)</f>
      </c>
      <c r="D63" t="s">
        <v>103</v>
      </c>
    </row>
    <row r="65" spans="2:5" x14ac:dyDescent="0.25">
      <c r="B65" s="3" t="s">
        <v>108</v>
      </c>
      <c r="C65" s="3"/>
      <c r="D65" s="3"/>
      <c r="E65" s="3"/>
    </row>
    <row r="66" spans="2:3" x14ac:dyDescent="0.25">
      <c r="B66" t="s">
        <v>109</v>
      </c>
      <c r="C66" t="s">
        <v>110</v>
      </c>
    </row>
    <row r="67" spans="2:5" x14ac:dyDescent="0.25">
      <c r="B67" t="s">
        <v>111</v>
      </c>
      <c r="C67" t="s">
        <v>112</v>
      </c>
      <c r="E67" s="2" t="s">
        <v>113</v>
      </c>
    </row>
    <row r="69" spans="2:5" x14ac:dyDescent="0.25">
      <c r="B69" s="3" t="s">
        <v>114</v>
      </c>
      <c r="C69" s="3"/>
      <c r="D69" s="3"/>
      <c r="E69" s="3"/>
    </row>
    <row r="70" spans="2:5" x14ac:dyDescent="0.25">
      <c r="B70" t="s">
        <v>115</v>
      </c>
      <c r="C70" s="9" t="s">
        <v>116</v>
      </c>
      <c r="E70" s="2" t="s">
        <v>117</v>
      </c>
    </row>
    <row r="71" spans="2:5" x14ac:dyDescent="0.25">
      <c r="B71" t="s">
        <v>118</v>
      </c>
      <c r="C71" s="9" t="s">
        <v>116</v>
      </c>
      <c r="E71" s="2" t="s">
        <v>119</v>
      </c>
    </row>
    <row r="72" spans="2:5" x14ac:dyDescent="0.25">
      <c r="B72" t="s">
        <v>120</v>
      </c>
      <c r="C72" s="10" t="s">
        <v>121</v>
      </c>
      <c r="E72" s="2" t="s">
        <v>122</v>
      </c>
    </row>
    <row r="73" spans="2:5" x14ac:dyDescent="0.25">
      <c r="B73" t="s">
        <v>123</v>
      </c>
      <c r="C73" s="9" t="s">
        <v>116</v>
      </c>
      <c r="E73" s="2" t="s">
        <v>124</v>
      </c>
    </row>
    <row r="74" spans="2:5" x14ac:dyDescent="0.25">
      <c r="B74" t="s">
        <v>125</v>
      </c>
      <c r="C74" s="9" t="s">
        <v>116</v>
      </c>
      <c r="E74" s="2" t="s">
        <v>126</v>
      </c>
    </row>
    <row r="75" spans="2:5" x14ac:dyDescent="0.25">
      <c r="B75" t="s">
        <v>127</v>
      </c>
      <c r="C75" s="10" t="s">
        <v>121</v>
      </c>
      <c r="E75" s="2" t="s">
        <v>128</v>
      </c>
    </row>
    <row r="76" spans="2:5" x14ac:dyDescent="0.25">
      <c r="B76" t="s">
        <v>129</v>
      </c>
      <c r="C76" s="10" t="s">
        <v>121</v>
      </c>
      <c r="E76" s="2" t="s">
        <v>130</v>
      </c>
    </row>
    <row r="77" spans="2:5" x14ac:dyDescent="0.25">
      <c r="B77" t="s">
        <v>131</v>
      </c>
      <c r="C77" s="9" t="s">
        <v>116</v>
      </c>
      <c r="E77" s="2" t="s">
        <v>132</v>
      </c>
    </row>
    <row r="78" spans="2:5" x14ac:dyDescent="0.25">
      <c r="B78" t="s">
        <v>133</v>
      </c>
      <c r="C78" s="10" t="s">
        <v>121</v>
      </c>
      <c r="E78" s="2" t="s">
        <v>134</v>
      </c>
    </row>
    <row r="79" spans="2:5" x14ac:dyDescent="0.25">
      <c r="B79" t="s">
        <v>135</v>
      </c>
      <c r="C79" s="9" t="s">
        <v>116</v>
      </c>
      <c r="E79" s="2" t="s">
        <v>136</v>
      </c>
    </row>
    <row r="80" spans="2:5" x14ac:dyDescent="0.25">
      <c r="B80" t="s">
        <v>137</v>
      </c>
      <c r="C80" s="10" t="s">
        <v>121</v>
      </c>
      <c r="E80" s="2" t="s">
        <v>138</v>
      </c>
    </row>
  </sheetData>
  <mergeCells count="10">
    <mergeCell ref="B1:E1"/>
    <mergeCell ref="E2:E4"/>
    <mergeCell ref="B6:E6"/>
    <mergeCell ref="B13:E13"/>
    <mergeCell ref="B23:E23"/>
    <mergeCell ref="B33:E33"/>
    <mergeCell ref="B42:E42"/>
    <mergeCell ref="B57:E57"/>
    <mergeCell ref="B65:E65"/>
    <mergeCell ref="B69:E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4" width="8" customWidth="1"/>
    <col min="5" max="6" width="14" customWidth="1"/>
    <col min="7" max="9" width="16" customWidth="1"/>
    <col min="10" max="10" width="40" customWidth="1"/>
  </cols>
  <sheetData>
    <row r="1" ht="22" customHeight="1" spans="2:9" x14ac:dyDescent="0.25">
      <c r="B1" s="1" t="s">
        <v>139</v>
      </c>
      <c r="C1" s="1"/>
      <c r="D1" s="1"/>
      <c r="E1" s="1"/>
      <c r="F1" s="1"/>
      <c r="G1" s="1"/>
      <c r="H1" s="1"/>
      <c r="I1" s="1"/>
    </row>
    <row r="2" spans="2:10" x14ac:dyDescent="0.25">
      <c r="B2" s="2" t="s">
        <v>140</v>
      </c>
      <c r="C2" s="2"/>
      <c r="D2" s="2"/>
      <c r="E2" s="2"/>
      <c r="F2" s="2"/>
      <c r="G2" s="2"/>
      <c r="H2" s="2"/>
      <c r="I2" s="2"/>
      <c r="J2" s="2"/>
    </row>
    <row r="4" ht="28" customHeight="1" spans="2:9" x14ac:dyDescent="0.25">
      <c r="B4" s="11" t="s">
        <v>141</v>
      </c>
      <c r="C4" s="11" t="s">
        <v>142</v>
      </c>
      <c r="D4" s="11" t="s">
        <v>143</v>
      </c>
      <c r="E4" s="11" t="s">
        <v>144</v>
      </c>
      <c r="F4" s="11" t="s">
        <v>145</v>
      </c>
      <c r="G4" s="11" t="s">
        <v>146</v>
      </c>
      <c r="H4" s="11" t="s">
        <v>147</v>
      </c>
      <c r="I4" s="11" t="s">
        <v>148</v>
      </c>
    </row>
    <row r="5" spans="2:9" x14ac:dyDescent="0.25">
      <c r="B5">
        <v>1</v>
      </c>
      <c r="C5">
        <v>1</v>
      </c>
      <c r="D5" t="s">
        <v>149</v>
      </c>
      <c r="E5" s="12">
        <v>-550</v>
      </c>
      <c r="F5" s="12">
        <v>600</v>
      </c>
      <c r="G5" s="12">
        <f>E5*F6-E6*F5</f>
      </c>
      <c r="H5" s="12">
        <f>(E5+E6)*G5</f>
      </c>
      <c r="I5" s="12">
        <f>(F5+F6)*G5</f>
      </c>
    </row>
    <row r="6" spans="2:9" x14ac:dyDescent="0.25">
      <c r="B6">
        <v>2</v>
      </c>
      <c r="C6">
        <v>1</v>
      </c>
      <c r="D6" t="s">
        <v>149</v>
      </c>
      <c r="E6" s="12">
        <v>550</v>
      </c>
      <c r="F6" s="12">
        <v>600</v>
      </c>
      <c r="G6" s="12">
        <f>E6*F7-E7*F6</f>
      </c>
      <c r="H6" s="12">
        <f>(E6+E7)*G6</f>
      </c>
      <c r="I6" s="12">
        <f>(F6+F7)*G6</f>
      </c>
    </row>
    <row r="7" spans="2:9" x14ac:dyDescent="0.25">
      <c r="B7">
        <v>3</v>
      </c>
      <c r="C7">
        <v>1</v>
      </c>
      <c r="D7" t="s">
        <v>149</v>
      </c>
      <c r="E7" s="12">
        <v>750</v>
      </c>
      <c r="F7" s="12">
        <v>400</v>
      </c>
      <c r="G7" s="12">
        <f>E7*F8-E8*F7</f>
      </c>
      <c r="H7" s="12">
        <f>(E7+E8)*G7</f>
      </c>
      <c r="I7" s="12">
        <f>(F7+F8)*G7</f>
      </c>
    </row>
    <row r="8" spans="2:9" x14ac:dyDescent="0.25">
      <c r="B8">
        <v>4</v>
      </c>
      <c r="C8">
        <v>1</v>
      </c>
      <c r="D8" t="s">
        <v>149</v>
      </c>
      <c r="E8" s="12">
        <v>750</v>
      </c>
      <c r="F8" s="12">
        <v>-400</v>
      </c>
      <c r="G8" s="12">
        <f>E8*F9-E9*F8</f>
      </c>
      <c r="H8" s="12">
        <f>(E8+E9)*G8</f>
      </c>
      <c r="I8" s="12">
        <f>(F8+F9)*G8</f>
      </c>
    </row>
    <row r="9" spans="2:9" x14ac:dyDescent="0.25">
      <c r="B9">
        <v>5</v>
      </c>
      <c r="C9">
        <v>1</v>
      </c>
      <c r="D9" t="s">
        <v>149</v>
      </c>
      <c r="E9" s="12">
        <v>550</v>
      </c>
      <c r="F9" s="12">
        <v>-600</v>
      </c>
      <c r="G9" s="12">
        <f>E9*F10-E10*F9</f>
      </c>
      <c r="H9" s="12">
        <f>(E9+E10)*G9</f>
      </c>
      <c r="I9" s="12">
        <f>(F9+F10)*G9</f>
      </c>
    </row>
    <row r="10" spans="2:9" x14ac:dyDescent="0.25">
      <c r="B10">
        <v>6</v>
      </c>
      <c r="C10">
        <v>1</v>
      </c>
      <c r="D10" t="s">
        <v>149</v>
      </c>
      <c r="E10" s="12">
        <v>-550</v>
      </c>
      <c r="F10" s="12">
        <v>-600</v>
      </c>
      <c r="G10" s="12">
        <f>E10*F11-E11*F10</f>
      </c>
      <c r="H10" s="12">
        <f>(E10+E11)*G10</f>
      </c>
      <c r="I10" s="12">
        <f>(F10+F11)*G10</f>
      </c>
    </row>
    <row r="11" spans="2:9" x14ac:dyDescent="0.25">
      <c r="B11">
        <v>7</v>
      </c>
      <c r="C11">
        <v>1</v>
      </c>
      <c r="D11" t="s">
        <v>149</v>
      </c>
      <c r="E11" s="12">
        <v>-750</v>
      </c>
      <c r="F11" s="12">
        <v>-400</v>
      </c>
      <c r="G11" s="12">
        <f>E11*F12-E12*F11</f>
      </c>
      <c r="H11" s="12">
        <f>(E11+E12)*G11</f>
      </c>
      <c r="I11" s="12">
        <f>(F11+F12)*G11</f>
      </c>
    </row>
    <row r="12" spans="2:9" x14ac:dyDescent="0.25">
      <c r="B12">
        <v>8</v>
      </c>
      <c r="C12">
        <v>1</v>
      </c>
      <c r="D12" t="s">
        <v>149</v>
      </c>
      <c r="E12" s="12">
        <v>-750</v>
      </c>
      <c r="F12" s="12">
        <v>400</v>
      </c>
      <c r="G12" s="12">
        <f>E12*F5-E5*F12</f>
      </c>
      <c r="H12" s="12">
        <f>(E12+E5)*G12</f>
      </c>
      <c r="I12" s="12">
        <f>(F12+F5)*G12</f>
      </c>
    </row>
    <row r="13" spans="4:10" x14ac:dyDescent="0.25">
      <c r="D13" s="13" t="s">
        <v>150</v>
      </c>
      <c r="G13" s="14">
        <f>SUM(G5:G12)/2</f>
      </c>
      <c r="H13" s="14">
        <f>SUM(H5:H12)/6</f>
      </c>
      <c r="I13" s="14">
        <f>SUM(I5:I12)/6</f>
      </c>
      <c r="J13" s="15" t="s">
        <v>151</v>
      </c>
    </row>
    <row r="15" spans="2:9" x14ac:dyDescent="0.25">
      <c r="B15">
        <v>1</v>
      </c>
      <c r="C15">
        <v>1</v>
      </c>
      <c r="D15" t="s">
        <v>152</v>
      </c>
      <c r="E15" s="12">
        <v>-450</v>
      </c>
      <c r="F15" s="12">
        <v>400</v>
      </c>
      <c r="G15" s="12">
        <f>E15*F16-E16*F15</f>
      </c>
      <c r="H15" s="12">
        <f>(E15+E16)*G15</f>
      </c>
      <c r="I15" s="12">
        <f>(F15+F16)*G15</f>
      </c>
    </row>
    <row r="16" spans="2:9" x14ac:dyDescent="0.25">
      <c r="B16">
        <v>2</v>
      </c>
      <c r="C16">
        <v>1</v>
      </c>
      <c r="D16" t="s">
        <v>152</v>
      </c>
      <c r="E16" s="12">
        <v>-250</v>
      </c>
      <c r="F16" s="12">
        <v>400</v>
      </c>
      <c r="G16" s="12">
        <f>E16*F17-E17*F16</f>
      </c>
      <c r="H16" s="12">
        <f>(E16+E17)*G16</f>
      </c>
      <c r="I16" s="12">
        <f>(F16+F17)*G16</f>
      </c>
    </row>
    <row r="17" spans="2:9" x14ac:dyDescent="0.25">
      <c r="B17">
        <v>3</v>
      </c>
      <c r="C17">
        <v>1</v>
      </c>
      <c r="D17" t="s">
        <v>152</v>
      </c>
      <c r="E17" s="12">
        <v>-150</v>
      </c>
      <c r="F17" s="12">
        <v>300</v>
      </c>
      <c r="G17" s="12">
        <f>E17*F18-E18*F17</f>
      </c>
      <c r="H17" s="12">
        <f>(E17+E18)*G17</f>
      </c>
      <c r="I17" s="12">
        <f>(F17+F18)*G17</f>
      </c>
    </row>
    <row r="18" spans="2:9" x14ac:dyDescent="0.25">
      <c r="B18">
        <v>4</v>
      </c>
      <c r="C18">
        <v>1</v>
      </c>
      <c r="D18" t="s">
        <v>152</v>
      </c>
      <c r="E18" s="12">
        <v>-150</v>
      </c>
      <c r="F18" s="12">
        <v>-300</v>
      </c>
      <c r="G18" s="12">
        <f>E18*F19-E19*F18</f>
      </c>
      <c r="H18" s="12">
        <f>(E18+E19)*G18</f>
      </c>
      <c r="I18" s="12">
        <f>(F18+F19)*G18</f>
      </c>
    </row>
    <row r="19" spans="2:9" x14ac:dyDescent="0.25">
      <c r="B19">
        <v>5</v>
      </c>
      <c r="C19">
        <v>1</v>
      </c>
      <c r="D19" t="s">
        <v>152</v>
      </c>
      <c r="E19" s="12">
        <v>-250</v>
      </c>
      <c r="F19" s="12">
        <v>-400</v>
      </c>
      <c r="G19" s="12">
        <f>E19*F20-E20*F19</f>
      </c>
      <c r="H19" s="12">
        <f>(E19+E20)*G19</f>
      </c>
      <c r="I19" s="12">
        <f>(F19+F20)*G19</f>
      </c>
    </row>
    <row r="20" spans="2:9" x14ac:dyDescent="0.25">
      <c r="B20">
        <v>6</v>
      </c>
      <c r="C20">
        <v>1</v>
      </c>
      <c r="D20" t="s">
        <v>152</v>
      </c>
      <c r="E20" s="12">
        <v>-450</v>
      </c>
      <c r="F20" s="12">
        <v>-400</v>
      </c>
      <c r="G20" s="12">
        <f>E20*F21-E21*F20</f>
      </c>
      <c r="H20" s="12">
        <f>(E20+E21)*G20</f>
      </c>
      <c r="I20" s="12">
        <f>(F20+F21)*G20</f>
      </c>
    </row>
    <row r="21" spans="2:9" x14ac:dyDescent="0.25">
      <c r="B21">
        <v>7</v>
      </c>
      <c r="C21">
        <v>1</v>
      </c>
      <c r="D21" t="s">
        <v>152</v>
      </c>
      <c r="E21" s="12">
        <v>-550</v>
      </c>
      <c r="F21" s="12">
        <v>-300</v>
      </c>
      <c r="G21" s="12">
        <f>E21*F22-E22*F21</f>
      </c>
      <c r="H21" s="12">
        <f>(E21+E22)*G21</f>
      </c>
      <c r="I21" s="12">
        <f>(F21+F22)*G21</f>
      </c>
    </row>
    <row r="22" spans="2:9" x14ac:dyDescent="0.25">
      <c r="B22">
        <v>8</v>
      </c>
      <c r="C22">
        <v>1</v>
      </c>
      <c r="D22" t="s">
        <v>152</v>
      </c>
      <c r="E22" s="12">
        <v>-550</v>
      </c>
      <c r="F22" s="12">
        <v>300</v>
      </c>
      <c r="G22" s="12">
        <f>E22*F15-E15*F22</f>
      </c>
      <c r="H22" s="12">
        <f>(E22+E15)*G22</f>
      </c>
      <c r="I22" s="12">
        <f>(F22+F15)*G22</f>
      </c>
    </row>
    <row r="23" spans="4:10" x14ac:dyDescent="0.25">
      <c r="D23" s="13" t="s">
        <v>150</v>
      </c>
      <c r="G23" s="14">
        <f>SUM(G15:G22)/2</f>
      </c>
      <c r="H23" s="14">
        <f>SUM(H15:H22)/6</f>
      </c>
      <c r="I23" s="14">
        <f>SUM(I15:I22)/6</f>
      </c>
      <c r="J23" s="15" t="s">
        <v>153</v>
      </c>
    </row>
    <row r="25" spans="2:9" x14ac:dyDescent="0.25">
      <c r="B25">
        <v>1</v>
      </c>
      <c r="C25">
        <v>1</v>
      </c>
      <c r="D25" t="s">
        <v>154</v>
      </c>
      <c r="E25" s="12">
        <v>250</v>
      </c>
      <c r="F25" s="12">
        <v>400</v>
      </c>
      <c r="G25" s="12">
        <f>E25*F26-E26*F25</f>
      </c>
      <c r="H25" s="12">
        <f>(E25+E26)*G25</f>
      </c>
      <c r="I25" s="12">
        <f>(F25+F26)*G25</f>
      </c>
    </row>
    <row r="26" spans="2:9" x14ac:dyDescent="0.25">
      <c r="B26">
        <v>2</v>
      </c>
      <c r="C26">
        <v>1</v>
      </c>
      <c r="D26" t="s">
        <v>154</v>
      </c>
      <c r="E26" s="12">
        <v>450</v>
      </c>
      <c r="F26" s="12">
        <v>400</v>
      </c>
      <c r="G26" s="12">
        <f>E26*F27-E27*F26</f>
      </c>
      <c r="H26" s="12">
        <f>(E26+E27)*G26</f>
      </c>
      <c r="I26" s="12">
        <f>(F26+F27)*G26</f>
      </c>
    </row>
    <row r="27" spans="2:9" x14ac:dyDescent="0.25">
      <c r="B27">
        <v>3</v>
      </c>
      <c r="C27">
        <v>1</v>
      </c>
      <c r="D27" t="s">
        <v>154</v>
      </c>
      <c r="E27" s="12">
        <v>550</v>
      </c>
      <c r="F27" s="12">
        <v>300</v>
      </c>
      <c r="G27" s="12">
        <f>E27*F28-E28*F27</f>
      </c>
      <c r="H27" s="12">
        <f>(E27+E28)*G27</f>
      </c>
      <c r="I27" s="12">
        <f>(F27+F28)*G27</f>
      </c>
    </row>
    <row r="28" spans="2:9" x14ac:dyDescent="0.25">
      <c r="B28">
        <v>4</v>
      </c>
      <c r="C28">
        <v>1</v>
      </c>
      <c r="D28" t="s">
        <v>154</v>
      </c>
      <c r="E28" s="12">
        <v>550</v>
      </c>
      <c r="F28" s="12">
        <v>-300</v>
      </c>
      <c r="G28" s="12">
        <f>E28*F29-E29*F28</f>
      </c>
      <c r="H28" s="12">
        <f>(E28+E29)*G28</f>
      </c>
      <c r="I28" s="12">
        <f>(F28+F29)*G28</f>
      </c>
    </row>
    <row r="29" spans="2:9" x14ac:dyDescent="0.25">
      <c r="B29">
        <v>5</v>
      </c>
      <c r="C29">
        <v>1</v>
      </c>
      <c r="D29" t="s">
        <v>154</v>
      </c>
      <c r="E29" s="12">
        <v>450</v>
      </c>
      <c r="F29" s="12">
        <v>-400</v>
      </c>
      <c r="G29" s="12">
        <f>E29*F30-E30*F29</f>
      </c>
      <c r="H29" s="12">
        <f>(E29+E30)*G29</f>
      </c>
      <c r="I29" s="12">
        <f>(F29+F30)*G29</f>
      </c>
    </row>
    <row r="30" spans="2:9" x14ac:dyDescent="0.25">
      <c r="B30">
        <v>6</v>
      </c>
      <c r="C30">
        <v>1</v>
      </c>
      <c r="D30" t="s">
        <v>154</v>
      </c>
      <c r="E30" s="12">
        <v>250</v>
      </c>
      <c r="F30" s="12">
        <v>-400</v>
      </c>
      <c r="G30" s="12">
        <f>E30*F31-E31*F30</f>
      </c>
      <c r="H30" s="12">
        <f>(E30+E31)*G30</f>
      </c>
      <c r="I30" s="12">
        <f>(F30+F31)*G30</f>
      </c>
    </row>
    <row r="31" spans="2:9" x14ac:dyDescent="0.25">
      <c r="B31">
        <v>7</v>
      </c>
      <c r="C31">
        <v>1</v>
      </c>
      <c r="D31" t="s">
        <v>154</v>
      </c>
      <c r="E31" s="12">
        <v>150</v>
      </c>
      <c r="F31" s="12">
        <v>-300</v>
      </c>
      <c r="G31" s="12">
        <f>E31*F32-E32*F31</f>
      </c>
      <c r="H31" s="12">
        <f>(E31+E32)*G31</f>
      </c>
      <c r="I31" s="12">
        <f>(F31+F32)*G31</f>
      </c>
    </row>
    <row r="32" spans="2:9" x14ac:dyDescent="0.25">
      <c r="B32">
        <v>8</v>
      </c>
      <c r="C32">
        <v>1</v>
      </c>
      <c r="D32" t="s">
        <v>154</v>
      </c>
      <c r="E32" s="12">
        <v>150</v>
      </c>
      <c r="F32" s="12">
        <v>300</v>
      </c>
      <c r="G32" s="12">
        <f>E32*F25-E25*F32</f>
      </c>
      <c r="H32" s="12">
        <f>(E32+E25)*G32</f>
      </c>
      <c r="I32" s="12">
        <f>(F32+F25)*G32</f>
      </c>
    </row>
    <row r="33" spans="4:10" x14ac:dyDescent="0.25">
      <c r="D33" s="13" t="s">
        <v>150</v>
      </c>
      <c r="G33" s="14">
        <f>SUM(G25:G32)/2</f>
      </c>
      <c r="H33" s="14">
        <f>SUM(H25:H32)/6</f>
      </c>
      <c r="I33" s="14">
        <f>SUM(I25:I32)/6</f>
      </c>
      <c r="J33" s="15" t="s">
        <v>153</v>
      </c>
    </row>
    <row r="35" spans="4:10" x14ac:dyDescent="0.25">
      <c r="D35" s="13" t="s">
        <v>155</v>
      </c>
      <c r="G35" s="14">
        <f>ABS(G13)-ABS(G23)-ABS(G33)</f>
      </c>
      <c r="H35" s="14">
        <f>SIGN(G13)*H13-SIGN(G23)*H23-SIGN(G33)*H33</f>
      </c>
      <c r="I35" s="14">
        <f>SIGN(G13)*I13-SIGN(G23)*I23-SIGN(G33)*I33</f>
      </c>
      <c r="J35" s="15">
        <f>IF(ABS(H35)+ABS(I35)&lt;=0.000001*ABS(G35)*1500.000000,"OK - the origin is the net centroid","CHECK - first moments about the origin are not zero")</f>
      </c>
    </row>
    <row r="37" spans="2:9" x14ac:dyDescent="0.25">
      <c r="B37" s="3" t="s">
        <v>156</v>
      </c>
      <c r="C37" s="3"/>
      <c r="D37" s="3"/>
      <c r="E37" s="3"/>
      <c r="F37" s="3"/>
      <c r="G37" s="3"/>
      <c r="H37" s="3"/>
      <c r="I37" s="3"/>
    </row>
    <row r="38" ht="28" customHeight="1" spans="2:8" x14ac:dyDescent="0.25">
      <c r="B38" s="11" t="s">
        <v>141</v>
      </c>
      <c r="C38" s="11" t="s">
        <v>157</v>
      </c>
      <c r="D38" s="11" t="s">
        <v>158</v>
      </c>
      <c r="E38" s="11" t="s">
        <v>144</v>
      </c>
      <c r="F38" s="11" t="s">
        <v>145</v>
      </c>
      <c r="G38" s="11" t="s">
        <v>159</v>
      </c>
      <c r="H38" s="11" t="s">
        <v>160</v>
      </c>
    </row>
    <row r="39" spans="2:8" x14ac:dyDescent="0.25">
      <c r="B39">
        <v>1</v>
      </c>
      <c r="C39" t="s">
        <v>161</v>
      </c>
      <c r="D39">
        <v>32</v>
      </c>
      <c r="E39" s="12">
        <v>-400</v>
      </c>
      <c r="F39" s="12">
        <v>530</v>
      </c>
      <c r="G39" s="12">
        <f>PI()*D39^2/4</f>
      </c>
      <c r="H39" s="12">
        <f>COS(RADIANS(theta))*(E39+xc)+SIN(RADIANS(theta))*(F39+yc)</f>
      </c>
    </row>
    <row r="40" spans="2:8" x14ac:dyDescent="0.25">
      <c r="B40">
        <v>2</v>
      </c>
      <c r="C40" t="s">
        <v>162</v>
      </c>
      <c r="D40">
        <v>32</v>
      </c>
      <c r="E40" s="12">
        <v>-200</v>
      </c>
      <c r="F40" s="12">
        <v>530</v>
      </c>
      <c r="G40" s="12">
        <f>PI()*D40^2/4</f>
      </c>
      <c r="H40" s="12">
        <f>COS(RADIANS(theta))*(E40+xc)+SIN(RADIANS(theta))*(F40+yc)</f>
      </c>
    </row>
    <row r="41" spans="2:8" x14ac:dyDescent="0.25">
      <c r="B41">
        <v>3</v>
      </c>
      <c r="C41" t="s">
        <v>163</v>
      </c>
      <c r="D41">
        <v>32</v>
      </c>
      <c r="E41" s="12">
        <v>0</v>
      </c>
      <c r="F41" s="12">
        <v>530</v>
      </c>
      <c r="G41" s="12">
        <f>PI()*D41^2/4</f>
      </c>
      <c r="H41" s="12">
        <f>COS(RADIANS(theta))*(E41+xc)+SIN(RADIANS(theta))*(F41+yc)</f>
      </c>
    </row>
    <row r="42" spans="2:8" x14ac:dyDescent="0.25">
      <c r="B42">
        <v>4</v>
      </c>
      <c r="C42" t="s">
        <v>164</v>
      </c>
      <c r="D42">
        <v>32</v>
      </c>
      <c r="E42" s="12">
        <v>200</v>
      </c>
      <c r="F42" s="12">
        <v>530</v>
      </c>
      <c r="G42" s="12">
        <f>PI()*D42^2/4</f>
      </c>
      <c r="H42" s="12">
        <f>COS(RADIANS(theta))*(E42+xc)+SIN(RADIANS(theta))*(F42+yc)</f>
      </c>
    </row>
    <row r="43" spans="2:8" x14ac:dyDescent="0.25">
      <c r="B43">
        <v>5</v>
      </c>
      <c r="C43" t="s">
        <v>165</v>
      </c>
      <c r="D43">
        <v>32</v>
      </c>
      <c r="E43" s="12">
        <v>400</v>
      </c>
      <c r="F43" s="12">
        <v>530</v>
      </c>
      <c r="G43" s="12">
        <f>PI()*D43^2/4</f>
      </c>
      <c r="H43" s="12">
        <f>COS(RADIANS(theta))*(E43+xc)+SIN(RADIANS(theta))*(F43+yc)</f>
      </c>
    </row>
    <row r="44" spans="2:8" x14ac:dyDescent="0.25">
      <c r="B44">
        <v>6</v>
      </c>
      <c r="C44" t="s">
        <v>166</v>
      </c>
      <c r="D44">
        <v>32</v>
      </c>
      <c r="E44" s="12">
        <v>-400</v>
      </c>
      <c r="F44" s="12">
        <v>-530</v>
      </c>
      <c r="G44" s="12">
        <f>PI()*D44^2/4</f>
      </c>
      <c r="H44" s="12">
        <f>COS(RADIANS(theta))*(E44+xc)+SIN(RADIANS(theta))*(F44+yc)</f>
      </c>
    </row>
    <row r="45" spans="2:8" x14ac:dyDescent="0.25">
      <c r="B45">
        <v>7</v>
      </c>
      <c r="C45" t="s">
        <v>167</v>
      </c>
      <c r="D45">
        <v>32</v>
      </c>
      <c r="E45" s="12">
        <v>-200</v>
      </c>
      <c r="F45" s="12">
        <v>-530</v>
      </c>
      <c r="G45" s="12">
        <f>PI()*D45^2/4</f>
      </c>
      <c r="H45" s="12">
        <f>COS(RADIANS(theta))*(E45+xc)+SIN(RADIANS(theta))*(F45+yc)</f>
      </c>
    </row>
    <row r="46" spans="2:8" x14ac:dyDescent="0.25">
      <c r="B46">
        <v>8</v>
      </c>
      <c r="C46" t="s">
        <v>168</v>
      </c>
      <c r="D46">
        <v>32</v>
      </c>
      <c r="E46" s="12">
        <v>0</v>
      </c>
      <c r="F46" s="12">
        <v>-530</v>
      </c>
      <c r="G46" s="12">
        <f>PI()*D46^2/4</f>
      </c>
      <c r="H46" s="12">
        <f>COS(RADIANS(theta))*(E46+xc)+SIN(RADIANS(theta))*(F46+yc)</f>
      </c>
    </row>
    <row r="47" spans="2:8" x14ac:dyDescent="0.25">
      <c r="B47">
        <v>9</v>
      </c>
      <c r="C47" t="s">
        <v>169</v>
      </c>
      <c r="D47">
        <v>32</v>
      </c>
      <c r="E47" s="12">
        <v>200</v>
      </c>
      <c r="F47" s="12">
        <v>-530</v>
      </c>
      <c r="G47" s="12">
        <f>PI()*D47^2/4</f>
      </c>
      <c r="H47" s="12">
        <f>COS(RADIANS(theta))*(E47+xc)+SIN(RADIANS(theta))*(F47+yc)</f>
      </c>
    </row>
    <row r="48" spans="2:8" x14ac:dyDescent="0.25">
      <c r="B48">
        <v>10</v>
      </c>
      <c r="C48" t="s">
        <v>170</v>
      </c>
      <c r="D48">
        <v>32</v>
      </c>
      <c r="E48" s="12">
        <v>400</v>
      </c>
      <c r="F48" s="12">
        <v>-530</v>
      </c>
      <c r="G48" s="12">
        <f>PI()*D48^2/4</f>
      </c>
      <c r="H48" s="12">
        <f>COS(RADIANS(theta))*(E48+xc)+SIN(RADIANS(theta))*(F48+yc)</f>
      </c>
    </row>
    <row r="49" spans="2:8" x14ac:dyDescent="0.25">
      <c r="B49">
        <v>11</v>
      </c>
      <c r="C49" t="s">
        <v>171</v>
      </c>
      <c r="D49">
        <v>32</v>
      </c>
      <c r="E49" s="12">
        <v>-680</v>
      </c>
      <c r="F49" s="12">
        <v>300</v>
      </c>
      <c r="G49" s="12">
        <f>PI()*D49^2/4</f>
      </c>
      <c r="H49" s="12">
        <f>COS(RADIANS(theta))*(E49+xc)+SIN(RADIANS(theta))*(F49+yc)</f>
      </c>
    </row>
    <row r="50" spans="2:8" x14ac:dyDescent="0.25">
      <c r="B50">
        <v>12</v>
      </c>
      <c r="C50" t="s">
        <v>172</v>
      </c>
      <c r="D50">
        <v>32</v>
      </c>
      <c r="E50" s="12">
        <v>-680</v>
      </c>
      <c r="F50" s="12">
        <v>100</v>
      </c>
      <c r="G50" s="12">
        <f>PI()*D50^2/4</f>
      </c>
      <c r="H50" s="12">
        <f>COS(RADIANS(theta))*(E50+xc)+SIN(RADIANS(theta))*(F50+yc)</f>
      </c>
    </row>
    <row r="51" spans="2:8" x14ac:dyDescent="0.25">
      <c r="B51">
        <v>13</v>
      </c>
      <c r="C51" t="s">
        <v>173</v>
      </c>
      <c r="D51">
        <v>32</v>
      </c>
      <c r="E51" s="12">
        <v>-680</v>
      </c>
      <c r="F51" s="12">
        <v>-100</v>
      </c>
      <c r="G51" s="12">
        <f>PI()*D51^2/4</f>
      </c>
      <c r="H51" s="12">
        <f>COS(RADIANS(theta))*(E51+xc)+SIN(RADIANS(theta))*(F51+yc)</f>
      </c>
    </row>
    <row r="52" spans="2:8" x14ac:dyDescent="0.25">
      <c r="B52">
        <v>14</v>
      </c>
      <c r="C52" t="s">
        <v>174</v>
      </c>
      <c r="D52">
        <v>32</v>
      </c>
      <c r="E52" s="12">
        <v>-680</v>
      </c>
      <c r="F52" s="12">
        <v>-300</v>
      </c>
      <c r="G52" s="12">
        <f>PI()*D52^2/4</f>
      </c>
      <c r="H52" s="12">
        <f>COS(RADIANS(theta))*(E52+xc)+SIN(RADIANS(theta))*(F52+yc)</f>
      </c>
    </row>
    <row r="53" spans="2:8" x14ac:dyDescent="0.25">
      <c r="B53">
        <v>15</v>
      </c>
      <c r="C53" t="s">
        <v>175</v>
      </c>
      <c r="D53">
        <v>32</v>
      </c>
      <c r="E53" s="12">
        <v>680</v>
      </c>
      <c r="F53" s="12">
        <v>300</v>
      </c>
      <c r="G53" s="12">
        <f>PI()*D53^2/4</f>
      </c>
      <c r="H53" s="12">
        <f>COS(RADIANS(theta))*(E53+xc)+SIN(RADIANS(theta))*(F53+yc)</f>
      </c>
    </row>
    <row r="54" spans="2:8" x14ac:dyDescent="0.25">
      <c r="B54">
        <v>16</v>
      </c>
      <c r="C54" t="s">
        <v>176</v>
      </c>
      <c r="D54">
        <v>32</v>
      </c>
      <c r="E54" s="12">
        <v>680</v>
      </c>
      <c r="F54" s="12">
        <v>100</v>
      </c>
      <c r="G54" s="12">
        <f>PI()*D54^2/4</f>
      </c>
      <c r="H54" s="12">
        <f>COS(RADIANS(theta))*(E54+xc)+SIN(RADIANS(theta))*(F54+yc)</f>
      </c>
    </row>
    <row r="55" spans="2:8" x14ac:dyDescent="0.25">
      <c r="B55">
        <v>17</v>
      </c>
      <c r="C55" t="s">
        <v>177</v>
      </c>
      <c r="D55">
        <v>32</v>
      </c>
      <c r="E55" s="12">
        <v>680</v>
      </c>
      <c r="F55" s="12">
        <v>-100</v>
      </c>
      <c r="G55" s="12">
        <f>PI()*D55^2/4</f>
      </c>
      <c r="H55" s="12">
        <f>COS(RADIANS(theta))*(E55+xc)+SIN(RADIANS(theta))*(F55+yc)</f>
      </c>
    </row>
    <row r="56" spans="2:8" x14ac:dyDescent="0.25">
      <c r="B56">
        <v>18</v>
      </c>
      <c r="C56" t="s">
        <v>178</v>
      </c>
      <c r="D56">
        <v>32</v>
      </c>
      <c r="E56" s="12">
        <v>680</v>
      </c>
      <c r="F56" s="12">
        <v>-300</v>
      </c>
      <c r="G56" s="12">
        <f>PI()*D56^2/4</f>
      </c>
      <c r="H56" s="12">
        <f>COS(RADIANS(theta))*(E56+xc)+SIN(RADIANS(theta))*(F56+yc)</f>
      </c>
    </row>
    <row r="57" spans="3:10" x14ac:dyDescent="0.25">
      <c r="C57" s="13" t="s">
        <v>179</v>
      </c>
      <c r="G57" s="16">
        <f>SUM(G39:G56)</f>
      </c>
      <c r="J57" s="2" t="s">
        <v>180</v>
      </c>
    </row>
  </sheetData>
  <mergeCells count="3">
    <mergeCell ref="B1:I1"/>
    <mergeCell ref="B2:J2"/>
    <mergeCell ref="B37:I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" customWidth="1"/>
    <col min="3" max="4" width="8" customWidth="1"/>
    <col min="5" max="6" width="14" customWidth="1"/>
    <col min="7" max="9" width="18" customWidth="1"/>
  </cols>
  <sheetData>
    <row r="1" ht="22" customHeight="1" spans="2:9" x14ac:dyDescent="0.25">
      <c r="B1" s="1" t="s">
        <v>181</v>
      </c>
      <c r="C1" s="1"/>
      <c r="D1" s="1"/>
      <c r="E1" s="1"/>
      <c r="F1" s="1"/>
      <c r="G1" s="1"/>
      <c r="H1" s="1"/>
      <c r="I1" s="1"/>
    </row>
    <row r="2" spans="2:9" x14ac:dyDescent="0.25">
      <c r="B2" s="2" t="s">
        <v>182</v>
      </c>
      <c r="C2" s="2"/>
      <c r="D2" s="2"/>
      <c r="E2" s="2"/>
      <c r="F2" s="2"/>
      <c r="G2" s="2"/>
      <c r="H2" s="2"/>
      <c r="I2" s="2"/>
    </row>
    <row r="4" ht="28" customHeight="1" spans="2:9" x14ac:dyDescent="0.25">
      <c r="B4" s="11" t="s">
        <v>183</v>
      </c>
      <c r="C4" s="11" t="s">
        <v>143</v>
      </c>
      <c r="D4" s="11" t="s">
        <v>184</v>
      </c>
      <c r="E4" s="11" t="s">
        <v>144</v>
      </c>
      <c r="F4" s="11" t="s">
        <v>145</v>
      </c>
      <c r="G4" s="11" t="s">
        <v>185</v>
      </c>
      <c r="H4" s="11" t="s">
        <v>186</v>
      </c>
      <c r="I4" s="11" t="s">
        <v>187</v>
      </c>
    </row>
    <row r="5" spans="2:9" x14ac:dyDescent="0.25">
      <c r="B5">
        <v>1</v>
      </c>
      <c r="C5" t="s">
        <v>149</v>
      </c>
      <c r="D5">
        <v>1</v>
      </c>
      <c r="E5" s="17">
        <v>-353.5382907247959</v>
      </c>
      <c r="F5" s="17">
        <v>-600</v>
      </c>
      <c r="G5">
        <f>E5*F6-E6*F5</f>
      </c>
      <c r="H5">
        <f>(E5+E6)*G5</f>
      </c>
      <c r="I5">
        <f>(F5+F6)*G5</f>
      </c>
    </row>
    <row r="6" spans="2:9" x14ac:dyDescent="0.25">
      <c r="B6">
        <v>1</v>
      </c>
      <c r="C6" t="s">
        <v>149</v>
      </c>
      <c r="D6">
        <v>1</v>
      </c>
      <c r="E6" s="17">
        <v>550</v>
      </c>
      <c r="F6" s="17">
        <v>-600</v>
      </c>
      <c r="G6">
        <f>E6*F7-E7*F6</f>
      </c>
      <c r="H6">
        <f>(E6+E7)*G6</f>
      </c>
      <c r="I6">
        <f>(F6+F7)*G6</f>
      </c>
    </row>
    <row r="7" spans="2:9" x14ac:dyDescent="0.25">
      <c r="B7">
        <v>1</v>
      </c>
      <c r="C7" t="s">
        <v>149</v>
      </c>
      <c r="D7">
        <v>1</v>
      </c>
      <c r="E7" s="17">
        <v>750</v>
      </c>
      <c r="F7" s="17">
        <v>-400</v>
      </c>
      <c r="G7">
        <f>E7*F8-E8*F7</f>
      </c>
      <c r="H7">
        <f>(E7+E8)*G7</f>
      </c>
      <c r="I7">
        <f>(F7+F8)*G7</f>
      </c>
    </row>
    <row r="8" spans="2:9" x14ac:dyDescent="0.25">
      <c r="B8">
        <v>1</v>
      </c>
      <c r="C8" t="s">
        <v>149</v>
      </c>
      <c r="D8">
        <v>1</v>
      </c>
      <c r="E8" s="17">
        <v>750</v>
      </c>
      <c r="F8" s="17">
        <v>400</v>
      </c>
      <c r="G8">
        <f>E8*F9-E9*F8</f>
      </c>
      <c r="H8">
        <f>(E8+E9)*G8</f>
      </c>
      <c r="I8">
        <f>(F8+F9)*G8</f>
      </c>
    </row>
    <row r="9" spans="2:9" x14ac:dyDescent="0.25">
      <c r="B9">
        <v>1</v>
      </c>
      <c r="C9" t="s">
        <v>149</v>
      </c>
      <c r="D9">
        <v>1</v>
      </c>
      <c r="E9" s="17">
        <v>550</v>
      </c>
      <c r="F9" s="17">
        <v>600</v>
      </c>
      <c r="G9">
        <f>E9*F10-E10*F9</f>
      </c>
      <c r="H9">
        <f>(E9+E10)*G9</f>
      </c>
      <c r="I9">
        <f>(F9+F10)*G9</f>
      </c>
    </row>
    <row r="10" spans="2:9" x14ac:dyDescent="0.25">
      <c r="B10">
        <v>1</v>
      </c>
      <c r="C10" t="s">
        <v>149</v>
      </c>
      <c r="D10">
        <v>1</v>
      </c>
      <c r="E10" s="17">
        <v>-550</v>
      </c>
      <c r="F10" s="17">
        <v>600</v>
      </c>
      <c r="G10">
        <f>E10*F11-E11*F10</f>
      </c>
      <c r="H10">
        <f>(E10+E11)*G10</f>
      </c>
      <c r="I10">
        <f>(F10+F11)*G10</f>
      </c>
    </row>
    <row r="11" spans="2:9" x14ac:dyDescent="0.25">
      <c r="B11">
        <v>1</v>
      </c>
      <c r="C11" t="s">
        <v>149</v>
      </c>
      <c r="D11">
        <v>1</v>
      </c>
      <c r="E11" s="17">
        <v>-648.6453734808757</v>
      </c>
      <c r="F11" s="17">
        <v>501.3546265191243</v>
      </c>
      <c r="G11">
        <f>E11*F5-E5*F11</f>
      </c>
      <c r="H11">
        <f>(E11+E5)*G11</f>
      </c>
      <c r="I11">
        <f>(F11+F5)*G11</f>
      </c>
    </row>
    <row r="12" spans="2:9" x14ac:dyDescent="0.25">
      <c r="B12">
        <v>1</v>
      </c>
      <c r="C12" t="s">
        <v>188</v>
      </c>
      <c r="G12" s="13">
        <f>D5*ABS(SUM(G5:G11)/2)</f>
      </c>
      <c r="H12" s="13">
        <f>D5*SIGN(SUM(G5:G11))*SUM(H5:H11)/6</f>
      </c>
      <c r="I12" s="13">
        <f>D5*SIGN(SUM(G5:G11))*SUM(I5:I11)/6</f>
      </c>
    </row>
    <row r="13" spans="2:9" x14ac:dyDescent="0.25">
      <c r="B13">
        <v>1</v>
      </c>
      <c r="C13" t="s">
        <v>152</v>
      </c>
      <c r="D13">
        <v>-1</v>
      </c>
      <c r="E13" s="17">
        <v>-450</v>
      </c>
      <c r="F13" s="17">
        <v>400</v>
      </c>
      <c r="G13">
        <f>E13*F14-E14*F13</f>
      </c>
      <c r="H13">
        <f>(E13+E14)*G13</f>
      </c>
      <c r="I13">
        <f>(F13+F14)*G13</f>
      </c>
    </row>
    <row r="14" spans="2:9" x14ac:dyDescent="0.25">
      <c r="B14">
        <v>1</v>
      </c>
      <c r="C14" t="s">
        <v>152</v>
      </c>
      <c r="D14">
        <v>-1</v>
      </c>
      <c r="E14" s="17">
        <v>-250</v>
      </c>
      <c r="F14" s="17">
        <v>400</v>
      </c>
      <c r="G14">
        <f>E14*F15-E15*F14</f>
      </c>
      <c r="H14">
        <f>(E14+E15)*G14</f>
      </c>
      <c r="I14">
        <f>(F14+F15)*G14</f>
      </c>
    </row>
    <row r="15" spans="2:9" x14ac:dyDescent="0.25">
      <c r="B15">
        <v>1</v>
      </c>
      <c r="C15" t="s">
        <v>152</v>
      </c>
      <c r="D15">
        <v>-1</v>
      </c>
      <c r="E15" s="17">
        <v>-150</v>
      </c>
      <c r="F15" s="17">
        <v>300</v>
      </c>
      <c r="G15">
        <f>E15*F16-E16*F15</f>
      </c>
      <c r="H15">
        <f>(E15+E16)*G15</f>
      </c>
      <c r="I15">
        <f>(F15+F16)*G15</f>
      </c>
    </row>
    <row r="16" spans="2:9" x14ac:dyDescent="0.25">
      <c r="B16">
        <v>1</v>
      </c>
      <c r="C16" t="s">
        <v>152</v>
      </c>
      <c r="D16">
        <v>-1</v>
      </c>
      <c r="E16" s="17">
        <v>-150</v>
      </c>
      <c r="F16" s="17">
        <v>-300</v>
      </c>
      <c r="G16">
        <f>E16*F17-E17*F16</f>
      </c>
      <c r="H16">
        <f>(E16+E17)*G16</f>
      </c>
      <c r="I16">
        <f>(F16+F17)*G16</f>
      </c>
    </row>
    <row r="17" spans="2:9" x14ac:dyDescent="0.25">
      <c r="B17">
        <v>1</v>
      </c>
      <c r="C17" t="s">
        <v>152</v>
      </c>
      <c r="D17">
        <v>-1</v>
      </c>
      <c r="E17" s="17">
        <v>-250</v>
      </c>
      <c r="F17" s="17">
        <v>-400</v>
      </c>
      <c r="G17">
        <f>E17*F18-E18*F17</f>
      </c>
      <c r="H17">
        <f>(E17+E18)*G17</f>
      </c>
      <c r="I17">
        <f>(F17+F18)*G17</f>
      </c>
    </row>
    <row r="18" spans="2:9" x14ac:dyDescent="0.25">
      <c r="B18">
        <v>1</v>
      </c>
      <c r="C18" t="s">
        <v>152</v>
      </c>
      <c r="D18">
        <v>-1</v>
      </c>
      <c r="E18" s="17">
        <v>-407.1281292110204</v>
      </c>
      <c r="F18" s="17">
        <v>-400</v>
      </c>
      <c r="G18">
        <f>E18*F19-E19*F18</f>
      </c>
      <c r="H18">
        <f>(E18+E19)*G18</f>
      </c>
      <c r="I18">
        <f>(F18+F19)*G18</f>
      </c>
    </row>
    <row r="19" spans="2:9" x14ac:dyDescent="0.25">
      <c r="B19">
        <v>1</v>
      </c>
      <c r="C19" t="s">
        <v>152</v>
      </c>
      <c r="D19">
        <v>-1</v>
      </c>
      <c r="E19" s="17">
        <v>-550</v>
      </c>
      <c r="F19" s="17">
        <v>133.2050807568882</v>
      </c>
      <c r="G19">
        <f>E19*F20-E20*F19</f>
      </c>
      <c r="H19">
        <f>(E19+E20)*G19</f>
      </c>
      <c r="I19">
        <f>(F19+F20)*G19</f>
      </c>
    </row>
    <row r="20" spans="2:9" x14ac:dyDescent="0.25">
      <c r="B20">
        <v>1</v>
      </c>
      <c r="C20" t="s">
        <v>152</v>
      </c>
      <c r="D20">
        <v>-1</v>
      </c>
      <c r="E20" s="17">
        <v>-550</v>
      </c>
      <c r="F20" s="17">
        <v>300</v>
      </c>
      <c r="G20">
        <f>E20*F13-E13*F20</f>
      </c>
      <c r="H20">
        <f>(E20+E13)*G20</f>
      </c>
      <c r="I20">
        <f>(F20+F13)*G20</f>
      </c>
    </row>
    <row r="21" spans="2:9" x14ac:dyDescent="0.25">
      <c r="B21">
        <v>1</v>
      </c>
      <c r="C21" t="s">
        <v>188</v>
      </c>
      <c r="G21" s="13">
        <f>D13*ABS(SUM(G13:G20)/2)</f>
      </c>
      <c r="H21" s="13">
        <f>D13*SIGN(SUM(G13:G20))*SUM(H13:H20)/6</f>
      </c>
      <c r="I21" s="13">
        <f>D13*SIGN(SUM(G13:G20))*SUM(I13:I20)/6</f>
      </c>
    </row>
    <row r="22" spans="2:9" x14ac:dyDescent="0.25">
      <c r="B22">
        <v>1</v>
      </c>
      <c r="C22" t="s">
        <v>154</v>
      </c>
      <c r="D22">
        <v>-1</v>
      </c>
      <c r="E22" s="17">
        <v>250</v>
      </c>
      <c r="F22" s="17">
        <v>400</v>
      </c>
      <c r="G22">
        <f>E22*F23-E23*F22</f>
      </c>
      <c r="H22">
        <f>(E22+E23)*G22</f>
      </c>
      <c r="I22">
        <f>(F22+F23)*G22</f>
      </c>
    </row>
    <row r="23" spans="2:9" x14ac:dyDescent="0.25">
      <c r="B23">
        <v>1</v>
      </c>
      <c r="C23" t="s">
        <v>154</v>
      </c>
      <c r="D23">
        <v>-1</v>
      </c>
      <c r="E23" s="17">
        <v>450</v>
      </c>
      <c r="F23" s="17">
        <v>400</v>
      </c>
      <c r="G23">
        <f>E23*F24-E24*F23</f>
      </c>
      <c r="H23">
        <f>(E23+E24)*G23</f>
      </c>
      <c r="I23">
        <f>(F23+F24)*G23</f>
      </c>
    </row>
    <row r="24" spans="2:9" x14ac:dyDescent="0.25">
      <c r="B24">
        <v>1</v>
      </c>
      <c r="C24" t="s">
        <v>154</v>
      </c>
      <c r="D24">
        <v>-1</v>
      </c>
      <c r="E24" s="17">
        <v>550</v>
      </c>
      <c r="F24" s="17">
        <v>300</v>
      </c>
      <c r="G24">
        <f>E24*F25-E25*F24</f>
      </c>
      <c r="H24">
        <f>(E24+E25)*G24</f>
      </c>
      <c r="I24">
        <f>(F24+F25)*G24</f>
      </c>
    </row>
    <row r="25" spans="2:9" x14ac:dyDescent="0.25">
      <c r="B25">
        <v>1</v>
      </c>
      <c r="C25" t="s">
        <v>154</v>
      </c>
      <c r="D25">
        <v>-1</v>
      </c>
      <c r="E25" s="17">
        <v>550</v>
      </c>
      <c r="F25" s="17">
        <v>-300</v>
      </c>
      <c r="G25">
        <f>E25*F26-E26*F25</f>
      </c>
      <c r="H25">
        <f>(E25+E26)*G25</f>
      </c>
      <c r="I25">
        <f>(F25+F26)*G25</f>
      </c>
    </row>
    <row r="26" spans="2:9" x14ac:dyDescent="0.25">
      <c r="B26">
        <v>1</v>
      </c>
      <c r="C26" t="s">
        <v>154</v>
      </c>
      <c r="D26">
        <v>-1</v>
      </c>
      <c r="E26" s="17">
        <v>450</v>
      </c>
      <c r="F26" s="17">
        <v>-400</v>
      </c>
      <c r="G26">
        <f>E26*F27-E27*F26</f>
      </c>
      <c r="H26">
        <f>(E26+E27)*G26</f>
      </c>
      <c r="I26">
        <f>(F26+F27)*G26</f>
      </c>
    </row>
    <row r="27" spans="2:9" x14ac:dyDescent="0.25">
      <c r="B27">
        <v>1</v>
      </c>
      <c r="C27" t="s">
        <v>154</v>
      </c>
      <c r="D27">
        <v>-1</v>
      </c>
      <c r="E27" s="17">
        <v>250</v>
      </c>
      <c r="F27" s="17">
        <v>-400</v>
      </c>
      <c r="G27">
        <f>E27*F28-E28*F27</f>
      </c>
      <c r="H27">
        <f>(E27+E28)*G27</f>
      </c>
      <c r="I27">
        <f>(F27+F28)*G27</f>
      </c>
    </row>
    <row r="28" spans="2:9" x14ac:dyDescent="0.25">
      <c r="B28">
        <v>1</v>
      </c>
      <c r="C28" t="s">
        <v>154</v>
      </c>
      <c r="D28">
        <v>-1</v>
      </c>
      <c r="E28" s="17">
        <v>150</v>
      </c>
      <c r="F28" s="17">
        <v>-300</v>
      </c>
      <c r="G28">
        <f>E28*F29-E29*F28</f>
      </c>
      <c r="H28">
        <f>(E28+E29)*G28</f>
      </c>
      <c r="I28">
        <f>(F28+F29)*G28</f>
      </c>
    </row>
    <row r="29" spans="2:9" x14ac:dyDescent="0.25">
      <c r="B29">
        <v>1</v>
      </c>
      <c r="C29" t="s">
        <v>154</v>
      </c>
      <c r="D29">
        <v>-1</v>
      </c>
      <c r="E29" s="17">
        <v>150</v>
      </c>
      <c r="F29" s="17">
        <v>300</v>
      </c>
      <c r="G29">
        <f>E29*F22-E22*F29</f>
      </c>
      <c r="H29">
        <f>(E29+E22)*G29</f>
      </c>
      <c r="I29">
        <f>(F29+F22)*G29</f>
      </c>
    </row>
    <row r="30" spans="2:9" x14ac:dyDescent="0.25">
      <c r="B30">
        <v>1</v>
      </c>
      <c r="C30" t="s">
        <v>188</v>
      </c>
      <c r="G30" s="13">
        <f>D22*ABS(SUM(G22:G29)/2)</f>
      </c>
      <c r="H30" s="13">
        <f>D22*SIGN(SUM(G22:G29))*SUM(H22:H29)/6</f>
      </c>
      <c r="I30" s="13">
        <f>D22*SIGN(SUM(G22:G29))*SUM(I22:I29)/6</f>
      </c>
    </row>
    <row r="31" spans="2:9" x14ac:dyDescent="0.25">
      <c r="B31">
        <v>1</v>
      </c>
      <c r="C31" s="13" t="s">
        <v>189</v>
      </c>
      <c r="G31" s="14">
        <f>G12+G21+G30</f>
      </c>
      <c r="H31" s="14">
        <f>H12+H21+H30</f>
      </c>
      <c r="I31" s="14">
        <f>I12+I21+I30</f>
      </c>
    </row>
    <row r="33" spans="2:9" x14ac:dyDescent="0.25">
      <c r="B33">
        <v>2</v>
      </c>
      <c r="C33" t="s">
        <v>149</v>
      </c>
      <c r="D33">
        <v>1</v>
      </c>
      <c r="E33" s="17">
        <v>-276.1023553303062</v>
      </c>
      <c r="F33" s="17">
        <v>-600</v>
      </c>
      <c r="G33">
        <f>E33*F34-E34*F33</f>
      </c>
      <c r="H33">
        <f>(E33+E34)*G33</f>
      </c>
      <c r="I33">
        <f>(F33+F34)*G33</f>
      </c>
    </row>
    <row r="34" spans="2:9" x14ac:dyDescent="0.25">
      <c r="B34">
        <v>2</v>
      </c>
      <c r="C34" t="s">
        <v>149</v>
      </c>
      <c r="D34">
        <v>1</v>
      </c>
      <c r="E34" s="17">
        <v>550</v>
      </c>
      <c r="F34" s="17">
        <v>-600</v>
      </c>
      <c r="G34">
        <f>E34*F35-E35*F34</f>
      </c>
      <c r="H34">
        <f>(E34+E35)*G34</f>
      </c>
      <c r="I34">
        <f>(F34+F35)*G34</f>
      </c>
    </row>
    <row r="35" spans="2:9" x14ac:dyDescent="0.25">
      <c r="B35">
        <v>2</v>
      </c>
      <c r="C35" t="s">
        <v>149</v>
      </c>
      <c r="D35">
        <v>1</v>
      </c>
      <c r="E35" s="17">
        <v>750</v>
      </c>
      <c r="F35" s="17">
        <v>-400</v>
      </c>
      <c r="G35">
        <f>E35*F36-E36*F35</f>
      </c>
      <c r="H35">
        <f>(E35+E36)*G35</f>
      </c>
      <c r="I35">
        <f>(F35+F36)*G35</f>
      </c>
    </row>
    <row r="36" spans="2:9" x14ac:dyDescent="0.25">
      <c r="B36">
        <v>2</v>
      </c>
      <c r="C36" t="s">
        <v>149</v>
      </c>
      <c r="D36">
        <v>1</v>
      </c>
      <c r="E36" s="17">
        <v>750</v>
      </c>
      <c r="F36" s="17">
        <v>400</v>
      </c>
      <c r="G36">
        <f>E36*F37-E37*F36</f>
      </c>
      <c r="H36">
        <f>(E36+E37)*G36</f>
      </c>
      <c r="I36">
        <f>(F36+F37)*G36</f>
      </c>
    </row>
    <row r="37" spans="2:9" x14ac:dyDescent="0.25">
      <c r="B37">
        <v>2</v>
      </c>
      <c r="C37" t="s">
        <v>149</v>
      </c>
      <c r="D37">
        <v>1</v>
      </c>
      <c r="E37" s="17">
        <v>550</v>
      </c>
      <c r="F37" s="17">
        <v>600</v>
      </c>
      <c r="G37">
        <f>E37*F38-E38*F37</f>
      </c>
      <c r="H37">
        <f>(E37+E38)*G37</f>
      </c>
      <c r="I37">
        <f>(F37+F38)*G37</f>
      </c>
    </row>
    <row r="38" spans="2:9" x14ac:dyDescent="0.25">
      <c r="B38">
        <v>2</v>
      </c>
      <c r="C38" t="s">
        <v>149</v>
      </c>
      <c r="D38">
        <v>1</v>
      </c>
      <c r="E38" s="17">
        <v>-550</v>
      </c>
      <c r="F38" s="17">
        <v>600</v>
      </c>
      <c r="G38">
        <f>E38*F39-E39*F38</f>
      </c>
      <c r="H38">
        <f>(E38+E39)*G38</f>
      </c>
      <c r="I38">
        <f>(F38+F39)*G38</f>
      </c>
    </row>
    <row r="39" spans="2:9" x14ac:dyDescent="0.25">
      <c r="B39">
        <v>2</v>
      </c>
      <c r="C39" t="s">
        <v>149</v>
      </c>
      <c r="D39">
        <v>1</v>
      </c>
      <c r="E39" s="17">
        <v>-587.5735767111513</v>
      </c>
      <c r="F39" s="17">
        <v>562.4264232888487</v>
      </c>
      <c r="G39">
        <f>E39*F33-E33*F39</f>
      </c>
      <c r="H39">
        <f>(E39+E33)*G39</f>
      </c>
      <c r="I39">
        <f>(F39+F33)*G39</f>
      </c>
    </row>
    <row r="40" spans="2:9" x14ac:dyDescent="0.25">
      <c r="B40">
        <v>2</v>
      </c>
      <c r="C40" t="s">
        <v>188</v>
      </c>
      <c r="G40" s="13">
        <f>D33*ABS(SUM(G33:G39)/2)</f>
      </c>
      <c r="H40" s="13">
        <f>D33*SIGN(SUM(G33:G39))*SUM(H33:H39)/6</f>
      </c>
      <c r="I40" s="13">
        <f>D33*SIGN(SUM(G33:G39))*SUM(I33:I39)/6</f>
      </c>
    </row>
    <row r="41" spans="2:9" x14ac:dyDescent="0.25">
      <c r="B41">
        <v>2</v>
      </c>
      <c r="C41" t="s">
        <v>152</v>
      </c>
      <c r="D41">
        <v>-1</v>
      </c>
      <c r="E41" s="17">
        <v>-450</v>
      </c>
      <c r="F41" s="17">
        <v>400</v>
      </c>
      <c r="G41">
        <f>E41*F42-E42*F41</f>
      </c>
      <c r="H41">
        <f>(E41+E42)*G41</f>
      </c>
      <c r="I41">
        <f>(F41+F42)*G41</f>
      </c>
    </row>
    <row r="42" spans="2:9" x14ac:dyDescent="0.25">
      <c r="B42">
        <v>2</v>
      </c>
      <c r="C42" t="s">
        <v>152</v>
      </c>
      <c r="D42">
        <v>-1</v>
      </c>
      <c r="E42" s="17">
        <v>-250</v>
      </c>
      <c r="F42" s="17">
        <v>400</v>
      </c>
      <c r="G42">
        <f>E42*F43-E43*F42</f>
      </c>
      <c r="H42">
        <f>(E42+E43)*G42</f>
      </c>
      <c r="I42">
        <f>(F42+F43)*G42</f>
      </c>
    </row>
    <row r="43" spans="2:9" x14ac:dyDescent="0.25">
      <c r="B43">
        <v>2</v>
      </c>
      <c r="C43" t="s">
        <v>152</v>
      </c>
      <c r="D43">
        <v>-1</v>
      </c>
      <c r="E43" s="17">
        <v>-150</v>
      </c>
      <c r="F43" s="17">
        <v>300</v>
      </c>
      <c r="G43">
        <f>E43*F44-E44*F43</f>
      </c>
      <c r="H43">
        <f>(E43+E44)*G43</f>
      </c>
      <c r="I43">
        <f>(F43+F44)*G43</f>
      </c>
    </row>
    <row r="44" spans="2:9" x14ac:dyDescent="0.25">
      <c r="B44">
        <v>2</v>
      </c>
      <c r="C44" t="s">
        <v>152</v>
      </c>
      <c r="D44">
        <v>-1</v>
      </c>
      <c r="E44" s="17">
        <v>-150</v>
      </c>
      <c r="F44" s="17">
        <v>-300</v>
      </c>
      <c r="G44">
        <f>E44*F45-E45*F44</f>
      </c>
      <c r="H44">
        <f>(E44+E45)*G44</f>
      </c>
      <c r="I44">
        <f>(F44+F45)*G44</f>
      </c>
    </row>
    <row r="45" spans="2:9" x14ac:dyDescent="0.25">
      <c r="B45">
        <v>2</v>
      </c>
      <c r="C45" t="s">
        <v>152</v>
      </c>
      <c r="D45">
        <v>-1</v>
      </c>
      <c r="E45" s="17">
        <v>-250</v>
      </c>
      <c r="F45" s="17">
        <v>-400</v>
      </c>
      <c r="G45">
        <f>E45*F46-E46*F45</f>
      </c>
      <c r="H45">
        <f>(E45+E46)*G45</f>
      </c>
      <c r="I45">
        <f>(F45+F46)*G45</f>
      </c>
    </row>
    <row r="46" spans="2:9" x14ac:dyDescent="0.25">
      <c r="B46">
        <v>2</v>
      </c>
      <c r="C46" t="s">
        <v>152</v>
      </c>
      <c r="D46">
        <v>-1</v>
      </c>
      <c r="E46" s="17">
        <v>-329.6921938165307</v>
      </c>
      <c r="F46" s="17">
        <v>-400</v>
      </c>
      <c r="G46">
        <f>E46*F47-E47*F46</f>
      </c>
      <c r="H46">
        <f>(E46+E47)*G46</f>
      </c>
      <c r="I46">
        <f>(F46+F47)*G46</f>
      </c>
    </row>
    <row r="47" spans="2:9" x14ac:dyDescent="0.25">
      <c r="B47">
        <v>2</v>
      </c>
      <c r="C47" t="s">
        <v>152</v>
      </c>
      <c r="D47">
        <v>-1</v>
      </c>
      <c r="E47" s="17">
        <v>-524.1761170895952</v>
      </c>
      <c r="F47" s="17">
        <v>325.8238829104048</v>
      </c>
      <c r="G47">
        <f>E47*F41-E41*F47</f>
      </c>
      <c r="H47">
        <f>(E47+E41)*G47</f>
      </c>
      <c r="I47">
        <f>(F47+F41)*G47</f>
      </c>
    </row>
    <row r="48" spans="2:9" x14ac:dyDescent="0.25">
      <c r="B48">
        <v>2</v>
      </c>
      <c r="C48" t="s">
        <v>188</v>
      </c>
      <c r="G48" s="13">
        <f>D41*ABS(SUM(G41:G47)/2)</f>
      </c>
      <c r="H48" s="13">
        <f>D41*SIGN(SUM(G41:G47))*SUM(H41:H47)/6</f>
      </c>
      <c r="I48" s="13">
        <f>D41*SIGN(SUM(G41:G47))*SUM(I41:I47)/6</f>
      </c>
    </row>
    <row r="49" spans="2:9" x14ac:dyDescent="0.25">
      <c r="B49">
        <v>2</v>
      </c>
      <c r="C49" t="s">
        <v>154</v>
      </c>
      <c r="D49">
        <v>-1</v>
      </c>
      <c r="E49" s="17">
        <v>250</v>
      </c>
      <c r="F49" s="17">
        <v>400</v>
      </c>
      <c r="G49">
        <f>E49*F50-E50*F49</f>
      </c>
      <c r="H49">
        <f>(E49+E50)*G49</f>
      </c>
      <c r="I49">
        <f>(F49+F50)*G49</f>
      </c>
    </row>
    <row r="50" spans="2:9" x14ac:dyDescent="0.25">
      <c r="B50">
        <v>2</v>
      </c>
      <c r="C50" t="s">
        <v>154</v>
      </c>
      <c r="D50">
        <v>-1</v>
      </c>
      <c r="E50" s="17">
        <v>450</v>
      </c>
      <c r="F50" s="17">
        <v>400</v>
      </c>
      <c r="G50">
        <f>E50*F51-E51*F50</f>
      </c>
      <c r="H50">
        <f>(E50+E51)*G50</f>
      </c>
      <c r="I50">
        <f>(F50+F51)*G50</f>
      </c>
    </row>
    <row r="51" spans="2:9" x14ac:dyDescent="0.25">
      <c r="B51">
        <v>2</v>
      </c>
      <c r="C51" t="s">
        <v>154</v>
      </c>
      <c r="D51">
        <v>-1</v>
      </c>
      <c r="E51" s="17">
        <v>550</v>
      </c>
      <c r="F51" s="17">
        <v>300</v>
      </c>
      <c r="G51">
        <f>E51*F52-E52*F51</f>
      </c>
      <c r="H51">
        <f>(E51+E52)*G51</f>
      </c>
      <c r="I51">
        <f>(F51+F52)*G51</f>
      </c>
    </row>
    <row r="52" spans="2:9" x14ac:dyDescent="0.25">
      <c r="B52">
        <v>2</v>
      </c>
      <c r="C52" t="s">
        <v>154</v>
      </c>
      <c r="D52">
        <v>-1</v>
      </c>
      <c r="E52" s="17">
        <v>550</v>
      </c>
      <c r="F52" s="17">
        <v>-300</v>
      </c>
      <c r="G52">
        <f>E52*F53-E53*F52</f>
      </c>
      <c r="H52">
        <f>(E52+E53)*G52</f>
      </c>
      <c r="I52">
        <f>(F52+F53)*G52</f>
      </c>
    </row>
    <row r="53" spans="2:9" x14ac:dyDescent="0.25">
      <c r="B53">
        <v>2</v>
      </c>
      <c r="C53" t="s">
        <v>154</v>
      </c>
      <c r="D53">
        <v>-1</v>
      </c>
      <c r="E53" s="17">
        <v>450</v>
      </c>
      <c r="F53" s="17">
        <v>-400</v>
      </c>
      <c r="G53">
        <f>E53*F54-E54*F53</f>
      </c>
      <c r="H53">
        <f>(E53+E54)*G53</f>
      </c>
      <c r="I53">
        <f>(F53+F54)*G53</f>
      </c>
    </row>
    <row r="54" spans="2:9" x14ac:dyDescent="0.25">
      <c r="B54">
        <v>2</v>
      </c>
      <c r="C54" t="s">
        <v>154</v>
      </c>
      <c r="D54">
        <v>-1</v>
      </c>
      <c r="E54" s="17">
        <v>250</v>
      </c>
      <c r="F54" s="17">
        <v>-400</v>
      </c>
      <c r="G54">
        <f>E54*F55-E55*F54</f>
      </c>
      <c r="H54">
        <f>(E54+E55)*G54</f>
      </c>
      <c r="I54">
        <f>(F54+F55)*G54</f>
      </c>
    </row>
    <row r="55" spans="2:9" x14ac:dyDescent="0.25">
      <c r="B55">
        <v>2</v>
      </c>
      <c r="C55" t="s">
        <v>154</v>
      </c>
      <c r="D55">
        <v>-1</v>
      </c>
      <c r="E55" s="17">
        <v>150</v>
      </c>
      <c r="F55" s="17">
        <v>-300</v>
      </c>
      <c r="G55">
        <f>E55*F56-E56*F55</f>
      </c>
      <c r="H55">
        <f>(E55+E56)*G55</f>
      </c>
      <c r="I55">
        <f>(F55+F56)*G55</f>
      </c>
    </row>
    <row r="56" spans="2:9" x14ac:dyDescent="0.25">
      <c r="B56">
        <v>2</v>
      </c>
      <c r="C56" t="s">
        <v>154</v>
      </c>
      <c r="D56">
        <v>-1</v>
      </c>
      <c r="E56" s="17">
        <v>150</v>
      </c>
      <c r="F56" s="17">
        <v>300</v>
      </c>
      <c r="G56">
        <f>E56*F49-E49*F56</f>
      </c>
      <c r="H56">
        <f>(E56+E49)*G56</f>
      </c>
      <c r="I56">
        <f>(F56+F49)*G56</f>
      </c>
    </row>
    <row r="57" spans="2:9" x14ac:dyDescent="0.25">
      <c r="B57">
        <v>2</v>
      </c>
      <c r="C57" t="s">
        <v>188</v>
      </c>
      <c r="G57" s="13">
        <f>D49*ABS(SUM(G49:G56)/2)</f>
      </c>
      <c r="H57" s="13">
        <f>D49*SIGN(SUM(G49:G56))*SUM(H49:H56)/6</f>
      </c>
      <c r="I57" s="13">
        <f>D49*SIGN(SUM(G49:G56))*SUM(I49:I56)/6</f>
      </c>
    </row>
    <row r="58" spans="2:9" x14ac:dyDescent="0.25">
      <c r="B58">
        <v>2</v>
      </c>
      <c r="C58" s="13" t="s">
        <v>189</v>
      </c>
      <c r="G58" s="14">
        <f>G40+G48+G57</f>
      </c>
      <c r="H58" s="14">
        <f>H40+H48+H57</f>
      </c>
      <c r="I58" s="14">
        <f>I40+I48+I57</f>
      </c>
    </row>
    <row r="60" spans="2:9" x14ac:dyDescent="0.25">
      <c r="B60">
        <v>3</v>
      </c>
      <c r="C60" t="s">
        <v>149</v>
      </c>
      <c r="D60">
        <v>1</v>
      </c>
      <c r="E60" s="17">
        <v>-105.83241483538131</v>
      </c>
      <c r="F60" s="17">
        <v>-600</v>
      </c>
      <c r="G60">
        <f>E60*F61-E61*F60</f>
      </c>
      <c r="H60">
        <f>(E60+E61)*G60</f>
      </c>
      <c r="I60">
        <f>(F60+F61)*G60</f>
      </c>
    </row>
    <row r="61" spans="2:9" x14ac:dyDescent="0.25">
      <c r="B61">
        <v>3</v>
      </c>
      <c r="C61" t="s">
        <v>149</v>
      </c>
      <c r="D61">
        <v>1</v>
      </c>
      <c r="E61" s="17">
        <v>550</v>
      </c>
      <c r="F61" s="17">
        <v>-600</v>
      </c>
      <c r="G61">
        <f>E61*F62-E62*F61</f>
      </c>
      <c r="H61">
        <f>(E61+E62)*G61</f>
      </c>
      <c r="I61">
        <f>(F61+F62)*G61</f>
      </c>
    </row>
    <row r="62" spans="2:9" x14ac:dyDescent="0.25">
      <c r="B62">
        <v>3</v>
      </c>
      <c r="C62" t="s">
        <v>149</v>
      </c>
      <c r="D62">
        <v>1</v>
      </c>
      <c r="E62" s="17">
        <v>750</v>
      </c>
      <c r="F62" s="17">
        <v>-400</v>
      </c>
      <c r="G62">
        <f>E62*F63-E63*F62</f>
      </c>
      <c r="H62">
        <f>(E62+E63)*G62</f>
      </c>
      <c r="I62">
        <f>(F62+F63)*G62</f>
      </c>
    </row>
    <row r="63" spans="2:9" x14ac:dyDescent="0.25">
      <c r="B63">
        <v>3</v>
      </c>
      <c r="C63" t="s">
        <v>149</v>
      </c>
      <c r="D63">
        <v>1</v>
      </c>
      <c r="E63" s="17">
        <v>750</v>
      </c>
      <c r="F63" s="17">
        <v>400</v>
      </c>
      <c r="G63">
        <f>E63*F64-E64*F63</f>
      </c>
      <c r="H63">
        <f>(E63+E64)*G63</f>
      </c>
      <c r="I63">
        <f>(F63+F64)*G63</f>
      </c>
    </row>
    <row r="64" spans="2:9" x14ac:dyDescent="0.25">
      <c r="B64">
        <v>3</v>
      </c>
      <c r="C64" t="s">
        <v>149</v>
      </c>
      <c r="D64">
        <v>1</v>
      </c>
      <c r="E64" s="17">
        <v>550</v>
      </c>
      <c r="F64" s="17">
        <v>600</v>
      </c>
      <c r="G64">
        <f>E64*F65-E65*F64</f>
      </c>
      <c r="H64">
        <f>(E64+E65)*G64</f>
      </c>
      <c r="I64">
        <f>(F64+F65)*G64</f>
      </c>
    </row>
    <row r="65" spans="2:9" x14ac:dyDescent="0.25">
      <c r="B65">
        <v>3</v>
      </c>
      <c r="C65" t="s">
        <v>149</v>
      </c>
      <c r="D65">
        <v>1</v>
      </c>
      <c r="E65" s="17">
        <v>-427.3714457527283</v>
      </c>
      <c r="F65" s="17">
        <v>600</v>
      </c>
      <c r="G65">
        <f>E65*F60-E60*F65</f>
      </c>
      <c r="H65">
        <f>(E65+E60)*G65</f>
      </c>
      <c r="I65">
        <f>(F65+F60)*G65</f>
      </c>
    </row>
    <row r="66" spans="2:9" x14ac:dyDescent="0.25">
      <c r="B66">
        <v>3</v>
      </c>
      <c r="C66" t="s">
        <v>188</v>
      </c>
      <c r="G66" s="13">
        <f>D60*ABS(SUM(G60:G65)/2)</f>
      </c>
      <c r="H66" s="13">
        <f>D60*SIGN(SUM(G60:G65))*SUM(H60:H65)/6</f>
      </c>
      <c r="I66" s="13">
        <f>D60*SIGN(SUM(G60:G65))*SUM(I60:I65)/6</f>
      </c>
    </row>
    <row r="67" spans="2:9" x14ac:dyDescent="0.25">
      <c r="B67">
        <v>3</v>
      </c>
      <c r="C67" t="s">
        <v>152</v>
      </c>
      <c r="D67">
        <v>-1</v>
      </c>
      <c r="E67" s="17">
        <v>-373.7816072665037</v>
      </c>
      <c r="F67" s="17">
        <v>400</v>
      </c>
      <c r="G67">
        <f>E67*F68-E68*F67</f>
      </c>
      <c r="H67">
        <f>(E67+E68)*G67</f>
      </c>
      <c r="I67">
        <f>(F67+F68)*G67</f>
      </c>
    </row>
    <row r="68" spans="2:9" x14ac:dyDescent="0.25">
      <c r="B68">
        <v>3</v>
      </c>
      <c r="C68" t="s">
        <v>152</v>
      </c>
      <c r="D68">
        <v>-1</v>
      </c>
      <c r="E68" s="17">
        <v>-250</v>
      </c>
      <c r="F68" s="17">
        <v>400</v>
      </c>
      <c r="G68">
        <f>E68*F69-E69*F68</f>
      </c>
      <c r="H68">
        <f>(E68+E69)*G68</f>
      </c>
      <c r="I68">
        <f>(F68+F69)*G68</f>
      </c>
    </row>
    <row r="69" spans="2:9" x14ac:dyDescent="0.25">
      <c r="B69">
        <v>3</v>
      </c>
      <c r="C69" t="s">
        <v>152</v>
      </c>
      <c r="D69">
        <v>-1</v>
      </c>
      <c r="E69" s="17">
        <v>-150</v>
      </c>
      <c r="F69" s="17">
        <v>300</v>
      </c>
      <c r="G69">
        <f>E69*F70-E70*F69</f>
      </c>
      <c r="H69">
        <f>(E69+E70)*G69</f>
      </c>
      <c r="I69">
        <f>(F69+F70)*G69</f>
      </c>
    </row>
    <row r="70" spans="2:9" x14ac:dyDescent="0.25">
      <c r="B70">
        <v>3</v>
      </c>
      <c r="C70" t="s">
        <v>152</v>
      </c>
      <c r="D70">
        <v>-1</v>
      </c>
      <c r="E70" s="17">
        <v>-150</v>
      </c>
      <c r="F70" s="17">
        <v>-300</v>
      </c>
      <c r="G70">
        <f>E70*F71-E71*F70</f>
      </c>
      <c r="H70">
        <f>(E70+E71)*G70</f>
      </c>
      <c r="I70">
        <f>(F70+F71)*G70</f>
      </c>
    </row>
    <row r="71" spans="2:9" x14ac:dyDescent="0.25">
      <c r="B71">
        <v>3</v>
      </c>
      <c r="C71" t="s">
        <v>152</v>
      </c>
      <c r="D71">
        <v>-1</v>
      </c>
      <c r="E71" s="17">
        <v>-178.5635834471226</v>
      </c>
      <c r="F71" s="17">
        <v>-328.5635834471226</v>
      </c>
      <c r="G71">
        <f>E71*F67-E67*F71</f>
      </c>
      <c r="H71">
        <f>(E71+E67)*G71</f>
      </c>
      <c r="I71">
        <f>(F71+F67)*G71</f>
      </c>
    </row>
    <row r="72" spans="2:9" x14ac:dyDescent="0.25">
      <c r="B72">
        <v>3</v>
      </c>
      <c r="C72" t="s">
        <v>188</v>
      </c>
      <c r="G72" s="13">
        <f>D67*ABS(SUM(G67:G71)/2)</f>
      </c>
      <c r="H72" s="13">
        <f>D67*SIGN(SUM(G67:G71))*SUM(H67:H71)/6</f>
      </c>
      <c r="I72" s="13">
        <f>D67*SIGN(SUM(G67:G71))*SUM(I67:I71)/6</f>
      </c>
    </row>
    <row r="73" spans="2:9" x14ac:dyDescent="0.25">
      <c r="B73">
        <v>3</v>
      </c>
      <c r="C73" t="s">
        <v>154</v>
      </c>
      <c r="D73">
        <v>-1</v>
      </c>
      <c r="E73" s="17">
        <v>250</v>
      </c>
      <c r="F73" s="17">
        <v>400</v>
      </c>
      <c r="G73">
        <f>E73*F74-E74*F73</f>
      </c>
      <c r="H73">
        <f>(E73+E74)*G73</f>
      </c>
      <c r="I73">
        <f>(F73+F74)*G73</f>
      </c>
    </row>
    <row r="74" spans="2:9" x14ac:dyDescent="0.25">
      <c r="B74">
        <v>3</v>
      </c>
      <c r="C74" t="s">
        <v>154</v>
      </c>
      <c r="D74">
        <v>-1</v>
      </c>
      <c r="E74" s="17">
        <v>450</v>
      </c>
      <c r="F74" s="17">
        <v>400</v>
      </c>
      <c r="G74">
        <f>E74*F75-E75*F74</f>
      </c>
      <c r="H74">
        <f>(E74+E75)*G74</f>
      </c>
      <c r="I74">
        <f>(F74+F75)*G74</f>
      </c>
    </row>
    <row r="75" spans="2:9" x14ac:dyDescent="0.25">
      <c r="B75">
        <v>3</v>
      </c>
      <c r="C75" t="s">
        <v>154</v>
      </c>
      <c r="D75">
        <v>-1</v>
      </c>
      <c r="E75" s="17">
        <v>550</v>
      </c>
      <c r="F75" s="17">
        <v>300</v>
      </c>
      <c r="G75">
        <f>E75*F76-E76*F75</f>
      </c>
      <c r="H75">
        <f>(E75+E76)*G75</f>
      </c>
      <c r="I75">
        <f>(F75+F76)*G75</f>
      </c>
    </row>
    <row r="76" spans="2:9" x14ac:dyDescent="0.25">
      <c r="B76">
        <v>3</v>
      </c>
      <c r="C76" t="s">
        <v>154</v>
      </c>
      <c r="D76">
        <v>-1</v>
      </c>
      <c r="E76" s="17">
        <v>550</v>
      </c>
      <c r="F76" s="17">
        <v>-300</v>
      </c>
      <c r="G76">
        <f>E76*F77-E77*F76</f>
      </c>
      <c r="H76">
        <f>(E76+E77)*G76</f>
      </c>
      <c r="I76">
        <f>(F76+F77)*G76</f>
      </c>
    </row>
    <row r="77" spans="2:9" x14ac:dyDescent="0.25">
      <c r="B77">
        <v>3</v>
      </c>
      <c r="C77" t="s">
        <v>154</v>
      </c>
      <c r="D77">
        <v>-1</v>
      </c>
      <c r="E77" s="17">
        <v>450</v>
      </c>
      <c r="F77" s="17">
        <v>-400</v>
      </c>
      <c r="G77">
        <f>E77*F78-E78*F77</f>
      </c>
      <c r="H77">
        <f>(E77+E78)*G77</f>
      </c>
      <c r="I77">
        <f>(F77+F78)*G77</f>
      </c>
    </row>
    <row r="78" spans="2:9" x14ac:dyDescent="0.25">
      <c r="B78">
        <v>3</v>
      </c>
      <c r="C78" t="s">
        <v>154</v>
      </c>
      <c r="D78">
        <v>-1</v>
      </c>
      <c r="E78" s="17">
        <v>250</v>
      </c>
      <c r="F78" s="17">
        <v>-400</v>
      </c>
      <c r="G78">
        <f>E78*F79-E79*F78</f>
      </c>
      <c r="H78">
        <f>(E78+E79)*G78</f>
      </c>
      <c r="I78">
        <f>(F78+F79)*G78</f>
      </c>
    </row>
    <row r="79" spans="2:9" x14ac:dyDescent="0.25">
      <c r="B79">
        <v>3</v>
      </c>
      <c r="C79" t="s">
        <v>154</v>
      </c>
      <c r="D79">
        <v>-1</v>
      </c>
      <c r="E79" s="17">
        <v>150</v>
      </c>
      <c r="F79" s="17">
        <v>-300</v>
      </c>
      <c r="G79">
        <f>E79*F80-E80*F79</f>
      </c>
      <c r="H79">
        <f>(E79+E80)*G79</f>
      </c>
      <c r="I79">
        <f>(F79+F80)*G79</f>
      </c>
    </row>
    <row r="80" spans="2:9" x14ac:dyDescent="0.25">
      <c r="B80">
        <v>3</v>
      </c>
      <c r="C80" t="s">
        <v>154</v>
      </c>
      <c r="D80">
        <v>-1</v>
      </c>
      <c r="E80" s="17">
        <v>150</v>
      </c>
      <c r="F80" s="17">
        <v>300</v>
      </c>
      <c r="G80">
        <f>E80*F73-E73*F80</f>
      </c>
      <c r="H80">
        <f>(E80+E73)*G80</f>
      </c>
      <c r="I80">
        <f>(F80+F73)*G80</f>
      </c>
    </row>
    <row r="81" spans="2:9" x14ac:dyDescent="0.25">
      <c r="B81">
        <v>3</v>
      </c>
      <c r="C81" t="s">
        <v>188</v>
      </c>
      <c r="G81" s="13">
        <f>D73*ABS(SUM(G73:G80)/2)</f>
      </c>
      <c r="H81" s="13">
        <f>D73*SIGN(SUM(G73:G80))*SUM(H73:H80)/6</f>
      </c>
      <c r="I81" s="13">
        <f>D73*SIGN(SUM(G73:G80))*SUM(I73:I80)/6</f>
      </c>
    </row>
    <row r="82" spans="2:9" x14ac:dyDescent="0.25">
      <c r="B82">
        <v>3</v>
      </c>
      <c r="C82" s="13" t="s">
        <v>189</v>
      </c>
      <c r="G82" s="14">
        <f>G66+G72+G81</f>
      </c>
      <c r="H82" s="14">
        <f>H66+H72+H81</f>
      </c>
      <c r="I82" s="14">
        <f>I66+I72+I81</f>
      </c>
    </row>
    <row r="84" spans="2:9" x14ac:dyDescent="0.25">
      <c r="B84">
        <v>4</v>
      </c>
      <c r="C84" t="s">
        <v>149</v>
      </c>
      <c r="D84">
        <v>1</v>
      </c>
      <c r="E84" s="17">
        <v>-36.46317981893037</v>
      </c>
      <c r="F84" s="17">
        <v>-600</v>
      </c>
      <c r="G84">
        <f>E84*F85-E85*F84</f>
      </c>
      <c r="H84">
        <f>(E84+E85)*G84</f>
      </c>
      <c r="I84">
        <f>(F84+F85)*G84</f>
      </c>
    </row>
    <row r="85" spans="2:9" x14ac:dyDescent="0.25">
      <c r="B85">
        <v>4</v>
      </c>
      <c r="C85" t="s">
        <v>149</v>
      </c>
      <c r="D85">
        <v>1</v>
      </c>
      <c r="E85" s="17">
        <v>550</v>
      </c>
      <c r="F85" s="17">
        <v>-600</v>
      </c>
      <c r="G85">
        <f>E85*F86-E86*F85</f>
      </c>
      <c r="H85">
        <f>(E85+E86)*G85</f>
      </c>
      <c r="I85">
        <f>(F85+F86)*G85</f>
      </c>
    </row>
    <row r="86" spans="2:9" x14ac:dyDescent="0.25">
      <c r="B86">
        <v>4</v>
      </c>
      <c r="C86" t="s">
        <v>149</v>
      </c>
      <c r="D86">
        <v>1</v>
      </c>
      <c r="E86" s="17">
        <v>750</v>
      </c>
      <c r="F86" s="17">
        <v>-400</v>
      </c>
      <c r="G86">
        <f>E86*F87-E87*F86</f>
      </c>
      <c r="H86">
        <f>(E86+E87)*G86</f>
      </c>
      <c r="I86">
        <f>(F86+F87)*G86</f>
      </c>
    </row>
    <row r="87" spans="2:9" x14ac:dyDescent="0.25">
      <c r="B87">
        <v>4</v>
      </c>
      <c r="C87" t="s">
        <v>149</v>
      </c>
      <c r="D87">
        <v>1</v>
      </c>
      <c r="E87" s="17">
        <v>750</v>
      </c>
      <c r="F87" s="17">
        <v>400</v>
      </c>
      <c r="G87">
        <f>E87*F88-E88*F87</f>
      </c>
      <c r="H87">
        <f>(E87+E88)*G87</f>
      </c>
      <c r="I87">
        <f>(F87+F88)*G87</f>
      </c>
    </row>
    <row r="88" spans="2:9" x14ac:dyDescent="0.25">
      <c r="B88">
        <v>4</v>
      </c>
      <c r="C88" t="s">
        <v>149</v>
      </c>
      <c r="D88">
        <v>1</v>
      </c>
      <c r="E88" s="17">
        <v>550</v>
      </c>
      <c r="F88" s="17">
        <v>600</v>
      </c>
      <c r="G88">
        <f>E88*F89-E89*F88</f>
      </c>
      <c r="H88">
        <f>(E88+E89)*G88</f>
      </c>
      <c r="I88">
        <f>(F88+F89)*G88</f>
      </c>
    </row>
    <row r="89" spans="2:9" x14ac:dyDescent="0.25">
      <c r="B89">
        <v>4</v>
      </c>
      <c r="C89" t="s">
        <v>149</v>
      </c>
      <c r="D89">
        <v>1</v>
      </c>
      <c r="E89" s="17">
        <v>-358.00221073627733</v>
      </c>
      <c r="F89" s="17">
        <v>600</v>
      </c>
      <c r="G89">
        <f>E89*F84-E84*F89</f>
      </c>
      <c r="H89">
        <f>(E89+E84)*G89</f>
      </c>
      <c r="I89">
        <f>(F89+F84)*G89</f>
      </c>
    </row>
    <row r="90" spans="2:9" x14ac:dyDescent="0.25">
      <c r="B90">
        <v>4</v>
      </c>
      <c r="C90" t="s">
        <v>188</v>
      </c>
      <c r="G90" s="13">
        <f>D84*ABS(SUM(G84:G89)/2)</f>
      </c>
      <c r="H90" s="13">
        <f>D84*SIGN(SUM(G84:G89))*SUM(H84:H89)/6</f>
      </c>
      <c r="I90" s="13">
        <f>D84*SIGN(SUM(G84:G89))*SUM(I84:I89)/6</f>
      </c>
    </row>
    <row r="91" spans="2:9" x14ac:dyDescent="0.25">
      <c r="B91">
        <v>4</v>
      </c>
      <c r="C91" t="s">
        <v>152</v>
      </c>
      <c r="D91">
        <v>-1</v>
      </c>
      <c r="E91" s="17">
        <v>-304.4123722500527</v>
      </c>
      <c r="F91" s="17">
        <v>400</v>
      </c>
      <c r="G91">
        <f>E91*F92-E92*F91</f>
      </c>
      <c r="H91">
        <f>(E91+E92)*G91</f>
      </c>
      <c r="I91">
        <f>(F91+F92)*G91</f>
      </c>
    </row>
    <row r="92" spans="2:9" x14ac:dyDescent="0.25">
      <c r="B92">
        <v>4</v>
      </c>
      <c r="C92" t="s">
        <v>152</v>
      </c>
      <c r="D92">
        <v>-1</v>
      </c>
      <c r="E92" s="17">
        <v>-250</v>
      </c>
      <c r="F92" s="17">
        <v>400</v>
      </c>
      <c r="G92">
        <f>E92*F93-E93*F92</f>
      </c>
      <c r="H92">
        <f>(E92+E93)*G92</f>
      </c>
      <c r="I92">
        <f>(F92+F93)*G92</f>
      </c>
    </row>
    <row r="93" spans="2:9" x14ac:dyDescent="0.25">
      <c r="B93">
        <v>4</v>
      </c>
      <c r="C93" t="s">
        <v>152</v>
      </c>
      <c r="D93">
        <v>-1</v>
      </c>
      <c r="E93" s="17">
        <v>-150</v>
      </c>
      <c r="F93" s="17">
        <v>300</v>
      </c>
      <c r="G93">
        <f>E93*F94-E94*F93</f>
      </c>
      <c r="H93">
        <f>(E93+E94)*G93</f>
      </c>
      <c r="I93">
        <f>(F93+F94)*G93</f>
      </c>
    </row>
    <row r="94" spans="2:9" x14ac:dyDescent="0.25">
      <c r="B94">
        <v>4</v>
      </c>
      <c r="C94" t="s">
        <v>152</v>
      </c>
      <c r="D94">
        <v>-1</v>
      </c>
      <c r="E94" s="17">
        <v>-150</v>
      </c>
      <c r="F94" s="17">
        <v>-176.27481855443614</v>
      </c>
      <c r="G94">
        <f>E94*F91-E91*F94</f>
      </c>
      <c r="H94">
        <f>(E94+E91)*G94</f>
      </c>
      <c r="I94">
        <f>(F94+F91)*G94</f>
      </c>
    </row>
    <row r="95" spans="2:9" x14ac:dyDescent="0.25">
      <c r="B95">
        <v>4</v>
      </c>
      <c r="C95" t="s">
        <v>188</v>
      </c>
      <c r="G95" s="13">
        <f>D91*ABS(SUM(G91:G94)/2)</f>
      </c>
      <c r="H95" s="13">
        <f>D91*SIGN(SUM(G91:G94))*SUM(H91:H94)/6</f>
      </c>
      <c r="I95" s="13">
        <f>D91*SIGN(SUM(G91:G94))*SUM(I91:I94)/6</f>
      </c>
    </row>
    <row r="96" spans="2:9" x14ac:dyDescent="0.25">
      <c r="B96">
        <v>4</v>
      </c>
      <c r="C96" t="s">
        <v>154</v>
      </c>
      <c r="D96">
        <v>-1</v>
      </c>
      <c r="E96" s="17">
        <v>250</v>
      </c>
      <c r="F96" s="17">
        <v>400</v>
      </c>
      <c r="G96">
        <f>E96*F97-E97*F96</f>
      </c>
      <c r="H96">
        <f>(E96+E97)*G96</f>
      </c>
      <c r="I96">
        <f>(F96+F97)*G96</f>
      </c>
    </row>
    <row r="97" spans="2:9" x14ac:dyDescent="0.25">
      <c r="B97">
        <v>4</v>
      </c>
      <c r="C97" t="s">
        <v>154</v>
      </c>
      <c r="D97">
        <v>-1</v>
      </c>
      <c r="E97" s="17">
        <v>450</v>
      </c>
      <c r="F97" s="17">
        <v>400</v>
      </c>
      <c r="G97">
        <f>E97*F98-E98*F97</f>
      </c>
      <c r="H97">
        <f>(E97+E98)*G97</f>
      </c>
      <c r="I97">
        <f>(F97+F98)*G97</f>
      </c>
    </row>
    <row r="98" spans="2:9" x14ac:dyDescent="0.25">
      <c r="B98">
        <v>4</v>
      </c>
      <c r="C98" t="s">
        <v>154</v>
      </c>
      <c r="D98">
        <v>-1</v>
      </c>
      <c r="E98" s="17">
        <v>550</v>
      </c>
      <c r="F98" s="17">
        <v>300</v>
      </c>
      <c r="G98">
        <f>E98*F99-E99*F98</f>
      </c>
      <c r="H98">
        <f>(E98+E99)*G98</f>
      </c>
      <c r="I98">
        <f>(F98+F99)*G98</f>
      </c>
    </row>
    <row r="99" spans="2:9" x14ac:dyDescent="0.25">
      <c r="B99">
        <v>4</v>
      </c>
      <c r="C99" t="s">
        <v>154</v>
      </c>
      <c r="D99">
        <v>-1</v>
      </c>
      <c r="E99" s="17">
        <v>550</v>
      </c>
      <c r="F99" s="17">
        <v>-300</v>
      </c>
      <c r="G99">
        <f>E99*F100-E100*F99</f>
      </c>
      <c r="H99">
        <f>(E99+E100)*G99</f>
      </c>
      <c r="I99">
        <f>(F99+F100)*G99</f>
      </c>
    </row>
    <row r="100" spans="2:9" x14ac:dyDescent="0.25">
      <c r="B100">
        <v>4</v>
      </c>
      <c r="C100" t="s">
        <v>154</v>
      </c>
      <c r="D100">
        <v>-1</v>
      </c>
      <c r="E100" s="17">
        <v>450</v>
      </c>
      <c r="F100" s="17">
        <v>-400</v>
      </c>
      <c r="G100">
        <f>E100*F101-E101*F100</f>
      </c>
      <c r="H100">
        <f>(E100+E101)*G100</f>
      </c>
      <c r="I100">
        <f>(F100+F101)*G100</f>
      </c>
    </row>
    <row r="101" spans="2:9" x14ac:dyDescent="0.25">
      <c r="B101">
        <v>4</v>
      </c>
      <c r="C101" t="s">
        <v>154</v>
      </c>
      <c r="D101">
        <v>-1</v>
      </c>
      <c r="E101" s="17">
        <v>250</v>
      </c>
      <c r="F101" s="17">
        <v>-400</v>
      </c>
      <c r="G101">
        <f>E101*F102-E102*F101</f>
      </c>
      <c r="H101">
        <f>(E101+E102)*G101</f>
      </c>
      <c r="I101">
        <f>(F101+F102)*G101</f>
      </c>
    </row>
    <row r="102" spans="2:9" x14ac:dyDescent="0.25">
      <c r="B102">
        <v>4</v>
      </c>
      <c r="C102" t="s">
        <v>154</v>
      </c>
      <c r="D102">
        <v>-1</v>
      </c>
      <c r="E102" s="17">
        <v>150</v>
      </c>
      <c r="F102" s="17">
        <v>-300</v>
      </c>
      <c r="G102">
        <f>E102*F103-E103*F102</f>
      </c>
      <c r="H102">
        <f>(E102+E103)*G102</f>
      </c>
      <c r="I102">
        <f>(F102+F103)*G102</f>
      </c>
    </row>
    <row r="103" spans="2:9" x14ac:dyDescent="0.25">
      <c r="B103">
        <v>4</v>
      </c>
      <c r="C103" t="s">
        <v>154</v>
      </c>
      <c r="D103">
        <v>-1</v>
      </c>
      <c r="E103" s="17">
        <v>150</v>
      </c>
      <c r="F103" s="17">
        <v>300</v>
      </c>
      <c r="G103">
        <f>E103*F96-E96*F103</f>
      </c>
      <c r="H103">
        <f>(E103+E96)*G103</f>
      </c>
      <c r="I103">
        <f>(F103+F96)*G103</f>
      </c>
    </row>
    <row r="104" spans="2:9" x14ac:dyDescent="0.25">
      <c r="B104">
        <v>4</v>
      </c>
      <c r="C104" t="s">
        <v>188</v>
      </c>
      <c r="G104" s="13">
        <f>D96*ABS(SUM(G96:G103)/2)</f>
      </c>
      <c r="H104" s="13">
        <f>D96*SIGN(SUM(G96:G103))*SUM(H96:H103)/6</f>
      </c>
      <c r="I104" s="13">
        <f>D96*SIGN(SUM(G96:G103))*SUM(I96:I103)/6</f>
      </c>
    </row>
    <row r="105" spans="2:9" x14ac:dyDescent="0.25">
      <c r="B105">
        <v>4</v>
      </c>
      <c r="C105" s="13" t="s">
        <v>189</v>
      </c>
      <c r="G105" s="14">
        <f>G90+G95+G104</f>
      </c>
      <c r="H105" s="14">
        <f>H90+H95+H104</f>
      </c>
      <c r="I105" s="14">
        <f>I90+I95+I104</f>
      </c>
    </row>
    <row r="107" spans="2:9" x14ac:dyDescent="0.25">
      <c r="B107">
        <v>5</v>
      </c>
      <c r="C107" t="s">
        <v>149</v>
      </c>
      <c r="D107">
        <v>1</v>
      </c>
      <c r="E107" s="17">
        <v>24.839865079328433</v>
      </c>
      <c r="F107" s="17">
        <v>-600</v>
      </c>
      <c r="G107">
        <f>E107*F108-E108*F107</f>
      </c>
      <c r="H107">
        <f>(E107+E108)*G107</f>
      </c>
      <c r="I107">
        <f>(F107+F108)*G107</f>
      </c>
    </row>
    <row r="108" spans="2:9" x14ac:dyDescent="0.25">
      <c r="B108">
        <v>5</v>
      </c>
      <c r="C108" t="s">
        <v>149</v>
      </c>
      <c r="D108">
        <v>1</v>
      </c>
      <c r="E108" s="17">
        <v>550</v>
      </c>
      <c r="F108" s="17">
        <v>-600</v>
      </c>
      <c r="G108">
        <f>E108*F109-E109*F108</f>
      </c>
      <c r="H108">
        <f>(E108+E109)*G108</f>
      </c>
      <c r="I108">
        <f>(F108+F109)*G108</f>
      </c>
    </row>
    <row r="109" spans="2:9" x14ac:dyDescent="0.25">
      <c r="B109">
        <v>5</v>
      </c>
      <c r="C109" t="s">
        <v>149</v>
      </c>
      <c r="D109">
        <v>1</v>
      </c>
      <c r="E109" s="17">
        <v>750</v>
      </c>
      <c r="F109" s="17">
        <v>-400</v>
      </c>
      <c r="G109">
        <f>E109*F110-E110*F109</f>
      </c>
      <c r="H109">
        <f>(E109+E110)*G109</f>
      </c>
      <c r="I109">
        <f>(F109+F110)*G109</f>
      </c>
    </row>
    <row r="110" spans="2:9" x14ac:dyDescent="0.25">
      <c r="B110">
        <v>5</v>
      </c>
      <c r="C110" t="s">
        <v>149</v>
      </c>
      <c r="D110">
        <v>1</v>
      </c>
      <c r="E110" s="17">
        <v>750</v>
      </c>
      <c r="F110" s="17">
        <v>400</v>
      </c>
      <c r="G110">
        <f>E110*F111-E111*F110</f>
      </c>
      <c r="H110">
        <f>(E110+E111)*G110</f>
      </c>
      <c r="I110">
        <f>(F110+F111)*G110</f>
      </c>
    </row>
    <row r="111" spans="2:9" x14ac:dyDescent="0.25">
      <c r="B111">
        <v>5</v>
      </c>
      <c r="C111" t="s">
        <v>149</v>
      </c>
      <c r="D111">
        <v>1</v>
      </c>
      <c r="E111" s="17">
        <v>550</v>
      </c>
      <c r="F111" s="17">
        <v>600</v>
      </c>
      <c r="G111">
        <f>E111*F112-E112*F111</f>
      </c>
      <c r="H111">
        <f>(E111+E112)*G111</f>
      </c>
      <c r="I111">
        <f>(F111+F112)*G111</f>
      </c>
    </row>
    <row r="112" spans="2:9" x14ac:dyDescent="0.25">
      <c r="B112">
        <v>5</v>
      </c>
      <c r="C112" t="s">
        <v>149</v>
      </c>
      <c r="D112">
        <v>1</v>
      </c>
      <c r="E112" s="17">
        <v>-296.69916583801853</v>
      </c>
      <c r="F112" s="17">
        <v>600</v>
      </c>
      <c r="G112">
        <f>E112*F107-E107*F112</f>
      </c>
      <c r="H112">
        <f>(E112+E107)*G112</f>
      </c>
      <c r="I112">
        <f>(F112+F107)*G112</f>
      </c>
    </row>
    <row r="113" spans="2:9" x14ac:dyDescent="0.25">
      <c r="B113">
        <v>5</v>
      </c>
      <c r="C113" t="s">
        <v>188</v>
      </c>
      <c r="G113" s="13">
        <f>D107*ABS(SUM(G107:G112)/2)</f>
      </c>
      <c r="H113" s="13">
        <f>D107*SIGN(SUM(G107:G112))*SUM(H107:H112)/6</f>
      </c>
      <c r="I113" s="13">
        <f>D107*SIGN(SUM(G107:G112))*SUM(I107:I112)/6</f>
      </c>
    </row>
    <row r="114" spans="2:9" x14ac:dyDescent="0.25">
      <c r="B114">
        <v>5</v>
      </c>
      <c r="C114" t="s">
        <v>152</v>
      </c>
      <c r="D114">
        <v>-1</v>
      </c>
      <c r="E114" s="17">
        <v>-240.58716611338795</v>
      </c>
      <c r="F114" s="17">
        <v>390.587166113388</v>
      </c>
      <c r="G114">
        <f>E114*F115-E115*F114</f>
      </c>
      <c r="H114">
        <f>(E114+E115)*G114</f>
      </c>
      <c r="I114">
        <f>(F114+F115)*G114</f>
      </c>
    </row>
    <row r="115" spans="2:9" x14ac:dyDescent="0.25">
      <c r="B115">
        <v>5</v>
      </c>
      <c r="C115" t="s">
        <v>152</v>
      </c>
      <c r="D115">
        <v>-1</v>
      </c>
      <c r="E115" s="17">
        <v>-150</v>
      </c>
      <c r="F115" s="17">
        <v>300</v>
      </c>
      <c r="G115">
        <f>E115*F116-E116*F115</f>
      </c>
      <c r="H115">
        <f>(E115+E116)*G115</f>
      </c>
      <c r="I115">
        <f>(F115+F116)*G115</f>
      </c>
    </row>
    <row r="116" spans="2:9" x14ac:dyDescent="0.25">
      <c r="B116">
        <v>5</v>
      </c>
      <c r="C116" t="s">
        <v>152</v>
      </c>
      <c r="D116">
        <v>-1</v>
      </c>
      <c r="E116" s="17">
        <v>-150</v>
      </c>
      <c r="F116" s="17">
        <v>52.511259664541996</v>
      </c>
      <c r="G116">
        <f>E116*F114-E114*F116</f>
      </c>
      <c r="H116">
        <f>(E116+E114)*G116</f>
      </c>
      <c r="I116">
        <f>(F116+F114)*G116</f>
      </c>
    </row>
    <row r="117" spans="2:9" x14ac:dyDescent="0.25">
      <c r="B117">
        <v>5</v>
      </c>
      <c r="C117" t="s">
        <v>188</v>
      </c>
      <c r="G117" s="13">
        <f>D114*ABS(SUM(G114:G116)/2)</f>
      </c>
      <c r="H117" s="13">
        <f>D114*SIGN(SUM(G114:G116))*SUM(H114:H116)/6</f>
      </c>
      <c r="I117" s="13">
        <f>D114*SIGN(SUM(G114:G116))*SUM(I114:I116)/6</f>
      </c>
    </row>
    <row r="118" spans="2:9" x14ac:dyDescent="0.25">
      <c r="B118">
        <v>5</v>
      </c>
      <c r="C118" t="s">
        <v>154</v>
      </c>
      <c r="D118">
        <v>-1</v>
      </c>
      <c r="E118" s="17">
        <v>250</v>
      </c>
      <c r="F118" s="17">
        <v>400</v>
      </c>
      <c r="G118">
        <f>E118*F119-E119*F118</f>
      </c>
      <c r="H118">
        <f>(E118+E119)*G118</f>
      </c>
      <c r="I118">
        <f>(F118+F119)*G118</f>
      </c>
    </row>
    <row r="119" spans="2:9" x14ac:dyDescent="0.25">
      <c r="B119">
        <v>5</v>
      </c>
      <c r="C119" t="s">
        <v>154</v>
      </c>
      <c r="D119">
        <v>-1</v>
      </c>
      <c r="E119" s="17">
        <v>450</v>
      </c>
      <c r="F119" s="17">
        <v>400</v>
      </c>
      <c r="G119">
        <f>E119*F120-E120*F119</f>
      </c>
      <c r="H119">
        <f>(E119+E120)*G119</f>
      </c>
      <c r="I119">
        <f>(F119+F120)*G119</f>
      </c>
    </row>
    <row r="120" spans="2:9" x14ac:dyDescent="0.25">
      <c r="B120">
        <v>5</v>
      </c>
      <c r="C120" t="s">
        <v>154</v>
      </c>
      <c r="D120">
        <v>-1</v>
      </c>
      <c r="E120" s="17">
        <v>550</v>
      </c>
      <c r="F120" s="17">
        <v>300</v>
      </c>
      <c r="G120">
        <f>E120*F121-E121*F120</f>
      </c>
      <c r="H120">
        <f>(E120+E121)*G120</f>
      </c>
      <c r="I120">
        <f>(F120+F121)*G120</f>
      </c>
    </row>
    <row r="121" spans="2:9" x14ac:dyDescent="0.25">
      <c r="B121">
        <v>5</v>
      </c>
      <c r="C121" t="s">
        <v>154</v>
      </c>
      <c r="D121">
        <v>-1</v>
      </c>
      <c r="E121" s="17">
        <v>550</v>
      </c>
      <c r="F121" s="17">
        <v>-300</v>
      </c>
      <c r="G121">
        <f>E121*F122-E122*F121</f>
      </c>
      <c r="H121">
        <f>(E121+E122)*G121</f>
      </c>
      <c r="I121">
        <f>(F121+F122)*G121</f>
      </c>
    </row>
    <row r="122" spans="2:9" x14ac:dyDescent="0.25">
      <c r="B122">
        <v>5</v>
      </c>
      <c r="C122" t="s">
        <v>154</v>
      </c>
      <c r="D122">
        <v>-1</v>
      </c>
      <c r="E122" s="17">
        <v>450</v>
      </c>
      <c r="F122" s="17">
        <v>-400</v>
      </c>
      <c r="G122">
        <f>E122*F123-E123*F122</f>
      </c>
      <c r="H122">
        <f>(E122+E123)*G122</f>
      </c>
      <c r="I122">
        <f>(F122+F123)*G122</f>
      </c>
    </row>
    <row r="123" spans="2:9" x14ac:dyDescent="0.25">
      <c r="B123">
        <v>5</v>
      </c>
      <c r="C123" t="s">
        <v>154</v>
      </c>
      <c r="D123">
        <v>-1</v>
      </c>
      <c r="E123" s="17">
        <v>250</v>
      </c>
      <c r="F123" s="17">
        <v>-400</v>
      </c>
      <c r="G123">
        <f>E123*F124-E124*F123</f>
      </c>
      <c r="H123">
        <f>(E123+E124)*G123</f>
      </c>
      <c r="I123">
        <f>(F123+F124)*G123</f>
      </c>
    </row>
    <row r="124" spans="2:9" x14ac:dyDescent="0.25">
      <c r="B124">
        <v>5</v>
      </c>
      <c r="C124" t="s">
        <v>154</v>
      </c>
      <c r="D124">
        <v>-1</v>
      </c>
      <c r="E124" s="17">
        <v>150</v>
      </c>
      <c r="F124" s="17">
        <v>-300</v>
      </c>
      <c r="G124">
        <f>E124*F125-E125*F124</f>
      </c>
      <c r="H124">
        <f>(E124+E125)*G124</f>
      </c>
      <c r="I124">
        <f>(F124+F125)*G124</f>
      </c>
    </row>
    <row r="125" spans="2:9" x14ac:dyDescent="0.25">
      <c r="B125">
        <v>5</v>
      </c>
      <c r="C125" t="s">
        <v>154</v>
      </c>
      <c r="D125">
        <v>-1</v>
      </c>
      <c r="E125" s="17">
        <v>150</v>
      </c>
      <c r="F125" s="17">
        <v>300</v>
      </c>
      <c r="G125">
        <f>E125*F118-E118*F125</f>
      </c>
      <c r="H125">
        <f>(E125+E118)*G125</f>
      </c>
      <c r="I125">
        <f>(F125+F118)*G125</f>
      </c>
    </row>
    <row r="126" spans="2:9" x14ac:dyDescent="0.25">
      <c r="B126">
        <v>5</v>
      </c>
      <c r="C126" t="s">
        <v>188</v>
      </c>
      <c r="G126" s="13">
        <f>D118*ABS(SUM(G118:G125)/2)</f>
      </c>
      <c r="H126" s="13">
        <f>D118*SIGN(SUM(G118:G125))*SUM(H118:H125)/6</f>
      </c>
      <c r="I126" s="13">
        <f>D118*SIGN(SUM(G118:G125))*SUM(I118:I125)/6</f>
      </c>
    </row>
    <row r="127" spans="2:9" x14ac:dyDescent="0.25">
      <c r="B127">
        <v>5</v>
      </c>
      <c r="C127" s="13" t="s">
        <v>189</v>
      </c>
      <c r="G127" s="14">
        <f>G113+G117+G126</f>
      </c>
      <c r="H127" s="14">
        <f>H113+H117+H126</f>
      </c>
      <c r="I127" s="14">
        <f>I113+I117+I126</f>
      </c>
    </row>
    <row r="129" spans="2:9" x14ac:dyDescent="0.25">
      <c r="B129">
        <v>6</v>
      </c>
      <c r="C129" t="s">
        <v>149</v>
      </c>
      <c r="D129">
        <v>1</v>
      </c>
      <c r="E129" s="17">
        <v>79.40631163711919</v>
      </c>
      <c r="F129" s="17">
        <v>-600</v>
      </c>
      <c r="G129">
        <f>E129*F130-E130*F129</f>
      </c>
      <c r="H129">
        <f>(E129+E130)*G129</f>
      </c>
      <c r="I129">
        <f>(F129+F130)*G129</f>
      </c>
    </row>
    <row r="130" spans="2:9" x14ac:dyDescent="0.25">
      <c r="B130">
        <v>6</v>
      </c>
      <c r="C130" t="s">
        <v>149</v>
      </c>
      <c r="D130">
        <v>1</v>
      </c>
      <c r="E130" s="17">
        <v>550</v>
      </c>
      <c r="F130" s="17">
        <v>-600</v>
      </c>
      <c r="G130">
        <f>E130*F131-E131*F130</f>
      </c>
      <c r="H130">
        <f>(E130+E131)*G130</f>
      </c>
      <c r="I130">
        <f>(F130+F131)*G130</f>
      </c>
    </row>
    <row r="131" spans="2:9" x14ac:dyDescent="0.25">
      <c r="B131">
        <v>6</v>
      </c>
      <c r="C131" t="s">
        <v>149</v>
      </c>
      <c r="D131">
        <v>1</v>
      </c>
      <c r="E131" s="17">
        <v>750</v>
      </c>
      <c r="F131" s="17">
        <v>-400</v>
      </c>
      <c r="G131">
        <f>E131*F132-E132*F131</f>
      </c>
      <c r="H131">
        <f>(E131+E132)*G131</f>
      </c>
      <c r="I131">
        <f>(F131+F132)*G131</f>
      </c>
    </row>
    <row r="132" spans="2:9" x14ac:dyDescent="0.25">
      <c r="B132">
        <v>6</v>
      </c>
      <c r="C132" t="s">
        <v>149</v>
      </c>
      <c r="D132">
        <v>1</v>
      </c>
      <c r="E132" s="17">
        <v>750</v>
      </c>
      <c r="F132" s="17">
        <v>400</v>
      </c>
      <c r="G132">
        <f>E132*F133-E133*F132</f>
      </c>
      <c r="H132">
        <f>(E132+E133)*G132</f>
      </c>
      <c r="I132">
        <f>(F132+F133)*G132</f>
      </c>
    </row>
    <row r="133" spans="2:9" x14ac:dyDescent="0.25">
      <c r="B133">
        <v>6</v>
      </c>
      <c r="C133" t="s">
        <v>149</v>
      </c>
      <c r="D133">
        <v>1</v>
      </c>
      <c r="E133" s="17">
        <v>550</v>
      </c>
      <c r="F133" s="17">
        <v>600</v>
      </c>
      <c r="G133">
        <f>E133*F134-E134*F133</f>
      </c>
      <c r="H133">
        <f>(E133+E134)*G133</f>
      </c>
      <c r="I133">
        <f>(F133+F134)*G133</f>
      </c>
    </row>
    <row r="134" spans="2:9" x14ac:dyDescent="0.25">
      <c r="B134">
        <v>6</v>
      </c>
      <c r="C134" t="s">
        <v>149</v>
      </c>
      <c r="D134">
        <v>1</v>
      </c>
      <c r="E134" s="17">
        <v>-242.13271928022766</v>
      </c>
      <c r="F134" s="17">
        <v>600</v>
      </c>
      <c r="G134">
        <f>E134*F129-E129*F134</f>
      </c>
      <c r="H134">
        <f>(E134+E129)*G134</f>
      </c>
      <c r="I134">
        <f>(F134+F129)*G134</f>
      </c>
    </row>
    <row r="135" spans="2:9" x14ac:dyDescent="0.25">
      <c r="B135">
        <v>6</v>
      </c>
      <c r="C135" t="s">
        <v>188</v>
      </c>
      <c r="G135" s="13">
        <f>D129*ABS(SUM(G129:G134)/2)</f>
      </c>
      <c r="H135" s="13">
        <f>D129*SIGN(SUM(G129:G134))*SUM(H129:H134)/6</f>
      </c>
      <c r="I135" s="13">
        <f>D129*SIGN(SUM(G129:G134))*SUM(I129:I134)/6</f>
      </c>
    </row>
    <row r="136" spans="2:9" x14ac:dyDescent="0.25">
      <c r="B136">
        <v>6</v>
      </c>
      <c r="C136" t="s">
        <v>152</v>
      </c>
      <c r="D136">
        <v>-1</v>
      </c>
      <c r="E136" s="17">
        <v>-166.04801392119984</v>
      </c>
      <c r="F136" s="17">
        <v>316.04801392119987</v>
      </c>
      <c r="G136">
        <f>E136*F137-E137*F136</f>
      </c>
      <c r="H136">
        <f>(E136+E137)*G136</f>
      </c>
      <c r="I136">
        <f>(F136+F137)*G136</f>
      </c>
    </row>
    <row r="137" spans="2:9" x14ac:dyDescent="0.25">
      <c r="B137">
        <v>6</v>
      </c>
      <c r="C137" t="s">
        <v>152</v>
      </c>
      <c r="D137">
        <v>-1</v>
      </c>
      <c r="E137" s="17">
        <v>-150</v>
      </c>
      <c r="F137" s="17">
        <v>300</v>
      </c>
      <c r="G137">
        <f>E137*F138-E138*F137</f>
      </c>
      <c r="H137">
        <f>(E137+E138)*G137</f>
      </c>
      <c r="I137">
        <f>(F137+F138)*G137</f>
      </c>
    </row>
    <row r="138" spans="2:9" x14ac:dyDescent="0.25">
      <c r="B138">
        <v>6</v>
      </c>
      <c r="C138" t="s">
        <v>152</v>
      </c>
      <c r="D138">
        <v>-1</v>
      </c>
      <c r="E138" s="17">
        <v>-150</v>
      </c>
      <c r="F138" s="17">
        <v>256.1560106067093</v>
      </c>
      <c r="G138">
        <f>E138*F136-E136*F138</f>
      </c>
      <c r="H138">
        <f>(E138+E136)*G138</f>
      </c>
      <c r="I138">
        <f>(F138+F136)*G138</f>
      </c>
    </row>
    <row r="139" spans="2:9" x14ac:dyDescent="0.25">
      <c r="B139">
        <v>6</v>
      </c>
      <c r="C139" t="s">
        <v>188</v>
      </c>
      <c r="G139" s="13">
        <f>D136*ABS(SUM(G136:G138)/2)</f>
      </c>
      <c r="H139" s="13">
        <f>D136*SIGN(SUM(G136:G138))*SUM(H136:H138)/6</f>
      </c>
      <c r="I139" s="13">
        <f>D136*SIGN(SUM(G136:G138))*SUM(I136:I138)/6</f>
      </c>
    </row>
    <row r="140" spans="2:9" x14ac:dyDescent="0.25">
      <c r="B140">
        <v>6</v>
      </c>
      <c r="C140" t="s">
        <v>154</v>
      </c>
      <c r="D140">
        <v>-1</v>
      </c>
      <c r="E140" s="17">
        <v>250</v>
      </c>
      <c r="F140" s="17">
        <v>400</v>
      </c>
      <c r="G140">
        <f>E140*F141-E141*F140</f>
      </c>
      <c r="H140">
        <f>(E140+E141)*G140</f>
      </c>
      <c r="I140">
        <f>(F140+F141)*G140</f>
      </c>
    </row>
    <row r="141" spans="2:9" x14ac:dyDescent="0.25">
      <c r="B141">
        <v>6</v>
      </c>
      <c r="C141" t="s">
        <v>154</v>
      </c>
      <c r="D141">
        <v>-1</v>
      </c>
      <c r="E141" s="17">
        <v>450</v>
      </c>
      <c r="F141" s="17">
        <v>400</v>
      </c>
      <c r="G141">
        <f>E141*F142-E142*F141</f>
      </c>
      <c r="H141">
        <f>(E141+E142)*G141</f>
      </c>
      <c r="I141">
        <f>(F141+F142)*G141</f>
      </c>
    </row>
    <row r="142" spans="2:9" x14ac:dyDescent="0.25">
      <c r="B142">
        <v>6</v>
      </c>
      <c r="C142" t="s">
        <v>154</v>
      </c>
      <c r="D142">
        <v>-1</v>
      </c>
      <c r="E142" s="17">
        <v>550</v>
      </c>
      <c r="F142" s="17">
        <v>300</v>
      </c>
      <c r="G142">
        <f>E142*F143-E143*F142</f>
      </c>
      <c r="H142">
        <f>(E142+E143)*G142</f>
      </c>
      <c r="I142">
        <f>(F142+F143)*G142</f>
      </c>
    </row>
    <row r="143" spans="2:9" x14ac:dyDescent="0.25">
      <c r="B143">
        <v>6</v>
      </c>
      <c r="C143" t="s">
        <v>154</v>
      </c>
      <c r="D143">
        <v>-1</v>
      </c>
      <c r="E143" s="17">
        <v>550</v>
      </c>
      <c r="F143" s="17">
        <v>-300</v>
      </c>
      <c r="G143">
        <f>E143*F144-E144*F143</f>
      </c>
      <c r="H143">
        <f>(E143+E144)*G143</f>
      </c>
      <c r="I143">
        <f>(F143+F144)*G143</f>
      </c>
    </row>
    <row r="144" spans="2:9" x14ac:dyDescent="0.25">
      <c r="B144">
        <v>6</v>
      </c>
      <c r="C144" t="s">
        <v>154</v>
      </c>
      <c r="D144">
        <v>-1</v>
      </c>
      <c r="E144" s="17">
        <v>450</v>
      </c>
      <c r="F144" s="17">
        <v>-400</v>
      </c>
      <c r="G144">
        <f>E144*F145-E145*F144</f>
      </c>
      <c r="H144">
        <f>(E144+E145)*G144</f>
      </c>
      <c r="I144">
        <f>(F144+F145)*G144</f>
      </c>
    </row>
    <row r="145" spans="2:9" x14ac:dyDescent="0.25">
      <c r="B145">
        <v>6</v>
      </c>
      <c r="C145" t="s">
        <v>154</v>
      </c>
      <c r="D145">
        <v>-1</v>
      </c>
      <c r="E145" s="17">
        <v>250</v>
      </c>
      <c r="F145" s="17">
        <v>-400</v>
      </c>
      <c r="G145">
        <f>E145*F146-E146*F145</f>
      </c>
      <c r="H145">
        <f>(E145+E146)*G145</f>
      </c>
      <c r="I145">
        <f>(F145+F146)*G145</f>
      </c>
    </row>
    <row r="146" spans="2:9" x14ac:dyDescent="0.25">
      <c r="B146">
        <v>6</v>
      </c>
      <c r="C146" t="s">
        <v>154</v>
      </c>
      <c r="D146">
        <v>-1</v>
      </c>
      <c r="E146" s="17">
        <v>150</v>
      </c>
      <c r="F146" s="17">
        <v>-300</v>
      </c>
      <c r="G146">
        <f>E146*F147-E147*F146</f>
      </c>
      <c r="H146">
        <f>(E146+E147)*G146</f>
      </c>
      <c r="I146">
        <f>(F146+F147)*G146</f>
      </c>
    </row>
    <row r="147" spans="2:9" x14ac:dyDescent="0.25">
      <c r="B147">
        <v>6</v>
      </c>
      <c r="C147" t="s">
        <v>154</v>
      </c>
      <c r="D147">
        <v>-1</v>
      </c>
      <c r="E147" s="17">
        <v>150</v>
      </c>
      <c r="F147" s="17">
        <v>300</v>
      </c>
      <c r="G147">
        <f>E147*F140-E140*F147</f>
      </c>
      <c r="H147">
        <f>(E147+E140)*G147</f>
      </c>
      <c r="I147">
        <f>(F147+F140)*G147</f>
      </c>
    </row>
    <row r="148" spans="2:9" x14ac:dyDescent="0.25">
      <c r="B148">
        <v>6</v>
      </c>
      <c r="C148" t="s">
        <v>188</v>
      </c>
      <c r="G148" s="13">
        <f>D140*ABS(SUM(G140:G147)/2)</f>
      </c>
      <c r="H148" s="13">
        <f>D140*SIGN(SUM(G140:G147))*SUM(H140:H147)/6</f>
      </c>
      <c r="I148" s="13">
        <f>D140*SIGN(SUM(G140:G147))*SUM(I140:I147)/6</f>
      </c>
    </row>
    <row r="149" spans="2:9" x14ac:dyDescent="0.25">
      <c r="B149">
        <v>6</v>
      </c>
      <c r="C149" s="13" t="s">
        <v>189</v>
      </c>
      <c r="G149" s="14">
        <f>G135+G139+G148</f>
      </c>
      <c r="H149" s="14">
        <f>H135+H139+H148</f>
      </c>
      <c r="I149" s="14">
        <f>I135+I139+I148</f>
      </c>
    </row>
    <row r="151" spans="2:9" x14ac:dyDescent="0.25">
      <c r="B151">
        <v>7</v>
      </c>
      <c r="C151" t="s">
        <v>149</v>
      </c>
      <c r="D151">
        <v>1</v>
      </c>
      <c r="E151" s="17">
        <v>128.2887533451402</v>
      </c>
      <c r="F151" s="17">
        <v>-600</v>
      </c>
      <c r="G151">
        <f>E151*F152-E152*F151</f>
      </c>
      <c r="H151">
        <f>(E151+E152)*G151</f>
      </c>
      <c r="I151">
        <f>(F151+F152)*G151</f>
      </c>
    </row>
    <row r="152" spans="2:9" x14ac:dyDescent="0.25">
      <c r="B152">
        <v>7</v>
      </c>
      <c r="C152" t="s">
        <v>149</v>
      </c>
      <c r="D152">
        <v>1</v>
      </c>
      <c r="E152" s="17">
        <v>550</v>
      </c>
      <c r="F152" s="17">
        <v>-600</v>
      </c>
      <c r="G152">
        <f>E152*F153-E153*F152</f>
      </c>
      <c r="H152">
        <f>(E152+E153)*G152</f>
      </c>
      <c r="I152">
        <f>(F152+F153)*G152</f>
      </c>
    </row>
    <row r="153" spans="2:9" x14ac:dyDescent="0.25">
      <c r="B153">
        <v>7</v>
      </c>
      <c r="C153" t="s">
        <v>149</v>
      </c>
      <c r="D153">
        <v>1</v>
      </c>
      <c r="E153" s="17">
        <v>750</v>
      </c>
      <c r="F153" s="17">
        <v>-400</v>
      </c>
      <c r="G153">
        <f>E153*F154-E154*F153</f>
      </c>
      <c r="H153">
        <f>(E153+E154)*G153</f>
      </c>
      <c r="I153">
        <f>(F153+F154)*G153</f>
      </c>
    </row>
    <row r="154" spans="2:9" x14ac:dyDescent="0.25">
      <c r="B154">
        <v>7</v>
      </c>
      <c r="C154" t="s">
        <v>149</v>
      </c>
      <c r="D154">
        <v>1</v>
      </c>
      <c r="E154" s="17">
        <v>750</v>
      </c>
      <c r="F154" s="17">
        <v>400</v>
      </c>
      <c r="G154">
        <f>E154*F155-E155*F154</f>
      </c>
      <c r="H154">
        <f>(E154+E155)*G154</f>
      </c>
      <c r="I154">
        <f>(F154+F155)*G154</f>
      </c>
    </row>
    <row r="155" spans="2:9" x14ac:dyDescent="0.25">
      <c r="B155">
        <v>7</v>
      </c>
      <c r="C155" t="s">
        <v>149</v>
      </c>
      <c r="D155">
        <v>1</v>
      </c>
      <c r="E155" s="17">
        <v>550</v>
      </c>
      <c r="F155" s="17">
        <v>600</v>
      </c>
      <c r="G155">
        <f>E155*F156-E156*F155</f>
      </c>
      <c r="H155">
        <f>(E155+E156)*G155</f>
      </c>
      <c r="I155">
        <f>(F155+F156)*G155</f>
      </c>
    </row>
    <row r="156" spans="2:9" x14ac:dyDescent="0.25">
      <c r="B156">
        <v>7</v>
      </c>
      <c r="C156" t="s">
        <v>149</v>
      </c>
      <c r="D156">
        <v>1</v>
      </c>
      <c r="E156" s="17">
        <v>-193.25027757220676</v>
      </c>
      <c r="F156" s="17">
        <v>600</v>
      </c>
      <c r="G156">
        <f>E156*F151-E151*F156</f>
      </c>
      <c r="H156">
        <f>(E156+E151)*G156</f>
      </c>
      <c r="I156">
        <f>(F156+F151)*G156</f>
      </c>
    </row>
    <row r="157" spans="2:9" x14ac:dyDescent="0.25">
      <c r="B157">
        <v>7</v>
      </c>
      <c r="C157" t="s">
        <v>188</v>
      </c>
      <c r="G157" s="13">
        <f>D151*ABS(SUM(G151:G156)/2)</f>
      </c>
      <c r="H157" s="13">
        <f>D151*SIGN(SUM(G151:G156))*SUM(H151:H156)/6</f>
      </c>
      <c r="I157" s="13">
        <f>D151*SIGN(SUM(G151:G156))*SUM(I151:I156)/6</f>
      </c>
    </row>
    <row r="158" spans="2:9" x14ac:dyDescent="0.25">
      <c r="B158">
        <v>7</v>
      </c>
      <c r="C158" t="s">
        <v>152</v>
      </c>
      <c r="D158">
        <v>-1</v>
      </c>
      <c r="E158" s="17">
        <v>250</v>
      </c>
      <c r="F158" s="17">
        <v>400</v>
      </c>
      <c r="G158">
        <f>E158*F159-E159*F158</f>
      </c>
      <c r="H158">
        <f>(E158+E159)*G158</f>
      </c>
      <c r="I158">
        <f>(F158+F159)*G158</f>
      </c>
    </row>
    <row r="159" spans="2:9" x14ac:dyDescent="0.25">
      <c r="B159">
        <v>7</v>
      </c>
      <c r="C159" t="s">
        <v>152</v>
      </c>
      <c r="D159">
        <v>-1</v>
      </c>
      <c r="E159" s="17">
        <v>450</v>
      </c>
      <c r="F159" s="17">
        <v>400</v>
      </c>
      <c r="G159">
        <f>E159*F160-E160*F159</f>
      </c>
      <c r="H159">
        <f>(E159+E160)*G159</f>
      </c>
      <c r="I159">
        <f>(F159+F160)*G159</f>
      </c>
    </row>
    <row r="160" spans="2:9" x14ac:dyDescent="0.25">
      <c r="B160">
        <v>7</v>
      </c>
      <c r="C160" t="s">
        <v>152</v>
      </c>
      <c r="D160">
        <v>-1</v>
      </c>
      <c r="E160" s="17">
        <v>550</v>
      </c>
      <c r="F160" s="17">
        <v>300</v>
      </c>
      <c r="G160">
        <f>E160*F161-E161*F160</f>
      </c>
      <c r="H160">
        <f>(E160+E161)*G160</f>
      </c>
      <c r="I160">
        <f>(F160+F161)*G160</f>
      </c>
    </row>
    <row r="161" spans="2:9" x14ac:dyDescent="0.25">
      <c r="B161">
        <v>7</v>
      </c>
      <c r="C161" t="s">
        <v>152</v>
      </c>
      <c r="D161">
        <v>-1</v>
      </c>
      <c r="E161" s="17">
        <v>550</v>
      </c>
      <c r="F161" s="17">
        <v>-300</v>
      </c>
      <c r="G161">
        <f>E161*F162-E162*F161</f>
      </c>
      <c r="H161">
        <f>(E161+E162)*G161</f>
      </c>
      <c r="I161">
        <f>(F161+F162)*G161</f>
      </c>
    </row>
    <row r="162" spans="2:9" x14ac:dyDescent="0.25">
      <c r="B162">
        <v>7</v>
      </c>
      <c r="C162" t="s">
        <v>152</v>
      </c>
      <c r="D162">
        <v>-1</v>
      </c>
      <c r="E162" s="17">
        <v>450</v>
      </c>
      <c r="F162" s="17">
        <v>-400</v>
      </c>
      <c r="G162">
        <f>E162*F163-E163*F162</f>
      </c>
      <c r="H162">
        <f>(E162+E163)*G162</f>
      </c>
      <c r="I162">
        <f>(F162+F163)*G162</f>
      </c>
    </row>
    <row r="163" spans="2:9" x14ac:dyDescent="0.25">
      <c r="B163">
        <v>7</v>
      </c>
      <c r="C163" t="s">
        <v>152</v>
      </c>
      <c r="D163">
        <v>-1</v>
      </c>
      <c r="E163" s="17">
        <v>250</v>
      </c>
      <c r="F163" s="17">
        <v>-400</v>
      </c>
      <c r="G163">
        <f>E163*F164-E164*F163</f>
      </c>
      <c r="H163">
        <f>(E163+E164)*G163</f>
      </c>
      <c r="I163">
        <f>(F163+F164)*G163</f>
      </c>
    </row>
    <row r="164" spans="2:9" x14ac:dyDescent="0.25">
      <c r="B164">
        <v>7</v>
      </c>
      <c r="C164" t="s">
        <v>152</v>
      </c>
      <c r="D164">
        <v>-1</v>
      </c>
      <c r="E164" s="17">
        <v>150</v>
      </c>
      <c r="F164" s="17">
        <v>-300</v>
      </c>
      <c r="G164">
        <f>E164*F165-E165*F164</f>
      </c>
      <c r="H164">
        <f>(E164+E165)*G164</f>
      </c>
      <c r="I164">
        <f>(F164+F165)*G164</f>
      </c>
    </row>
    <row r="165" spans="2:9" x14ac:dyDescent="0.25">
      <c r="B165">
        <v>7</v>
      </c>
      <c r="C165" t="s">
        <v>152</v>
      </c>
      <c r="D165">
        <v>-1</v>
      </c>
      <c r="E165" s="17">
        <v>150</v>
      </c>
      <c r="F165" s="17">
        <v>300</v>
      </c>
      <c r="G165">
        <f>E165*F158-E158*F165</f>
      </c>
      <c r="H165">
        <f>(E165+E158)*G165</f>
      </c>
      <c r="I165">
        <f>(F165+F158)*G165</f>
      </c>
    </row>
    <row r="166" spans="2:9" x14ac:dyDescent="0.25">
      <c r="B166">
        <v>7</v>
      </c>
      <c r="C166" t="s">
        <v>188</v>
      </c>
      <c r="G166" s="13">
        <f>D158*ABS(SUM(G158:G165)/2)</f>
      </c>
      <c r="H166" s="13">
        <f>D158*SIGN(SUM(G158:G165))*SUM(H158:H165)/6</f>
      </c>
      <c r="I166" s="13">
        <f>D158*SIGN(SUM(G158:G165))*SUM(I158:I165)/6</f>
      </c>
    </row>
    <row r="167" spans="2:9" x14ac:dyDescent="0.25">
      <c r="B167">
        <v>7</v>
      </c>
      <c r="C167" s="13" t="s">
        <v>189</v>
      </c>
      <c r="G167" s="14">
        <f>G157+G166</f>
      </c>
      <c r="H167" s="14">
        <f>H157+H166</f>
      </c>
      <c r="I167" s="14">
        <f>I157+I166</f>
      </c>
    </row>
    <row r="169" spans="2:9" x14ac:dyDescent="0.25">
      <c r="B169">
        <v>8</v>
      </c>
      <c r="C169" t="s">
        <v>149</v>
      </c>
      <c r="D169">
        <v>1</v>
      </c>
      <c r="E169" s="17">
        <v>172.33134933949577</v>
      </c>
      <c r="F169" s="17">
        <v>-600</v>
      </c>
      <c r="G169">
        <f>E169*F170-E170*F169</f>
      </c>
      <c r="H169">
        <f>(E169+E170)*G169</f>
      </c>
      <c r="I169">
        <f>(F169+F170)*G169</f>
      </c>
    </row>
    <row r="170" spans="2:9" x14ac:dyDescent="0.25">
      <c r="B170">
        <v>8</v>
      </c>
      <c r="C170" t="s">
        <v>149</v>
      </c>
      <c r="D170">
        <v>1</v>
      </c>
      <c r="E170" s="17">
        <v>550</v>
      </c>
      <c r="F170" s="17">
        <v>-600</v>
      </c>
      <c r="G170">
        <f>E170*F171-E171*F170</f>
      </c>
      <c r="H170">
        <f>(E170+E171)*G170</f>
      </c>
      <c r="I170">
        <f>(F170+F171)*G170</f>
      </c>
    </row>
    <row r="171" spans="2:9" x14ac:dyDescent="0.25">
      <c r="B171">
        <v>8</v>
      </c>
      <c r="C171" t="s">
        <v>149</v>
      </c>
      <c r="D171">
        <v>1</v>
      </c>
      <c r="E171" s="17">
        <v>750</v>
      </c>
      <c r="F171" s="17">
        <v>-400</v>
      </c>
      <c r="G171">
        <f>E171*F172-E172*F171</f>
      </c>
      <c r="H171">
        <f>(E171+E172)*G171</f>
      </c>
      <c r="I171">
        <f>(F171+F172)*G171</f>
      </c>
    </row>
    <row r="172" spans="2:9" x14ac:dyDescent="0.25">
      <c r="B172">
        <v>8</v>
      </c>
      <c r="C172" t="s">
        <v>149</v>
      </c>
      <c r="D172">
        <v>1</v>
      </c>
      <c r="E172" s="17">
        <v>750</v>
      </c>
      <c r="F172" s="17">
        <v>400</v>
      </c>
      <c r="G172">
        <f>E172*F173-E173*F172</f>
      </c>
      <c r="H172">
        <f>(E172+E173)*G172</f>
      </c>
      <c r="I172">
        <f>(F172+F173)*G172</f>
      </c>
    </row>
    <row r="173" spans="2:9" x14ac:dyDescent="0.25">
      <c r="B173">
        <v>8</v>
      </c>
      <c r="C173" t="s">
        <v>149</v>
      </c>
      <c r="D173">
        <v>1</v>
      </c>
      <c r="E173" s="17">
        <v>550</v>
      </c>
      <c r="F173" s="17">
        <v>600</v>
      </c>
      <c r="G173">
        <f>E173*F174-E174*F173</f>
      </c>
      <c r="H173">
        <f>(E173+E174)*G173</f>
      </c>
      <c r="I173">
        <f>(F173+F174)*G173</f>
      </c>
    </row>
    <row r="174" spans="2:9" x14ac:dyDescent="0.25">
      <c r="B174">
        <v>8</v>
      </c>
      <c r="C174" t="s">
        <v>149</v>
      </c>
      <c r="D174">
        <v>1</v>
      </c>
      <c r="E174" s="17">
        <v>-149.2076815778512</v>
      </c>
      <c r="F174" s="17">
        <v>600</v>
      </c>
      <c r="G174">
        <f>E174*F169-E169*F174</f>
      </c>
      <c r="H174">
        <f>(E174+E169)*G174</f>
      </c>
      <c r="I174">
        <f>(F174+F169)*G174</f>
      </c>
    </row>
    <row r="175" spans="2:9" x14ac:dyDescent="0.25">
      <c r="B175">
        <v>8</v>
      </c>
      <c r="C175" t="s">
        <v>188</v>
      </c>
      <c r="G175" s="13">
        <f>D169*ABS(SUM(G169:G174)/2)</f>
      </c>
      <c r="H175" s="13">
        <f>D169*SIGN(SUM(G169:G174))*SUM(H169:H174)/6</f>
      </c>
      <c r="I175" s="13">
        <f>D169*SIGN(SUM(G169:G174))*SUM(I169:I174)/6</f>
      </c>
    </row>
    <row r="176" spans="2:9" x14ac:dyDescent="0.25">
      <c r="B176">
        <v>8</v>
      </c>
      <c r="C176" t="s">
        <v>152</v>
      </c>
      <c r="D176">
        <v>-1</v>
      </c>
      <c r="E176" s="17">
        <v>250</v>
      </c>
      <c r="F176" s="17">
        <v>400</v>
      </c>
      <c r="G176">
        <f>E176*F177-E177*F176</f>
      </c>
      <c r="H176">
        <f>(E176+E177)*G176</f>
      </c>
      <c r="I176">
        <f>(F176+F177)*G176</f>
      </c>
    </row>
    <row r="177" spans="2:9" x14ac:dyDescent="0.25">
      <c r="B177">
        <v>8</v>
      </c>
      <c r="C177" t="s">
        <v>152</v>
      </c>
      <c r="D177">
        <v>-1</v>
      </c>
      <c r="E177" s="17">
        <v>450</v>
      </c>
      <c r="F177" s="17">
        <v>400</v>
      </c>
      <c r="G177">
        <f>E177*F178-E178*F177</f>
      </c>
      <c r="H177">
        <f>(E177+E178)*G177</f>
      </c>
      <c r="I177">
        <f>(F177+F178)*G177</f>
      </c>
    </row>
    <row r="178" spans="2:9" x14ac:dyDescent="0.25">
      <c r="B178">
        <v>8</v>
      </c>
      <c r="C178" t="s">
        <v>152</v>
      </c>
      <c r="D178">
        <v>-1</v>
      </c>
      <c r="E178" s="17">
        <v>550</v>
      </c>
      <c r="F178" s="17">
        <v>300</v>
      </c>
      <c r="G178">
        <f>E178*F179-E179*F178</f>
      </c>
      <c r="H178">
        <f>(E178+E179)*G178</f>
      </c>
      <c r="I178">
        <f>(F178+F179)*G178</f>
      </c>
    </row>
    <row r="179" spans="2:9" x14ac:dyDescent="0.25">
      <c r="B179">
        <v>8</v>
      </c>
      <c r="C179" t="s">
        <v>152</v>
      </c>
      <c r="D179">
        <v>-1</v>
      </c>
      <c r="E179" s="17">
        <v>550</v>
      </c>
      <c r="F179" s="17">
        <v>-300</v>
      </c>
      <c r="G179">
        <f>E179*F180-E180*F179</f>
      </c>
      <c r="H179">
        <f>(E179+E180)*G179</f>
      </c>
      <c r="I179">
        <f>(F179+F180)*G179</f>
      </c>
    </row>
    <row r="180" spans="2:9" x14ac:dyDescent="0.25">
      <c r="B180">
        <v>8</v>
      </c>
      <c r="C180" t="s">
        <v>152</v>
      </c>
      <c r="D180">
        <v>-1</v>
      </c>
      <c r="E180" s="17">
        <v>450</v>
      </c>
      <c r="F180" s="17">
        <v>-400</v>
      </c>
      <c r="G180">
        <f>E180*F181-E181*F180</f>
      </c>
      <c r="H180">
        <f>(E180+E181)*G180</f>
      </c>
      <c r="I180">
        <f>(F180+F181)*G180</f>
      </c>
    </row>
    <row r="181" spans="2:9" x14ac:dyDescent="0.25">
      <c r="B181">
        <v>8</v>
      </c>
      <c r="C181" t="s">
        <v>152</v>
      </c>
      <c r="D181">
        <v>-1</v>
      </c>
      <c r="E181" s="17">
        <v>250</v>
      </c>
      <c r="F181" s="17">
        <v>-400</v>
      </c>
      <c r="G181">
        <f>E181*F182-E182*F181</f>
      </c>
      <c r="H181">
        <f>(E181+E182)*G181</f>
      </c>
      <c r="I181">
        <f>(F181+F182)*G181</f>
      </c>
    </row>
    <row r="182" spans="2:9" x14ac:dyDescent="0.25">
      <c r="B182">
        <v>8</v>
      </c>
      <c r="C182" t="s">
        <v>152</v>
      </c>
      <c r="D182">
        <v>-1</v>
      </c>
      <c r="E182" s="17">
        <v>150</v>
      </c>
      <c r="F182" s="17">
        <v>-300</v>
      </c>
      <c r="G182">
        <f>E182*F183-E183*F182</f>
      </c>
      <c r="H182">
        <f>(E182+E183)*G182</f>
      </c>
      <c r="I182">
        <f>(F182+F183)*G182</f>
      </c>
    </row>
    <row r="183" spans="2:9" x14ac:dyDescent="0.25">
      <c r="B183">
        <v>8</v>
      </c>
      <c r="C183" t="s">
        <v>152</v>
      </c>
      <c r="D183">
        <v>-1</v>
      </c>
      <c r="E183" s="17">
        <v>150</v>
      </c>
      <c r="F183" s="17">
        <v>300</v>
      </c>
      <c r="G183">
        <f>E183*F176-E176*F183</f>
      </c>
      <c r="H183">
        <f>(E183+E176)*G183</f>
      </c>
      <c r="I183">
        <f>(F183+F176)*G183</f>
      </c>
    </row>
    <row r="184" spans="2:9" x14ac:dyDescent="0.25">
      <c r="B184">
        <v>8</v>
      </c>
      <c r="C184" t="s">
        <v>188</v>
      </c>
      <c r="G184" s="13">
        <f>D176*ABS(SUM(G176:G183)/2)</f>
      </c>
      <c r="H184" s="13">
        <f>D176*SIGN(SUM(G176:G183))*SUM(H176:H183)/6</f>
      </c>
      <c r="I184" s="13">
        <f>D176*SIGN(SUM(G176:G183))*SUM(I176:I183)/6</f>
      </c>
    </row>
    <row r="185" spans="2:9" x14ac:dyDescent="0.25">
      <c r="B185">
        <v>8</v>
      </c>
      <c r="C185" s="13" t="s">
        <v>189</v>
      </c>
      <c r="G185" s="14">
        <f>G175+G184</f>
      </c>
      <c r="H185" s="14">
        <f>H175+H184</f>
      </c>
      <c r="I185" s="14">
        <f>I175+I184</f>
      </c>
    </row>
    <row r="187" spans="2:9" x14ac:dyDescent="0.25">
      <c r="B187">
        <v>9</v>
      </c>
      <c r="C187" t="s">
        <v>149</v>
      </c>
      <c r="D187">
        <v>1</v>
      </c>
      <c r="E187" s="17">
        <v>212.2189834475913</v>
      </c>
      <c r="F187" s="17">
        <v>-600</v>
      </c>
      <c r="G187">
        <f>E187*F188-E188*F187</f>
      </c>
      <c r="H187">
        <f>(E187+E188)*G187</f>
      </c>
      <c r="I187">
        <f>(F187+F188)*G187</f>
      </c>
    </row>
    <row r="188" spans="2:9" x14ac:dyDescent="0.25">
      <c r="B188">
        <v>9</v>
      </c>
      <c r="C188" t="s">
        <v>149</v>
      </c>
      <c r="D188">
        <v>1</v>
      </c>
      <c r="E188" s="17">
        <v>550</v>
      </c>
      <c r="F188" s="17">
        <v>-600</v>
      </c>
      <c r="G188">
        <f>E188*F189-E189*F188</f>
      </c>
      <c r="H188">
        <f>(E188+E189)*G188</f>
      </c>
      <c r="I188">
        <f>(F188+F189)*G188</f>
      </c>
    </row>
    <row r="189" spans="2:9" x14ac:dyDescent="0.25">
      <c r="B189">
        <v>9</v>
      </c>
      <c r="C189" t="s">
        <v>149</v>
      </c>
      <c r="D189">
        <v>1</v>
      </c>
      <c r="E189" s="17">
        <v>750</v>
      </c>
      <c r="F189" s="17">
        <v>-400</v>
      </c>
      <c r="G189">
        <f>E189*F190-E190*F189</f>
      </c>
      <c r="H189">
        <f>(E189+E190)*G189</f>
      </c>
      <c r="I189">
        <f>(F189+F190)*G189</f>
      </c>
    </row>
    <row r="190" spans="2:9" x14ac:dyDescent="0.25">
      <c r="B190">
        <v>9</v>
      </c>
      <c r="C190" t="s">
        <v>149</v>
      </c>
      <c r="D190">
        <v>1</v>
      </c>
      <c r="E190" s="17">
        <v>750</v>
      </c>
      <c r="F190" s="17">
        <v>400</v>
      </c>
      <c r="G190">
        <f>E190*F191-E191*F190</f>
      </c>
      <c r="H190">
        <f>(E190+E191)*G190</f>
      </c>
      <c r="I190">
        <f>(F190+F191)*G190</f>
      </c>
    </row>
    <row r="191" spans="2:9" x14ac:dyDescent="0.25">
      <c r="B191">
        <v>9</v>
      </c>
      <c r="C191" t="s">
        <v>149</v>
      </c>
      <c r="D191">
        <v>1</v>
      </c>
      <c r="E191" s="17">
        <v>550</v>
      </c>
      <c r="F191" s="17">
        <v>600</v>
      </c>
      <c r="G191">
        <f>E191*F192-E192*F191</f>
      </c>
      <c r="H191">
        <f>(E191+E192)*G191</f>
      </c>
      <c r="I191">
        <f>(F191+F192)*G191</f>
      </c>
    </row>
    <row r="192" spans="2:9" x14ac:dyDescent="0.25">
      <c r="B192">
        <v>9</v>
      </c>
      <c r="C192" t="s">
        <v>149</v>
      </c>
      <c r="D192">
        <v>1</v>
      </c>
      <c r="E192" s="17">
        <v>-109.32004746975565</v>
      </c>
      <c r="F192" s="17">
        <v>600</v>
      </c>
      <c r="G192">
        <f>E192*F187-E187*F192</f>
      </c>
      <c r="H192">
        <f>(E192+E187)*G192</f>
      </c>
      <c r="I192">
        <f>(F192+F187)*G192</f>
      </c>
    </row>
    <row r="193" spans="2:9" x14ac:dyDescent="0.25">
      <c r="B193">
        <v>9</v>
      </c>
      <c r="C193" t="s">
        <v>188</v>
      </c>
      <c r="G193" s="13">
        <f>D187*ABS(SUM(G187:G192)/2)</f>
      </c>
      <c r="H193" s="13">
        <f>D187*SIGN(SUM(G187:G192))*SUM(H187:H192)/6</f>
      </c>
      <c r="I193" s="13">
        <f>D187*SIGN(SUM(G187:G192))*SUM(I187:I192)/6</f>
      </c>
    </row>
    <row r="194" spans="2:9" x14ac:dyDescent="0.25">
      <c r="B194">
        <v>9</v>
      </c>
      <c r="C194" t="s">
        <v>152</v>
      </c>
      <c r="D194">
        <v>-1</v>
      </c>
      <c r="E194" s="17">
        <v>250</v>
      </c>
      <c r="F194" s="17">
        <v>400</v>
      </c>
      <c r="G194">
        <f>E194*F195-E195*F194</f>
      </c>
      <c r="H194">
        <f>(E194+E195)*G194</f>
      </c>
      <c r="I194">
        <f>(F194+F195)*G194</f>
      </c>
    </row>
    <row r="195" spans="2:9" x14ac:dyDescent="0.25">
      <c r="B195">
        <v>9</v>
      </c>
      <c r="C195" t="s">
        <v>152</v>
      </c>
      <c r="D195">
        <v>-1</v>
      </c>
      <c r="E195" s="17">
        <v>450</v>
      </c>
      <c r="F195" s="17">
        <v>400</v>
      </c>
      <c r="G195">
        <f>E195*F196-E196*F195</f>
      </c>
      <c r="H195">
        <f>(E195+E196)*G195</f>
      </c>
      <c r="I195">
        <f>(F195+F196)*G195</f>
      </c>
    </row>
    <row r="196" spans="2:9" x14ac:dyDescent="0.25">
      <c r="B196">
        <v>9</v>
      </c>
      <c r="C196" t="s">
        <v>152</v>
      </c>
      <c r="D196">
        <v>-1</v>
      </c>
      <c r="E196" s="17">
        <v>550</v>
      </c>
      <c r="F196" s="17">
        <v>300</v>
      </c>
      <c r="G196">
        <f>E196*F197-E197*F196</f>
      </c>
      <c r="H196">
        <f>(E196+E197)*G196</f>
      </c>
      <c r="I196">
        <f>(F196+F197)*G196</f>
      </c>
    </row>
    <row r="197" spans="2:9" x14ac:dyDescent="0.25">
      <c r="B197">
        <v>9</v>
      </c>
      <c r="C197" t="s">
        <v>152</v>
      </c>
      <c r="D197">
        <v>-1</v>
      </c>
      <c r="E197" s="17">
        <v>550</v>
      </c>
      <c r="F197" s="17">
        <v>-300</v>
      </c>
      <c r="G197">
        <f>E197*F198-E198*F197</f>
      </c>
      <c r="H197">
        <f>(E197+E198)*G197</f>
      </c>
      <c r="I197">
        <f>(F197+F198)*G197</f>
      </c>
    </row>
    <row r="198" spans="2:9" x14ac:dyDescent="0.25">
      <c r="B198">
        <v>9</v>
      </c>
      <c r="C198" t="s">
        <v>152</v>
      </c>
      <c r="D198">
        <v>-1</v>
      </c>
      <c r="E198" s="17">
        <v>450</v>
      </c>
      <c r="F198" s="17">
        <v>-400</v>
      </c>
      <c r="G198">
        <f>E198*F199-E199*F198</f>
      </c>
      <c r="H198">
        <f>(E198+E199)*G198</f>
      </c>
      <c r="I198">
        <f>(F198+F199)*G198</f>
      </c>
    </row>
    <row r="199" spans="2:9" x14ac:dyDescent="0.25">
      <c r="B199">
        <v>9</v>
      </c>
      <c r="C199" t="s">
        <v>152</v>
      </c>
      <c r="D199">
        <v>-1</v>
      </c>
      <c r="E199" s="17">
        <v>250</v>
      </c>
      <c r="F199" s="17">
        <v>-400</v>
      </c>
      <c r="G199">
        <f>E199*F200-E200*F199</f>
      </c>
      <c r="H199">
        <f>(E199+E200)*G199</f>
      </c>
      <c r="I199">
        <f>(F199+F200)*G199</f>
      </c>
    </row>
    <row r="200" spans="2:9" x14ac:dyDescent="0.25">
      <c r="B200">
        <v>9</v>
      </c>
      <c r="C200" t="s">
        <v>152</v>
      </c>
      <c r="D200">
        <v>-1</v>
      </c>
      <c r="E200" s="17">
        <v>150</v>
      </c>
      <c r="F200" s="17">
        <v>-300</v>
      </c>
      <c r="G200">
        <f>E200*F201-E201*F200</f>
      </c>
      <c r="H200">
        <f>(E200+E201)*G200</f>
      </c>
      <c r="I200">
        <f>(F200+F201)*G200</f>
      </c>
    </row>
    <row r="201" spans="2:9" x14ac:dyDescent="0.25">
      <c r="B201">
        <v>9</v>
      </c>
      <c r="C201" t="s">
        <v>152</v>
      </c>
      <c r="D201">
        <v>-1</v>
      </c>
      <c r="E201" s="17">
        <v>150</v>
      </c>
      <c r="F201" s="17">
        <v>300</v>
      </c>
      <c r="G201">
        <f>E201*F194-E194*F201</f>
      </c>
      <c r="H201">
        <f>(E201+E194)*G201</f>
      </c>
      <c r="I201">
        <f>(F201+F194)*G201</f>
      </c>
    </row>
    <row r="202" spans="2:9" x14ac:dyDescent="0.25">
      <c r="B202">
        <v>9</v>
      </c>
      <c r="C202" t="s">
        <v>188</v>
      </c>
      <c r="G202" s="13">
        <f>D194*ABS(SUM(G194:G201)/2)</f>
      </c>
      <c r="H202" s="13">
        <f>D194*SIGN(SUM(G194:G201))*SUM(H194:H201)/6</f>
      </c>
      <c r="I202" s="13">
        <f>D194*SIGN(SUM(G194:G201))*SUM(I194:I201)/6</f>
      </c>
    </row>
    <row r="203" spans="2:9" x14ac:dyDescent="0.25">
      <c r="B203">
        <v>9</v>
      </c>
      <c r="C203" s="13" t="s">
        <v>189</v>
      </c>
      <c r="G203" s="14">
        <f>G193+G202</f>
      </c>
      <c r="H203" s="14">
        <f>H193+H202</f>
      </c>
      <c r="I203" s="14">
        <f>I193+I202</f>
      </c>
    </row>
    <row r="205" spans="2:9" x14ac:dyDescent="0.25">
      <c r="B205">
        <v>10</v>
      </c>
      <c r="C205" t="s">
        <v>149</v>
      </c>
      <c r="D205">
        <v>1</v>
      </c>
      <c r="E205" s="17">
        <v>281.67848422203383</v>
      </c>
      <c r="F205" s="17">
        <v>-600</v>
      </c>
      <c r="G205">
        <f>E205*F206-E206*F205</f>
      </c>
      <c r="H205">
        <f>(E205+E206)*G205</f>
      </c>
      <c r="I205">
        <f>(F205+F206)*G205</f>
      </c>
    </row>
    <row r="206" spans="2:9" x14ac:dyDescent="0.25">
      <c r="B206">
        <v>10</v>
      </c>
      <c r="C206" t="s">
        <v>149</v>
      </c>
      <c r="D206">
        <v>1</v>
      </c>
      <c r="E206" s="17">
        <v>550</v>
      </c>
      <c r="F206" s="17">
        <v>-600</v>
      </c>
      <c r="G206">
        <f>E206*F207-E207*F206</f>
      </c>
      <c r="H206">
        <f>(E206+E207)*G206</f>
      </c>
      <c r="I206">
        <f>(F206+F207)*G206</f>
      </c>
    </row>
    <row r="207" spans="2:9" x14ac:dyDescent="0.25">
      <c r="B207">
        <v>10</v>
      </c>
      <c r="C207" t="s">
        <v>149</v>
      </c>
      <c r="D207">
        <v>1</v>
      </c>
      <c r="E207" s="17">
        <v>750</v>
      </c>
      <c r="F207" s="17">
        <v>-400</v>
      </c>
      <c r="G207">
        <f>E207*F208-E208*F207</f>
      </c>
      <c r="H207">
        <f>(E207+E208)*G207</f>
      </c>
      <c r="I207">
        <f>(F207+F208)*G207</f>
      </c>
    </row>
    <row r="208" spans="2:9" x14ac:dyDescent="0.25">
      <c r="B208">
        <v>10</v>
      </c>
      <c r="C208" t="s">
        <v>149</v>
      </c>
      <c r="D208">
        <v>1</v>
      </c>
      <c r="E208" s="17">
        <v>750</v>
      </c>
      <c r="F208" s="17">
        <v>400</v>
      </c>
      <c r="G208">
        <f>E208*F209-E209*F208</f>
      </c>
      <c r="H208">
        <f>(E208+E209)*G208</f>
      </c>
      <c r="I208">
        <f>(F208+F209)*G208</f>
      </c>
    </row>
    <row r="209" spans="2:9" x14ac:dyDescent="0.25">
      <c r="B209">
        <v>10</v>
      </c>
      <c r="C209" t="s">
        <v>149</v>
      </c>
      <c r="D209">
        <v>1</v>
      </c>
      <c r="E209" s="17">
        <v>550</v>
      </c>
      <c r="F209" s="17">
        <v>600</v>
      </c>
      <c r="G209">
        <f>E209*F210-E210*F209</f>
      </c>
      <c r="H209">
        <f>(E209+E210)*G209</f>
      </c>
      <c r="I209">
        <f>(F209+F210)*G209</f>
      </c>
    </row>
    <row r="210" spans="2:9" x14ac:dyDescent="0.25">
      <c r="B210">
        <v>10</v>
      </c>
      <c r="C210" t="s">
        <v>149</v>
      </c>
      <c r="D210">
        <v>1</v>
      </c>
      <c r="E210" s="17">
        <v>-39.86054669531313</v>
      </c>
      <c r="F210" s="17">
        <v>600</v>
      </c>
      <c r="G210">
        <f>E210*F205-E205*F210</f>
      </c>
      <c r="H210">
        <f>(E210+E205)*G210</f>
      </c>
      <c r="I210">
        <f>(F210+F205)*G210</f>
      </c>
    </row>
    <row r="211" spans="2:9" x14ac:dyDescent="0.25">
      <c r="B211">
        <v>10</v>
      </c>
      <c r="C211" t="s">
        <v>188</v>
      </c>
      <c r="G211" s="13">
        <f>D205*ABS(SUM(G205:G210)/2)</f>
      </c>
      <c r="H211" s="13">
        <f>D205*SIGN(SUM(G205:G210))*SUM(H205:H210)/6</f>
      </c>
      <c r="I211" s="13">
        <f>D205*SIGN(SUM(G205:G210))*SUM(I205:I210)/6</f>
      </c>
    </row>
    <row r="212" spans="2:9" x14ac:dyDescent="0.25">
      <c r="B212">
        <v>10</v>
      </c>
      <c r="C212" t="s">
        <v>152</v>
      </c>
      <c r="D212">
        <v>-1</v>
      </c>
      <c r="E212" s="17">
        <v>250</v>
      </c>
      <c r="F212" s="17">
        <v>400</v>
      </c>
      <c r="G212">
        <f>E212*F213-E213*F212</f>
      </c>
      <c r="H212">
        <f>(E212+E213)*G212</f>
      </c>
      <c r="I212">
        <f>(F212+F213)*G212</f>
      </c>
    </row>
    <row r="213" spans="2:9" x14ac:dyDescent="0.25">
      <c r="B213">
        <v>10</v>
      </c>
      <c r="C213" t="s">
        <v>152</v>
      </c>
      <c r="D213">
        <v>-1</v>
      </c>
      <c r="E213" s="17">
        <v>450</v>
      </c>
      <c r="F213" s="17">
        <v>400</v>
      </c>
      <c r="G213">
        <f>E213*F214-E214*F213</f>
      </c>
      <c r="H213">
        <f>(E213+E214)*G213</f>
      </c>
      <c r="I213">
        <f>(F213+F214)*G213</f>
      </c>
    </row>
    <row r="214" spans="2:9" x14ac:dyDescent="0.25">
      <c r="B214">
        <v>10</v>
      </c>
      <c r="C214" t="s">
        <v>152</v>
      </c>
      <c r="D214">
        <v>-1</v>
      </c>
      <c r="E214" s="17">
        <v>550</v>
      </c>
      <c r="F214" s="17">
        <v>300</v>
      </c>
      <c r="G214">
        <f>E214*F215-E215*F214</f>
      </c>
      <c r="H214">
        <f>(E214+E215)*G214</f>
      </c>
      <c r="I214">
        <f>(F214+F215)*G214</f>
      </c>
    </row>
    <row r="215" spans="2:9" x14ac:dyDescent="0.25">
      <c r="B215">
        <v>10</v>
      </c>
      <c r="C215" t="s">
        <v>152</v>
      </c>
      <c r="D215">
        <v>-1</v>
      </c>
      <c r="E215" s="17">
        <v>550</v>
      </c>
      <c r="F215" s="17">
        <v>-300</v>
      </c>
      <c r="G215">
        <f>E215*F216-E216*F215</f>
      </c>
      <c r="H215">
        <f>(E215+E216)*G215</f>
      </c>
      <c r="I215">
        <f>(F215+F216)*G215</f>
      </c>
    </row>
    <row r="216" spans="2:9" x14ac:dyDescent="0.25">
      <c r="B216">
        <v>10</v>
      </c>
      <c r="C216" t="s">
        <v>152</v>
      </c>
      <c r="D216">
        <v>-1</v>
      </c>
      <c r="E216" s="17">
        <v>450</v>
      </c>
      <c r="F216" s="17">
        <v>-400</v>
      </c>
      <c r="G216">
        <f>E216*F217-E217*F216</f>
      </c>
      <c r="H216">
        <f>(E216+E217)*G216</f>
      </c>
      <c r="I216">
        <f>(F216+F217)*G216</f>
      </c>
    </row>
    <row r="217" spans="2:9" x14ac:dyDescent="0.25">
      <c r="B217">
        <v>10</v>
      </c>
      <c r="C217" t="s">
        <v>152</v>
      </c>
      <c r="D217">
        <v>-1</v>
      </c>
      <c r="E217" s="17">
        <v>250</v>
      </c>
      <c r="F217" s="17">
        <v>-400</v>
      </c>
      <c r="G217">
        <f>E217*F218-E218*F217</f>
      </c>
      <c r="H217">
        <f>(E217+E218)*G217</f>
      </c>
      <c r="I217">
        <f>(F217+F218)*G217</f>
      </c>
    </row>
    <row r="218" spans="2:9" x14ac:dyDescent="0.25">
      <c r="B218">
        <v>10</v>
      </c>
      <c r="C218" t="s">
        <v>152</v>
      </c>
      <c r="D218">
        <v>-1</v>
      </c>
      <c r="E218" s="17">
        <v>220.06853344379496</v>
      </c>
      <c r="F218" s="17">
        <v>-370.06853344379493</v>
      </c>
      <c r="G218">
        <f>E218*F219-E219*F218</f>
      </c>
      <c r="H218">
        <f>(E218+E219)*G218</f>
      </c>
      <c r="I218">
        <f>(F218+F219)*G218</f>
      </c>
    </row>
    <row r="219" spans="2:9" x14ac:dyDescent="0.25">
      <c r="B219">
        <v>10</v>
      </c>
      <c r="C219" t="s">
        <v>152</v>
      </c>
      <c r="D219">
        <v>-1</v>
      </c>
      <c r="E219" s="17">
        <v>150</v>
      </c>
      <c r="F219" s="17">
        <v>-108.56920661971279</v>
      </c>
      <c r="G219">
        <f>E219*F220-E220*F219</f>
      </c>
      <c r="H219">
        <f>(E219+E220)*G219</f>
      </c>
      <c r="I219">
        <f>(F219+F220)*G219</f>
      </c>
    </row>
    <row r="220" spans="2:9" x14ac:dyDescent="0.25">
      <c r="B220">
        <v>10</v>
      </c>
      <c r="C220" t="s">
        <v>152</v>
      </c>
      <c r="D220">
        <v>-1</v>
      </c>
      <c r="E220" s="17">
        <v>150</v>
      </c>
      <c r="F220" s="17">
        <v>300</v>
      </c>
      <c r="G220">
        <f>E220*F212-E212*F220</f>
      </c>
      <c r="H220">
        <f>(E220+E212)*G220</f>
      </c>
      <c r="I220">
        <f>(F220+F212)*G220</f>
      </c>
    </row>
    <row r="221" spans="2:9" x14ac:dyDescent="0.25">
      <c r="B221">
        <v>10</v>
      </c>
      <c r="C221" t="s">
        <v>188</v>
      </c>
      <c r="G221" s="13">
        <f>D212*ABS(SUM(G212:G220)/2)</f>
      </c>
      <c r="H221" s="13">
        <f>D212*SIGN(SUM(G212:G220))*SUM(H212:H220)/6</f>
      </c>
      <c r="I221" s="13">
        <f>D212*SIGN(SUM(G212:G220))*SUM(I212:I220)/6</f>
      </c>
    </row>
    <row r="222" spans="2:9" x14ac:dyDescent="0.25">
      <c r="B222">
        <v>10</v>
      </c>
      <c r="C222" s="13" t="s">
        <v>189</v>
      </c>
      <c r="G222" s="14">
        <f>G211+G221</f>
      </c>
      <c r="H222" s="14">
        <f>H211+H221</f>
      </c>
      <c r="I222" s="14">
        <f>I211+I221</f>
      </c>
    </row>
    <row r="224" spans="2:9" x14ac:dyDescent="0.25">
      <c r="B224">
        <v>11</v>
      </c>
      <c r="C224" t="s">
        <v>149</v>
      </c>
      <c r="D224">
        <v>1</v>
      </c>
      <c r="E224" s="17">
        <v>340.1126674132313</v>
      </c>
      <c r="F224" s="17">
        <v>-600</v>
      </c>
      <c r="G224">
        <f>E224*F225-E225*F224</f>
      </c>
      <c r="H224">
        <f>(E224+E225)*G224</f>
      </c>
      <c r="I224">
        <f>(F224+F225)*G224</f>
      </c>
    </row>
    <row r="225" spans="2:9" x14ac:dyDescent="0.25">
      <c r="B225">
        <v>11</v>
      </c>
      <c r="C225" t="s">
        <v>149</v>
      </c>
      <c r="D225">
        <v>1</v>
      </c>
      <c r="E225" s="17">
        <v>550</v>
      </c>
      <c r="F225" s="17">
        <v>-600</v>
      </c>
      <c r="G225">
        <f>E225*F226-E226*F225</f>
      </c>
      <c r="H225">
        <f>(E225+E226)*G225</f>
      </c>
      <c r="I225">
        <f>(F225+F226)*G225</f>
      </c>
    </row>
    <row r="226" spans="2:9" x14ac:dyDescent="0.25">
      <c r="B226">
        <v>11</v>
      </c>
      <c r="C226" t="s">
        <v>149</v>
      </c>
      <c r="D226">
        <v>1</v>
      </c>
      <c r="E226" s="17">
        <v>750</v>
      </c>
      <c r="F226" s="17">
        <v>-400</v>
      </c>
      <c r="G226">
        <f>E226*F227-E227*F226</f>
      </c>
      <c r="H226">
        <f>(E226+E227)*G226</f>
      </c>
      <c r="I226">
        <f>(F226+F227)*G226</f>
      </c>
    </row>
    <row r="227" spans="2:9" x14ac:dyDescent="0.25">
      <c r="B227">
        <v>11</v>
      </c>
      <c r="C227" t="s">
        <v>149</v>
      </c>
      <c r="D227">
        <v>1</v>
      </c>
      <c r="E227" s="17">
        <v>750</v>
      </c>
      <c r="F227" s="17">
        <v>400</v>
      </c>
      <c r="G227">
        <f>E227*F228-E228*F227</f>
      </c>
      <c r="H227">
        <f>(E227+E228)*G227</f>
      </c>
      <c r="I227">
        <f>(F227+F228)*G227</f>
      </c>
    </row>
    <row r="228" spans="2:9" x14ac:dyDescent="0.25">
      <c r="B228">
        <v>11</v>
      </c>
      <c r="C228" t="s">
        <v>149</v>
      </c>
      <c r="D228">
        <v>1</v>
      </c>
      <c r="E228" s="17">
        <v>550</v>
      </c>
      <c r="F228" s="17">
        <v>600</v>
      </c>
      <c r="G228">
        <f>E228*F229-E229*F228</f>
      </c>
      <c r="H228">
        <f>(E228+E229)*G228</f>
      </c>
      <c r="I228">
        <f>(F228+F229)*G228</f>
      </c>
    </row>
    <row r="229" spans="2:9" x14ac:dyDescent="0.25">
      <c r="B229">
        <v>11</v>
      </c>
      <c r="C229" t="s">
        <v>149</v>
      </c>
      <c r="D229">
        <v>1</v>
      </c>
      <c r="E229" s="17">
        <v>18.57363649588433</v>
      </c>
      <c r="F229" s="17">
        <v>600</v>
      </c>
      <c r="G229">
        <f>E229*F224-E224*F229</f>
      </c>
      <c r="H229">
        <f>(E229+E224)*G229</f>
      </c>
      <c r="I229">
        <f>(F229+F224)*G229</f>
      </c>
    </row>
    <row r="230" spans="2:9" x14ac:dyDescent="0.25">
      <c r="B230">
        <v>11</v>
      </c>
      <c r="C230" t="s">
        <v>188</v>
      </c>
      <c r="G230" s="13">
        <f>D224*ABS(SUM(G224:G229)/2)</f>
      </c>
      <c r="H230" s="13">
        <f>D224*SIGN(SUM(G224:G229))*SUM(H224:H229)/6</f>
      </c>
      <c r="I230" s="13">
        <f>D224*SIGN(SUM(G224:G229))*SUM(I224:I229)/6</f>
      </c>
    </row>
    <row r="231" spans="2:9" x14ac:dyDescent="0.25">
      <c r="B231">
        <v>11</v>
      </c>
      <c r="C231" t="s">
        <v>152</v>
      </c>
      <c r="D231">
        <v>-1</v>
      </c>
      <c r="E231" s="17">
        <v>250</v>
      </c>
      <c r="F231" s="17">
        <v>400</v>
      </c>
      <c r="G231">
        <f>E231*F232-E232*F231</f>
      </c>
      <c r="H231">
        <f>(E231+E232)*G231</f>
      </c>
      <c r="I231">
        <f>(F231+F232)*G231</f>
      </c>
    </row>
    <row r="232" spans="2:9" x14ac:dyDescent="0.25">
      <c r="B232">
        <v>11</v>
      </c>
      <c r="C232" t="s">
        <v>152</v>
      </c>
      <c r="D232">
        <v>-1</v>
      </c>
      <c r="E232" s="17">
        <v>450</v>
      </c>
      <c r="F232" s="17">
        <v>400</v>
      </c>
      <c r="G232">
        <f>E232*F233-E233*F232</f>
      </c>
      <c r="H232">
        <f>(E232+E233)*G232</f>
      </c>
      <c r="I232">
        <f>(F232+F233)*G232</f>
      </c>
    </row>
    <row r="233" spans="2:9" x14ac:dyDescent="0.25">
      <c r="B233">
        <v>11</v>
      </c>
      <c r="C233" t="s">
        <v>152</v>
      </c>
      <c r="D233">
        <v>-1</v>
      </c>
      <c r="E233" s="17">
        <v>550</v>
      </c>
      <c r="F233" s="17">
        <v>300</v>
      </c>
      <c r="G233">
        <f>E233*F234-E234*F233</f>
      </c>
      <c r="H233">
        <f>(E233+E234)*G233</f>
      </c>
      <c r="I233">
        <f>(F233+F234)*G233</f>
      </c>
    </row>
    <row r="234" spans="2:9" x14ac:dyDescent="0.25">
      <c r="B234">
        <v>11</v>
      </c>
      <c r="C234" t="s">
        <v>152</v>
      </c>
      <c r="D234">
        <v>-1</v>
      </c>
      <c r="E234" s="17">
        <v>550</v>
      </c>
      <c r="F234" s="17">
        <v>-300</v>
      </c>
      <c r="G234">
        <f>E234*F235-E235*F234</f>
      </c>
      <c r="H234">
        <f>(E234+E235)*G234</f>
      </c>
      <c r="I234">
        <f>(F234+F235)*G234</f>
      </c>
    </row>
    <row r="235" spans="2:9" x14ac:dyDescent="0.25">
      <c r="B235">
        <v>11</v>
      </c>
      <c r="C235" t="s">
        <v>152</v>
      </c>
      <c r="D235">
        <v>-1</v>
      </c>
      <c r="E235" s="17">
        <v>450</v>
      </c>
      <c r="F235" s="17">
        <v>-400</v>
      </c>
      <c r="G235">
        <f>E235*F236-E236*F235</f>
      </c>
      <c r="H235">
        <f>(E235+E236)*G235</f>
      </c>
      <c r="I235">
        <f>(F235+F236)*G235</f>
      </c>
    </row>
    <row r="236" spans="2:9" x14ac:dyDescent="0.25">
      <c r="B236">
        <v>11</v>
      </c>
      <c r="C236" t="s">
        <v>152</v>
      </c>
      <c r="D236">
        <v>-1</v>
      </c>
      <c r="E236" s="17">
        <v>286.52282892700674</v>
      </c>
      <c r="F236" s="17">
        <v>-400</v>
      </c>
      <c r="G236">
        <f>E236*F237-E237*F236</f>
      </c>
      <c r="H236">
        <f>(E236+E237)*G236</f>
      </c>
      <c r="I236">
        <f>(F236+F237)*G236</f>
      </c>
    </row>
    <row r="237" spans="2:9" x14ac:dyDescent="0.25">
      <c r="B237">
        <v>11</v>
      </c>
      <c r="C237" t="s">
        <v>152</v>
      </c>
      <c r="D237">
        <v>-1</v>
      </c>
      <c r="E237" s="17">
        <v>150</v>
      </c>
      <c r="F237" s="17">
        <v>109.51013394862383</v>
      </c>
      <c r="G237">
        <f>E237*F238-E238*F237</f>
      </c>
      <c r="H237">
        <f>(E237+E238)*G237</f>
      </c>
      <c r="I237">
        <f>(F237+F238)*G237</f>
      </c>
    </row>
    <row r="238" spans="2:9" x14ac:dyDescent="0.25">
      <c r="B238">
        <v>11</v>
      </c>
      <c r="C238" t="s">
        <v>152</v>
      </c>
      <c r="D238">
        <v>-1</v>
      </c>
      <c r="E238" s="17">
        <v>150</v>
      </c>
      <c r="F238" s="17">
        <v>300</v>
      </c>
      <c r="G238">
        <f>E238*F231-E231*F238</f>
      </c>
      <c r="H238">
        <f>(E238+E231)*G238</f>
      </c>
      <c r="I238">
        <f>(F238+F231)*G238</f>
      </c>
    </row>
    <row r="239" spans="2:9" x14ac:dyDescent="0.25">
      <c r="B239">
        <v>11</v>
      </c>
      <c r="C239" t="s">
        <v>188</v>
      </c>
      <c r="G239" s="13">
        <f>D231*ABS(SUM(G231:G238)/2)</f>
      </c>
      <c r="H239" s="13">
        <f>D231*SIGN(SUM(G231:G238))*SUM(H231:H238)/6</f>
      </c>
      <c r="I239" s="13">
        <f>D231*SIGN(SUM(G231:G238))*SUM(I231:I238)/6</f>
      </c>
    </row>
    <row r="240" spans="2:9" x14ac:dyDescent="0.25">
      <c r="B240">
        <v>11</v>
      </c>
      <c r="C240" s="13" t="s">
        <v>189</v>
      </c>
      <c r="G240" s="14">
        <f>G230+G239</f>
      </c>
      <c r="H240" s="14">
        <f>H230+H239</f>
      </c>
      <c r="I240" s="14">
        <f>I230+I239</f>
      </c>
    </row>
    <row r="242" spans="2:9" x14ac:dyDescent="0.25">
      <c r="B242">
        <v>12</v>
      </c>
      <c r="C242" t="s">
        <v>149</v>
      </c>
      <c r="D242">
        <v>1</v>
      </c>
      <c r="E242" s="17">
        <v>389.9535883704292</v>
      </c>
      <c r="F242" s="17">
        <v>-600</v>
      </c>
      <c r="G242">
        <f>E242*F243-E243*F242</f>
      </c>
      <c r="H242">
        <f>(E242+E243)*G242</f>
      </c>
      <c r="I242">
        <f>(F242+F243)*G242</f>
      </c>
    </row>
    <row r="243" spans="2:9" x14ac:dyDescent="0.25">
      <c r="B243">
        <v>12</v>
      </c>
      <c r="C243" t="s">
        <v>149</v>
      </c>
      <c r="D243">
        <v>1</v>
      </c>
      <c r="E243" s="17">
        <v>550</v>
      </c>
      <c r="F243" s="17">
        <v>-600</v>
      </c>
      <c r="G243">
        <f>E243*F244-E244*F243</f>
      </c>
      <c r="H243">
        <f>(E243+E244)*G243</f>
      </c>
      <c r="I243">
        <f>(F243+F244)*G243</f>
      </c>
    </row>
    <row r="244" spans="2:9" x14ac:dyDescent="0.25">
      <c r="B244">
        <v>12</v>
      </c>
      <c r="C244" t="s">
        <v>149</v>
      </c>
      <c r="D244">
        <v>1</v>
      </c>
      <c r="E244" s="17">
        <v>750</v>
      </c>
      <c r="F244" s="17">
        <v>-400</v>
      </c>
      <c r="G244">
        <f>E244*F245-E245*F244</f>
      </c>
      <c r="H244">
        <f>(E244+E245)*G244</f>
      </c>
      <c r="I244">
        <f>(F244+F245)*G244</f>
      </c>
    </row>
    <row r="245" spans="2:9" x14ac:dyDescent="0.25">
      <c r="B245">
        <v>12</v>
      </c>
      <c r="C245" t="s">
        <v>149</v>
      </c>
      <c r="D245">
        <v>1</v>
      </c>
      <c r="E245" s="17">
        <v>750</v>
      </c>
      <c r="F245" s="17">
        <v>400</v>
      </c>
      <c r="G245">
        <f>E245*F246-E246*F245</f>
      </c>
      <c r="H245">
        <f>(E245+E246)*G245</f>
      </c>
      <c r="I245">
        <f>(F245+F246)*G245</f>
      </c>
    </row>
    <row r="246" spans="2:9" x14ac:dyDescent="0.25">
      <c r="B246">
        <v>12</v>
      </c>
      <c r="C246" t="s">
        <v>149</v>
      </c>
      <c r="D246">
        <v>1</v>
      </c>
      <c r="E246" s="17">
        <v>550</v>
      </c>
      <c r="F246" s="17">
        <v>600</v>
      </c>
      <c r="G246">
        <f>E246*F247-E247*F246</f>
      </c>
      <c r="H246">
        <f>(E246+E247)*G246</f>
      </c>
      <c r="I246">
        <f>(F246+F247)*G246</f>
      </c>
    </row>
    <row r="247" spans="2:9" x14ac:dyDescent="0.25">
      <c r="B247">
        <v>12</v>
      </c>
      <c r="C247" t="s">
        <v>149</v>
      </c>
      <c r="D247">
        <v>1</v>
      </c>
      <c r="E247" s="17">
        <v>68.4145574530823</v>
      </c>
      <c r="F247" s="17">
        <v>600</v>
      </c>
      <c r="G247">
        <f>E247*F242-E242*F247</f>
      </c>
      <c r="H247">
        <f>(E247+E242)*G247</f>
      </c>
      <c r="I247">
        <f>(F247+F242)*G247</f>
      </c>
    </row>
    <row r="248" spans="2:9" x14ac:dyDescent="0.25">
      <c r="B248">
        <v>12</v>
      </c>
      <c r="C248" t="s">
        <v>188</v>
      </c>
      <c r="G248" s="13">
        <f>D242*ABS(SUM(G242:G247)/2)</f>
      </c>
      <c r="H248" s="13">
        <f>D242*SIGN(SUM(G242:G247))*SUM(H242:H247)/6</f>
      </c>
      <c r="I248" s="13">
        <f>D242*SIGN(SUM(G242:G247))*SUM(I242:I247)/6</f>
      </c>
    </row>
    <row r="249" spans="2:9" x14ac:dyDescent="0.25">
      <c r="B249">
        <v>12</v>
      </c>
      <c r="C249" t="s">
        <v>152</v>
      </c>
      <c r="D249">
        <v>-1</v>
      </c>
      <c r="E249" s="17">
        <v>250</v>
      </c>
      <c r="F249" s="17">
        <v>400</v>
      </c>
      <c r="G249">
        <f>E249*F250-E250*F249</f>
      </c>
      <c r="H249">
        <f>(E249+E250)*G249</f>
      </c>
      <c r="I249">
        <f>(F249+F250)*G249</f>
      </c>
    </row>
    <row r="250" spans="2:9" x14ac:dyDescent="0.25">
      <c r="B250">
        <v>12</v>
      </c>
      <c r="C250" t="s">
        <v>152</v>
      </c>
      <c r="D250">
        <v>-1</v>
      </c>
      <c r="E250" s="17">
        <v>450</v>
      </c>
      <c r="F250" s="17">
        <v>400</v>
      </c>
      <c r="G250">
        <f>E250*F251-E251*F250</f>
      </c>
      <c r="H250">
        <f>(E250+E251)*G250</f>
      </c>
      <c r="I250">
        <f>(F250+F251)*G250</f>
      </c>
    </row>
    <row r="251" spans="2:9" x14ac:dyDescent="0.25">
      <c r="B251">
        <v>12</v>
      </c>
      <c r="C251" t="s">
        <v>152</v>
      </c>
      <c r="D251">
        <v>-1</v>
      </c>
      <c r="E251" s="17">
        <v>550</v>
      </c>
      <c r="F251" s="17">
        <v>300</v>
      </c>
      <c r="G251">
        <f>E251*F252-E252*F251</f>
      </c>
      <c r="H251">
        <f>(E251+E252)*G251</f>
      </c>
      <c r="I251">
        <f>(F251+F252)*G251</f>
      </c>
    </row>
    <row r="252" spans="2:9" x14ac:dyDescent="0.25">
      <c r="B252">
        <v>12</v>
      </c>
      <c r="C252" t="s">
        <v>152</v>
      </c>
      <c r="D252">
        <v>-1</v>
      </c>
      <c r="E252" s="17">
        <v>550</v>
      </c>
      <c r="F252" s="17">
        <v>-300</v>
      </c>
      <c r="G252">
        <f>E252*F253-E253*F252</f>
      </c>
      <c r="H252">
        <f>(E252+E253)*G252</f>
      </c>
      <c r="I252">
        <f>(F252+F253)*G252</f>
      </c>
    </row>
    <row r="253" spans="2:9" x14ac:dyDescent="0.25">
      <c r="B253">
        <v>12</v>
      </c>
      <c r="C253" t="s">
        <v>152</v>
      </c>
      <c r="D253">
        <v>-1</v>
      </c>
      <c r="E253" s="17">
        <v>450</v>
      </c>
      <c r="F253" s="17">
        <v>-400</v>
      </c>
      <c r="G253">
        <f>E253*F254-E254*F253</f>
      </c>
      <c r="H253">
        <f>(E253+E254)*G253</f>
      </c>
      <c r="I253">
        <f>(F253+F254)*G253</f>
      </c>
    </row>
    <row r="254" spans="2:9" x14ac:dyDescent="0.25">
      <c r="B254">
        <v>12</v>
      </c>
      <c r="C254" t="s">
        <v>152</v>
      </c>
      <c r="D254">
        <v>-1</v>
      </c>
      <c r="E254" s="17">
        <v>336.3637498842047</v>
      </c>
      <c r="F254" s="17">
        <v>-400</v>
      </c>
      <c r="G254">
        <f>E254*F255-E255*F254</f>
      </c>
      <c r="H254">
        <f>(E254+E255)*G254</f>
      </c>
      <c r="I254">
        <f>(F254+F255)*G254</f>
      </c>
    </row>
    <row r="255" spans="2:9" x14ac:dyDescent="0.25">
      <c r="B255">
        <v>12</v>
      </c>
      <c r="C255" t="s">
        <v>152</v>
      </c>
      <c r="D255">
        <v>-1</v>
      </c>
      <c r="E255" s="17">
        <v>150</v>
      </c>
      <c r="F255" s="17">
        <v>295.51898325691127</v>
      </c>
      <c r="G255">
        <f>E255*F256-E256*F255</f>
      </c>
      <c r="H255">
        <f>(E255+E256)*G255</f>
      </c>
      <c r="I255">
        <f>(F255+F256)*G255</f>
      </c>
    </row>
    <row r="256" spans="2:9" x14ac:dyDescent="0.25">
      <c r="B256">
        <v>12</v>
      </c>
      <c r="C256" t="s">
        <v>152</v>
      </c>
      <c r="D256">
        <v>-1</v>
      </c>
      <c r="E256" s="17">
        <v>150</v>
      </c>
      <c r="F256" s="17">
        <v>300</v>
      </c>
      <c r="G256">
        <f>E256*F249-E249*F256</f>
      </c>
      <c r="H256">
        <f>(E256+E249)*G256</f>
      </c>
      <c r="I256">
        <f>(F256+F249)*G256</f>
      </c>
    </row>
    <row r="257" spans="2:9" x14ac:dyDescent="0.25">
      <c r="B257">
        <v>12</v>
      </c>
      <c r="C257" t="s">
        <v>188</v>
      </c>
      <c r="G257" s="13">
        <f>D249*ABS(SUM(G249:G256)/2)</f>
      </c>
      <c r="H257" s="13">
        <f>D249*SIGN(SUM(G249:G256))*SUM(H249:H256)/6</f>
      </c>
      <c r="I257" s="13">
        <f>D249*SIGN(SUM(G249:G256))*SUM(I249:I256)/6</f>
      </c>
    </row>
    <row r="258" spans="2:9" x14ac:dyDescent="0.25">
      <c r="B258">
        <v>12</v>
      </c>
      <c r="C258" s="13" t="s">
        <v>189</v>
      </c>
      <c r="G258" s="14">
        <f>G248+G257</f>
      </c>
      <c r="H258" s="14">
        <f>H248+H257</f>
      </c>
      <c r="I258" s="14">
        <f>I248+I257</f>
      </c>
    </row>
    <row r="260" spans="2:9" x14ac:dyDescent="0.25">
      <c r="B260">
        <v>13</v>
      </c>
      <c r="C260" t="s">
        <v>149</v>
      </c>
      <c r="D260">
        <v>1</v>
      </c>
      <c r="E260" s="17">
        <v>432.9669859088327</v>
      </c>
      <c r="F260" s="17">
        <v>-600</v>
      </c>
      <c r="G260">
        <f>E260*F261-E261*F260</f>
      </c>
      <c r="H260">
        <f>(E260+E261)*G260</f>
      </c>
      <c r="I260">
        <f>(F260+F261)*G260</f>
      </c>
    </row>
    <row r="261" spans="2:9" x14ac:dyDescent="0.25">
      <c r="B261">
        <v>13</v>
      </c>
      <c r="C261" t="s">
        <v>149</v>
      </c>
      <c r="D261">
        <v>1</v>
      </c>
      <c r="E261" s="17">
        <v>550</v>
      </c>
      <c r="F261" s="17">
        <v>-600</v>
      </c>
      <c r="G261">
        <f>E261*F262-E262*F261</f>
      </c>
      <c r="H261">
        <f>(E261+E262)*G261</f>
      </c>
      <c r="I261">
        <f>(F261+F262)*G261</f>
      </c>
    </row>
    <row r="262" spans="2:9" x14ac:dyDescent="0.25">
      <c r="B262">
        <v>13</v>
      </c>
      <c r="C262" t="s">
        <v>149</v>
      </c>
      <c r="D262">
        <v>1</v>
      </c>
      <c r="E262" s="17">
        <v>750</v>
      </c>
      <c r="F262" s="17">
        <v>-400</v>
      </c>
      <c r="G262">
        <f>E262*F263-E263*F262</f>
      </c>
      <c r="H262">
        <f>(E262+E263)*G262</f>
      </c>
      <c r="I262">
        <f>(F262+F263)*G262</f>
      </c>
    </row>
    <row r="263" spans="2:9" x14ac:dyDescent="0.25">
      <c r="B263">
        <v>13</v>
      </c>
      <c r="C263" t="s">
        <v>149</v>
      </c>
      <c r="D263">
        <v>1</v>
      </c>
      <c r="E263" s="17">
        <v>750</v>
      </c>
      <c r="F263" s="17">
        <v>400</v>
      </c>
      <c r="G263">
        <f>E263*F264-E264*F263</f>
      </c>
      <c r="H263">
        <f>(E263+E264)*G263</f>
      </c>
      <c r="I263">
        <f>(F263+F264)*G263</f>
      </c>
    </row>
    <row r="264" spans="2:9" x14ac:dyDescent="0.25">
      <c r="B264">
        <v>13</v>
      </c>
      <c r="C264" t="s">
        <v>149</v>
      </c>
      <c r="D264">
        <v>1</v>
      </c>
      <c r="E264" s="17">
        <v>550</v>
      </c>
      <c r="F264" s="17">
        <v>600</v>
      </c>
      <c r="G264">
        <f>E264*F265-E265*F264</f>
      </c>
      <c r="H264">
        <f>(E264+E265)*G264</f>
      </c>
      <c r="I264">
        <f>(F264+F265)*G264</f>
      </c>
    </row>
    <row r="265" spans="2:9" x14ac:dyDescent="0.25">
      <c r="B265">
        <v>13</v>
      </c>
      <c r="C265" t="s">
        <v>149</v>
      </c>
      <c r="D265">
        <v>1</v>
      </c>
      <c r="E265" s="17">
        <v>111.42795499148576</v>
      </c>
      <c r="F265" s="17">
        <v>600</v>
      </c>
      <c r="G265">
        <f>E265*F260-E260*F265</f>
      </c>
      <c r="H265">
        <f>(E265+E260)*G265</f>
      </c>
      <c r="I265">
        <f>(F265+F260)*G265</f>
      </c>
    </row>
    <row r="266" spans="2:9" x14ac:dyDescent="0.25">
      <c r="B266">
        <v>13</v>
      </c>
      <c r="C266" t="s">
        <v>188</v>
      </c>
      <c r="G266" s="13">
        <f>D260*ABS(SUM(G260:G265)/2)</f>
      </c>
      <c r="H266" s="13">
        <f>D260*SIGN(SUM(G260:G265))*SUM(H260:H265)/6</f>
      </c>
      <c r="I266" s="13">
        <f>D260*SIGN(SUM(G260:G265))*SUM(I260:I265)/6</f>
      </c>
    </row>
    <row r="267" spans="2:9" x14ac:dyDescent="0.25">
      <c r="B267">
        <v>13</v>
      </c>
      <c r="C267" t="s">
        <v>152</v>
      </c>
      <c r="D267">
        <v>-1</v>
      </c>
      <c r="E267" s="17">
        <v>250</v>
      </c>
      <c r="F267" s="17">
        <v>400</v>
      </c>
      <c r="G267">
        <f>E267*F268-E268*F267</f>
      </c>
      <c r="H267">
        <f>(E267+E268)*G267</f>
      </c>
      <c r="I267">
        <f>(F267+F268)*G267</f>
      </c>
    </row>
    <row r="268" spans="2:9" x14ac:dyDescent="0.25">
      <c r="B268">
        <v>13</v>
      </c>
      <c r="C268" t="s">
        <v>152</v>
      </c>
      <c r="D268">
        <v>-1</v>
      </c>
      <c r="E268" s="17">
        <v>450</v>
      </c>
      <c r="F268" s="17">
        <v>400</v>
      </c>
      <c r="G268">
        <f>E268*F269-E269*F268</f>
      </c>
      <c r="H268">
        <f>(E268+E269)*G268</f>
      </c>
      <c r="I268">
        <f>(F268+F269)*G268</f>
      </c>
    </row>
    <row r="269" spans="2:9" x14ac:dyDescent="0.25">
      <c r="B269">
        <v>13</v>
      </c>
      <c r="C269" t="s">
        <v>152</v>
      </c>
      <c r="D269">
        <v>-1</v>
      </c>
      <c r="E269" s="17">
        <v>550</v>
      </c>
      <c r="F269" s="17">
        <v>300</v>
      </c>
      <c r="G269">
        <f>E269*F270-E270*F269</f>
      </c>
      <c r="H269">
        <f>(E269+E270)*G269</f>
      </c>
      <c r="I269">
        <f>(F269+F270)*G269</f>
      </c>
    </row>
    <row r="270" spans="2:9" x14ac:dyDescent="0.25">
      <c r="B270">
        <v>13</v>
      </c>
      <c r="C270" t="s">
        <v>152</v>
      </c>
      <c r="D270">
        <v>-1</v>
      </c>
      <c r="E270" s="17">
        <v>550</v>
      </c>
      <c r="F270" s="17">
        <v>-300</v>
      </c>
      <c r="G270">
        <f>E270*F271-E271*F270</f>
      </c>
      <c r="H270">
        <f>(E270+E271)*G270</f>
      </c>
      <c r="I270">
        <f>(F270+F271)*G270</f>
      </c>
    </row>
    <row r="271" spans="2:9" x14ac:dyDescent="0.25">
      <c r="B271">
        <v>13</v>
      </c>
      <c r="C271" t="s">
        <v>152</v>
      </c>
      <c r="D271">
        <v>-1</v>
      </c>
      <c r="E271" s="17">
        <v>450</v>
      </c>
      <c r="F271" s="17">
        <v>-400</v>
      </c>
      <c r="G271">
        <f>E271*F272-E272*F271</f>
      </c>
      <c r="H271">
        <f>(E271+E272)*G271</f>
      </c>
      <c r="I271">
        <f>(F271+F272)*G271</f>
      </c>
    </row>
    <row r="272" spans="2:9" x14ac:dyDescent="0.25">
      <c r="B272">
        <v>13</v>
      </c>
      <c r="C272" t="s">
        <v>152</v>
      </c>
      <c r="D272">
        <v>-1</v>
      </c>
      <c r="E272" s="17">
        <v>379.37714742260823</v>
      </c>
      <c r="F272" s="17">
        <v>-400</v>
      </c>
      <c r="G272">
        <f>E272*F273-E273*F272</f>
      </c>
      <c r="H272">
        <f>(E272+E273)*G272</f>
      </c>
      <c r="I272">
        <f>(F272+F273)*G272</f>
      </c>
    </row>
    <row r="273" spans="2:9" x14ac:dyDescent="0.25">
      <c r="B273">
        <v>13</v>
      </c>
      <c r="C273" t="s">
        <v>152</v>
      </c>
      <c r="D273">
        <v>-1</v>
      </c>
      <c r="E273" s="17">
        <v>182.97664683286897</v>
      </c>
      <c r="F273" s="17">
        <v>332.97664683286894</v>
      </c>
      <c r="G273">
        <f>E273*F267-E267*F273</f>
      </c>
      <c r="H273">
        <f>(E273+E267)*G273</f>
      </c>
      <c r="I273">
        <f>(F273+F267)*G273</f>
      </c>
    </row>
    <row r="274" spans="2:9" x14ac:dyDescent="0.25">
      <c r="B274">
        <v>13</v>
      </c>
      <c r="C274" t="s">
        <v>188</v>
      </c>
      <c r="G274" s="13">
        <f>D267*ABS(SUM(G267:G273)/2)</f>
      </c>
      <c r="H274" s="13">
        <f>D267*SIGN(SUM(G267:G273))*SUM(H267:H273)/6</f>
      </c>
      <c r="I274" s="13">
        <f>D267*SIGN(SUM(G267:G273))*SUM(I267:I273)/6</f>
      </c>
    </row>
    <row r="275" spans="2:9" x14ac:dyDescent="0.25">
      <c r="B275">
        <v>13</v>
      </c>
      <c r="C275" s="13" t="s">
        <v>189</v>
      </c>
      <c r="G275" s="14">
        <f>G266+G274</f>
      </c>
      <c r="H275" s="14">
        <f>H266+H274</f>
      </c>
      <c r="I275" s="14">
        <f>I266+I274</f>
      </c>
    </row>
    <row r="277" spans="2:9" x14ac:dyDescent="0.25">
      <c r="B277">
        <v>14</v>
      </c>
      <c r="C277" t="s">
        <v>149</v>
      </c>
      <c r="D277">
        <v>1</v>
      </c>
      <c r="E277" s="17">
        <v>503.446769827181</v>
      </c>
      <c r="F277" s="17">
        <v>-600</v>
      </c>
      <c r="G277">
        <f>E277*F278-E278*F277</f>
      </c>
      <c r="H277">
        <f>(E277+E278)*G277</f>
      </c>
      <c r="I277">
        <f>(F277+F278)*G277</f>
      </c>
    </row>
    <row r="278" spans="2:9" x14ac:dyDescent="0.25">
      <c r="B278">
        <v>14</v>
      </c>
      <c r="C278" t="s">
        <v>149</v>
      </c>
      <c r="D278">
        <v>1</v>
      </c>
      <c r="E278" s="17">
        <v>550</v>
      </c>
      <c r="F278" s="17">
        <v>-600</v>
      </c>
      <c r="G278">
        <f>E278*F279-E279*F278</f>
      </c>
      <c r="H278">
        <f>(E278+E279)*G278</f>
      </c>
      <c r="I278">
        <f>(F278+F279)*G278</f>
      </c>
    </row>
    <row r="279" spans="2:9" x14ac:dyDescent="0.25">
      <c r="B279">
        <v>14</v>
      </c>
      <c r="C279" t="s">
        <v>149</v>
      </c>
      <c r="D279">
        <v>1</v>
      </c>
      <c r="E279" s="17">
        <v>750</v>
      </c>
      <c r="F279" s="17">
        <v>-400</v>
      </c>
      <c r="G279">
        <f>E279*F280-E280*F279</f>
      </c>
      <c r="H279">
        <f>(E279+E280)*G279</f>
      </c>
      <c r="I279">
        <f>(F279+F280)*G279</f>
      </c>
    </row>
    <row r="280" spans="2:9" x14ac:dyDescent="0.25">
      <c r="B280">
        <v>14</v>
      </c>
      <c r="C280" t="s">
        <v>149</v>
      </c>
      <c r="D280">
        <v>1</v>
      </c>
      <c r="E280" s="17">
        <v>750</v>
      </c>
      <c r="F280" s="17">
        <v>400</v>
      </c>
      <c r="G280">
        <f>E280*F281-E281*F280</f>
      </c>
      <c r="H280">
        <f>(E280+E281)*G280</f>
      </c>
      <c r="I280">
        <f>(F280+F281)*G280</f>
      </c>
    </row>
    <row r="281" spans="2:9" x14ac:dyDescent="0.25">
      <c r="B281">
        <v>14</v>
      </c>
      <c r="C281" t="s">
        <v>149</v>
      </c>
      <c r="D281">
        <v>1</v>
      </c>
      <c r="E281" s="17">
        <v>550</v>
      </c>
      <c r="F281" s="17">
        <v>600</v>
      </c>
      <c r="G281">
        <f>E281*F282-E282*F281</f>
      </c>
      <c r="H281">
        <f>(E281+E282)*G281</f>
      </c>
      <c r="I281">
        <f>(F281+F282)*G281</f>
      </c>
    </row>
    <row r="282" spans="2:9" x14ac:dyDescent="0.25">
      <c r="B282">
        <v>14</v>
      </c>
      <c r="C282" t="s">
        <v>149</v>
      </c>
      <c r="D282">
        <v>1</v>
      </c>
      <c r="E282" s="17">
        <v>181.90773890983405</v>
      </c>
      <c r="F282" s="17">
        <v>600</v>
      </c>
      <c r="G282">
        <f>E282*F277-E277*F282</f>
      </c>
      <c r="H282">
        <f>(E282+E277)*G282</f>
      </c>
      <c r="I282">
        <f>(F282+F277)*G282</f>
      </c>
    </row>
    <row r="283" spans="2:9" x14ac:dyDescent="0.25">
      <c r="B283">
        <v>14</v>
      </c>
      <c r="C283" t="s">
        <v>188</v>
      </c>
      <c r="G283" s="13">
        <f>D277*ABS(SUM(G277:G282)/2)</f>
      </c>
      <c r="H283" s="13">
        <f>D277*SIGN(SUM(G277:G282))*SUM(H277:H282)/6</f>
      </c>
      <c r="I283" s="13">
        <f>D277*SIGN(SUM(G277:G282))*SUM(I277:I282)/6</f>
      </c>
    </row>
    <row r="284" spans="2:9" x14ac:dyDescent="0.25">
      <c r="B284">
        <v>14</v>
      </c>
      <c r="C284" t="s">
        <v>152</v>
      </c>
      <c r="D284">
        <v>-1</v>
      </c>
      <c r="E284" s="17">
        <v>250</v>
      </c>
      <c r="F284" s="17">
        <v>400</v>
      </c>
      <c r="G284">
        <f>E284*F285-E285*F284</f>
      </c>
      <c r="H284">
        <f>(E284+E285)*G284</f>
      </c>
      <c r="I284">
        <f>(F284+F285)*G284</f>
      </c>
    </row>
    <row r="285" spans="2:9" x14ac:dyDescent="0.25">
      <c r="B285">
        <v>14</v>
      </c>
      <c r="C285" t="s">
        <v>152</v>
      </c>
      <c r="D285">
        <v>-1</v>
      </c>
      <c r="E285" s="17">
        <v>450</v>
      </c>
      <c r="F285" s="17">
        <v>400</v>
      </c>
      <c r="G285">
        <f>E285*F286-E286*F285</f>
      </c>
      <c r="H285">
        <f>(E285+E286)*G285</f>
      </c>
      <c r="I285">
        <f>(F285+F286)*G285</f>
      </c>
    </row>
    <row r="286" spans="2:9" x14ac:dyDescent="0.25">
      <c r="B286">
        <v>14</v>
      </c>
      <c r="C286" t="s">
        <v>152</v>
      </c>
      <c r="D286">
        <v>-1</v>
      </c>
      <c r="E286" s="17">
        <v>550</v>
      </c>
      <c r="F286" s="17">
        <v>300</v>
      </c>
      <c r="G286">
        <f>E286*F287-E287*F286</f>
      </c>
      <c r="H286">
        <f>(E286+E287)*G286</f>
      </c>
      <c r="I286">
        <f>(F286+F287)*G286</f>
      </c>
    </row>
    <row r="287" spans="2:9" x14ac:dyDescent="0.25">
      <c r="B287">
        <v>14</v>
      </c>
      <c r="C287" t="s">
        <v>152</v>
      </c>
      <c r="D287">
        <v>-1</v>
      </c>
      <c r="E287" s="17">
        <v>550</v>
      </c>
      <c r="F287" s="17">
        <v>-300</v>
      </c>
      <c r="G287">
        <f>E287*F288-E288*F287</f>
      </c>
      <c r="H287">
        <f>(E287+E288)*G287</f>
      </c>
      <c r="I287">
        <f>(F287+F288)*G287</f>
      </c>
    </row>
    <row r="288" spans="2:9" x14ac:dyDescent="0.25">
      <c r="B288">
        <v>14</v>
      </c>
      <c r="C288" t="s">
        <v>152</v>
      </c>
      <c r="D288">
        <v>-1</v>
      </c>
      <c r="E288" s="17">
        <v>450</v>
      </c>
      <c r="F288" s="17">
        <v>-400</v>
      </c>
      <c r="G288">
        <f>E288*F289-E289*F288</f>
      </c>
      <c r="H288">
        <f>(E288+E289)*G288</f>
      </c>
      <c r="I288">
        <f>(F288+F289)*G288</f>
      </c>
    </row>
    <row r="289" spans="2:9" x14ac:dyDescent="0.25">
      <c r="B289">
        <v>14</v>
      </c>
      <c r="C289" t="s">
        <v>152</v>
      </c>
      <c r="D289">
        <v>-1</v>
      </c>
      <c r="E289" s="17">
        <v>449.85693134095646</v>
      </c>
      <c r="F289" s="17">
        <v>-400</v>
      </c>
      <c r="G289">
        <f>E289*F290-E290*F289</f>
      </c>
      <c r="H289">
        <f>(E289+E290)*G289</f>
      </c>
      <c r="I289">
        <f>(F289+F290)*G289</f>
      </c>
    </row>
    <row r="290" spans="2:9" x14ac:dyDescent="0.25">
      <c r="B290">
        <v>14</v>
      </c>
      <c r="C290" t="s">
        <v>152</v>
      </c>
      <c r="D290">
        <v>-1</v>
      </c>
      <c r="E290" s="17">
        <v>238.5622999008856</v>
      </c>
      <c r="F290" s="17">
        <v>388.5622999008856</v>
      </c>
      <c r="G290">
        <f>E290*F284-E284*F290</f>
      </c>
      <c r="H290">
        <f>(E290+E284)*G290</f>
      </c>
      <c r="I290">
        <f>(F290+F284)*G290</f>
      </c>
    </row>
    <row r="291" spans="2:9" x14ac:dyDescent="0.25">
      <c r="B291">
        <v>14</v>
      </c>
      <c r="C291" t="s">
        <v>188</v>
      </c>
      <c r="G291" s="13">
        <f>D284*ABS(SUM(G284:G290)/2)</f>
      </c>
      <c r="H291" s="13">
        <f>D284*SIGN(SUM(G284:G290))*SUM(H284:H290)/6</f>
      </c>
      <c r="I291" s="13">
        <f>D284*SIGN(SUM(G284:G290))*SUM(I284:I290)/6</f>
      </c>
    </row>
    <row r="292" spans="2:9" x14ac:dyDescent="0.25">
      <c r="B292">
        <v>14</v>
      </c>
      <c r="C292" s="13" t="s">
        <v>189</v>
      </c>
      <c r="G292" s="14">
        <f>G283+G291</f>
      </c>
      <c r="H292" s="14">
        <f>H283+H291</f>
      </c>
      <c r="I292" s="14">
        <f>I283+I291</f>
      </c>
    </row>
    <row r="294" spans="2:9" x14ac:dyDescent="0.25">
      <c r="B294">
        <v>15</v>
      </c>
      <c r="C294" t="s">
        <v>149</v>
      </c>
      <c r="D294">
        <v>1</v>
      </c>
      <c r="E294" s="17">
        <v>556.9163741100502</v>
      </c>
      <c r="F294" s="17">
        <v>-593.0836258899498</v>
      </c>
      <c r="G294">
        <f>E294*F295-E295*F294</f>
      </c>
      <c r="H294">
        <f>(E294+E295)*G294</f>
      </c>
      <c r="I294">
        <f>(F294+F295)*G294</f>
      </c>
    </row>
    <row r="295" spans="2:9" x14ac:dyDescent="0.25">
      <c r="B295">
        <v>15</v>
      </c>
      <c r="C295" t="s">
        <v>149</v>
      </c>
      <c r="D295">
        <v>1</v>
      </c>
      <c r="E295" s="17">
        <v>750</v>
      </c>
      <c r="F295" s="17">
        <v>-400</v>
      </c>
      <c r="G295">
        <f>E295*F296-E296*F295</f>
      </c>
      <c r="H295">
        <f>(E295+E296)*G295</f>
      </c>
      <c r="I295">
        <f>(F295+F296)*G295</f>
      </c>
    </row>
    <row r="296" spans="2:9" x14ac:dyDescent="0.25">
      <c r="B296">
        <v>15</v>
      </c>
      <c r="C296" t="s">
        <v>149</v>
      </c>
      <c r="D296">
        <v>1</v>
      </c>
      <c r="E296" s="17">
        <v>750</v>
      </c>
      <c r="F296" s="17">
        <v>400</v>
      </c>
      <c r="G296">
        <f>E296*F297-E297*F296</f>
      </c>
      <c r="H296">
        <f>(E296+E297)*G296</f>
      </c>
      <c r="I296">
        <f>(F296+F297)*G296</f>
      </c>
    </row>
    <row r="297" spans="2:9" x14ac:dyDescent="0.25">
      <c r="B297">
        <v>15</v>
      </c>
      <c r="C297" t="s">
        <v>149</v>
      </c>
      <c r="D297">
        <v>1</v>
      </c>
      <c r="E297" s="17">
        <v>550</v>
      </c>
      <c r="F297" s="17">
        <v>600</v>
      </c>
      <c r="G297">
        <f>E297*F298-E298*F297</f>
      </c>
      <c r="H297">
        <f>(E297+E298)*G297</f>
      </c>
      <c r="I297">
        <f>(F297+F298)*G297</f>
      </c>
    </row>
    <row r="298" spans="2:9" x14ac:dyDescent="0.25">
      <c r="B298">
        <v>15</v>
      </c>
      <c r="C298" t="s">
        <v>149</v>
      </c>
      <c r="D298">
        <v>1</v>
      </c>
      <c r="E298" s="17">
        <v>237.23058005004282</v>
      </c>
      <c r="F298" s="17">
        <v>600</v>
      </c>
      <c r="G298">
        <f>E298*F294-E294*F298</f>
      </c>
      <c r="H298">
        <f>(E298+E294)*G298</f>
      </c>
      <c r="I298">
        <f>(F298+F294)*G298</f>
      </c>
    </row>
    <row r="299" spans="2:9" x14ac:dyDescent="0.25">
      <c r="B299">
        <v>15</v>
      </c>
      <c r="C299" t="s">
        <v>188</v>
      </c>
      <c r="G299" s="13">
        <f>D294*ABS(SUM(G294:G298)/2)</f>
      </c>
      <c r="H299" s="13">
        <f>D294*SIGN(SUM(G294:G298))*SUM(H294:H298)/6</f>
      </c>
      <c r="I299" s="13">
        <f>D294*SIGN(SUM(G294:G298))*SUM(I294:I298)/6</f>
      </c>
    </row>
    <row r="300" spans="2:9" x14ac:dyDescent="0.25">
      <c r="B300">
        <v>15</v>
      </c>
      <c r="C300" t="s">
        <v>152</v>
      </c>
      <c r="D300">
        <v>-1</v>
      </c>
      <c r="E300" s="17">
        <v>290.8204185362673</v>
      </c>
      <c r="F300" s="17">
        <v>400</v>
      </c>
      <c r="G300">
        <f>E300*F301-E301*F300</f>
      </c>
      <c r="H300">
        <f>(E300+E301)*G300</f>
      </c>
      <c r="I300">
        <f>(F300+F301)*G300</f>
      </c>
    </row>
    <row r="301" spans="2:9" x14ac:dyDescent="0.25">
      <c r="B301">
        <v>15</v>
      </c>
      <c r="C301" t="s">
        <v>152</v>
      </c>
      <c r="D301">
        <v>-1</v>
      </c>
      <c r="E301" s="17">
        <v>450</v>
      </c>
      <c r="F301" s="17">
        <v>400</v>
      </c>
      <c r="G301">
        <f>E301*F302-E302*F301</f>
      </c>
      <c r="H301">
        <f>(E301+E302)*G301</f>
      </c>
      <c r="I301">
        <f>(F301+F302)*G301</f>
      </c>
    </row>
    <row r="302" spans="2:9" x14ac:dyDescent="0.25">
      <c r="B302">
        <v>15</v>
      </c>
      <c r="C302" t="s">
        <v>152</v>
      </c>
      <c r="D302">
        <v>-1</v>
      </c>
      <c r="E302" s="17">
        <v>550</v>
      </c>
      <c r="F302" s="17">
        <v>300</v>
      </c>
      <c r="G302">
        <f>E302*F303-E303*F302</f>
      </c>
      <c r="H302">
        <f>(E302+E303)*G302</f>
      </c>
      <c r="I302">
        <f>(F302+F303)*G302</f>
      </c>
    </row>
    <row r="303" spans="2:9" x14ac:dyDescent="0.25">
      <c r="B303">
        <v>15</v>
      </c>
      <c r="C303" t="s">
        <v>152</v>
      </c>
      <c r="D303">
        <v>-1</v>
      </c>
      <c r="E303" s="17">
        <v>550</v>
      </c>
      <c r="F303" s="17">
        <v>-300</v>
      </c>
      <c r="G303">
        <f>E303*F304-E304*F303</f>
      </c>
      <c r="H303">
        <f>(E303+E304)*G303</f>
      </c>
      <c r="I303">
        <f>(F303+F304)*G303</f>
      </c>
    </row>
    <row r="304" spans="2:9" x14ac:dyDescent="0.25">
      <c r="B304">
        <v>15</v>
      </c>
      <c r="C304" t="s">
        <v>152</v>
      </c>
      <c r="D304">
        <v>-1</v>
      </c>
      <c r="E304" s="17">
        <v>493.51891448849415</v>
      </c>
      <c r="F304" s="17">
        <v>-356.48108551150585</v>
      </c>
      <c r="G304">
        <f>E304*F300-E300*F304</f>
      </c>
      <c r="H304">
        <f>(E304+E300)*G304</f>
      </c>
      <c r="I304">
        <f>(F304+F300)*G304</f>
      </c>
    </row>
    <row r="305" spans="2:9" x14ac:dyDescent="0.25">
      <c r="B305">
        <v>15</v>
      </c>
      <c r="C305" t="s">
        <v>188</v>
      </c>
      <c r="G305" s="13">
        <f>D300*ABS(SUM(G300:G304)/2)</f>
      </c>
      <c r="H305" s="13">
        <f>D300*SIGN(SUM(G300:G304))*SUM(H300:H304)/6</f>
      </c>
      <c r="I305" s="13">
        <f>D300*SIGN(SUM(G300:G304))*SUM(I300:I304)/6</f>
      </c>
    </row>
    <row r="306" spans="2:9" x14ac:dyDescent="0.25">
      <c r="B306">
        <v>15</v>
      </c>
      <c r="C306" s="13" t="s">
        <v>189</v>
      </c>
      <c r="G306" s="14">
        <f>G299+G305</f>
      </c>
      <c r="H306" s="14">
        <f>H299+H305</f>
      </c>
      <c r="I306" s="14">
        <f>I299+I305</f>
      </c>
    </row>
    <row r="308" spans="2:9" x14ac:dyDescent="0.25">
      <c r="B308">
        <v>16</v>
      </c>
      <c r="C308" t="s">
        <v>149</v>
      </c>
      <c r="D308">
        <v>1</v>
      </c>
      <c r="E308" s="17">
        <v>621.0125720240501</v>
      </c>
      <c r="F308" s="17">
        <v>-528.9874279759499</v>
      </c>
      <c r="G308">
        <f>E308*F309-E309*F308</f>
      </c>
      <c r="H308">
        <f>(E308+E309)*G308</f>
      </c>
      <c r="I308">
        <f>(F308+F309)*G308</f>
      </c>
    </row>
    <row r="309" spans="2:9" x14ac:dyDescent="0.25">
      <c r="B309">
        <v>16</v>
      </c>
      <c r="C309" t="s">
        <v>149</v>
      </c>
      <c r="D309">
        <v>1</v>
      </c>
      <c r="E309" s="17">
        <v>750</v>
      </c>
      <c r="F309" s="17">
        <v>-400</v>
      </c>
      <c r="G309">
        <f>E309*F310-E310*F309</f>
      </c>
      <c r="H309">
        <f>(E309+E310)*G309</f>
      </c>
      <c r="I309">
        <f>(F309+F310)*G309</f>
      </c>
    </row>
    <row r="310" spans="2:9" x14ac:dyDescent="0.25">
      <c r="B310">
        <v>16</v>
      </c>
      <c r="C310" t="s">
        <v>149</v>
      </c>
      <c r="D310">
        <v>1</v>
      </c>
      <c r="E310" s="17">
        <v>750</v>
      </c>
      <c r="F310" s="17">
        <v>400</v>
      </c>
      <c r="G310">
        <f>E310*F311-E311*F310</f>
      </c>
      <c r="H310">
        <f>(E310+E311)*G310</f>
      </c>
      <c r="I310">
        <f>(F310+F311)*G310</f>
      </c>
    </row>
    <row r="311" spans="2:9" x14ac:dyDescent="0.25">
      <c r="B311">
        <v>16</v>
      </c>
      <c r="C311" t="s">
        <v>149</v>
      </c>
      <c r="D311">
        <v>1</v>
      </c>
      <c r="E311" s="17">
        <v>550</v>
      </c>
      <c r="F311" s="17">
        <v>600</v>
      </c>
      <c r="G311">
        <f>E311*F312-E312*F311</f>
      </c>
      <c r="H311">
        <f>(E311+E312)*G311</f>
      </c>
      <c r="I311">
        <f>(F311+F312)*G311</f>
      </c>
    </row>
    <row r="312" spans="2:9" x14ac:dyDescent="0.25">
      <c r="B312">
        <v>16</v>
      </c>
      <c r="C312" t="s">
        <v>149</v>
      </c>
      <c r="D312">
        <v>1</v>
      </c>
      <c r="E312" s="17">
        <v>318.5013024330043</v>
      </c>
      <c r="F312" s="17">
        <v>600</v>
      </c>
      <c r="G312">
        <f>E312*F308-E308*F312</f>
      </c>
      <c r="H312">
        <f>(E312+E308)*G312</f>
      </c>
      <c r="I312">
        <f>(F312+F308)*G312</f>
      </c>
    </row>
    <row r="313" spans="2:9" x14ac:dyDescent="0.25">
      <c r="B313">
        <v>16</v>
      </c>
      <c r="C313" t="s">
        <v>188</v>
      </c>
      <c r="G313" s="13">
        <f>D308*ABS(SUM(G308:G312)/2)</f>
      </c>
      <c r="H313" s="13">
        <f>D308*SIGN(SUM(G308:G312))*SUM(H308:H312)/6</f>
      </c>
      <c r="I313" s="13">
        <f>D308*SIGN(SUM(G308:G312))*SUM(I308:I312)/6</f>
      </c>
    </row>
    <row r="314" spans="2:9" x14ac:dyDescent="0.25">
      <c r="B314">
        <v>16</v>
      </c>
      <c r="C314" t="s">
        <v>152</v>
      </c>
      <c r="D314">
        <v>-1</v>
      </c>
      <c r="E314" s="17">
        <v>372.0911409192288</v>
      </c>
      <c r="F314" s="17">
        <v>400</v>
      </c>
      <c r="G314">
        <f>E314*F315-E315*F314</f>
      </c>
      <c r="H314">
        <f>(E314+E315)*G314</f>
      </c>
      <c r="I314">
        <f>(F314+F315)*G314</f>
      </c>
    </row>
    <row r="315" spans="2:9" x14ac:dyDescent="0.25">
      <c r="B315">
        <v>16</v>
      </c>
      <c r="C315" t="s">
        <v>152</v>
      </c>
      <c r="D315">
        <v>-1</v>
      </c>
      <c r="E315" s="17">
        <v>450</v>
      </c>
      <c r="F315" s="17">
        <v>400</v>
      </c>
      <c r="G315">
        <f>E315*F316-E316*F315</f>
      </c>
      <c r="H315">
        <f>(E315+E316)*G315</f>
      </c>
      <c r="I315">
        <f>(F315+F316)*G315</f>
      </c>
    </row>
    <row r="316" spans="2:9" x14ac:dyDescent="0.25">
      <c r="B316">
        <v>16</v>
      </c>
      <c r="C316" t="s">
        <v>152</v>
      </c>
      <c r="D316">
        <v>-1</v>
      </c>
      <c r="E316" s="17">
        <v>550</v>
      </c>
      <c r="F316" s="17">
        <v>300</v>
      </c>
      <c r="G316">
        <f>E316*F317-E317*F316</f>
      </c>
      <c r="H316">
        <f>(E316+E317)*G316</f>
      </c>
      <c r="I316">
        <f>(F316+F317)*G316</f>
      </c>
    </row>
    <row r="317" spans="2:9" x14ac:dyDescent="0.25">
      <c r="B317">
        <v>16</v>
      </c>
      <c r="C317" t="s">
        <v>152</v>
      </c>
      <c r="D317">
        <v>-1</v>
      </c>
      <c r="E317" s="17">
        <v>550</v>
      </c>
      <c r="F317" s="17">
        <v>-263.9649012060504</v>
      </c>
      <c r="G317">
        <f>E317*F314-E314*F317</f>
      </c>
      <c r="H317">
        <f>(E317+E314)*G317</f>
      </c>
      <c r="I317">
        <f>(F317+F314)*G317</f>
      </c>
    </row>
    <row r="318" spans="2:9" x14ac:dyDescent="0.25">
      <c r="B318">
        <v>16</v>
      </c>
      <c r="C318" t="s">
        <v>188</v>
      </c>
      <c r="G318" s="13">
        <f>D314*ABS(SUM(G314:G317)/2)</f>
      </c>
      <c r="H318" s="13">
        <f>D314*SIGN(SUM(G314:G317))*SUM(H314:H317)/6</f>
      </c>
      <c r="I318" s="13">
        <f>D314*SIGN(SUM(G314:G317))*SUM(I314:I317)/6</f>
      </c>
    </row>
    <row r="319" spans="2:9" x14ac:dyDescent="0.25">
      <c r="B319">
        <v>16</v>
      </c>
      <c r="C319" s="13" t="s">
        <v>189</v>
      </c>
      <c r="G319" s="14">
        <f>G313+G318</f>
      </c>
      <c r="H319" s="14">
        <f>H313+H318</f>
      </c>
      <c r="I319" s="14">
        <f>I313+I318</f>
      </c>
    </row>
    <row r="321" spans="2:9" x14ac:dyDescent="0.25">
      <c r="B321">
        <v>17</v>
      </c>
      <c r="C321" t="s">
        <v>149</v>
      </c>
      <c r="D321">
        <v>1</v>
      </c>
      <c r="E321" s="17">
        <v>665.8317179338394</v>
      </c>
      <c r="F321" s="17">
        <v>-484.1682820661606</v>
      </c>
      <c r="G321">
        <f>E321*F322-E322*F321</f>
      </c>
      <c r="H321">
        <f>(E321+E322)*G321</f>
      </c>
      <c r="I321">
        <f>(F321+F322)*G321</f>
      </c>
    </row>
    <row r="322" spans="2:9" x14ac:dyDescent="0.25">
      <c r="B322">
        <v>17</v>
      </c>
      <c r="C322" t="s">
        <v>149</v>
      </c>
      <c r="D322">
        <v>1</v>
      </c>
      <c r="E322" s="17">
        <v>750</v>
      </c>
      <c r="F322" s="17">
        <v>-400</v>
      </c>
      <c r="G322">
        <f>E322*F323-E323*F322</f>
      </c>
      <c r="H322">
        <f>(E322+E323)*G322</f>
      </c>
      <c r="I322">
        <f>(F322+F323)*G322</f>
      </c>
    </row>
    <row r="323" spans="2:9" x14ac:dyDescent="0.25">
      <c r="B323">
        <v>17</v>
      </c>
      <c r="C323" t="s">
        <v>149</v>
      </c>
      <c r="D323">
        <v>1</v>
      </c>
      <c r="E323" s="17">
        <v>750</v>
      </c>
      <c r="F323" s="17">
        <v>400</v>
      </c>
      <c r="G323">
        <f>E323*F324-E324*F323</f>
      </c>
      <c r="H323">
        <f>(E323+E324)*G323</f>
      </c>
      <c r="I323">
        <f>(F323+F324)*G323</f>
      </c>
    </row>
    <row r="324" spans="2:9" x14ac:dyDescent="0.25">
      <c r="B324">
        <v>17</v>
      </c>
      <c r="C324" t="s">
        <v>149</v>
      </c>
      <c r="D324">
        <v>1</v>
      </c>
      <c r="E324" s="17">
        <v>550</v>
      </c>
      <c r="F324" s="17">
        <v>600</v>
      </c>
      <c r="G324">
        <f>E324*F325-E325*F324</f>
      </c>
      <c r="H324">
        <f>(E324+E325)*G324</f>
      </c>
      <c r="I324">
        <f>(F324+F325)*G324</f>
      </c>
    </row>
    <row r="325" spans="2:9" x14ac:dyDescent="0.25">
      <c r="B325">
        <v>17</v>
      </c>
      <c r="C325" t="s">
        <v>149</v>
      </c>
      <c r="D325">
        <v>1</v>
      </c>
      <c r="E325" s="17">
        <v>375.3297022947744</v>
      </c>
      <c r="F325" s="17">
        <v>600</v>
      </c>
      <c r="G325">
        <f>E325*F321-E321*F325</f>
      </c>
      <c r="H325">
        <f>(E325+E321)*G325</f>
      </c>
      <c r="I325">
        <f>(F325+F321)*G325</f>
      </c>
    </row>
    <row r="326" spans="2:9" x14ac:dyDescent="0.25">
      <c r="B326">
        <v>17</v>
      </c>
      <c r="C326" t="s">
        <v>188</v>
      </c>
      <c r="G326" s="13">
        <f>D321*ABS(SUM(G321:G325)/2)</f>
      </c>
      <c r="H326" s="13">
        <f>D321*SIGN(SUM(G321:G325))*SUM(H321:H325)/6</f>
      </c>
      <c r="I326" s="13">
        <f>D321*SIGN(SUM(G321:G325))*SUM(I321:I325)/6</f>
      </c>
    </row>
    <row r="327" spans="2:9" x14ac:dyDescent="0.25">
      <c r="B327">
        <v>17</v>
      </c>
      <c r="C327" t="s">
        <v>152</v>
      </c>
      <c r="D327">
        <v>-1</v>
      </c>
      <c r="E327" s="17">
        <v>428.9195407809989</v>
      </c>
      <c r="F327" s="17">
        <v>400</v>
      </c>
      <c r="G327">
        <f>E327*F328-E328*F327</f>
      </c>
      <c r="H327">
        <f>(E327+E328)*G327</f>
      </c>
      <c r="I327">
        <f>(F327+F328)*G327</f>
      </c>
    </row>
    <row r="328" spans="2:9" x14ac:dyDescent="0.25">
      <c r="B328">
        <v>17</v>
      </c>
      <c r="C328" t="s">
        <v>152</v>
      </c>
      <c r="D328">
        <v>-1</v>
      </c>
      <c r="E328" s="17">
        <v>450</v>
      </c>
      <c r="F328" s="17">
        <v>400</v>
      </c>
      <c r="G328">
        <f>E328*F329-E329*F328</f>
      </c>
      <c r="H328">
        <f>(E328+E329)*G328</f>
      </c>
      <c r="I328">
        <f>(F328+F329)*G328</f>
      </c>
    </row>
    <row r="329" spans="2:9" x14ac:dyDescent="0.25">
      <c r="B329">
        <v>17</v>
      </c>
      <c r="C329" t="s">
        <v>152</v>
      </c>
      <c r="D329">
        <v>-1</v>
      </c>
      <c r="E329" s="17">
        <v>550</v>
      </c>
      <c r="F329" s="17">
        <v>300</v>
      </c>
      <c r="G329">
        <f>E329*F330-E330*F329</f>
      </c>
      <c r="H329">
        <f>(E329+E330)*G329</f>
      </c>
      <c r="I329">
        <f>(F329+F330)*G329</f>
      </c>
    </row>
    <row r="330" spans="2:9" x14ac:dyDescent="0.25">
      <c r="B330">
        <v>17</v>
      </c>
      <c r="C330" t="s">
        <v>152</v>
      </c>
      <c r="D330">
        <v>-1</v>
      </c>
      <c r="E330" s="17">
        <v>550</v>
      </c>
      <c r="F330" s="17">
        <v>-51.87842560908416</v>
      </c>
      <c r="G330">
        <f>E330*F327-E327*F330</f>
      </c>
      <c r="H330">
        <f>(E330+E327)*G330</f>
      </c>
      <c r="I330">
        <f>(F330+F327)*G330</f>
      </c>
    </row>
    <row r="331" spans="2:9" x14ac:dyDescent="0.25">
      <c r="B331">
        <v>17</v>
      </c>
      <c r="C331" t="s">
        <v>188</v>
      </c>
      <c r="G331" s="13">
        <f>D327*ABS(SUM(G327:G330)/2)</f>
      </c>
      <c r="H331" s="13">
        <f>D327*SIGN(SUM(G327:G330))*SUM(H327:H330)/6</f>
      </c>
      <c r="I331" s="13">
        <f>D327*SIGN(SUM(G327:G330))*SUM(I327:I330)/6</f>
      </c>
    </row>
    <row r="332" spans="2:9" x14ac:dyDescent="0.25">
      <c r="B332">
        <v>17</v>
      </c>
      <c r="C332" s="13" t="s">
        <v>189</v>
      </c>
      <c r="G332" s="14">
        <f>G326+G331</f>
      </c>
      <c r="H332" s="14">
        <f>H326+H331</f>
      </c>
      <c r="I332" s="14">
        <f>I326+I331</f>
      </c>
    </row>
    <row r="334" spans="2:9" x14ac:dyDescent="0.25">
      <c r="B334">
        <v>18</v>
      </c>
      <c r="C334" t="s">
        <v>149</v>
      </c>
      <c r="D334">
        <v>1</v>
      </c>
      <c r="E334" s="17">
        <v>735.0197437235416</v>
      </c>
      <c r="F334" s="17">
        <v>-414.98025627645836</v>
      </c>
      <c r="G334">
        <f>E334*F335-E335*F334</f>
      </c>
      <c r="H334">
        <f>(E334+E335)*G334</f>
      </c>
      <c r="I334">
        <f>(F334+F335)*G334</f>
      </c>
    </row>
    <row r="335" spans="2:9" x14ac:dyDescent="0.25">
      <c r="B335">
        <v>18</v>
      </c>
      <c r="C335" t="s">
        <v>149</v>
      </c>
      <c r="D335">
        <v>1</v>
      </c>
      <c r="E335" s="17">
        <v>750</v>
      </c>
      <c r="F335" s="17">
        <v>-400</v>
      </c>
      <c r="G335">
        <f>E335*F336-E336*F335</f>
      </c>
      <c r="H335">
        <f>(E335+E336)*G335</f>
      </c>
      <c r="I335">
        <f>(F335+F336)*G335</f>
      </c>
    </row>
    <row r="336" spans="2:9" x14ac:dyDescent="0.25">
      <c r="B336">
        <v>18</v>
      </c>
      <c r="C336" t="s">
        <v>149</v>
      </c>
      <c r="D336">
        <v>1</v>
      </c>
      <c r="E336" s="17">
        <v>750</v>
      </c>
      <c r="F336" s="17">
        <v>400</v>
      </c>
      <c r="G336">
        <f>E336*F337-E337*F336</f>
      </c>
      <c r="H336">
        <f>(E336+E337)*G336</f>
      </c>
      <c r="I336">
        <f>(F336+F337)*G336</f>
      </c>
    </row>
    <row r="337" spans="2:9" x14ac:dyDescent="0.25">
      <c r="B337">
        <v>18</v>
      </c>
      <c r="C337" t="s">
        <v>149</v>
      </c>
      <c r="D337">
        <v>1</v>
      </c>
      <c r="E337" s="17">
        <v>550</v>
      </c>
      <c r="F337" s="17">
        <v>600</v>
      </c>
      <c r="G337">
        <f>E337*F338-E338*F337</f>
      </c>
      <c r="H337">
        <f>(E337+E338)*G337</f>
      </c>
      <c r="I337">
        <f>(F337+F338)*G337</f>
      </c>
    </row>
    <row r="338" spans="2:9" x14ac:dyDescent="0.25">
      <c r="B338">
        <v>18</v>
      </c>
      <c r="C338" t="s">
        <v>149</v>
      </c>
      <c r="D338">
        <v>1</v>
      </c>
      <c r="E338" s="17">
        <v>463.05660372073095</v>
      </c>
      <c r="F338" s="17">
        <v>600</v>
      </c>
      <c r="G338">
        <f>E338*F334-E334*F338</f>
      </c>
      <c r="H338">
        <f>(E338+E334)*G338</f>
      </c>
      <c r="I338">
        <f>(F338+F334)*G338</f>
      </c>
    </row>
    <row r="339" spans="2:9" x14ac:dyDescent="0.25">
      <c r="B339">
        <v>18</v>
      </c>
      <c r="C339" t="s">
        <v>188</v>
      </c>
      <c r="G339" s="13">
        <f>D334*ABS(SUM(G334:G338)/2)</f>
      </c>
      <c r="H339" s="13">
        <f>D334*SIGN(SUM(G334:G338))*SUM(H334:H338)/6</f>
      </c>
      <c r="I339" s="13">
        <f>D334*SIGN(SUM(G334:G338))*SUM(I334:I338)/6</f>
      </c>
    </row>
    <row r="340" spans="2:9" x14ac:dyDescent="0.25">
      <c r="B340">
        <v>18</v>
      </c>
      <c r="C340" t="s">
        <v>152</v>
      </c>
      <c r="D340">
        <v>-1</v>
      </c>
      <c r="E340" s="17">
        <v>541.0407331265526</v>
      </c>
      <c r="F340" s="17">
        <v>308.9592668734474</v>
      </c>
      <c r="G340">
        <f>E340*F341-E341*F340</f>
      </c>
      <c r="H340">
        <f>(E340+E341)*G340</f>
      </c>
      <c r="I340">
        <f>(F340+F341)*G340</f>
      </c>
    </row>
    <row r="341" spans="2:9" x14ac:dyDescent="0.25">
      <c r="B341">
        <v>18</v>
      </c>
      <c r="C341" t="s">
        <v>152</v>
      </c>
      <c r="D341">
        <v>-1</v>
      </c>
      <c r="E341" s="17">
        <v>550</v>
      </c>
      <c r="F341" s="17">
        <v>300</v>
      </c>
      <c r="G341">
        <f>E341*F342-E342*F341</f>
      </c>
      <c r="H341">
        <f>(E341+E342)*G341</f>
      </c>
      <c r="I341">
        <f>(F341+F342)*G341</f>
      </c>
    </row>
    <row r="342" spans="2:9" x14ac:dyDescent="0.25">
      <c r="B342">
        <v>18</v>
      </c>
      <c r="C342" t="s">
        <v>152</v>
      </c>
      <c r="D342">
        <v>-1</v>
      </c>
      <c r="E342" s="17">
        <v>550</v>
      </c>
      <c r="F342" s="17">
        <v>275.5228277031729</v>
      </c>
      <c r="G342">
        <f>E342*F340-E340*F342</f>
      </c>
      <c r="H342">
        <f>(E342+E340)*G342</f>
      </c>
      <c r="I342">
        <f>(F342+F340)*G342</f>
      </c>
    </row>
    <row r="343" spans="2:9" x14ac:dyDescent="0.25">
      <c r="B343">
        <v>18</v>
      </c>
      <c r="C343" t="s">
        <v>188</v>
      </c>
      <c r="G343" s="13">
        <f>D340*ABS(SUM(G340:G342)/2)</f>
      </c>
      <c r="H343" s="13">
        <f>D340*SIGN(SUM(G340:G342))*SUM(H340:H342)/6</f>
      </c>
      <c r="I343" s="13">
        <f>D340*SIGN(SUM(G340:G342))*SUM(I340:I342)/6</f>
      </c>
    </row>
    <row r="344" spans="2:9" x14ac:dyDescent="0.25">
      <c r="B344">
        <v>18</v>
      </c>
      <c r="C344" s="13" t="s">
        <v>189</v>
      </c>
      <c r="G344" s="14">
        <f>G339+G343</f>
      </c>
      <c r="H344" s="14">
        <f>H339+H343</f>
      </c>
      <c r="I344" s="14">
        <f>I339+I343</f>
      </c>
    </row>
    <row r="346" spans="2:9" x14ac:dyDescent="0.25">
      <c r="B346">
        <v>19</v>
      </c>
      <c r="C346" t="s">
        <v>149</v>
      </c>
      <c r="D346">
        <v>1</v>
      </c>
      <c r="E346" s="17">
        <v>750</v>
      </c>
      <c r="F346" s="17">
        <v>-284.0016398598304</v>
      </c>
      <c r="G346">
        <f>E346*F347-E347*F346</f>
      </c>
      <c r="H346">
        <f>(E346+E347)*G346</f>
      </c>
      <c r="I346">
        <f>(F346+F347)*G346</f>
      </c>
    </row>
    <row r="347" spans="2:9" x14ac:dyDescent="0.25">
      <c r="B347">
        <v>19</v>
      </c>
      <c r="C347" t="s">
        <v>149</v>
      </c>
      <c r="D347">
        <v>1</v>
      </c>
      <c r="E347" s="17">
        <v>750</v>
      </c>
      <c r="F347" s="17">
        <v>400</v>
      </c>
      <c r="G347">
        <f>E347*F348-E348*F347</f>
      </c>
      <c r="H347">
        <f>(E347+E348)*G347</f>
      </c>
      <c r="I347">
        <f>(F347+F348)*G347</f>
      </c>
    </row>
    <row r="348" spans="2:9" x14ac:dyDescent="0.25">
      <c r="B348">
        <v>19</v>
      </c>
      <c r="C348" t="s">
        <v>149</v>
      </c>
      <c r="D348">
        <v>1</v>
      </c>
      <c r="E348" s="17">
        <v>550</v>
      </c>
      <c r="F348" s="17">
        <v>600</v>
      </c>
      <c r="G348">
        <f>E348*F349-E349*F348</f>
      </c>
      <c r="H348">
        <f>(E348+E349)*G348</f>
      </c>
      <c r="I348">
        <f>(F348+F349)*G348</f>
      </c>
    </row>
    <row r="349" spans="2:9" x14ac:dyDescent="0.25">
      <c r="B349">
        <v>19</v>
      </c>
      <c r="C349" t="s">
        <v>149</v>
      </c>
      <c r="D349">
        <v>1</v>
      </c>
      <c r="E349" s="17">
        <v>513.1324744917705</v>
      </c>
      <c r="F349" s="17">
        <v>600</v>
      </c>
      <c r="G349">
        <f>E349*F346-E346*F349</f>
      </c>
      <c r="H349">
        <f>(E349+E346)*G349</f>
      </c>
      <c r="I349">
        <f>(F349+F346)*G349</f>
      </c>
    </row>
    <row r="350" spans="2:9" x14ac:dyDescent="0.25">
      <c r="B350">
        <v>19</v>
      </c>
      <c r="C350" t="s">
        <v>188</v>
      </c>
      <c r="G350" s="13">
        <f>D346*ABS(SUM(G346:G349)/2)</f>
      </c>
      <c r="H350" s="13">
        <f>D346*SIGN(SUM(G346:G349))*SUM(H346:H349)/6</f>
      </c>
      <c r="I350" s="13">
        <f>D346*SIGN(SUM(G346:G349))*SUM(I346:I349)/6</f>
      </c>
    </row>
    <row r="351" spans="2:9" x14ac:dyDescent="0.25">
      <c r="B351">
        <v>19</v>
      </c>
      <c r="C351" s="13" t="s">
        <v>189</v>
      </c>
      <c r="G351" s="14">
        <f>G350</f>
      </c>
      <c r="H351" s="14">
        <f>H350</f>
      </c>
      <c r="I351" s="14">
        <f>I350</f>
      </c>
    </row>
    <row r="353" spans="2:9" x14ac:dyDescent="0.25">
      <c r="B353">
        <v>20</v>
      </c>
      <c r="C353" t="s">
        <v>149</v>
      </c>
      <c r="D353">
        <v>1</v>
      </c>
      <c r="E353" s="17">
        <v>750</v>
      </c>
      <c r="F353" s="17">
        <v>31.934452454179223</v>
      </c>
      <c r="G353">
        <f>E353*F354-E354*F353</f>
      </c>
      <c r="H353">
        <f>(E353+E354)*G353</f>
      </c>
      <c r="I353">
        <f>(F353+F354)*G353</f>
      </c>
    </row>
    <row r="354" spans="2:9" x14ac:dyDescent="0.25">
      <c r="B354">
        <v>20</v>
      </c>
      <c r="C354" t="s">
        <v>149</v>
      </c>
      <c r="D354">
        <v>1</v>
      </c>
      <c r="E354" s="17">
        <v>750</v>
      </c>
      <c r="F354" s="17">
        <v>400</v>
      </c>
      <c r="G354">
        <f>E354*F355-E355*F354</f>
      </c>
      <c r="H354">
        <f>(E354+E355)*G354</f>
      </c>
      <c r="I354">
        <f>(F354+F355)*G354</f>
      </c>
    </row>
    <row r="355" spans="2:9" x14ac:dyDescent="0.25">
      <c r="B355">
        <v>20</v>
      </c>
      <c r="C355" t="s">
        <v>149</v>
      </c>
      <c r="D355">
        <v>1</v>
      </c>
      <c r="E355" s="17">
        <v>615.2786593404006</v>
      </c>
      <c r="F355" s="17">
        <v>534.7213406595994</v>
      </c>
      <c r="G355">
        <f>E355*F353-E353*F355</f>
      </c>
      <c r="H355">
        <f>(E355+E353)*G355</f>
      </c>
      <c r="I355">
        <f>(F355+F353)*G355</f>
      </c>
    </row>
    <row r="356" spans="2:9" x14ac:dyDescent="0.25">
      <c r="B356">
        <v>20</v>
      </c>
      <c r="C356" t="s">
        <v>188</v>
      </c>
      <c r="G356" s="13">
        <f>D353*ABS(SUM(G353:G355)/2)</f>
      </c>
      <c r="H356" s="13">
        <f>D353*SIGN(SUM(G353:G355))*SUM(H353:H355)/6</f>
      </c>
      <c r="I356" s="13">
        <f>D353*SIGN(SUM(G353:G355))*SUM(I353:I355)/6</f>
      </c>
    </row>
    <row r="357" spans="2:9" x14ac:dyDescent="0.25">
      <c r="B357">
        <v>20</v>
      </c>
      <c r="C357" s="13" t="s">
        <v>189</v>
      </c>
      <c r="G357" s="14">
        <f>G356</f>
      </c>
      <c r="H357" s="14">
        <f>H356</f>
      </c>
      <c r="I357" s="14">
        <f>I356</f>
      </c>
    </row>
  </sheetData>
  <mergeCells count="2">
    <mergeCell ref="B1:I1"/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8" customWidth="1"/>
    <col min="3" max="4" width="14" customWidth="1"/>
    <col min="5" max="12" width="16" customWidth="1"/>
    <col min="13" max="13" width="18" customWidth="1"/>
  </cols>
  <sheetData>
    <row r="1" ht="22" customHeight="1" spans="2:12" x14ac:dyDescent="0.25">
      <c r="B1" s="1" t="s">
        <v>190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2:13" x14ac:dyDescent="0.25">
      <c r="B2" s="2" t="s">
        <v>191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28" customHeight="1" spans="2:13" x14ac:dyDescent="0.25">
      <c r="B5" s="11" t="s">
        <v>192</v>
      </c>
      <c r="C5" s="11" t="s">
        <v>193</v>
      </c>
      <c r="D5" s="11" t="s">
        <v>194</v>
      </c>
      <c r="E5" s="11" t="s">
        <v>195</v>
      </c>
      <c r="F5" s="11" t="s">
        <v>196</v>
      </c>
      <c r="G5" s="11" t="s">
        <v>197</v>
      </c>
      <c r="H5" s="11" t="s">
        <v>198</v>
      </c>
      <c r="I5" s="11" t="s">
        <v>199</v>
      </c>
      <c r="J5" s="11" t="s">
        <v>200</v>
      </c>
      <c r="K5" s="11" t="s">
        <v>201</v>
      </c>
      <c r="L5" s="11" t="s">
        <v>202</v>
      </c>
      <c r="M5" s="11" t="s">
        <v>203</v>
      </c>
    </row>
    <row r="6" spans="2:13" x14ac:dyDescent="0.25">
      <c r="B6">
        <v>1</v>
      </c>
      <c r="C6" s="17">
        <v>1655.9439755156188</v>
      </c>
      <c r="D6" s="12">
        <f>beta_1*C6</f>
      </c>
      <c r="E6" s="12">
        <f>Block_Clip!G31</f>
      </c>
      <c r="F6" s="12">
        <f>Block_Clip!H31</f>
      </c>
      <c r="G6" s="12">
        <f>Block_Clip!I31</f>
      </c>
      <c r="H6" s="12">
        <f>IF(E6=0,0,F6/E6)</f>
      </c>
      <c r="I6" s="12">
        <f>IF(E6=0,0,G6/E6)</f>
      </c>
      <c r="J6" s="12">
        <f>sig_blk*E6/1000</f>
      </c>
      <c r="K6" s="12">
        <f>sig_blk*(G6-yc*E6)/1000000</f>
      </c>
      <c r="L6" s="12">
        <f>sig_blk*(F6-xc*E6)/1000000</f>
      </c>
      <c r="M6" s="18">
        <v>904090.2215674375</v>
      </c>
    </row>
    <row r="7" spans="2:13" x14ac:dyDescent="0.25">
      <c r="B7">
        <v>2</v>
      </c>
      <c r="C7" s="17">
        <v>1562.447263165132</v>
      </c>
      <c r="D7" s="12">
        <f>beta_1*C7</f>
      </c>
      <c r="E7" s="12">
        <f>Block_Clip!G58</f>
      </c>
      <c r="F7" s="12">
        <f>Block_Clip!H58</f>
      </c>
      <c r="G7" s="12">
        <f>Block_Clip!I58</f>
      </c>
      <c r="H7" s="12">
        <f>IF(E7=0,0,F7/E7)</f>
      </c>
      <c r="I7" s="12">
        <f>IF(E7=0,0,G7/E7)</f>
      </c>
      <c r="J7" s="12">
        <f>sig_blk*E7/1000</f>
      </c>
      <c r="K7" s="12">
        <f>sig_blk*(G7-yc*E7)/1000000</f>
      </c>
      <c r="L7" s="12">
        <f>sig_blk*(F7-xc*E7)/1000000</f>
      </c>
      <c r="M7" s="18">
        <v>867341.9089847959</v>
      </c>
    </row>
    <row r="8" spans="2:13" x14ac:dyDescent="0.25">
      <c r="B8">
        <v>3</v>
      </c>
      <c r="C8" s="17">
        <v>1356.8620969591934</v>
      </c>
      <c r="D8" s="12">
        <f>beta_1*C8</f>
      </c>
      <c r="E8" s="12">
        <f>Block_Clip!G82</f>
      </c>
      <c r="F8" s="12">
        <f>Block_Clip!H82</f>
      </c>
      <c r="G8" s="12">
        <f>Block_Clip!I82</f>
      </c>
      <c r="H8" s="12">
        <f>IF(E8=0,0,F8/E8)</f>
      </c>
      <c r="I8" s="12">
        <f>IF(E8=0,0,G8/E8)</f>
      </c>
      <c r="J8" s="12">
        <f>sig_blk*E8/1000</f>
      </c>
      <c r="K8" s="12">
        <f>sig_blk*(G8-yc*E8)/1000000</f>
      </c>
      <c r="L8" s="12">
        <f>sig_blk*(F8-xc*E8)/1000000</f>
      </c>
      <c r="M8" s="18">
        <v>793405.4972965524</v>
      </c>
    </row>
    <row r="9" spans="2:13" x14ac:dyDescent="0.25">
      <c r="B9">
        <v>4</v>
      </c>
      <c r="C9" s="17">
        <v>1273.1051773938111</v>
      </c>
      <c r="D9" s="12">
        <f>beta_1*C9</f>
      </c>
      <c r="E9" s="12">
        <f>Block_Clip!G105</f>
      </c>
      <c r="F9" s="12">
        <f>Block_Clip!H105</f>
      </c>
      <c r="G9" s="12">
        <f>Block_Clip!I105</f>
      </c>
      <c r="H9" s="12">
        <f>IF(E9=0,0,F9/E9)</f>
      </c>
      <c r="I9" s="12">
        <f>IF(E9=0,0,G9/E9)</f>
      </c>
      <c r="J9" s="12">
        <f>sig_blk*E9/1000</f>
      </c>
      <c r="K9" s="12">
        <f>sig_blk*(G9-yc*E9)/1000000</f>
      </c>
      <c r="L9" s="12">
        <f>sig_blk*(F9-xc*E9)/1000000</f>
      </c>
      <c r="M9" s="18">
        <v>757187.2534326452</v>
      </c>
    </row>
    <row r="10" spans="2:13" x14ac:dyDescent="0.25">
      <c r="B10">
        <v>5</v>
      </c>
      <c r="C10" s="17">
        <v>1199.087434522078</v>
      </c>
      <c r="D10" s="12">
        <f>beta_1*C10</f>
      </c>
      <c r="E10" s="12">
        <f>Block_Clip!G127</f>
      </c>
      <c r="F10" s="12">
        <f>Block_Clip!H127</f>
      </c>
      <c r="G10" s="12">
        <f>Block_Clip!I127</f>
      </c>
      <c r="H10" s="12">
        <f>IF(E10=0,0,F10/E10)</f>
      </c>
      <c r="I10" s="12">
        <f>IF(E10=0,0,G10/E10)</f>
      </c>
      <c r="J10" s="12">
        <f>sig_blk*E10/1000</f>
      </c>
      <c r="K10" s="12">
        <f>sig_blk*(G10-yc*E10)/1000000</f>
      </c>
      <c r="L10" s="12">
        <f>sig_blk*(F10-xc*E10)/1000000</f>
      </c>
      <c r="M10" s="18">
        <v>711905.9286392333</v>
      </c>
    </row>
    <row r="11" spans="2:13" x14ac:dyDescent="0.25">
      <c r="B11">
        <v>6</v>
      </c>
      <c r="C11" s="17">
        <v>1133.2035095483375</v>
      </c>
      <c r="D11" s="12">
        <f>beta_1*C11</f>
      </c>
      <c r="E11" s="12">
        <f>Block_Clip!G149</f>
      </c>
      <c r="F11" s="12">
        <f>Block_Clip!H149</f>
      </c>
      <c r="G11" s="12">
        <f>Block_Clip!I149</f>
      </c>
      <c r="H11" s="12">
        <f>IF(E11=0,0,F11/E11)</f>
      </c>
      <c r="I11" s="12">
        <f>IF(E11=0,0,G11/E11)</f>
      </c>
      <c r="J11" s="12">
        <f>sig_blk*E11/1000</f>
      </c>
      <c r="K11" s="12">
        <f>sig_blk*(G11-yc*E11)/1000000</f>
      </c>
      <c r="L11" s="12">
        <f>sig_blk*(F11-xc*E11)/1000000</f>
      </c>
      <c r="M11" s="18">
        <v>657284.0401097928</v>
      </c>
    </row>
    <row r="12" spans="2:13" x14ac:dyDescent="0.25">
      <c r="B12">
        <v>7</v>
      </c>
      <c r="C12" s="17">
        <v>1074.1824934260283</v>
      </c>
      <c r="D12" s="12">
        <f>beta_1*C12</f>
      </c>
      <c r="E12" s="12">
        <f>Block_Clip!G167</f>
      </c>
      <c r="F12" s="12">
        <f>Block_Clip!H167</f>
      </c>
      <c r="G12" s="12">
        <f>Block_Clip!I167</f>
      </c>
      <c r="H12" s="12">
        <f>IF(E12=0,0,F12/E12)</f>
      </c>
      <c r="I12" s="12">
        <f>IF(E12=0,0,G12/E12)</f>
      </c>
      <c r="J12" s="12">
        <f>sig_blk*E12/1000</f>
      </c>
      <c r="K12" s="12">
        <f>sig_blk*(G12-yc*E12)/1000000</f>
      </c>
      <c r="L12" s="12">
        <f>sig_blk*(F12-xc*E12)/1000000</f>
      </c>
      <c r="M12" s="18">
        <v>598976.9145362398</v>
      </c>
    </row>
    <row r="13" spans="2:13" x14ac:dyDescent="0.25">
      <c r="B13">
        <v>8</v>
      </c>
      <c r="C13" s="17">
        <v>1021.0051422663239</v>
      </c>
      <c r="D13" s="12">
        <f>beta_1*C13</f>
      </c>
      <c r="E13" s="12">
        <f>Block_Clip!G185</f>
      </c>
      <c r="F13" s="12">
        <f>Block_Clip!H185</f>
      </c>
      <c r="G13" s="12">
        <f>Block_Clip!I185</f>
      </c>
      <c r="H13" s="12">
        <f>IF(E13=0,0,F13/E13)</f>
      </c>
      <c r="I13" s="12">
        <f>IF(E13=0,0,G13/E13)</f>
      </c>
      <c r="J13" s="12">
        <f>sig_blk*E13/1000</f>
      </c>
      <c r="K13" s="12">
        <f>sig_blk*(G13-yc*E13)/1000000</f>
      </c>
      <c r="L13" s="12">
        <f>sig_blk*(F13-xc*E13)/1000000</f>
      </c>
      <c r="M13" s="18">
        <v>546125.7993430132</v>
      </c>
    </row>
    <row r="14" spans="2:13" x14ac:dyDescent="0.25">
      <c r="B14">
        <v>9</v>
      </c>
      <c r="C14" s="17">
        <v>972.8445223481011</v>
      </c>
      <c r="D14" s="12">
        <f>beta_1*C14</f>
      </c>
      <c r="E14" s="12">
        <f>Block_Clip!G203</f>
      </c>
      <c r="F14" s="12">
        <f>Block_Clip!H203</f>
      </c>
      <c r="G14" s="12">
        <f>Block_Clip!I203</f>
      </c>
      <c r="H14" s="12">
        <f>IF(E14=0,0,F14/E14)</f>
      </c>
      <c r="I14" s="12">
        <f>IF(E14=0,0,G14/E14)</f>
      </c>
      <c r="J14" s="12">
        <f>sig_blk*E14/1000</f>
      </c>
      <c r="K14" s="12">
        <f>sig_blk*(G14-yc*E14)/1000000</f>
      </c>
      <c r="L14" s="12">
        <f>sig_blk*(F14-xc*E14)/1000000</f>
      </c>
      <c r="M14" s="18">
        <v>498260.63841329864</v>
      </c>
    </row>
    <row r="15" spans="2:13" x14ac:dyDescent="0.25">
      <c r="B15">
        <v>10</v>
      </c>
      <c r="C15" s="17">
        <v>888.9786152491268</v>
      </c>
      <c r="D15" s="12">
        <f>beta_1*C15</f>
      </c>
      <c r="E15" s="12">
        <f>Block_Clip!G222</f>
      </c>
      <c r="F15" s="12">
        <f>Block_Clip!H222</f>
      </c>
      <c r="G15" s="12">
        <f>Block_Clip!I222</f>
      </c>
      <c r="H15" s="12">
        <f>IF(E15=0,0,F15/E15)</f>
      </c>
      <c r="I15" s="12">
        <f>IF(E15=0,0,G15/E15)</f>
      </c>
      <c r="J15" s="12">
        <f>sig_blk*E15/1000</f>
      </c>
      <c r="K15" s="12">
        <f>sig_blk*(G15-yc*E15)/1000000</f>
      </c>
      <c r="L15" s="12">
        <f>sig_blk*(F15-xc*E15)/1000000</f>
      </c>
      <c r="M15" s="18">
        <v>421615.87495803693</v>
      </c>
    </row>
    <row r="16" spans="2:13" x14ac:dyDescent="0.25">
      <c r="B16">
        <v>11</v>
      </c>
      <c r="C16" s="17">
        <v>818.4247568960214</v>
      </c>
      <c r="D16" s="12">
        <f>beta_1*C16</f>
      </c>
      <c r="E16" s="12">
        <f>Block_Clip!G240</f>
      </c>
      <c r="F16" s="12">
        <f>Block_Clip!H240</f>
      </c>
      <c r="G16" s="12">
        <f>Block_Clip!I240</f>
      </c>
      <c r="H16" s="12">
        <f>IF(E16=0,0,F16/E16)</f>
      </c>
      <c r="I16" s="12">
        <f>IF(E16=0,0,G16/E16)</f>
      </c>
      <c r="J16" s="12">
        <f>sig_blk*E16/1000</f>
      </c>
      <c r="K16" s="12">
        <f>sig_blk*(G16-yc*E16)/1000000</f>
      </c>
      <c r="L16" s="12">
        <f>sig_blk*(F16-xc*E16)/1000000</f>
      </c>
      <c r="M16" s="18">
        <v>374568.10008135275</v>
      </c>
    </row>
    <row r="17" spans="2:13" x14ac:dyDescent="0.25">
      <c r="B17">
        <v>12</v>
      </c>
      <c r="C17" s="17">
        <v>758.2464659477846</v>
      </c>
      <c r="D17" s="12">
        <f>beta_1*C17</f>
      </c>
      <c r="E17" s="12">
        <f>Block_Clip!G258</f>
      </c>
      <c r="F17" s="12">
        <f>Block_Clip!H258</f>
      </c>
      <c r="G17" s="12">
        <f>Block_Clip!I258</f>
      </c>
      <c r="H17" s="12">
        <f>IF(E17=0,0,F17/E17)</f>
      </c>
      <c r="I17" s="12">
        <f>IF(E17=0,0,G17/E17)</f>
      </c>
      <c r="J17" s="12">
        <f>sig_blk*E17/1000</f>
      </c>
      <c r="K17" s="12">
        <f>sig_blk*(G17-yc*E17)/1000000</f>
      </c>
      <c r="L17" s="12">
        <f>sig_blk*(F17-xc*E17)/1000000</f>
      </c>
      <c r="M17" s="18">
        <v>344788.8754235967</v>
      </c>
    </row>
    <row r="18" spans="2:13" x14ac:dyDescent="0.25">
      <c r="B18">
        <v>13</v>
      </c>
      <c r="C18" s="17">
        <v>706.3117764993063</v>
      </c>
      <c r="D18" s="12">
        <f>beta_1*C18</f>
      </c>
      <c r="E18" s="12">
        <f>Block_Clip!G275</f>
      </c>
      <c r="F18" s="12">
        <f>Block_Clip!H275</f>
      </c>
      <c r="G18" s="12">
        <f>Block_Clip!I275</f>
      </c>
      <c r="H18" s="12">
        <f>IF(E18=0,0,F18/E18)</f>
      </c>
      <c r="I18" s="12">
        <f>IF(E18=0,0,G18/E18)</f>
      </c>
      <c r="J18" s="12">
        <f>sig_blk*E18/1000</f>
      </c>
      <c r="K18" s="12">
        <f>sig_blk*(G18-yc*E18)/1000000</f>
      </c>
      <c r="L18" s="12">
        <f>sig_blk*(F18-xc*E18)/1000000</f>
      </c>
      <c r="M18" s="18">
        <v>323968.9080402689</v>
      </c>
    </row>
    <row r="19" spans="2:13" x14ac:dyDescent="0.25">
      <c r="B19">
        <v>14</v>
      </c>
      <c r="C19" s="17">
        <v>621.2139721017994</v>
      </c>
      <c r="D19" s="12">
        <f>beta_1*C19</f>
      </c>
      <c r="E19" s="12">
        <f>Block_Clip!G292</f>
      </c>
      <c r="F19" s="12">
        <f>Block_Clip!H292</f>
      </c>
      <c r="G19" s="12">
        <f>Block_Clip!I292</f>
      </c>
      <c r="H19" s="12">
        <f>IF(E19=0,0,F19/E19)</f>
      </c>
      <c r="I19" s="12">
        <f>IF(E19=0,0,G19/E19)</f>
      </c>
      <c r="J19" s="12">
        <f>sig_blk*E19/1000</f>
      </c>
      <c r="K19" s="12">
        <f>sig_blk*(G19-yc*E19)/1000000</f>
      </c>
      <c r="L19" s="12">
        <f>sig_blk*(F19-xc*E19)/1000000</f>
      </c>
      <c r="M19" s="18">
        <v>293012.0354328243</v>
      </c>
    </row>
    <row r="20" spans="2:13" x14ac:dyDescent="0.25">
      <c r="B20">
        <v>15</v>
      </c>
      <c r="C20" s="17">
        <v>554.4167708005307</v>
      </c>
      <c r="D20" s="12">
        <f>beta_1*C20</f>
      </c>
      <c r="E20" s="12">
        <f>Block_Clip!G306</f>
      </c>
      <c r="F20" s="12">
        <f>Block_Clip!H306</f>
      </c>
      <c r="G20" s="12">
        <f>Block_Clip!I306</f>
      </c>
      <c r="H20" s="12">
        <f>IF(E20=0,0,F20/E20)</f>
      </c>
      <c r="I20" s="12">
        <f>IF(E20=0,0,G20/E20)</f>
      </c>
      <c r="J20" s="12">
        <f>sig_blk*E20/1000</f>
      </c>
      <c r="K20" s="12">
        <f>sig_blk*(G20-yc*E20)/1000000</f>
      </c>
      <c r="L20" s="12">
        <f>sig_blk*(F20-xc*E20)/1000000</f>
      </c>
      <c r="M20" s="18">
        <v>269629.60685158736</v>
      </c>
    </row>
    <row r="21" spans="2:13" x14ac:dyDescent="0.25">
      <c r="B21">
        <v>16</v>
      </c>
      <c r="C21" s="17">
        <v>456.28990871194117</v>
      </c>
      <c r="D21" s="12">
        <f>beta_1*C21</f>
      </c>
      <c r="E21" s="12">
        <f>Block_Clip!G319</f>
      </c>
      <c r="F21" s="12">
        <f>Block_Clip!H319</f>
      </c>
      <c r="G21" s="12">
        <f>Block_Clip!I319</f>
      </c>
      <c r="H21" s="12">
        <f>IF(E21=0,0,F21/E21)</f>
      </c>
      <c r="I21" s="12">
        <f>IF(E21=0,0,G21/E21)</f>
      </c>
      <c r="J21" s="12">
        <f>sig_blk*E21/1000</f>
      </c>
      <c r="K21" s="12">
        <f>sig_blk*(G21-yc*E21)/1000000</f>
      </c>
      <c r="L21" s="12">
        <f>sig_blk*(F21-xc*E21)/1000000</f>
      </c>
      <c r="M21" s="18">
        <v>234009.39733691962</v>
      </c>
    </row>
    <row r="22" spans="2:13" x14ac:dyDescent="0.25">
      <c r="B22">
        <v>17</v>
      </c>
      <c r="C22" s="17">
        <v>387.67488484548386</v>
      </c>
      <c r="D22" s="12">
        <f>beta_1*C22</f>
      </c>
      <c r="E22" s="12">
        <f>Block_Clip!G332</f>
      </c>
      <c r="F22" s="12">
        <f>Block_Clip!H332</f>
      </c>
      <c r="G22" s="12">
        <f>Block_Clip!I332</f>
      </c>
      <c r="H22" s="12">
        <f>IF(E22=0,0,F22/E22)</f>
      </c>
      <c r="I22" s="12">
        <f>IF(E22=0,0,G22/E22)</f>
      </c>
      <c r="J22" s="12">
        <f>sig_blk*E22/1000</f>
      </c>
      <c r="K22" s="12">
        <f>sig_blk*(G22-yc*E22)/1000000</f>
      </c>
      <c r="L22" s="12">
        <f>sig_blk*(F22-xc*E22)/1000000</f>
      </c>
      <c r="M22" s="18">
        <v>202830.14389327238</v>
      </c>
    </row>
    <row r="23" spans="2:13" x14ac:dyDescent="0.25">
      <c r="B23">
        <v>18</v>
      </c>
      <c r="C23" s="17">
        <v>281.75278516092544</v>
      </c>
      <c r="D23" s="12">
        <f>beta_1*C23</f>
      </c>
      <c r="E23" s="12">
        <f>Block_Clip!G344</f>
      </c>
      <c r="F23" s="12">
        <f>Block_Clip!H344</f>
      </c>
      <c r="G23" s="12">
        <f>Block_Clip!I344</f>
      </c>
      <c r="H23" s="12">
        <f>IF(E23=0,0,F23/E23)</f>
      </c>
      <c r="I23" s="12">
        <f>IF(E23=0,0,G23/E23)</f>
      </c>
      <c r="J23" s="12">
        <f>sig_blk*E23/1000</f>
      </c>
      <c r="K23" s="12">
        <f>sig_blk*(G23-yc*E23)/1000000</f>
      </c>
      <c r="L23" s="12">
        <f>sig_blk*(F23-xc*E23)/1000000</f>
      </c>
      <c r="M23" s="18">
        <v>133001.42032495682</v>
      </c>
    </row>
    <row r="24" spans="2:13" x14ac:dyDescent="0.25">
      <c r="B24">
        <v>19</v>
      </c>
      <c r="C24" s="17">
        <v>221.29081409634915</v>
      </c>
      <c r="D24" s="12">
        <f>beta_1*C24</f>
      </c>
      <c r="E24" s="12">
        <f>Block_Clip!G351</f>
      </c>
      <c r="F24" s="12">
        <f>Block_Clip!H351</f>
      </c>
      <c r="G24" s="12">
        <f>Block_Clip!I351</f>
      </c>
      <c r="H24" s="12">
        <f>IF(E24=0,0,F24/E24)</f>
      </c>
      <c r="I24" s="12">
        <f>IF(E24=0,0,G24/E24)</f>
      </c>
      <c r="J24" s="12">
        <f>sig_blk*E24/1000</f>
      </c>
      <c r="K24" s="12">
        <f>sig_blk*(G24-yc*E24)/1000000</f>
      </c>
      <c r="L24" s="12">
        <f>sig_blk*(F24-xc*E24)/1000000</f>
      </c>
      <c r="M24" s="18">
        <v>84695.64048940752</v>
      </c>
    </row>
    <row r="25" spans="2:13" x14ac:dyDescent="0.25">
      <c r="B25">
        <v>20</v>
      </c>
      <c r="C25" s="17">
        <v>119.07796693868211</v>
      </c>
      <c r="D25" s="12">
        <f>beta_1*C25</f>
      </c>
      <c r="E25" s="12">
        <f>Block_Clip!G357</f>
      </c>
      <c r="F25" s="12">
        <f>Block_Clip!H357</f>
      </c>
      <c r="G25" s="12">
        <f>Block_Clip!I357</f>
      </c>
      <c r="H25" s="12">
        <f>IF(E25=0,0,F25/E25)</f>
      </c>
      <c r="I25" s="12">
        <f>IF(E25=0,0,G25/E25)</f>
      </c>
      <c r="J25" s="12">
        <f>sig_blk*E25/1000</f>
      </c>
      <c r="K25" s="12">
        <f>sig_blk*(G25-yc*E25)/1000000</f>
      </c>
      <c r="L25" s="12">
        <f>sig_blk*(F25-xc*E25)/1000000</f>
      </c>
      <c r="M25" s="18">
        <v>24793.142007991235</v>
      </c>
    </row>
    <row r="27" spans="2:8" x14ac:dyDescent="0.25">
      <c r="B27" s="13" t="s">
        <v>204</v>
      </c>
      <c r="E27" s="19">
        <f>MAX(ABS(E6:E25-M6:M25))</f>
      </c>
      <c r="F27">
        <f>IF(E27&lt;=0.000001*MAX(M6:M25),"OK - the clipped polygon reproduces the area used by the kernel","CHECK - clipped area disagrees")</f>
      </c>
      <c r="H27" s="2" t="s">
        <v>205</v>
      </c>
    </row>
  </sheetData>
  <mergeCells count="2">
    <mergeCell ref="B1:L1"/>
    <mergeCell ref="B2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65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3" width="8" customWidth="1"/>
    <col min="4" max="8" width="12" customWidth="1"/>
    <col min="9" max="9" width="14" customWidth="1"/>
    <col min="10" max="12" width="12" customWidth="1"/>
    <col min="13" max="15" width="14" customWidth="1"/>
  </cols>
  <sheetData>
    <row r="1" ht="22" customHeight="1" spans="2:14" x14ac:dyDescent="0.25">
      <c r="B1" s="1" t="s">
        <v>206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2:16" x14ac:dyDescent="0.25">
      <c r="B2" s="2" t="s">
        <v>207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28" customHeight="1" spans="2:15" x14ac:dyDescent="0.25">
      <c r="B5" s="11" t="s">
        <v>192</v>
      </c>
      <c r="C5" s="11" t="s">
        <v>208</v>
      </c>
      <c r="D5" s="11" t="s">
        <v>193</v>
      </c>
      <c r="E5" s="11" t="s">
        <v>209</v>
      </c>
      <c r="F5" s="11" t="s">
        <v>210</v>
      </c>
      <c r="G5" s="11" t="s">
        <v>211</v>
      </c>
      <c r="H5" s="11" t="s">
        <v>212</v>
      </c>
      <c r="I5" s="11" t="s">
        <v>213</v>
      </c>
      <c r="J5" s="11" t="s">
        <v>214</v>
      </c>
      <c r="K5" s="11" t="s">
        <v>215</v>
      </c>
      <c r="L5" s="11" t="s">
        <v>216</v>
      </c>
      <c r="M5" s="11" t="s">
        <v>217</v>
      </c>
      <c r="N5" s="11" t="s">
        <v>218</v>
      </c>
      <c r="O5" s="11" t="s">
        <v>219</v>
      </c>
    </row>
    <row r="6" spans="2:15" x14ac:dyDescent="0.25">
      <c r="B6">
        <v>1</v>
      </c>
      <c r="C6">
        <v>1</v>
      </c>
      <c r="D6" s="17">
        <f>INDEX(Blk_c,MATCH(B6,Blk_St,0))</f>
      </c>
      <c r="E6" s="17">
        <f>INDEX(Bar_U,MATCH(C6,Bar_No,0))</f>
      </c>
      <c r="F6" s="17">
        <f>u_max-E6</f>
      </c>
      <c r="G6" s="20">
        <f>IF(AND(ec_pivot&gt;0,D6&gt;d_theta),ec_pivot*D6/(D6-(1-ec_pivot/ecu)*d_theta),ecu)*(1-F6/D6)</f>
      </c>
      <c r="H6" s="20">
        <f>MAX(0,-G6)</f>
      </c>
      <c r="I6" s="17">
        <f>MAX(MIN(Es*G6,fy),-fy)</f>
      </c>
      <c r="J6">
        <f>IF(E6&gt;=u_max-beta_1*D6-blk_tol,1,0)</f>
      </c>
      <c r="K6" s="17">
        <f>J6*sig_blk</f>
      </c>
      <c r="L6" s="17">
        <f>I6-K6</f>
      </c>
      <c r="M6" s="17">
        <f>INDEX(Bar_As,MATCH(C6,Bar_No,0))*L6/1000</f>
      </c>
      <c r="N6" s="17">
        <f>M6*INDEX(Bar_Y,MATCH(C6,Bar_No,0))/1000</f>
      </c>
      <c r="O6" s="17">
        <f>M6*INDEX(Bar_X,MATCH(C6,Bar_No,0))/1000</f>
      </c>
    </row>
    <row r="7" spans="2:15" x14ac:dyDescent="0.25">
      <c r="B7">
        <v>1</v>
      </c>
      <c r="C7">
        <v>2</v>
      </c>
      <c r="D7" s="17">
        <f>INDEX(Blk_c,MATCH(B7,Blk_St,0))</f>
      </c>
      <c r="E7" s="17">
        <f>INDEX(Bar_U,MATCH(C7,Bar_No,0))</f>
      </c>
      <c r="F7" s="17">
        <f>u_max-E7</f>
      </c>
      <c r="G7" s="20">
        <f>IF(AND(ec_pivot&gt;0,D7&gt;d_theta),ec_pivot*D7/(D7-(1-ec_pivot/ecu)*d_theta),ecu)*(1-F7/D7)</f>
      </c>
      <c r="H7" s="20">
        <f>MAX(0,-G7)</f>
      </c>
      <c r="I7" s="17">
        <f>MAX(MIN(Es*G7,fy),-fy)</f>
      </c>
      <c r="J7">
        <f>IF(E7&gt;=u_max-beta_1*D7-blk_tol,1,0)</f>
      </c>
      <c r="K7" s="17">
        <f>J7*sig_blk</f>
      </c>
      <c r="L7" s="17">
        <f>I7-K7</f>
      </c>
      <c r="M7" s="17">
        <f>INDEX(Bar_As,MATCH(C7,Bar_No,0))*L7/1000</f>
      </c>
      <c r="N7" s="17">
        <f>M7*INDEX(Bar_Y,MATCH(C7,Bar_No,0))/1000</f>
      </c>
      <c r="O7" s="17">
        <f>M7*INDEX(Bar_X,MATCH(C7,Bar_No,0))/1000</f>
      </c>
    </row>
    <row r="8" spans="2:15" x14ac:dyDescent="0.25">
      <c r="B8">
        <v>1</v>
      </c>
      <c r="C8">
        <v>3</v>
      </c>
      <c r="D8" s="17">
        <f>INDEX(Blk_c,MATCH(B8,Blk_St,0))</f>
      </c>
      <c r="E8" s="17">
        <f>INDEX(Bar_U,MATCH(C8,Bar_No,0))</f>
      </c>
      <c r="F8" s="17">
        <f>u_max-E8</f>
      </c>
      <c r="G8" s="20">
        <f>IF(AND(ec_pivot&gt;0,D8&gt;d_theta),ec_pivot*D8/(D8-(1-ec_pivot/ecu)*d_theta),ecu)*(1-F8/D8)</f>
      </c>
      <c r="H8" s="20">
        <f>MAX(0,-G8)</f>
      </c>
      <c r="I8" s="17">
        <f>MAX(MIN(Es*G8,fy),-fy)</f>
      </c>
      <c r="J8">
        <f>IF(E8&gt;=u_max-beta_1*D8-blk_tol,1,0)</f>
      </c>
      <c r="K8" s="17">
        <f>J8*sig_blk</f>
      </c>
      <c r="L8" s="17">
        <f>I8-K8</f>
      </c>
      <c r="M8" s="17">
        <f>INDEX(Bar_As,MATCH(C8,Bar_No,0))*L8/1000</f>
      </c>
      <c r="N8" s="17">
        <f>M8*INDEX(Bar_Y,MATCH(C8,Bar_No,0))/1000</f>
      </c>
      <c r="O8" s="17">
        <f>M8*INDEX(Bar_X,MATCH(C8,Bar_No,0))/1000</f>
      </c>
    </row>
    <row r="9" spans="2:15" x14ac:dyDescent="0.25">
      <c r="B9">
        <v>1</v>
      </c>
      <c r="C9">
        <v>4</v>
      </c>
      <c r="D9" s="17">
        <f>INDEX(Blk_c,MATCH(B9,Blk_St,0))</f>
      </c>
      <c r="E9" s="17">
        <f>INDEX(Bar_U,MATCH(C9,Bar_No,0))</f>
      </c>
      <c r="F9" s="17">
        <f>u_max-E9</f>
      </c>
      <c r="G9" s="20">
        <f>IF(AND(ec_pivot&gt;0,D9&gt;d_theta),ec_pivot*D9/(D9-(1-ec_pivot/ecu)*d_theta),ecu)*(1-F9/D9)</f>
      </c>
      <c r="H9" s="20">
        <f>MAX(0,-G9)</f>
      </c>
      <c r="I9" s="17">
        <f>MAX(MIN(Es*G9,fy),-fy)</f>
      </c>
      <c r="J9">
        <f>IF(E9&gt;=u_max-beta_1*D9-blk_tol,1,0)</f>
      </c>
      <c r="K9" s="17">
        <f>J9*sig_blk</f>
      </c>
      <c r="L9" s="17">
        <f>I9-K9</f>
      </c>
      <c r="M9" s="17">
        <f>INDEX(Bar_As,MATCH(C9,Bar_No,0))*L9/1000</f>
      </c>
      <c r="N9" s="17">
        <f>M9*INDEX(Bar_Y,MATCH(C9,Bar_No,0))/1000</f>
      </c>
      <c r="O9" s="17">
        <f>M9*INDEX(Bar_X,MATCH(C9,Bar_No,0))/1000</f>
      </c>
    </row>
    <row r="10" spans="2:15" x14ac:dyDescent="0.25">
      <c r="B10">
        <v>1</v>
      </c>
      <c r="C10">
        <v>5</v>
      </c>
      <c r="D10" s="17">
        <f>INDEX(Blk_c,MATCH(B10,Blk_St,0))</f>
      </c>
      <c r="E10" s="17">
        <f>INDEX(Bar_U,MATCH(C10,Bar_No,0))</f>
      </c>
      <c r="F10" s="17">
        <f>u_max-E10</f>
      </c>
      <c r="G10" s="20">
        <f>IF(AND(ec_pivot&gt;0,D10&gt;d_theta),ec_pivot*D10/(D10-(1-ec_pivot/ecu)*d_theta),ecu)*(1-F10/D10)</f>
      </c>
      <c r="H10" s="20">
        <f>MAX(0,-G10)</f>
      </c>
      <c r="I10" s="17">
        <f>MAX(MIN(Es*G10,fy),-fy)</f>
      </c>
      <c r="J10">
        <f>IF(E10&gt;=u_max-beta_1*D10-blk_tol,1,0)</f>
      </c>
      <c r="K10" s="17">
        <f>J10*sig_blk</f>
      </c>
      <c r="L10" s="17">
        <f>I10-K10</f>
      </c>
      <c r="M10" s="17">
        <f>INDEX(Bar_As,MATCH(C10,Bar_No,0))*L10/1000</f>
      </c>
      <c r="N10" s="17">
        <f>M10*INDEX(Bar_Y,MATCH(C10,Bar_No,0))/1000</f>
      </c>
      <c r="O10" s="17">
        <f>M10*INDEX(Bar_X,MATCH(C10,Bar_No,0))/1000</f>
      </c>
    </row>
    <row r="11" spans="2:15" x14ac:dyDescent="0.25">
      <c r="B11">
        <v>1</v>
      </c>
      <c r="C11">
        <v>6</v>
      </c>
      <c r="D11" s="17">
        <f>INDEX(Blk_c,MATCH(B11,Blk_St,0))</f>
      </c>
      <c r="E11" s="17">
        <f>INDEX(Bar_U,MATCH(C11,Bar_No,0))</f>
      </c>
      <c r="F11" s="17">
        <f>u_max-E11</f>
      </c>
      <c r="G11" s="20">
        <f>IF(AND(ec_pivot&gt;0,D11&gt;d_theta),ec_pivot*D11/(D11-(1-ec_pivot/ecu)*d_theta),ecu)*(1-F11/D11)</f>
      </c>
      <c r="H11" s="20">
        <f>MAX(0,-G11)</f>
      </c>
      <c r="I11" s="17">
        <f>MAX(MIN(Es*G11,fy),-fy)</f>
      </c>
      <c r="J11">
        <f>IF(E11&gt;=u_max-beta_1*D11-blk_tol,1,0)</f>
      </c>
      <c r="K11" s="17">
        <f>J11*sig_blk</f>
      </c>
      <c r="L11" s="17">
        <f>I11-K11</f>
      </c>
      <c r="M11" s="17">
        <f>INDEX(Bar_As,MATCH(C11,Bar_No,0))*L11/1000</f>
      </c>
      <c r="N11" s="17">
        <f>M11*INDEX(Bar_Y,MATCH(C11,Bar_No,0))/1000</f>
      </c>
      <c r="O11" s="17">
        <f>M11*INDEX(Bar_X,MATCH(C11,Bar_No,0))/1000</f>
      </c>
    </row>
    <row r="12" spans="2:15" x14ac:dyDescent="0.25">
      <c r="B12">
        <v>1</v>
      </c>
      <c r="C12">
        <v>7</v>
      </c>
      <c r="D12" s="17">
        <f>INDEX(Blk_c,MATCH(B12,Blk_St,0))</f>
      </c>
      <c r="E12" s="17">
        <f>INDEX(Bar_U,MATCH(C12,Bar_No,0))</f>
      </c>
      <c r="F12" s="17">
        <f>u_max-E12</f>
      </c>
      <c r="G12" s="20">
        <f>IF(AND(ec_pivot&gt;0,D12&gt;d_theta),ec_pivot*D12/(D12-(1-ec_pivot/ecu)*d_theta),ecu)*(1-F12/D12)</f>
      </c>
      <c r="H12" s="20">
        <f>MAX(0,-G12)</f>
      </c>
      <c r="I12" s="17">
        <f>MAX(MIN(Es*G12,fy),-fy)</f>
      </c>
      <c r="J12">
        <f>IF(E12&gt;=u_max-beta_1*D12-blk_tol,1,0)</f>
      </c>
      <c r="K12" s="17">
        <f>J12*sig_blk</f>
      </c>
      <c r="L12" s="17">
        <f>I12-K12</f>
      </c>
      <c r="M12" s="17">
        <f>INDEX(Bar_As,MATCH(C12,Bar_No,0))*L12/1000</f>
      </c>
      <c r="N12" s="17">
        <f>M12*INDEX(Bar_Y,MATCH(C12,Bar_No,0))/1000</f>
      </c>
      <c r="O12" s="17">
        <f>M12*INDEX(Bar_X,MATCH(C12,Bar_No,0))/1000</f>
      </c>
    </row>
    <row r="13" spans="2:15" x14ac:dyDescent="0.25">
      <c r="B13">
        <v>1</v>
      </c>
      <c r="C13">
        <v>8</v>
      </c>
      <c r="D13" s="17">
        <f>INDEX(Blk_c,MATCH(B13,Blk_St,0))</f>
      </c>
      <c r="E13" s="17">
        <f>INDEX(Bar_U,MATCH(C13,Bar_No,0))</f>
      </c>
      <c r="F13" s="17">
        <f>u_max-E13</f>
      </c>
      <c r="G13" s="20">
        <f>IF(AND(ec_pivot&gt;0,D13&gt;d_theta),ec_pivot*D13/(D13-(1-ec_pivot/ecu)*d_theta),ecu)*(1-F13/D13)</f>
      </c>
      <c r="H13" s="20">
        <f>MAX(0,-G13)</f>
      </c>
      <c r="I13" s="17">
        <f>MAX(MIN(Es*G13,fy),-fy)</f>
      </c>
      <c r="J13">
        <f>IF(E13&gt;=u_max-beta_1*D13-blk_tol,1,0)</f>
      </c>
      <c r="K13" s="17">
        <f>J13*sig_blk</f>
      </c>
      <c r="L13" s="17">
        <f>I13-K13</f>
      </c>
      <c r="M13" s="17">
        <f>INDEX(Bar_As,MATCH(C13,Bar_No,0))*L13/1000</f>
      </c>
      <c r="N13" s="17">
        <f>M13*INDEX(Bar_Y,MATCH(C13,Bar_No,0))/1000</f>
      </c>
      <c r="O13" s="17">
        <f>M13*INDEX(Bar_X,MATCH(C13,Bar_No,0))/1000</f>
      </c>
    </row>
    <row r="14" spans="2:15" x14ac:dyDescent="0.25">
      <c r="B14">
        <v>1</v>
      </c>
      <c r="C14">
        <v>9</v>
      </c>
      <c r="D14" s="17">
        <f>INDEX(Blk_c,MATCH(B14,Blk_St,0))</f>
      </c>
      <c r="E14" s="17">
        <f>INDEX(Bar_U,MATCH(C14,Bar_No,0))</f>
      </c>
      <c r="F14" s="17">
        <f>u_max-E14</f>
      </c>
      <c r="G14" s="20">
        <f>IF(AND(ec_pivot&gt;0,D14&gt;d_theta),ec_pivot*D14/(D14-(1-ec_pivot/ecu)*d_theta),ecu)*(1-F14/D14)</f>
      </c>
      <c r="H14" s="20">
        <f>MAX(0,-G14)</f>
      </c>
      <c r="I14" s="17">
        <f>MAX(MIN(Es*G14,fy),-fy)</f>
      </c>
      <c r="J14">
        <f>IF(E14&gt;=u_max-beta_1*D14-blk_tol,1,0)</f>
      </c>
      <c r="K14" s="17">
        <f>J14*sig_blk</f>
      </c>
      <c r="L14" s="17">
        <f>I14-K14</f>
      </c>
      <c r="M14" s="17">
        <f>INDEX(Bar_As,MATCH(C14,Bar_No,0))*L14/1000</f>
      </c>
      <c r="N14" s="17">
        <f>M14*INDEX(Bar_Y,MATCH(C14,Bar_No,0))/1000</f>
      </c>
      <c r="O14" s="17">
        <f>M14*INDEX(Bar_X,MATCH(C14,Bar_No,0))/1000</f>
      </c>
    </row>
    <row r="15" spans="2:15" x14ac:dyDescent="0.25">
      <c r="B15">
        <v>1</v>
      </c>
      <c r="C15">
        <v>10</v>
      </c>
      <c r="D15" s="17">
        <f>INDEX(Blk_c,MATCH(B15,Blk_St,0))</f>
      </c>
      <c r="E15" s="17">
        <f>INDEX(Bar_U,MATCH(C15,Bar_No,0))</f>
      </c>
      <c r="F15" s="17">
        <f>u_max-E15</f>
      </c>
      <c r="G15" s="20">
        <f>IF(AND(ec_pivot&gt;0,D15&gt;d_theta),ec_pivot*D15/(D15-(1-ec_pivot/ecu)*d_theta),ecu)*(1-F15/D15)</f>
      </c>
      <c r="H15" s="20">
        <f>MAX(0,-G15)</f>
      </c>
      <c r="I15" s="17">
        <f>MAX(MIN(Es*G15,fy),-fy)</f>
      </c>
      <c r="J15">
        <f>IF(E15&gt;=u_max-beta_1*D15-blk_tol,1,0)</f>
      </c>
      <c r="K15" s="17">
        <f>J15*sig_blk</f>
      </c>
      <c r="L15" s="17">
        <f>I15-K15</f>
      </c>
      <c r="M15" s="17">
        <f>INDEX(Bar_As,MATCH(C15,Bar_No,0))*L15/1000</f>
      </c>
      <c r="N15" s="17">
        <f>M15*INDEX(Bar_Y,MATCH(C15,Bar_No,0))/1000</f>
      </c>
      <c r="O15" s="17">
        <f>M15*INDEX(Bar_X,MATCH(C15,Bar_No,0))/1000</f>
      </c>
    </row>
    <row r="16" spans="2:15" x14ac:dyDescent="0.25">
      <c r="B16">
        <v>1</v>
      </c>
      <c r="C16">
        <v>11</v>
      </c>
      <c r="D16" s="17">
        <f>INDEX(Blk_c,MATCH(B16,Blk_St,0))</f>
      </c>
      <c r="E16" s="17">
        <f>INDEX(Bar_U,MATCH(C16,Bar_No,0))</f>
      </c>
      <c r="F16" s="17">
        <f>u_max-E16</f>
      </c>
      <c r="G16" s="20">
        <f>IF(AND(ec_pivot&gt;0,D16&gt;d_theta),ec_pivot*D16/(D16-(1-ec_pivot/ecu)*d_theta),ecu)*(1-F16/D16)</f>
      </c>
      <c r="H16" s="20">
        <f>MAX(0,-G16)</f>
      </c>
      <c r="I16" s="17">
        <f>MAX(MIN(Es*G16,fy),-fy)</f>
      </c>
      <c r="J16">
        <f>IF(E16&gt;=u_max-beta_1*D16-blk_tol,1,0)</f>
      </c>
      <c r="K16" s="17">
        <f>J16*sig_blk</f>
      </c>
      <c r="L16" s="17">
        <f>I16-K16</f>
      </c>
      <c r="M16" s="17">
        <f>INDEX(Bar_As,MATCH(C16,Bar_No,0))*L16/1000</f>
      </c>
      <c r="N16" s="17">
        <f>M16*INDEX(Bar_Y,MATCH(C16,Bar_No,0))/1000</f>
      </c>
      <c r="O16" s="17">
        <f>M16*INDEX(Bar_X,MATCH(C16,Bar_No,0))/1000</f>
      </c>
    </row>
    <row r="17" spans="2:15" x14ac:dyDescent="0.25">
      <c r="B17">
        <v>1</v>
      </c>
      <c r="C17">
        <v>12</v>
      </c>
      <c r="D17" s="17">
        <f>INDEX(Blk_c,MATCH(B17,Blk_St,0))</f>
      </c>
      <c r="E17" s="17">
        <f>INDEX(Bar_U,MATCH(C17,Bar_No,0))</f>
      </c>
      <c r="F17" s="17">
        <f>u_max-E17</f>
      </c>
      <c r="G17" s="20">
        <f>IF(AND(ec_pivot&gt;0,D17&gt;d_theta),ec_pivot*D17/(D17-(1-ec_pivot/ecu)*d_theta),ecu)*(1-F17/D17)</f>
      </c>
      <c r="H17" s="20">
        <f>MAX(0,-G17)</f>
      </c>
      <c r="I17" s="17">
        <f>MAX(MIN(Es*G17,fy),-fy)</f>
      </c>
      <c r="J17">
        <f>IF(E17&gt;=u_max-beta_1*D17-blk_tol,1,0)</f>
      </c>
      <c r="K17" s="17">
        <f>J17*sig_blk</f>
      </c>
      <c r="L17" s="17">
        <f>I17-K17</f>
      </c>
      <c r="M17" s="17">
        <f>INDEX(Bar_As,MATCH(C17,Bar_No,0))*L17/1000</f>
      </c>
      <c r="N17" s="17">
        <f>M17*INDEX(Bar_Y,MATCH(C17,Bar_No,0))/1000</f>
      </c>
      <c r="O17" s="17">
        <f>M17*INDEX(Bar_X,MATCH(C17,Bar_No,0))/1000</f>
      </c>
    </row>
    <row r="18" spans="2:15" x14ac:dyDescent="0.25">
      <c r="B18">
        <v>1</v>
      </c>
      <c r="C18">
        <v>13</v>
      </c>
      <c r="D18" s="17">
        <f>INDEX(Blk_c,MATCH(B18,Blk_St,0))</f>
      </c>
      <c r="E18" s="17">
        <f>INDEX(Bar_U,MATCH(C18,Bar_No,0))</f>
      </c>
      <c r="F18" s="17">
        <f>u_max-E18</f>
      </c>
      <c r="G18" s="20">
        <f>IF(AND(ec_pivot&gt;0,D18&gt;d_theta),ec_pivot*D18/(D18-(1-ec_pivot/ecu)*d_theta),ecu)*(1-F18/D18)</f>
      </c>
      <c r="H18" s="20">
        <f>MAX(0,-G18)</f>
      </c>
      <c r="I18" s="17">
        <f>MAX(MIN(Es*G18,fy),-fy)</f>
      </c>
      <c r="J18">
        <f>IF(E18&gt;=u_max-beta_1*D18-blk_tol,1,0)</f>
      </c>
      <c r="K18" s="17">
        <f>J18*sig_blk</f>
      </c>
      <c r="L18" s="17">
        <f>I18-K18</f>
      </c>
      <c r="M18" s="17">
        <f>INDEX(Bar_As,MATCH(C18,Bar_No,0))*L18/1000</f>
      </c>
      <c r="N18" s="17">
        <f>M18*INDEX(Bar_Y,MATCH(C18,Bar_No,0))/1000</f>
      </c>
      <c r="O18" s="17">
        <f>M18*INDEX(Bar_X,MATCH(C18,Bar_No,0))/1000</f>
      </c>
    </row>
    <row r="19" spans="2:15" x14ac:dyDescent="0.25">
      <c r="B19">
        <v>1</v>
      </c>
      <c r="C19">
        <v>14</v>
      </c>
      <c r="D19" s="17">
        <f>INDEX(Blk_c,MATCH(B19,Blk_St,0))</f>
      </c>
      <c r="E19" s="17">
        <f>INDEX(Bar_U,MATCH(C19,Bar_No,0))</f>
      </c>
      <c r="F19" s="17">
        <f>u_max-E19</f>
      </c>
      <c r="G19" s="20">
        <f>IF(AND(ec_pivot&gt;0,D19&gt;d_theta),ec_pivot*D19/(D19-(1-ec_pivot/ecu)*d_theta),ecu)*(1-F19/D19)</f>
      </c>
      <c r="H19" s="20">
        <f>MAX(0,-G19)</f>
      </c>
      <c r="I19" s="17">
        <f>MAX(MIN(Es*G19,fy),-fy)</f>
      </c>
      <c r="J19">
        <f>IF(E19&gt;=u_max-beta_1*D19-blk_tol,1,0)</f>
      </c>
      <c r="K19" s="17">
        <f>J19*sig_blk</f>
      </c>
      <c r="L19" s="17">
        <f>I19-K19</f>
      </c>
      <c r="M19" s="17">
        <f>INDEX(Bar_As,MATCH(C19,Bar_No,0))*L19/1000</f>
      </c>
      <c r="N19" s="17">
        <f>M19*INDEX(Bar_Y,MATCH(C19,Bar_No,0))/1000</f>
      </c>
      <c r="O19" s="17">
        <f>M19*INDEX(Bar_X,MATCH(C19,Bar_No,0))/1000</f>
      </c>
    </row>
    <row r="20" spans="2:15" x14ac:dyDescent="0.25">
      <c r="B20">
        <v>1</v>
      </c>
      <c r="C20">
        <v>15</v>
      </c>
      <c r="D20" s="17">
        <f>INDEX(Blk_c,MATCH(B20,Blk_St,0))</f>
      </c>
      <c r="E20" s="17">
        <f>INDEX(Bar_U,MATCH(C20,Bar_No,0))</f>
      </c>
      <c r="F20" s="17">
        <f>u_max-E20</f>
      </c>
      <c r="G20" s="20">
        <f>IF(AND(ec_pivot&gt;0,D20&gt;d_theta),ec_pivot*D20/(D20-(1-ec_pivot/ecu)*d_theta),ecu)*(1-F20/D20)</f>
      </c>
      <c r="H20" s="20">
        <f>MAX(0,-G20)</f>
      </c>
      <c r="I20" s="17">
        <f>MAX(MIN(Es*G20,fy),-fy)</f>
      </c>
      <c r="J20">
        <f>IF(E20&gt;=u_max-beta_1*D20-blk_tol,1,0)</f>
      </c>
      <c r="K20" s="17">
        <f>J20*sig_blk</f>
      </c>
      <c r="L20" s="17">
        <f>I20-K20</f>
      </c>
      <c r="M20" s="17">
        <f>INDEX(Bar_As,MATCH(C20,Bar_No,0))*L20/1000</f>
      </c>
      <c r="N20" s="17">
        <f>M20*INDEX(Bar_Y,MATCH(C20,Bar_No,0))/1000</f>
      </c>
      <c r="O20" s="17">
        <f>M20*INDEX(Bar_X,MATCH(C20,Bar_No,0))/1000</f>
      </c>
    </row>
    <row r="21" spans="2:15" x14ac:dyDescent="0.25">
      <c r="B21">
        <v>1</v>
      </c>
      <c r="C21">
        <v>16</v>
      </c>
      <c r="D21" s="17">
        <f>INDEX(Blk_c,MATCH(B21,Blk_St,0))</f>
      </c>
      <c r="E21" s="17">
        <f>INDEX(Bar_U,MATCH(C21,Bar_No,0))</f>
      </c>
      <c r="F21" s="17">
        <f>u_max-E21</f>
      </c>
      <c r="G21" s="20">
        <f>IF(AND(ec_pivot&gt;0,D21&gt;d_theta),ec_pivot*D21/(D21-(1-ec_pivot/ecu)*d_theta),ecu)*(1-F21/D21)</f>
      </c>
      <c r="H21" s="20">
        <f>MAX(0,-G21)</f>
      </c>
      <c r="I21" s="17">
        <f>MAX(MIN(Es*G21,fy),-fy)</f>
      </c>
      <c r="J21">
        <f>IF(E21&gt;=u_max-beta_1*D21-blk_tol,1,0)</f>
      </c>
      <c r="K21" s="17">
        <f>J21*sig_blk</f>
      </c>
      <c r="L21" s="17">
        <f>I21-K21</f>
      </c>
      <c r="M21" s="17">
        <f>INDEX(Bar_As,MATCH(C21,Bar_No,0))*L21/1000</f>
      </c>
      <c r="N21" s="17">
        <f>M21*INDEX(Bar_Y,MATCH(C21,Bar_No,0))/1000</f>
      </c>
      <c r="O21" s="17">
        <f>M21*INDEX(Bar_X,MATCH(C21,Bar_No,0))/1000</f>
      </c>
    </row>
    <row r="22" spans="2:15" x14ac:dyDescent="0.25">
      <c r="B22">
        <v>1</v>
      </c>
      <c r="C22">
        <v>17</v>
      </c>
      <c r="D22" s="17">
        <f>INDEX(Blk_c,MATCH(B22,Blk_St,0))</f>
      </c>
      <c r="E22" s="17">
        <f>INDEX(Bar_U,MATCH(C22,Bar_No,0))</f>
      </c>
      <c r="F22" s="17">
        <f>u_max-E22</f>
      </c>
      <c r="G22" s="20">
        <f>IF(AND(ec_pivot&gt;0,D22&gt;d_theta),ec_pivot*D22/(D22-(1-ec_pivot/ecu)*d_theta),ecu)*(1-F22/D22)</f>
      </c>
      <c r="H22" s="20">
        <f>MAX(0,-G22)</f>
      </c>
      <c r="I22" s="17">
        <f>MAX(MIN(Es*G22,fy),-fy)</f>
      </c>
      <c r="J22">
        <f>IF(E22&gt;=u_max-beta_1*D22-blk_tol,1,0)</f>
      </c>
      <c r="K22" s="17">
        <f>J22*sig_blk</f>
      </c>
      <c r="L22" s="17">
        <f>I22-K22</f>
      </c>
      <c r="M22" s="17">
        <f>INDEX(Bar_As,MATCH(C22,Bar_No,0))*L22/1000</f>
      </c>
      <c r="N22" s="17">
        <f>M22*INDEX(Bar_Y,MATCH(C22,Bar_No,0))/1000</f>
      </c>
      <c r="O22" s="17">
        <f>M22*INDEX(Bar_X,MATCH(C22,Bar_No,0))/1000</f>
      </c>
    </row>
    <row r="23" spans="2:15" x14ac:dyDescent="0.25">
      <c r="B23">
        <v>1</v>
      </c>
      <c r="C23">
        <v>18</v>
      </c>
      <c r="D23" s="17">
        <f>INDEX(Blk_c,MATCH(B23,Blk_St,0))</f>
      </c>
      <c r="E23" s="17">
        <f>INDEX(Bar_U,MATCH(C23,Bar_No,0))</f>
      </c>
      <c r="F23" s="17">
        <f>u_max-E23</f>
      </c>
      <c r="G23" s="20">
        <f>IF(AND(ec_pivot&gt;0,D23&gt;d_theta),ec_pivot*D23/(D23-(1-ec_pivot/ecu)*d_theta),ecu)*(1-F23/D23)</f>
      </c>
      <c r="H23" s="20">
        <f>MAX(0,-G23)</f>
      </c>
      <c r="I23" s="17">
        <f>MAX(MIN(Es*G23,fy),-fy)</f>
      </c>
      <c r="J23">
        <f>IF(E23&gt;=u_max-beta_1*D23-blk_tol,1,0)</f>
      </c>
      <c r="K23" s="17">
        <f>J23*sig_blk</f>
      </c>
      <c r="L23" s="17">
        <f>I23-K23</f>
      </c>
      <c r="M23" s="17">
        <f>INDEX(Bar_As,MATCH(C23,Bar_No,0))*L23/1000</f>
      </c>
      <c r="N23" s="17">
        <f>M23*INDEX(Bar_Y,MATCH(C23,Bar_No,0))/1000</f>
      </c>
      <c r="O23" s="17">
        <f>M23*INDEX(Bar_X,MATCH(C23,Bar_No,0))/1000</f>
      </c>
    </row>
    <row r="24" spans="2:15" x14ac:dyDescent="0.25">
      <c r="B24">
        <v>2</v>
      </c>
      <c r="C24">
        <v>1</v>
      </c>
      <c r="D24" s="17">
        <f>INDEX(Blk_c,MATCH(B24,Blk_St,0))</f>
      </c>
      <c r="E24" s="17">
        <f>INDEX(Bar_U,MATCH(C24,Bar_No,0))</f>
      </c>
      <c r="F24" s="17">
        <f>u_max-E24</f>
      </c>
      <c r="G24" s="20">
        <f>IF(AND(ec_pivot&gt;0,D24&gt;d_theta),ec_pivot*D24/(D24-(1-ec_pivot/ecu)*d_theta),ecu)*(1-F24/D24)</f>
      </c>
      <c r="H24" s="20">
        <f>MAX(0,-G24)</f>
      </c>
      <c r="I24" s="17">
        <f>MAX(MIN(Es*G24,fy),-fy)</f>
      </c>
      <c r="J24">
        <f>IF(E24&gt;=u_max-beta_1*D24-blk_tol,1,0)</f>
      </c>
      <c r="K24" s="17">
        <f>J24*sig_blk</f>
      </c>
      <c r="L24" s="17">
        <f>I24-K24</f>
      </c>
      <c r="M24" s="17">
        <f>INDEX(Bar_As,MATCH(C24,Bar_No,0))*L24/1000</f>
      </c>
      <c r="N24" s="17">
        <f>M24*INDEX(Bar_Y,MATCH(C24,Bar_No,0))/1000</f>
      </c>
      <c r="O24" s="17">
        <f>M24*INDEX(Bar_X,MATCH(C24,Bar_No,0))/1000</f>
      </c>
    </row>
    <row r="25" spans="2:15" x14ac:dyDescent="0.25">
      <c r="B25">
        <v>2</v>
      </c>
      <c r="C25">
        <v>2</v>
      </c>
      <c r="D25" s="17">
        <f>INDEX(Blk_c,MATCH(B25,Blk_St,0))</f>
      </c>
      <c r="E25" s="17">
        <f>INDEX(Bar_U,MATCH(C25,Bar_No,0))</f>
      </c>
      <c r="F25" s="17">
        <f>u_max-E25</f>
      </c>
      <c r="G25" s="20">
        <f>IF(AND(ec_pivot&gt;0,D25&gt;d_theta),ec_pivot*D25/(D25-(1-ec_pivot/ecu)*d_theta),ecu)*(1-F25/D25)</f>
      </c>
      <c r="H25" s="20">
        <f>MAX(0,-G25)</f>
      </c>
      <c r="I25" s="17">
        <f>MAX(MIN(Es*G25,fy),-fy)</f>
      </c>
      <c r="J25">
        <f>IF(E25&gt;=u_max-beta_1*D25-blk_tol,1,0)</f>
      </c>
      <c r="K25" s="17">
        <f>J25*sig_blk</f>
      </c>
      <c r="L25" s="17">
        <f>I25-K25</f>
      </c>
      <c r="M25" s="17">
        <f>INDEX(Bar_As,MATCH(C25,Bar_No,0))*L25/1000</f>
      </c>
      <c r="N25" s="17">
        <f>M25*INDEX(Bar_Y,MATCH(C25,Bar_No,0))/1000</f>
      </c>
      <c r="O25" s="17">
        <f>M25*INDEX(Bar_X,MATCH(C25,Bar_No,0))/1000</f>
      </c>
    </row>
    <row r="26" spans="2:15" x14ac:dyDescent="0.25">
      <c r="B26">
        <v>2</v>
      </c>
      <c r="C26">
        <v>3</v>
      </c>
      <c r="D26" s="17">
        <f>INDEX(Blk_c,MATCH(B26,Blk_St,0))</f>
      </c>
      <c r="E26" s="17">
        <f>INDEX(Bar_U,MATCH(C26,Bar_No,0))</f>
      </c>
      <c r="F26" s="17">
        <f>u_max-E26</f>
      </c>
      <c r="G26" s="20">
        <f>IF(AND(ec_pivot&gt;0,D26&gt;d_theta),ec_pivot*D26/(D26-(1-ec_pivot/ecu)*d_theta),ecu)*(1-F26/D26)</f>
      </c>
      <c r="H26" s="20">
        <f>MAX(0,-G26)</f>
      </c>
      <c r="I26" s="17">
        <f>MAX(MIN(Es*G26,fy),-fy)</f>
      </c>
      <c r="J26">
        <f>IF(E26&gt;=u_max-beta_1*D26-blk_tol,1,0)</f>
      </c>
      <c r="K26" s="17">
        <f>J26*sig_blk</f>
      </c>
      <c r="L26" s="17">
        <f>I26-K26</f>
      </c>
      <c r="M26" s="17">
        <f>INDEX(Bar_As,MATCH(C26,Bar_No,0))*L26/1000</f>
      </c>
      <c r="N26" s="17">
        <f>M26*INDEX(Bar_Y,MATCH(C26,Bar_No,0))/1000</f>
      </c>
      <c r="O26" s="17">
        <f>M26*INDEX(Bar_X,MATCH(C26,Bar_No,0))/1000</f>
      </c>
    </row>
    <row r="27" spans="2:15" x14ac:dyDescent="0.25">
      <c r="B27">
        <v>2</v>
      </c>
      <c r="C27">
        <v>4</v>
      </c>
      <c r="D27" s="17">
        <f>INDEX(Blk_c,MATCH(B27,Blk_St,0))</f>
      </c>
      <c r="E27" s="17">
        <f>INDEX(Bar_U,MATCH(C27,Bar_No,0))</f>
      </c>
      <c r="F27" s="17">
        <f>u_max-E27</f>
      </c>
      <c r="G27" s="20">
        <f>IF(AND(ec_pivot&gt;0,D27&gt;d_theta),ec_pivot*D27/(D27-(1-ec_pivot/ecu)*d_theta),ecu)*(1-F27/D27)</f>
      </c>
      <c r="H27" s="20">
        <f>MAX(0,-G27)</f>
      </c>
      <c r="I27" s="17">
        <f>MAX(MIN(Es*G27,fy),-fy)</f>
      </c>
      <c r="J27">
        <f>IF(E27&gt;=u_max-beta_1*D27-blk_tol,1,0)</f>
      </c>
      <c r="K27" s="17">
        <f>J27*sig_blk</f>
      </c>
      <c r="L27" s="17">
        <f>I27-K27</f>
      </c>
      <c r="M27" s="17">
        <f>INDEX(Bar_As,MATCH(C27,Bar_No,0))*L27/1000</f>
      </c>
      <c r="N27" s="17">
        <f>M27*INDEX(Bar_Y,MATCH(C27,Bar_No,0))/1000</f>
      </c>
      <c r="O27" s="17">
        <f>M27*INDEX(Bar_X,MATCH(C27,Bar_No,0))/1000</f>
      </c>
    </row>
    <row r="28" spans="2:15" x14ac:dyDescent="0.25">
      <c r="B28">
        <v>2</v>
      </c>
      <c r="C28">
        <v>5</v>
      </c>
      <c r="D28" s="17">
        <f>INDEX(Blk_c,MATCH(B28,Blk_St,0))</f>
      </c>
      <c r="E28" s="17">
        <f>INDEX(Bar_U,MATCH(C28,Bar_No,0))</f>
      </c>
      <c r="F28" s="17">
        <f>u_max-E28</f>
      </c>
      <c r="G28" s="20">
        <f>IF(AND(ec_pivot&gt;0,D28&gt;d_theta),ec_pivot*D28/(D28-(1-ec_pivot/ecu)*d_theta),ecu)*(1-F28/D28)</f>
      </c>
      <c r="H28" s="20">
        <f>MAX(0,-G28)</f>
      </c>
      <c r="I28" s="17">
        <f>MAX(MIN(Es*G28,fy),-fy)</f>
      </c>
      <c r="J28">
        <f>IF(E28&gt;=u_max-beta_1*D28-blk_tol,1,0)</f>
      </c>
      <c r="K28" s="17">
        <f>J28*sig_blk</f>
      </c>
      <c r="L28" s="17">
        <f>I28-K28</f>
      </c>
      <c r="M28" s="17">
        <f>INDEX(Bar_As,MATCH(C28,Bar_No,0))*L28/1000</f>
      </c>
      <c r="N28" s="17">
        <f>M28*INDEX(Bar_Y,MATCH(C28,Bar_No,0))/1000</f>
      </c>
      <c r="O28" s="17">
        <f>M28*INDEX(Bar_X,MATCH(C28,Bar_No,0))/1000</f>
      </c>
    </row>
    <row r="29" spans="2:15" x14ac:dyDescent="0.25">
      <c r="B29">
        <v>2</v>
      </c>
      <c r="C29">
        <v>6</v>
      </c>
      <c r="D29" s="17">
        <f>INDEX(Blk_c,MATCH(B29,Blk_St,0))</f>
      </c>
      <c r="E29" s="17">
        <f>INDEX(Bar_U,MATCH(C29,Bar_No,0))</f>
      </c>
      <c r="F29" s="17">
        <f>u_max-E29</f>
      </c>
      <c r="G29" s="20">
        <f>IF(AND(ec_pivot&gt;0,D29&gt;d_theta),ec_pivot*D29/(D29-(1-ec_pivot/ecu)*d_theta),ecu)*(1-F29/D29)</f>
      </c>
      <c r="H29" s="20">
        <f>MAX(0,-G29)</f>
      </c>
      <c r="I29" s="17">
        <f>MAX(MIN(Es*G29,fy),-fy)</f>
      </c>
      <c r="J29">
        <f>IF(E29&gt;=u_max-beta_1*D29-blk_tol,1,0)</f>
      </c>
      <c r="K29" s="17">
        <f>J29*sig_blk</f>
      </c>
      <c r="L29" s="17">
        <f>I29-K29</f>
      </c>
      <c r="M29" s="17">
        <f>INDEX(Bar_As,MATCH(C29,Bar_No,0))*L29/1000</f>
      </c>
      <c r="N29" s="17">
        <f>M29*INDEX(Bar_Y,MATCH(C29,Bar_No,0))/1000</f>
      </c>
      <c r="O29" s="17">
        <f>M29*INDEX(Bar_X,MATCH(C29,Bar_No,0))/1000</f>
      </c>
    </row>
    <row r="30" spans="2:15" x14ac:dyDescent="0.25">
      <c r="B30">
        <v>2</v>
      </c>
      <c r="C30">
        <v>7</v>
      </c>
      <c r="D30" s="17">
        <f>INDEX(Blk_c,MATCH(B30,Blk_St,0))</f>
      </c>
      <c r="E30" s="17">
        <f>INDEX(Bar_U,MATCH(C30,Bar_No,0))</f>
      </c>
      <c r="F30" s="17">
        <f>u_max-E30</f>
      </c>
      <c r="G30" s="20">
        <f>IF(AND(ec_pivot&gt;0,D30&gt;d_theta),ec_pivot*D30/(D30-(1-ec_pivot/ecu)*d_theta),ecu)*(1-F30/D30)</f>
      </c>
      <c r="H30" s="20">
        <f>MAX(0,-G30)</f>
      </c>
      <c r="I30" s="17">
        <f>MAX(MIN(Es*G30,fy),-fy)</f>
      </c>
      <c r="J30">
        <f>IF(E30&gt;=u_max-beta_1*D30-blk_tol,1,0)</f>
      </c>
      <c r="K30" s="17">
        <f>J30*sig_blk</f>
      </c>
      <c r="L30" s="17">
        <f>I30-K30</f>
      </c>
      <c r="M30" s="17">
        <f>INDEX(Bar_As,MATCH(C30,Bar_No,0))*L30/1000</f>
      </c>
      <c r="N30" s="17">
        <f>M30*INDEX(Bar_Y,MATCH(C30,Bar_No,0))/1000</f>
      </c>
      <c r="O30" s="17">
        <f>M30*INDEX(Bar_X,MATCH(C30,Bar_No,0))/1000</f>
      </c>
    </row>
    <row r="31" spans="2:15" x14ac:dyDescent="0.25">
      <c r="B31">
        <v>2</v>
      </c>
      <c r="C31">
        <v>8</v>
      </c>
      <c r="D31" s="17">
        <f>INDEX(Blk_c,MATCH(B31,Blk_St,0))</f>
      </c>
      <c r="E31" s="17">
        <f>INDEX(Bar_U,MATCH(C31,Bar_No,0))</f>
      </c>
      <c r="F31" s="17">
        <f>u_max-E31</f>
      </c>
      <c r="G31" s="20">
        <f>IF(AND(ec_pivot&gt;0,D31&gt;d_theta),ec_pivot*D31/(D31-(1-ec_pivot/ecu)*d_theta),ecu)*(1-F31/D31)</f>
      </c>
      <c r="H31" s="20">
        <f>MAX(0,-G31)</f>
      </c>
      <c r="I31" s="17">
        <f>MAX(MIN(Es*G31,fy),-fy)</f>
      </c>
      <c r="J31">
        <f>IF(E31&gt;=u_max-beta_1*D31-blk_tol,1,0)</f>
      </c>
      <c r="K31" s="17">
        <f>J31*sig_blk</f>
      </c>
      <c r="L31" s="17">
        <f>I31-K31</f>
      </c>
      <c r="M31" s="17">
        <f>INDEX(Bar_As,MATCH(C31,Bar_No,0))*L31/1000</f>
      </c>
      <c r="N31" s="17">
        <f>M31*INDEX(Bar_Y,MATCH(C31,Bar_No,0))/1000</f>
      </c>
      <c r="O31" s="17">
        <f>M31*INDEX(Bar_X,MATCH(C31,Bar_No,0))/1000</f>
      </c>
    </row>
    <row r="32" spans="2:15" x14ac:dyDescent="0.25">
      <c r="B32">
        <v>2</v>
      </c>
      <c r="C32">
        <v>9</v>
      </c>
      <c r="D32" s="17">
        <f>INDEX(Blk_c,MATCH(B32,Blk_St,0))</f>
      </c>
      <c r="E32" s="17">
        <f>INDEX(Bar_U,MATCH(C32,Bar_No,0))</f>
      </c>
      <c r="F32" s="17">
        <f>u_max-E32</f>
      </c>
      <c r="G32" s="20">
        <f>IF(AND(ec_pivot&gt;0,D32&gt;d_theta),ec_pivot*D32/(D32-(1-ec_pivot/ecu)*d_theta),ecu)*(1-F32/D32)</f>
      </c>
      <c r="H32" s="20">
        <f>MAX(0,-G32)</f>
      </c>
      <c r="I32" s="17">
        <f>MAX(MIN(Es*G32,fy),-fy)</f>
      </c>
      <c r="J32">
        <f>IF(E32&gt;=u_max-beta_1*D32-blk_tol,1,0)</f>
      </c>
      <c r="K32" s="17">
        <f>J32*sig_blk</f>
      </c>
      <c r="L32" s="17">
        <f>I32-K32</f>
      </c>
      <c r="M32" s="17">
        <f>INDEX(Bar_As,MATCH(C32,Bar_No,0))*L32/1000</f>
      </c>
      <c r="N32" s="17">
        <f>M32*INDEX(Bar_Y,MATCH(C32,Bar_No,0))/1000</f>
      </c>
      <c r="O32" s="17">
        <f>M32*INDEX(Bar_X,MATCH(C32,Bar_No,0))/1000</f>
      </c>
    </row>
    <row r="33" spans="2:15" x14ac:dyDescent="0.25">
      <c r="B33">
        <v>2</v>
      </c>
      <c r="C33">
        <v>10</v>
      </c>
      <c r="D33" s="17">
        <f>INDEX(Blk_c,MATCH(B33,Blk_St,0))</f>
      </c>
      <c r="E33" s="17">
        <f>INDEX(Bar_U,MATCH(C33,Bar_No,0))</f>
      </c>
      <c r="F33" s="17">
        <f>u_max-E33</f>
      </c>
      <c r="G33" s="20">
        <f>IF(AND(ec_pivot&gt;0,D33&gt;d_theta),ec_pivot*D33/(D33-(1-ec_pivot/ecu)*d_theta),ecu)*(1-F33/D33)</f>
      </c>
      <c r="H33" s="20">
        <f>MAX(0,-G33)</f>
      </c>
      <c r="I33" s="17">
        <f>MAX(MIN(Es*G33,fy),-fy)</f>
      </c>
      <c r="J33">
        <f>IF(E33&gt;=u_max-beta_1*D33-blk_tol,1,0)</f>
      </c>
      <c r="K33" s="17">
        <f>J33*sig_blk</f>
      </c>
      <c r="L33" s="17">
        <f>I33-K33</f>
      </c>
      <c r="M33" s="17">
        <f>INDEX(Bar_As,MATCH(C33,Bar_No,0))*L33/1000</f>
      </c>
      <c r="N33" s="17">
        <f>M33*INDEX(Bar_Y,MATCH(C33,Bar_No,0))/1000</f>
      </c>
      <c r="O33" s="17">
        <f>M33*INDEX(Bar_X,MATCH(C33,Bar_No,0))/1000</f>
      </c>
    </row>
    <row r="34" spans="2:15" x14ac:dyDescent="0.25">
      <c r="B34">
        <v>2</v>
      </c>
      <c r="C34">
        <v>11</v>
      </c>
      <c r="D34" s="17">
        <f>INDEX(Blk_c,MATCH(B34,Blk_St,0))</f>
      </c>
      <c r="E34" s="17">
        <f>INDEX(Bar_U,MATCH(C34,Bar_No,0))</f>
      </c>
      <c r="F34" s="17">
        <f>u_max-E34</f>
      </c>
      <c r="G34" s="20">
        <f>IF(AND(ec_pivot&gt;0,D34&gt;d_theta),ec_pivot*D34/(D34-(1-ec_pivot/ecu)*d_theta),ecu)*(1-F34/D34)</f>
      </c>
      <c r="H34" s="20">
        <f>MAX(0,-G34)</f>
      </c>
      <c r="I34" s="17">
        <f>MAX(MIN(Es*G34,fy),-fy)</f>
      </c>
      <c r="J34">
        <f>IF(E34&gt;=u_max-beta_1*D34-blk_tol,1,0)</f>
      </c>
      <c r="K34" s="17">
        <f>J34*sig_blk</f>
      </c>
      <c r="L34" s="17">
        <f>I34-K34</f>
      </c>
      <c r="M34" s="17">
        <f>INDEX(Bar_As,MATCH(C34,Bar_No,0))*L34/1000</f>
      </c>
      <c r="N34" s="17">
        <f>M34*INDEX(Bar_Y,MATCH(C34,Bar_No,0))/1000</f>
      </c>
      <c r="O34" s="17">
        <f>M34*INDEX(Bar_X,MATCH(C34,Bar_No,0))/1000</f>
      </c>
    </row>
    <row r="35" spans="2:15" x14ac:dyDescent="0.25">
      <c r="B35">
        <v>2</v>
      </c>
      <c r="C35">
        <v>12</v>
      </c>
      <c r="D35" s="17">
        <f>INDEX(Blk_c,MATCH(B35,Blk_St,0))</f>
      </c>
      <c r="E35" s="17">
        <f>INDEX(Bar_U,MATCH(C35,Bar_No,0))</f>
      </c>
      <c r="F35" s="17">
        <f>u_max-E35</f>
      </c>
      <c r="G35" s="20">
        <f>IF(AND(ec_pivot&gt;0,D35&gt;d_theta),ec_pivot*D35/(D35-(1-ec_pivot/ecu)*d_theta),ecu)*(1-F35/D35)</f>
      </c>
      <c r="H35" s="20">
        <f>MAX(0,-G35)</f>
      </c>
      <c r="I35" s="17">
        <f>MAX(MIN(Es*G35,fy),-fy)</f>
      </c>
      <c r="J35">
        <f>IF(E35&gt;=u_max-beta_1*D35-blk_tol,1,0)</f>
      </c>
      <c r="K35" s="17">
        <f>J35*sig_blk</f>
      </c>
      <c r="L35" s="17">
        <f>I35-K35</f>
      </c>
      <c r="M35" s="17">
        <f>INDEX(Bar_As,MATCH(C35,Bar_No,0))*L35/1000</f>
      </c>
      <c r="N35" s="17">
        <f>M35*INDEX(Bar_Y,MATCH(C35,Bar_No,0))/1000</f>
      </c>
      <c r="O35" s="17">
        <f>M35*INDEX(Bar_X,MATCH(C35,Bar_No,0))/1000</f>
      </c>
    </row>
    <row r="36" spans="2:15" x14ac:dyDescent="0.25">
      <c r="B36">
        <v>2</v>
      </c>
      <c r="C36">
        <v>13</v>
      </c>
      <c r="D36" s="17">
        <f>INDEX(Blk_c,MATCH(B36,Blk_St,0))</f>
      </c>
      <c r="E36" s="17">
        <f>INDEX(Bar_U,MATCH(C36,Bar_No,0))</f>
      </c>
      <c r="F36" s="17">
        <f>u_max-E36</f>
      </c>
      <c r="G36" s="20">
        <f>IF(AND(ec_pivot&gt;0,D36&gt;d_theta),ec_pivot*D36/(D36-(1-ec_pivot/ecu)*d_theta),ecu)*(1-F36/D36)</f>
      </c>
      <c r="H36" s="20">
        <f>MAX(0,-G36)</f>
      </c>
      <c r="I36" s="17">
        <f>MAX(MIN(Es*G36,fy),-fy)</f>
      </c>
      <c r="J36">
        <f>IF(E36&gt;=u_max-beta_1*D36-blk_tol,1,0)</f>
      </c>
      <c r="K36" s="17">
        <f>J36*sig_blk</f>
      </c>
      <c r="L36" s="17">
        <f>I36-K36</f>
      </c>
      <c r="M36" s="17">
        <f>INDEX(Bar_As,MATCH(C36,Bar_No,0))*L36/1000</f>
      </c>
      <c r="N36" s="17">
        <f>M36*INDEX(Bar_Y,MATCH(C36,Bar_No,0))/1000</f>
      </c>
      <c r="O36" s="17">
        <f>M36*INDEX(Bar_X,MATCH(C36,Bar_No,0))/1000</f>
      </c>
    </row>
    <row r="37" spans="2:15" x14ac:dyDescent="0.25">
      <c r="B37">
        <v>2</v>
      </c>
      <c r="C37">
        <v>14</v>
      </c>
      <c r="D37" s="17">
        <f>INDEX(Blk_c,MATCH(B37,Blk_St,0))</f>
      </c>
      <c r="E37" s="17">
        <f>INDEX(Bar_U,MATCH(C37,Bar_No,0))</f>
      </c>
      <c r="F37" s="17">
        <f>u_max-E37</f>
      </c>
      <c r="G37" s="20">
        <f>IF(AND(ec_pivot&gt;0,D37&gt;d_theta),ec_pivot*D37/(D37-(1-ec_pivot/ecu)*d_theta),ecu)*(1-F37/D37)</f>
      </c>
      <c r="H37" s="20">
        <f>MAX(0,-G37)</f>
      </c>
      <c r="I37" s="17">
        <f>MAX(MIN(Es*G37,fy),-fy)</f>
      </c>
      <c r="J37">
        <f>IF(E37&gt;=u_max-beta_1*D37-blk_tol,1,0)</f>
      </c>
      <c r="K37" s="17">
        <f>J37*sig_blk</f>
      </c>
      <c r="L37" s="17">
        <f>I37-K37</f>
      </c>
      <c r="M37" s="17">
        <f>INDEX(Bar_As,MATCH(C37,Bar_No,0))*L37/1000</f>
      </c>
      <c r="N37" s="17">
        <f>M37*INDEX(Bar_Y,MATCH(C37,Bar_No,0))/1000</f>
      </c>
      <c r="O37" s="17">
        <f>M37*INDEX(Bar_X,MATCH(C37,Bar_No,0))/1000</f>
      </c>
    </row>
    <row r="38" spans="2:15" x14ac:dyDescent="0.25">
      <c r="B38">
        <v>2</v>
      </c>
      <c r="C38">
        <v>15</v>
      </c>
      <c r="D38" s="17">
        <f>INDEX(Blk_c,MATCH(B38,Blk_St,0))</f>
      </c>
      <c r="E38" s="17">
        <f>INDEX(Bar_U,MATCH(C38,Bar_No,0))</f>
      </c>
      <c r="F38" s="17">
        <f>u_max-E38</f>
      </c>
      <c r="G38" s="20">
        <f>IF(AND(ec_pivot&gt;0,D38&gt;d_theta),ec_pivot*D38/(D38-(1-ec_pivot/ecu)*d_theta),ecu)*(1-F38/D38)</f>
      </c>
      <c r="H38" s="20">
        <f>MAX(0,-G38)</f>
      </c>
      <c r="I38" s="17">
        <f>MAX(MIN(Es*G38,fy),-fy)</f>
      </c>
      <c r="J38">
        <f>IF(E38&gt;=u_max-beta_1*D38-blk_tol,1,0)</f>
      </c>
      <c r="K38" s="17">
        <f>J38*sig_blk</f>
      </c>
      <c r="L38" s="17">
        <f>I38-K38</f>
      </c>
      <c r="M38" s="17">
        <f>INDEX(Bar_As,MATCH(C38,Bar_No,0))*L38/1000</f>
      </c>
      <c r="N38" s="17">
        <f>M38*INDEX(Bar_Y,MATCH(C38,Bar_No,0))/1000</f>
      </c>
      <c r="O38" s="17">
        <f>M38*INDEX(Bar_X,MATCH(C38,Bar_No,0))/1000</f>
      </c>
    </row>
    <row r="39" spans="2:15" x14ac:dyDescent="0.25">
      <c r="B39">
        <v>2</v>
      </c>
      <c r="C39">
        <v>16</v>
      </c>
      <c r="D39" s="17">
        <f>INDEX(Blk_c,MATCH(B39,Blk_St,0))</f>
      </c>
      <c r="E39" s="17">
        <f>INDEX(Bar_U,MATCH(C39,Bar_No,0))</f>
      </c>
      <c r="F39" s="17">
        <f>u_max-E39</f>
      </c>
      <c r="G39" s="20">
        <f>IF(AND(ec_pivot&gt;0,D39&gt;d_theta),ec_pivot*D39/(D39-(1-ec_pivot/ecu)*d_theta),ecu)*(1-F39/D39)</f>
      </c>
      <c r="H39" s="20">
        <f>MAX(0,-G39)</f>
      </c>
      <c r="I39" s="17">
        <f>MAX(MIN(Es*G39,fy),-fy)</f>
      </c>
      <c r="J39">
        <f>IF(E39&gt;=u_max-beta_1*D39-blk_tol,1,0)</f>
      </c>
      <c r="K39" s="17">
        <f>J39*sig_blk</f>
      </c>
      <c r="L39" s="17">
        <f>I39-K39</f>
      </c>
      <c r="M39" s="17">
        <f>INDEX(Bar_As,MATCH(C39,Bar_No,0))*L39/1000</f>
      </c>
      <c r="N39" s="17">
        <f>M39*INDEX(Bar_Y,MATCH(C39,Bar_No,0))/1000</f>
      </c>
      <c r="O39" s="17">
        <f>M39*INDEX(Bar_X,MATCH(C39,Bar_No,0))/1000</f>
      </c>
    </row>
    <row r="40" spans="2:15" x14ac:dyDescent="0.25">
      <c r="B40">
        <v>2</v>
      </c>
      <c r="C40">
        <v>17</v>
      </c>
      <c r="D40" s="17">
        <f>INDEX(Blk_c,MATCH(B40,Blk_St,0))</f>
      </c>
      <c r="E40" s="17">
        <f>INDEX(Bar_U,MATCH(C40,Bar_No,0))</f>
      </c>
      <c r="F40" s="17">
        <f>u_max-E40</f>
      </c>
      <c r="G40" s="20">
        <f>IF(AND(ec_pivot&gt;0,D40&gt;d_theta),ec_pivot*D40/(D40-(1-ec_pivot/ecu)*d_theta),ecu)*(1-F40/D40)</f>
      </c>
      <c r="H40" s="20">
        <f>MAX(0,-G40)</f>
      </c>
      <c r="I40" s="17">
        <f>MAX(MIN(Es*G40,fy),-fy)</f>
      </c>
      <c r="J40">
        <f>IF(E40&gt;=u_max-beta_1*D40-blk_tol,1,0)</f>
      </c>
      <c r="K40" s="17">
        <f>J40*sig_blk</f>
      </c>
      <c r="L40" s="17">
        <f>I40-K40</f>
      </c>
      <c r="M40" s="17">
        <f>INDEX(Bar_As,MATCH(C40,Bar_No,0))*L40/1000</f>
      </c>
      <c r="N40" s="17">
        <f>M40*INDEX(Bar_Y,MATCH(C40,Bar_No,0))/1000</f>
      </c>
      <c r="O40" s="17">
        <f>M40*INDEX(Bar_X,MATCH(C40,Bar_No,0))/1000</f>
      </c>
    </row>
    <row r="41" spans="2:15" x14ac:dyDescent="0.25">
      <c r="B41">
        <v>2</v>
      </c>
      <c r="C41">
        <v>18</v>
      </c>
      <c r="D41" s="17">
        <f>INDEX(Blk_c,MATCH(B41,Blk_St,0))</f>
      </c>
      <c r="E41" s="17">
        <f>INDEX(Bar_U,MATCH(C41,Bar_No,0))</f>
      </c>
      <c r="F41" s="17">
        <f>u_max-E41</f>
      </c>
      <c r="G41" s="20">
        <f>IF(AND(ec_pivot&gt;0,D41&gt;d_theta),ec_pivot*D41/(D41-(1-ec_pivot/ecu)*d_theta),ecu)*(1-F41/D41)</f>
      </c>
      <c r="H41" s="20">
        <f>MAX(0,-G41)</f>
      </c>
      <c r="I41" s="17">
        <f>MAX(MIN(Es*G41,fy),-fy)</f>
      </c>
      <c r="J41">
        <f>IF(E41&gt;=u_max-beta_1*D41-blk_tol,1,0)</f>
      </c>
      <c r="K41" s="17">
        <f>J41*sig_blk</f>
      </c>
      <c r="L41" s="17">
        <f>I41-K41</f>
      </c>
      <c r="M41" s="17">
        <f>INDEX(Bar_As,MATCH(C41,Bar_No,0))*L41/1000</f>
      </c>
      <c r="N41" s="17">
        <f>M41*INDEX(Bar_Y,MATCH(C41,Bar_No,0))/1000</f>
      </c>
      <c r="O41" s="17">
        <f>M41*INDEX(Bar_X,MATCH(C41,Bar_No,0))/1000</f>
      </c>
    </row>
    <row r="42" spans="2:15" x14ac:dyDescent="0.25">
      <c r="B42">
        <v>3</v>
      </c>
      <c r="C42">
        <v>1</v>
      </c>
      <c r="D42" s="17">
        <f>INDEX(Blk_c,MATCH(B42,Blk_St,0))</f>
      </c>
      <c r="E42" s="17">
        <f>INDEX(Bar_U,MATCH(C42,Bar_No,0))</f>
      </c>
      <c r="F42" s="17">
        <f>u_max-E42</f>
      </c>
      <c r="G42" s="20">
        <f>IF(AND(ec_pivot&gt;0,D42&gt;d_theta),ec_pivot*D42/(D42-(1-ec_pivot/ecu)*d_theta),ecu)*(1-F42/D42)</f>
      </c>
      <c r="H42" s="20">
        <f>MAX(0,-G42)</f>
      </c>
      <c r="I42" s="17">
        <f>MAX(MIN(Es*G42,fy),-fy)</f>
      </c>
      <c r="J42">
        <f>IF(E42&gt;=u_max-beta_1*D42-blk_tol,1,0)</f>
      </c>
      <c r="K42" s="17">
        <f>J42*sig_blk</f>
      </c>
      <c r="L42" s="17">
        <f>I42-K42</f>
      </c>
      <c r="M42" s="17">
        <f>INDEX(Bar_As,MATCH(C42,Bar_No,0))*L42/1000</f>
      </c>
      <c r="N42" s="17">
        <f>M42*INDEX(Bar_Y,MATCH(C42,Bar_No,0))/1000</f>
      </c>
      <c r="O42" s="17">
        <f>M42*INDEX(Bar_X,MATCH(C42,Bar_No,0))/1000</f>
      </c>
    </row>
    <row r="43" spans="2:15" x14ac:dyDescent="0.25">
      <c r="B43">
        <v>3</v>
      </c>
      <c r="C43">
        <v>2</v>
      </c>
      <c r="D43" s="17">
        <f>INDEX(Blk_c,MATCH(B43,Blk_St,0))</f>
      </c>
      <c r="E43" s="17">
        <f>INDEX(Bar_U,MATCH(C43,Bar_No,0))</f>
      </c>
      <c r="F43" s="17">
        <f>u_max-E43</f>
      </c>
      <c r="G43" s="20">
        <f>IF(AND(ec_pivot&gt;0,D43&gt;d_theta),ec_pivot*D43/(D43-(1-ec_pivot/ecu)*d_theta),ecu)*(1-F43/D43)</f>
      </c>
      <c r="H43" s="20">
        <f>MAX(0,-G43)</f>
      </c>
      <c r="I43" s="17">
        <f>MAX(MIN(Es*G43,fy),-fy)</f>
      </c>
      <c r="J43">
        <f>IF(E43&gt;=u_max-beta_1*D43-blk_tol,1,0)</f>
      </c>
      <c r="K43" s="17">
        <f>J43*sig_blk</f>
      </c>
      <c r="L43" s="17">
        <f>I43-K43</f>
      </c>
      <c r="M43" s="17">
        <f>INDEX(Bar_As,MATCH(C43,Bar_No,0))*L43/1000</f>
      </c>
      <c r="N43" s="17">
        <f>M43*INDEX(Bar_Y,MATCH(C43,Bar_No,0))/1000</f>
      </c>
      <c r="O43" s="17">
        <f>M43*INDEX(Bar_X,MATCH(C43,Bar_No,0))/1000</f>
      </c>
    </row>
    <row r="44" spans="2:15" x14ac:dyDescent="0.25">
      <c r="B44">
        <v>3</v>
      </c>
      <c r="C44">
        <v>3</v>
      </c>
      <c r="D44" s="17">
        <f>INDEX(Blk_c,MATCH(B44,Blk_St,0))</f>
      </c>
      <c r="E44" s="17">
        <f>INDEX(Bar_U,MATCH(C44,Bar_No,0))</f>
      </c>
      <c r="F44" s="17">
        <f>u_max-E44</f>
      </c>
      <c r="G44" s="20">
        <f>IF(AND(ec_pivot&gt;0,D44&gt;d_theta),ec_pivot*D44/(D44-(1-ec_pivot/ecu)*d_theta),ecu)*(1-F44/D44)</f>
      </c>
      <c r="H44" s="20">
        <f>MAX(0,-G44)</f>
      </c>
      <c r="I44" s="17">
        <f>MAX(MIN(Es*G44,fy),-fy)</f>
      </c>
      <c r="J44">
        <f>IF(E44&gt;=u_max-beta_1*D44-blk_tol,1,0)</f>
      </c>
      <c r="K44" s="17">
        <f>J44*sig_blk</f>
      </c>
      <c r="L44" s="17">
        <f>I44-K44</f>
      </c>
      <c r="M44" s="17">
        <f>INDEX(Bar_As,MATCH(C44,Bar_No,0))*L44/1000</f>
      </c>
      <c r="N44" s="17">
        <f>M44*INDEX(Bar_Y,MATCH(C44,Bar_No,0))/1000</f>
      </c>
      <c r="O44" s="17">
        <f>M44*INDEX(Bar_X,MATCH(C44,Bar_No,0))/1000</f>
      </c>
    </row>
    <row r="45" spans="2:15" x14ac:dyDescent="0.25">
      <c r="B45">
        <v>3</v>
      </c>
      <c r="C45">
        <v>4</v>
      </c>
      <c r="D45" s="17">
        <f>INDEX(Blk_c,MATCH(B45,Blk_St,0))</f>
      </c>
      <c r="E45" s="17">
        <f>INDEX(Bar_U,MATCH(C45,Bar_No,0))</f>
      </c>
      <c r="F45" s="17">
        <f>u_max-E45</f>
      </c>
      <c r="G45" s="20">
        <f>IF(AND(ec_pivot&gt;0,D45&gt;d_theta),ec_pivot*D45/(D45-(1-ec_pivot/ecu)*d_theta),ecu)*(1-F45/D45)</f>
      </c>
      <c r="H45" s="20">
        <f>MAX(0,-G45)</f>
      </c>
      <c r="I45" s="17">
        <f>MAX(MIN(Es*G45,fy),-fy)</f>
      </c>
      <c r="J45">
        <f>IF(E45&gt;=u_max-beta_1*D45-blk_tol,1,0)</f>
      </c>
      <c r="K45" s="17">
        <f>J45*sig_blk</f>
      </c>
      <c r="L45" s="17">
        <f>I45-K45</f>
      </c>
      <c r="M45" s="17">
        <f>INDEX(Bar_As,MATCH(C45,Bar_No,0))*L45/1000</f>
      </c>
      <c r="N45" s="17">
        <f>M45*INDEX(Bar_Y,MATCH(C45,Bar_No,0))/1000</f>
      </c>
      <c r="O45" s="17">
        <f>M45*INDEX(Bar_X,MATCH(C45,Bar_No,0))/1000</f>
      </c>
    </row>
    <row r="46" spans="2:15" x14ac:dyDescent="0.25">
      <c r="B46">
        <v>3</v>
      </c>
      <c r="C46">
        <v>5</v>
      </c>
      <c r="D46" s="17">
        <f>INDEX(Blk_c,MATCH(B46,Blk_St,0))</f>
      </c>
      <c r="E46" s="17">
        <f>INDEX(Bar_U,MATCH(C46,Bar_No,0))</f>
      </c>
      <c r="F46" s="17">
        <f>u_max-E46</f>
      </c>
      <c r="G46" s="20">
        <f>IF(AND(ec_pivot&gt;0,D46&gt;d_theta),ec_pivot*D46/(D46-(1-ec_pivot/ecu)*d_theta),ecu)*(1-F46/D46)</f>
      </c>
      <c r="H46" s="20">
        <f>MAX(0,-G46)</f>
      </c>
      <c r="I46" s="17">
        <f>MAX(MIN(Es*G46,fy),-fy)</f>
      </c>
      <c r="J46">
        <f>IF(E46&gt;=u_max-beta_1*D46-blk_tol,1,0)</f>
      </c>
      <c r="K46" s="17">
        <f>J46*sig_blk</f>
      </c>
      <c r="L46" s="17">
        <f>I46-K46</f>
      </c>
      <c r="M46" s="17">
        <f>INDEX(Bar_As,MATCH(C46,Bar_No,0))*L46/1000</f>
      </c>
      <c r="N46" s="17">
        <f>M46*INDEX(Bar_Y,MATCH(C46,Bar_No,0))/1000</f>
      </c>
      <c r="O46" s="17">
        <f>M46*INDEX(Bar_X,MATCH(C46,Bar_No,0))/1000</f>
      </c>
    </row>
    <row r="47" spans="2:15" x14ac:dyDescent="0.25">
      <c r="B47">
        <v>3</v>
      </c>
      <c r="C47">
        <v>6</v>
      </c>
      <c r="D47" s="17">
        <f>INDEX(Blk_c,MATCH(B47,Blk_St,0))</f>
      </c>
      <c r="E47" s="17">
        <f>INDEX(Bar_U,MATCH(C47,Bar_No,0))</f>
      </c>
      <c r="F47" s="17">
        <f>u_max-E47</f>
      </c>
      <c r="G47" s="20">
        <f>IF(AND(ec_pivot&gt;0,D47&gt;d_theta),ec_pivot*D47/(D47-(1-ec_pivot/ecu)*d_theta),ecu)*(1-F47/D47)</f>
      </c>
      <c r="H47" s="20">
        <f>MAX(0,-G47)</f>
      </c>
      <c r="I47" s="17">
        <f>MAX(MIN(Es*G47,fy),-fy)</f>
      </c>
      <c r="J47">
        <f>IF(E47&gt;=u_max-beta_1*D47-blk_tol,1,0)</f>
      </c>
      <c r="K47" s="17">
        <f>J47*sig_blk</f>
      </c>
      <c r="L47" s="17">
        <f>I47-K47</f>
      </c>
      <c r="M47" s="17">
        <f>INDEX(Bar_As,MATCH(C47,Bar_No,0))*L47/1000</f>
      </c>
      <c r="N47" s="17">
        <f>M47*INDEX(Bar_Y,MATCH(C47,Bar_No,0))/1000</f>
      </c>
      <c r="O47" s="17">
        <f>M47*INDEX(Bar_X,MATCH(C47,Bar_No,0))/1000</f>
      </c>
    </row>
    <row r="48" spans="2:15" x14ac:dyDescent="0.25">
      <c r="B48">
        <v>3</v>
      </c>
      <c r="C48">
        <v>7</v>
      </c>
      <c r="D48" s="17">
        <f>INDEX(Blk_c,MATCH(B48,Blk_St,0))</f>
      </c>
      <c r="E48" s="17">
        <f>INDEX(Bar_U,MATCH(C48,Bar_No,0))</f>
      </c>
      <c r="F48" s="17">
        <f>u_max-E48</f>
      </c>
      <c r="G48" s="20">
        <f>IF(AND(ec_pivot&gt;0,D48&gt;d_theta),ec_pivot*D48/(D48-(1-ec_pivot/ecu)*d_theta),ecu)*(1-F48/D48)</f>
      </c>
      <c r="H48" s="20">
        <f>MAX(0,-G48)</f>
      </c>
      <c r="I48" s="17">
        <f>MAX(MIN(Es*G48,fy),-fy)</f>
      </c>
      <c r="J48">
        <f>IF(E48&gt;=u_max-beta_1*D48-blk_tol,1,0)</f>
      </c>
      <c r="K48" s="17">
        <f>J48*sig_blk</f>
      </c>
      <c r="L48" s="17">
        <f>I48-K48</f>
      </c>
      <c r="M48" s="17">
        <f>INDEX(Bar_As,MATCH(C48,Bar_No,0))*L48/1000</f>
      </c>
      <c r="N48" s="17">
        <f>M48*INDEX(Bar_Y,MATCH(C48,Bar_No,0))/1000</f>
      </c>
      <c r="O48" s="17">
        <f>M48*INDEX(Bar_X,MATCH(C48,Bar_No,0))/1000</f>
      </c>
    </row>
    <row r="49" spans="2:15" x14ac:dyDescent="0.25">
      <c r="B49">
        <v>3</v>
      </c>
      <c r="C49">
        <v>8</v>
      </c>
      <c r="D49" s="17">
        <f>INDEX(Blk_c,MATCH(B49,Blk_St,0))</f>
      </c>
      <c r="E49" s="17">
        <f>INDEX(Bar_U,MATCH(C49,Bar_No,0))</f>
      </c>
      <c r="F49" s="17">
        <f>u_max-E49</f>
      </c>
      <c r="G49" s="20">
        <f>IF(AND(ec_pivot&gt;0,D49&gt;d_theta),ec_pivot*D49/(D49-(1-ec_pivot/ecu)*d_theta),ecu)*(1-F49/D49)</f>
      </c>
      <c r="H49" s="20">
        <f>MAX(0,-G49)</f>
      </c>
      <c r="I49" s="17">
        <f>MAX(MIN(Es*G49,fy),-fy)</f>
      </c>
      <c r="J49">
        <f>IF(E49&gt;=u_max-beta_1*D49-blk_tol,1,0)</f>
      </c>
      <c r="K49" s="17">
        <f>J49*sig_blk</f>
      </c>
      <c r="L49" s="17">
        <f>I49-K49</f>
      </c>
      <c r="M49" s="17">
        <f>INDEX(Bar_As,MATCH(C49,Bar_No,0))*L49/1000</f>
      </c>
      <c r="N49" s="17">
        <f>M49*INDEX(Bar_Y,MATCH(C49,Bar_No,0))/1000</f>
      </c>
      <c r="O49" s="17">
        <f>M49*INDEX(Bar_X,MATCH(C49,Bar_No,0))/1000</f>
      </c>
    </row>
    <row r="50" spans="2:15" x14ac:dyDescent="0.25">
      <c r="B50">
        <v>3</v>
      </c>
      <c r="C50">
        <v>9</v>
      </c>
      <c r="D50" s="17">
        <f>INDEX(Blk_c,MATCH(B50,Blk_St,0))</f>
      </c>
      <c r="E50" s="17">
        <f>INDEX(Bar_U,MATCH(C50,Bar_No,0))</f>
      </c>
      <c r="F50" s="17">
        <f>u_max-E50</f>
      </c>
      <c r="G50" s="20">
        <f>IF(AND(ec_pivot&gt;0,D50&gt;d_theta),ec_pivot*D50/(D50-(1-ec_pivot/ecu)*d_theta),ecu)*(1-F50/D50)</f>
      </c>
      <c r="H50" s="20">
        <f>MAX(0,-G50)</f>
      </c>
      <c r="I50" s="17">
        <f>MAX(MIN(Es*G50,fy),-fy)</f>
      </c>
      <c r="J50">
        <f>IF(E50&gt;=u_max-beta_1*D50-blk_tol,1,0)</f>
      </c>
      <c r="K50" s="17">
        <f>J50*sig_blk</f>
      </c>
      <c r="L50" s="17">
        <f>I50-K50</f>
      </c>
      <c r="M50" s="17">
        <f>INDEX(Bar_As,MATCH(C50,Bar_No,0))*L50/1000</f>
      </c>
      <c r="N50" s="17">
        <f>M50*INDEX(Bar_Y,MATCH(C50,Bar_No,0))/1000</f>
      </c>
      <c r="O50" s="17">
        <f>M50*INDEX(Bar_X,MATCH(C50,Bar_No,0))/1000</f>
      </c>
    </row>
    <row r="51" spans="2:15" x14ac:dyDescent="0.25">
      <c r="B51">
        <v>3</v>
      </c>
      <c r="C51">
        <v>10</v>
      </c>
      <c r="D51" s="17">
        <f>INDEX(Blk_c,MATCH(B51,Blk_St,0))</f>
      </c>
      <c r="E51" s="17">
        <f>INDEX(Bar_U,MATCH(C51,Bar_No,0))</f>
      </c>
      <c r="F51" s="17">
        <f>u_max-E51</f>
      </c>
      <c r="G51" s="20">
        <f>IF(AND(ec_pivot&gt;0,D51&gt;d_theta),ec_pivot*D51/(D51-(1-ec_pivot/ecu)*d_theta),ecu)*(1-F51/D51)</f>
      </c>
      <c r="H51" s="20">
        <f>MAX(0,-G51)</f>
      </c>
      <c r="I51" s="17">
        <f>MAX(MIN(Es*G51,fy),-fy)</f>
      </c>
      <c r="J51">
        <f>IF(E51&gt;=u_max-beta_1*D51-blk_tol,1,0)</f>
      </c>
      <c r="K51" s="17">
        <f>J51*sig_blk</f>
      </c>
      <c r="L51" s="17">
        <f>I51-K51</f>
      </c>
      <c r="M51" s="17">
        <f>INDEX(Bar_As,MATCH(C51,Bar_No,0))*L51/1000</f>
      </c>
      <c r="N51" s="17">
        <f>M51*INDEX(Bar_Y,MATCH(C51,Bar_No,0))/1000</f>
      </c>
      <c r="O51" s="17">
        <f>M51*INDEX(Bar_X,MATCH(C51,Bar_No,0))/1000</f>
      </c>
    </row>
    <row r="52" spans="2:15" x14ac:dyDescent="0.25">
      <c r="B52">
        <v>3</v>
      </c>
      <c r="C52">
        <v>11</v>
      </c>
      <c r="D52" s="17">
        <f>INDEX(Blk_c,MATCH(B52,Blk_St,0))</f>
      </c>
      <c r="E52" s="17">
        <f>INDEX(Bar_U,MATCH(C52,Bar_No,0))</f>
      </c>
      <c r="F52" s="17">
        <f>u_max-E52</f>
      </c>
      <c r="G52" s="20">
        <f>IF(AND(ec_pivot&gt;0,D52&gt;d_theta),ec_pivot*D52/(D52-(1-ec_pivot/ecu)*d_theta),ecu)*(1-F52/D52)</f>
      </c>
      <c r="H52" s="20">
        <f>MAX(0,-G52)</f>
      </c>
      <c r="I52" s="17">
        <f>MAX(MIN(Es*G52,fy),-fy)</f>
      </c>
      <c r="J52">
        <f>IF(E52&gt;=u_max-beta_1*D52-blk_tol,1,0)</f>
      </c>
      <c r="K52" s="17">
        <f>J52*sig_blk</f>
      </c>
      <c r="L52" s="17">
        <f>I52-K52</f>
      </c>
      <c r="M52" s="17">
        <f>INDEX(Bar_As,MATCH(C52,Bar_No,0))*L52/1000</f>
      </c>
      <c r="N52" s="17">
        <f>M52*INDEX(Bar_Y,MATCH(C52,Bar_No,0))/1000</f>
      </c>
      <c r="O52" s="17">
        <f>M52*INDEX(Bar_X,MATCH(C52,Bar_No,0))/1000</f>
      </c>
    </row>
    <row r="53" spans="2:15" x14ac:dyDescent="0.25">
      <c r="B53">
        <v>3</v>
      </c>
      <c r="C53">
        <v>12</v>
      </c>
      <c r="D53" s="17">
        <f>INDEX(Blk_c,MATCH(B53,Blk_St,0))</f>
      </c>
      <c r="E53" s="17">
        <f>INDEX(Bar_U,MATCH(C53,Bar_No,0))</f>
      </c>
      <c r="F53" s="17">
        <f>u_max-E53</f>
      </c>
      <c r="G53" s="20">
        <f>IF(AND(ec_pivot&gt;0,D53&gt;d_theta),ec_pivot*D53/(D53-(1-ec_pivot/ecu)*d_theta),ecu)*(1-F53/D53)</f>
      </c>
      <c r="H53" s="20">
        <f>MAX(0,-G53)</f>
      </c>
      <c r="I53" s="17">
        <f>MAX(MIN(Es*G53,fy),-fy)</f>
      </c>
      <c r="J53">
        <f>IF(E53&gt;=u_max-beta_1*D53-blk_tol,1,0)</f>
      </c>
      <c r="K53" s="17">
        <f>J53*sig_blk</f>
      </c>
      <c r="L53" s="17">
        <f>I53-K53</f>
      </c>
      <c r="M53" s="17">
        <f>INDEX(Bar_As,MATCH(C53,Bar_No,0))*L53/1000</f>
      </c>
      <c r="N53" s="17">
        <f>M53*INDEX(Bar_Y,MATCH(C53,Bar_No,0))/1000</f>
      </c>
      <c r="O53" s="17">
        <f>M53*INDEX(Bar_X,MATCH(C53,Bar_No,0))/1000</f>
      </c>
    </row>
    <row r="54" spans="2:15" x14ac:dyDescent="0.25">
      <c r="B54">
        <v>3</v>
      </c>
      <c r="C54">
        <v>13</v>
      </c>
      <c r="D54" s="17">
        <f>INDEX(Blk_c,MATCH(B54,Blk_St,0))</f>
      </c>
      <c r="E54" s="17">
        <f>INDEX(Bar_U,MATCH(C54,Bar_No,0))</f>
      </c>
      <c r="F54" s="17">
        <f>u_max-E54</f>
      </c>
      <c r="G54" s="20">
        <f>IF(AND(ec_pivot&gt;0,D54&gt;d_theta),ec_pivot*D54/(D54-(1-ec_pivot/ecu)*d_theta),ecu)*(1-F54/D54)</f>
      </c>
      <c r="H54" s="20">
        <f>MAX(0,-G54)</f>
      </c>
      <c r="I54" s="17">
        <f>MAX(MIN(Es*G54,fy),-fy)</f>
      </c>
      <c r="J54">
        <f>IF(E54&gt;=u_max-beta_1*D54-blk_tol,1,0)</f>
      </c>
      <c r="K54" s="17">
        <f>J54*sig_blk</f>
      </c>
      <c r="L54" s="17">
        <f>I54-K54</f>
      </c>
      <c r="M54" s="17">
        <f>INDEX(Bar_As,MATCH(C54,Bar_No,0))*L54/1000</f>
      </c>
      <c r="N54" s="17">
        <f>M54*INDEX(Bar_Y,MATCH(C54,Bar_No,0))/1000</f>
      </c>
      <c r="O54" s="17">
        <f>M54*INDEX(Bar_X,MATCH(C54,Bar_No,0))/1000</f>
      </c>
    </row>
    <row r="55" spans="2:15" x14ac:dyDescent="0.25">
      <c r="B55">
        <v>3</v>
      </c>
      <c r="C55">
        <v>14</v>
      </c>
      <c r="D55" s="17">
        <f>INDEX(Blk_c,MATCH(B55,Blk_St,0))</f>
      </c>
      <c r="E55" s="17">
        <f>INDEX(Bar_U,MATCH(C55,Bar_No,0))</f>
      </c>
      <c r="F55" s="17">
        <f>u_max-E55</f>
      </c>
      <c r="G55" s="20">
        <f>IF(AND(ec_pivot&gt;0,D55&gt;d_theta),ec_pivot*D55/(D55-(1-ec_pivot/ecu)*d_theta),ecu)*(1-F55/D55)</f>
      </c>
      <c r="H55" s="20">
        <f>MAX(0,-G55)</f>
      </c>
      <c r="I55" s="17">
        <f>MAX(MIN(Es*G55,fy),-fy)</f>
      </c>
      <c r="J55">
        <f>IF(E55&gt;=u_max-beta_1*D55-blk_tol,1,0)</f>
      </c>
      <c r="K55" s="17">
        <f>J55*sig_blk</f>
      </c>
      <c r="L55" s="17">
        <f>I55-K55</f>
      </c>
      <c r="M55" s="17">
        <f>INDEX(Bar_As,MATCH(C55,Bar_No,0))*L55/1000</f>
      </c>
      <c r="N55" s="17">
        <f>M55*INDEX(Bar_Y,MATCH(C55,Bar_No,0))/1000</f>
      </c>
      <c r="O55" s="17">
        <f>M55*INDEX(Bar_X,MATCH(C55,Bar_No,0))/1000</f>
      </c>
    </row>
    <row r="56" spans="2:15" x14ac:dyDescent="0.25">
      <c r="B56">
        <v>3</v>
      </c>
      <c r="C56">
        <v>15</v>
      </c>
      <c r="D56" s="17">
        <f>INDEX(Blk_c,MATCH(B56,Blk_St,0))</f>
      </c>
      <c r="E56" s="17">
        <f>INDEX(Bar_U,MATCH(C56,Bar_No,0))</f>
      </c>
      <c r="F56" s="17">
        <f>u_max-E56</f>
      </c>
      <c r="G56" s="20">
        <f>IF(AND(ec_pivot&gt;0,D56&gt;d_theta),ec_pivot*D56/(D56-(1-ec_pivot/ecu)*d_theta),ecu)*(1-F56/D56)</f>
      </c>
      <c r="H56" s="20">
        <f>MAX(0,-G56)</f>
      </c>
      <c r="I56" s="17">
        <f>MAX(MIN(Es*G56,fy),-fy)</f>
      </c>
      <c r="J56">
        <f>IF(E56&gt;=u_max-beta_1*D56-blk_tol,1,0)</f>
      </c>
      <c r="K56" s="17">
        <f>J56*sig_blk</f>
      </c>
      <c r="L56" s="17">
        <f>I56-K56</f>
      </c>
      <c r="M56" s="17">
        <f>INDEX(Bar_As,MATCH(C56,Bar_No,0))*L56/1000</f>
      </c>
      <c r="N56" s="17">
        <f>M56*INDEX(Bar_Y,MATCH(C56,Bar_No,0))/1000</f>
      </c>
      <c r="O56" s="17">
        <f>M56*INDEX(Bar_X,MATCH(C56,Bar_No,0))/1000</f>
      </c>
    </row>
    <row r="57" spans="2:15" x14ac:dyDescent="0.25">
      <c r="B57">
        <v>3</v>
      </c>
      <c r="C57">
        <v>16</v>
      </c>
      <c r="D57" s="17">
        <f>INDEX(Blk_c,MATCH(B57,Blk_St,0))</f>
      </c>
      <c r="E57" s="17">
        <f>INDEX(Bar_U,MATCH(C57,Bar_No,0))</f>
      </c>
      <c r="F57" s="17">
        <f>u_max-E57</f>
      </c>
      <c r="G57" s="20">
        <f>IF(AND(ec_pivot&gt;0,D57&gt;d_theta),ec_pivot*D57/(D57-(1-ec_pivot/ecu)*d_theta),ecu)*(1-F57/D57)</f>
      </c>
      <c r="H57" s="20">
        <f>MAX(0,-G57)</f>
      </c>
      <c r="I57" s="17">
        <f>MAX(MIN(Es*G57,fy),-fy)</f>
      </c>
      <c r="J57">
        <f>IF(E57&gt;=u_max-beta_1*D57-blk_tol,1,0)</f>
      </c>
      <c r="K57" s="17">
        <f>J57*sig_blk</f>
      </c>
      <c r="L57" s="17">
        <f>I57-K57</f>
      </c>
      <c r="M57" s="17">
        <f>INDEX(Bar_As,MATCH(C57,Bar_No,0))*L57/1000</f>
      </c>
      <c r="N57" s="17">
        <f>M57*INDEX(Bar_Y,MATCH(C57,Bar_No,0))/1000</f>
      </c>
      <c r="O57" s="17">
        <f>M57*INDEX(Bar_X,MATCH(C57,Bar_No,0))/1000</f>
      </c>
    </row>
    <row r="58" spans="2:15" x14ac:dyDescent="0.25">
      <c r="B58">
        <v>3</v>
      </c>
      <c r="C58">
        <v>17</v>
      </c>
      <c r="D58" s="17">
        <f>INDEX(Blk_c,MATCH(B58,Blk_St,0))</f>
      </c>
      <c r="E58" s="17">
        <f>INDEX(Bar_U,MATCH(C58,Bar_No,0))</f>
      </c>
      <c r="F58" s="17">
        <f>u_max-E58</f>
      </c>
      <c r="G58" s="20">
        <f>IF(AND(ec_pivot&gt;0,D58&gt;d_theta),ec_pivot*D58/(D58-(1-ec_pivot/ecu)*d_theta),ecu)*(1-F58/D58)</f>
      </c>
      <c r="H58" s="20">
        <f>MAX(0,-G58)</f>
      </c>
      <c r="I58" s="17">
        <f>MAX(MIN(Es*G58,fy),-fy)</f>
      </c>
      <c r="J58">
        <f>IF(E58&gt;=u_max-beta_1*D58-blk_tol,1,0)</f>
      </c>
      <c r="K58" s="17">
        <f>J58*sig_blk</f>
      </c>
      <c r="L58" s="17">
        <f>I58-K58</f>
      </c>
      <c r="M58" s="17">
        <f>INDEX(Bar_As,MATCH(C58,Bar_No,0))*L58/1000</f>
      </c>
      <c r="N58" s="17">
        <f>M58*INDEX(Bar_Y,MATCH(C58,Bar_No,0))/1000</f>
      </c>
      <c r="O58" s="17">
        <f>M58*INDEX(Bar_X,MATCH(C58,Bar_No,0))/1000</f>
      </c>
    </row>
    <row r="59" spans="2:15" x14ac:dyDescent="0.25">
      <c r="B59">
        <v>3</v>
      </c>
      <c r="C59">
        <v>18</v>
      </c>
      <c r="D59" s="17">
        <f>INDEX(Blk_c,MATCH(B59,Blk_St,0))</f>
      </c>
      <c r="E59" s="17">
        <f>INDEX(Bar_U,MATCH(C59,Bar_No,0))</f>
      </c>
      <c r="F59" s="17">
        <f>u_max-E59</f>
      </c>
      <c r="G59" s="20">
        <f>IF(AND(ec_pivot&gt;0,D59&gt;d_theta),ec_pivot*D59/(D59-(1-ec_pivot/ecu)*d_theta),ecu)*(1-F59/D59)</f>
      </c>
      <c r="H59" s="20">
        <f>MAX(0,-G59)</f>
      </c>
      <c r="I59" s="17">
        <f>MAX(MIN(Es*G59,fy),-fy)</f>
      </c>
      <c r="J59">
        <f>IF(E59&gt;=u_max-beta_1*D59-blk_tol,1,0)</f>
      </c>
      <c r="K59" s="17">
        <f>J59*sig_blk</f>
      </c>
      <c r="L59" s="17">
        <f>I59-K59</f>
      </c>
      <c r="M59" s="17">
        <f>INDEX(Bar_As,MATCH(C59,Bar_No,0))*L59/1000</f>
      </c>
      <c r="N59" s="17">
        <f>M59*INDEX(Bar_Y,MATCH(C59,Bar_No,0))/1000</f>
      </c>
      <c r="O59" s="17">
        <f>M59*INDEX(Bar_X,MATCH(C59,Bar_No,0))/1000</f>
      </c>
    </row>
    <row r="60" spans="2:15" x14ac:dyDescent="0.25">
      <c r="B60">
        <v>4</v>
      </c>
      <c r="C60">
        <v>1</v>
      </c>
      <c r="D60" s="17">
        <f>INDEX(Blk_c,MATCH(B60,Blk_St,0))</f>
      </c>
      <c r="E60" s="17">
        <f>INDEX(Bar_U,MATCH(C60,Bar_No,0))</f>
      </c>
      <c r="F60" s="17">
        <f>u_max-E60</f>
      </c>
      <c r="G60" s="20">
        <f>IF(AND(ec_pivot&gt;0,D60&gt;d_theta),ec_pivot*D60/(D60-(1-ec_pivot/ecu)*d_theta),ecu)*(1-F60/D60)</f>
      </c>
      <c r="H60" s="20">
        <f>MAX(0,-G60)</f>
      </c>
      <c r="I60" s="17">
        <f>MAX(MIN(Es*G60,fy),-fy)</f>
      </c>
      <c r="J60">
        <f>IF(E60&gt;=u_max-beta_1*D60-blk_tol,1,0)</f>
      </c>
      <c r="K60" s="17">
        <f>J60*sig_blk</f>
      </c>
      <c r="L60" s="17">
        <f>I60-K60</f>
      </c>
      <c r="M60" s="17">
        <f>INDEX(Bar_As,MATCH(C60,Bar_No,0))*L60/1000</f>
      </c>
      <c r="N60" s="17">
        <f>M60*INDEX(Bar_Y,MATCH(C60,Bar_No,0))/1000</f>
      </c>
      <c r="O60" s="17">
        <f>M60*INDEX(Bar_X,MATCH(C60,Bar_No,0))/1000</f>
      </c>
    </row>
    <row r="61" spans="2:15" x14ac:dyDescent="0.25">
      <c r="B61">
        <v>4</v>
      </c>
      <c r="C61">
        <v>2</v>
      </c>
      <c r="D61" s="17">
        <f>INDEX(Blk_c,MATCH(B61,Blk_St,0))</f>
      </c>
      <c r="E61" s="17">
        <f>INDEX(Bar_U,MATCH(C61,Bar_No,0))</f>
      </c>
      <c r="F61" s="17">
        <f>u_max-E61</f>
      </c>
      <c r="G61" s="20">
        <f>IF(AND(ec_pivot&gt;0,D61&gt;d_theta),ec_pivot*D61/(D61-(1-ec_pivot/ecu)*d_theta),ecu)*(1-F61/D61)</f>
      </c>
      <c r="H61" s="20">
        <f>MAX(0,-G61)</f>
      </c>
      <c r="I61" s="17">
        <f>MAX(MIN(Es*G61,fy),-fy)</f>
      </c>
      <c r="J61">
        <f>IF(E61&gt;=u_max-beta_1*D61-blk_tol,1,0)</f>
      </c>
      <c r="K61" s="17">
        <f>J61*sig_blk</f>
      </c>
      <c r="L61" s="17">
        <f>I61-K61</f>
      </c>
      <c r="M61" s="17">
        <f>INDEX(Bar_As,MATCH(C61,Bar_No,0))*L61/1000</f>
      </c>
      <c r="N61" s="17">
        <f>M61*INDEX(Bar_Y,MATCH(C61,Bar_No,0))/1000</f>
      </c>
      <c r="O61" s="17">
        <f>M61*INDEX(Bar_X,MATCH(C61,Bar_No,0))/1000</f>
      </c>
    </row>
    <row r="62" spans="2:15" x14ac:dyDescent="0.25">
      <c r="B62">
        <v>4</v>
      </c>
      <c r="C62">
        <v>3</v>
      </c>
      <c r="D62" s="17">
        <f>INDEX(Blk_c,MATCH(B62,Blk_St,0))</f>
      </c>
      <c r="E62" s="17">
        <f>INDEX(Bar_U,MATCH(C62,Bar_No,0))</f>
      </c>
      <c r="F62" s="17">
        <f>u_max-E62</f>
      </c>
      <c r="G62" s="20">
        <f>IF(AND(ec_pivot&gt;0,D62&gt;d_theta),ec_pivot*D62/(D62-(1-ec_pivot/ecu)*d_theta),ecu)*(1-F62/D62)</f>
      </c>
      <c r="H62" s="20">
        <f>MAX(0,-G62)</f>
      </c>
      <c r="I62" s="17">
        <f>MAX(MIN(Es*G62,fy),-fy)</f>
      </c>
      <c r="J62">
        <f>IF(E62&gt;=u_max-beta_1*D62-blk_tol,1,0)</f>
      </c>
      <c r="K62" s="17">
        <f>J62*sig_blk</f>
      </c>
      <c r="L62" s="17">
        <f>I62-K62</f>
      </c>
      <c r="M62" s="17">
        <f>INDEX(Bar_As,MATCH(C62,Bar_No,0))*L62/1000</f>
      </c>
      <c r="N62" s="17">
        <f>M62*INDEX(Bar_Y,MATCH(C62,Bar_No,0))/1000</f>
      </c>
      <c r="O62" s="17">
        <f>M62*INDEX(Bar_X,MATCH(C62,Bar_No,0))/1000</f>
      </c>
    </row>
    <row r="63" spans="2:15" x14ac:dyDescent="0.25">
      <c r="B63">
        <v>4</v>
      </c>
      <c r="C63">
        <v>4</v>
      </c>
      <c r="D63" s="17">
        <f>INDEX(Blk_c,MATCH(B63,Blk_St,0))</f>
      </c>
      <c r="E63" s="17">
        <f>INDEX(Bar_U,MATCH(C63,Bar_No,0))</f>
      </c>
      <c r="F63" s="17">
        <f>u_max-E63</f>
      </c>
      <c r="G63" s="20">
        <f>IF(AND(ec_pivot&gt;0,D63&gt;d_theta),ec_pivot*D63/(D63-(1-ec_pivot/ecu)*d_theta),ecu)*(1-F63/D63)</f>
      </c>
      <c r="H63" s="20">
        <f>MAX(0,-G63)</f>
      </c>
      <c r="I63" s="17">
        <f>MAX(MIN(Es*G63,fy),-fy)</f>
      </c>
      <c r="J63">
        <f>IF(E63&gt;=u_max-beta_1*D63-blk_tol,1,0)</f>
      </c>
      <c r="K63" s="17">
        <f>J63*sig_blk</f>
      </c>
      <c r="L63" s="17">
        <f>I63-K63</f>
      </c>
      <c r="M63" s="17">
        <f>INDEX(Bar_As,MATCH(C63,Bar_No,0))*L63/1000</f>
      </c>
      <c r="N63" s="17">
        <f>M63*INDEX(Bar_Y,MATCH(C63,Bar_No,0))/1000</f>
      </c>
      <c r="O63" s="17">
        <f>M63*INDEX(Bar_X,MATCH(C63,Bar_No,0))/1000</f>
      </c>
    </row>
    <row r="64" spans="2:15" x14ac:dyDescent="0.25">
      <c r="B64">
        <v>4</v>
      </c>
      <c r="C64">
        <v>5</v>
      </c>
      <c r="D64" s="17">
        <f>INDEX(Blk_c,MATCH(B64,Blk_St,0))</f>
      </c>
      <c r="E64" s="17">
        <f>INDEX(Bar_U,MATCH(C64,Bar_No,0))</f>
      </c>
      <c r="F64" s="17">
        <f>u_max-E64</f>
      </c>
      <c r="G64" s="20">
        <f>IF(AND(ec_pivot&gt;0,D64&gt;d_theta),ec_pivot*D64/(D64-(1-ec_pivot/ecu)*d_theta),ecu)*(1-F64/D64)</f>
      </c>
      <c r="H64" s="20">
        <f>MAX(0,-G64)</f>
      </c>
      <c r="I64" s="17">
        <f>MAX(MIN(Es*G64,fy),-fy)</f>
      </c>
      <c r="J64">
        <f>IF(E64&gt;=u_max-beta_1*D64-blk_tol,1,0)</f>
      </c>
      <c r="K64" s="17">
        <f>J64*sig_blk</f>
      </c>
      <c r="L64" s="17">
        <f>I64-K64</f>
      </c>
      <c r="M64" s="17">
        <f>INDEX(Bar_As,MATCH(C64,Bar_No,0))*L64/1000</f>
      </c>
      <c r="N64" s="17">
        <f>M64*INDEX(Bar_Y,MATCH(C64,Bar_No,0))/1000</f>
      </c>
      <c r="O64" s="17">
        <f>M64*INDEX(Bar_X,MATCH(C64,Bar_No,0))/1000</f>
      </c>
    </row>
    <row r="65" spans="2:15" x14ac:dyDescent="0.25">
      <c r="B65">
        <v>4</v>
      </c>
      <c r="C65">
        <v>6</v>
      </c>
      <c r="D65" s="17">
        <f>INDEX(Blk_c,MATCH(B65,Blk_St,0))</f>
      </c>
      <c r="E65" s="17">
        <f>INDEX(Bar_U,MATCH(C65,Bar_No,0))</f>
      </c>
      <c r="F65" s="17">
        <f>u_max-E65</f>
      </c>
      <c r="G65" s="20">
        <f>IF(AND(ec_pivot&gt;0,D65&gt;d_theta),ec_pivot*D65/(D65-(1-ec_pivot/ecu)*d_theta),ecu)*(1-F65/D65)</f>
      </c>
      <c r="H65" s="20">
        <f>MAX(0,-G65)</f>
      </c>
      <c r="I65" s="17">
        <f>MAX(MIN(Es*G65,fy),-fy)</f>
      </c>
      <c r="J65">
        <f>IF(E65&gt;=u_max-beta_1*D65-blk_tol,1,0)</f>
      </c>
      <c r="K65" s="17">
        <f>J65*sig_blk</f>
      </c>
      <c r="L65" s="17">
        <f>I65-K65</f>
      </c>
      <c r="M65" s="17">
        <f>INDEX(Bar_As,MATCH(C65,Bar_No,0))*L65/1000</f>
      </c>
      <c r="N65" s="17">
        <f>M65*INDEX(Bar_Y,MATCH(C65,Bar_No,0))/1000</f>
      </c>
      <c r="O65" s="17">
        <f>M65*INDEX(Bar_X,MATCH(C65,Bar_No,0))/1000</f>
      </c>
    </row>
    <row r="66" spans="2:15" x14ac:dyDescent="0.25">
      <c r="B66">
        <v>4</v>
      </c>
      <c r="C66">
        <v>7</v>
      </c>
      <c r="D66" s="17">
        <f>INDEX(Blk_c,MATCH(B66,Blk_St,0))</f>
      </c>
      <c r="E66" s="17">
        <f>INDEX(Bar_U,MATCH(C66,Bar_No,0))</f>
      </c>
      <c r="F66" s="17">
        <f>u_max-E66</f>
      </c>
      <c r="G66" s="20">
        <f>IF(AND(ec_pivot&gt;0,D66&gt;d_theta),ec_pivot*D66/(D66-(1-ec_pivot/ecu)*d_theta),ecu)*(1-F66/D66)</f>
      </c>
      <c r="H66" s="20">
        <f>MAX(0,-G66)</f>
      </c>
      <c r="I66" s="17">
        <f>MAX(MIN(Es*G66,fy),-fy)</f>
      </c>
      <c r="J66">
        <f>IF(E66&gt;=u_max-beta_1*D66-blk_tol,1,0)</f>
      </c>
      <c r="K66" s="17">
        <f>J66*sig_blk</f>
      </c>
      <c r="L66" s="17">
        <f>I66-K66</f>
      </c>
      <c r="M66" s="17">
        <f>INDEX(Bar_As,MATCH(C66,Bar_No,0))*L66/1000</f>
      </c>
      <c r="N66" s="17">
        <f>M66*INDEX(Bar_Y,MATCH(C66,Bar_No,0))/1000</f>
      </c>
      <c r="O66" s="17">
        <f>M66*INDEX(Bar_X,MATCH(C66,Bar_No,0))/1000</f>
      </c>
    </row>
    <row r="67" spans="2:15" x14ac:dyDescent="0.25">
      <c r="B67">
        <v>4</v>
      </c>
      <c r="C67">
        <v>8</v>
      </c>
      <c r="D67" s="17">
        <f>INDEX(Blk_c,MATCH(B67,Blk_St,0))</f>
      </c>
      <c r="E67" s="17">
        <f>INDEX(Bar_U,MATCH(C67,Bar_No,0))</f>
      </c>
      <c r="F67" s="17">
        <f>u_max-E67</f>
      </c>
      <c r="G67" s="20">
        <f>IF(AND(ec_pivot&gt;0,D67&gt;d_theta),ec_pivot*D67/(D67-(1-ec_pivot/ecu)*d_theta),ecu)*(1-F67/D67)</f>
      </c>
      <c r="H67" s="20">
        <f>MAX(0,-G67)</f>
      </c>
      <c r="I67" s="17">
        <f>MAX(MIN(Es*G67,fy),-fy)</f>
      </c>
      <c r="J67">
        <f>IF(E67&gt;=u_max-beta_1*D67-blk_tol,1,0)</f>
      </c>
      <c r="K67" s="17">
        <f>J67*sig_blk</f>
      </c>
      <c r="L67" s="17">
        <f>I67-K67</f>
      </c>
      <c r="M67" s="17">
        <f>INDEX(Bar_As,MATCH(C67,Bar_No,0))*L67/1000</f>
      </c>
      <c r="N67" s="17">
        <f>M67*INDEX(Bar_Y,MATCH(C67,Bar_No,0))/1000</f>
      </c>
      <c r="O67" s="17">
        <f>M67*INDEX(Bar_X,MATCH(C67,Bar_No,0))/1000</f>
      </c>
    </row>
    <row r="68" spans="2:15" x14ac:dyDescent="0.25">
      <c r="B68">
        <v>4</v>
      </c>
      <c r="C68">
        <v>9</v>
      </c>
      <c r="D68" s="17">
        <f>INDEX(Blk_c,MATCH(B68,Blk_St,0))</f>
      </c>
      <c r="E68" s="17">
        <f>INDEX(Bar_U,MATCH(C68,Bar_No,0))</f>
      </c>
      <c r="F68" s="17">
        <f>u_max-E68</f>
      </c>
      <c r="G68" s="20">
        <f>IF(AND(ec_pivot&gt;0,D68&gt;d_theta),ec_pivot*D68/(D68-(1-ec_pivot/ecu)*d_theta),ecu)*(1-F68/D68)</f>
      </c>
      <c r="H68" s="20">
        <f>MAX(0,-G68)</f>
      </c>
      <c r="I68" s="17">
        <f>MAX(MIN(Es*G68,fy),-fy)</f>
      </c>
      <c r="J68">
        <f>IF(E68&gt;=u_max-beta_1*D68-blk_tol,1,0)</f>
      </c>
      <c r="K68" s="17">
        <f>J68*sig_blk</f>
      </c>
      <c r="L68" s="17">
        <f>I68-K68</f>
      </c>
      <c r="M68" s="17">
        <f>INDEX(Bar_As,MATCH(C68,Bar_No,0))*L68/1000</f>
      </c>
      <c r="N68" s="17">
        <f>M68*INDEX(Bar_Y,MATCH(C68,Bar_No,0))/1000</f>
      </c>
      <c r="O68" s="17">
        <f>M68*INDEX(Bar_X,MATCH(C68,Bar_No,0))/1000</f>
      </c>
    </row>
    <row r="69" spans="2:15" x14ac:dyDescent="0.25">
      <c r="B69">
        <v>4</v>
      </c>
      <c r="C69">
        <v>10</v>
      </c>
      <c r="D69" s="17">
        <f>INDEX(Blk_c,MATCH(B69,Blk_St,0))</f>
      </c>
      <c r="E69" s="17">
        <f>INDEX(Bar_U,MATCH(C69,Bar_No,0))</f>
      </c>
      <c r="F69" s="17">
        <f>u_max-E69</f>
      </c>
      <c r="G69" s="20">
        <f>IF(AND(ec_pivot&gt;0,D69&gt;d_theta),ec_pivot*D69/(D69-(1-ec_pivot/ecu)*d_theta),ecu)*(1-F69/D69)</f>
      </c>
      <c r="H69" s="20">
        <f>MAX(0,-G69)</f>
      </c>
      <c r="I69" s="17">
        <f>MAX(MIN(Es*G69,fy),-fy)</f>
      </c>
      <c r="J69">
        <f>IF(E69&gt;=u_max-beta_1*D69-blk_tol,1,0)</f>
      </c>
      <c r="K69" s="17">
        <f>J69*sig_blk</f>
      </c>
      <c r="L69" s="17">
        <f>I69-K69</f>
      </c>
      <c r="M69" s="17">
        <f>INDEX(Bar_As,MATCH(C69,Bar_No,0))*L69/1000</f>
      </c>
      <c r="N69" s="17">
        <f>M69*INDEX(Bar_Y,MATCH(C69,Bar_No,0))/1000</f>
      </c>
      <c r="O69" s="17">
        <f>M69*INDEX(Bar_X,MATCH(C69,Bar_No,0))/1000</f>
      </c>
    </row>
    <row r="70" spans="2:15" x14ac:dyDescent="0.25">
      <c r="B70">
        <v>4</v>
      </c>
      <c r="C70">
        <v>11</v>
      </c>
      <c r="D70" s="17">
        <f>INDEX(Blk_c,MATCH(B70,Blk_St,0))</f>
      </c>
      <c r="E70" s="17">
        <f>INDEX(Bar_U,MATCH(C70,Bar_No,0))</f>
      </c>
      <c r="F70" s="17">
        <f>u_max-E70</f>
      </c>
      <c r="G70" s="20">
        <f>IF(AND(ec_pivot&gt;0,D70&gt;d_theta),ec_pivot*D70/(D70-(1-ec_pivot/ecu)*d_theta),ecu)*(1-F70/D70)</f>
      </c>
      <c r="H70" s="20">
        <f>MAX(0,-G70)</f>
      </c>
      <c r="I70" s="17">
        <f>MAX(MIN(Es*G70,fy),-fy)</f>
      </c>
      <c r="J70">
        <f>IF(E70&gt;=u_max-beta_1*D70-blk_tol,1,0)</f>
      </c>
      <c r="K70" s="17">
        <f>J70*sig_blk</f>
      </c>
      <c r="L70" s="17">
        <f>I70-K70</f>
      </c>
      <c r="M70" s="17">
        <f>INDEX(Bar_As,MATCH(C70,Bar_No,0))*L70/1000</f>
      </c>
      <c r="N70" s="17">
        <f>M70*INDEX(Bar_Y,MATCH(C70,Bar_No,0))/1000</f>
      </c>
      <c r="O70" s="17">
        <f>M70*INDEX(Bar_X,MATCH(C70,Bar_No,0))/1000</f>
      </c>
    </row>
    <row r="71" spans="2:15" x14ac:dyDescent="0.25">
      <c r="B71">
        <v>4</v>
      </c>
      <c r="C71">
        <v>12</v>
      </c>
      <c r="D71" s="17">
        <f>INDEX(Blk_c,MATCH(B71,Blk_St,0))</f>
      </c>
      <c r="E71" s="17">
        <f>INDEX(Bar_U,MATCH(C71,Bar_No,0))</f>
      </c>
      <c r="F71" s="17">
        <f>u_max-E71</f>
      </c>
      <c r="G71" s="20">
        <f>IF(AND(ec_pivot&gt;0,D71&gt;d_theta),ec_pivot*D71/(D71-(1-ec_pivot/ecu)*d_theta),ecu)*(1-F71/D71)</f>
      </c>
      <c r="H71" s="20">
        <f>MAX(0,-G71)</f>
      </c>
      <c r="I71" s="17">
        <f>MAX(MIN(Es*G71,fy),-fy)</f>
      </c>
      <c r="J71">
        <f>IF(E71&gt;=u_max-beta_1*D71-blk_tol,1,0)</f>
      </c>
      <c r="K71" s="17">
        <f>J71*sig_blk</f>
      </c>
      <c r="L71" s="17">
        <f>I71-K71</f>
      </c>
      <c r="M71" s="17">
        <f>INDEX(Bar_As,MATCH(C71,Bar_No,0))*L71/1000</f>
      </c>
      <c r="N71" s="17">
        <f>M71*INDEX(Bar_Y,MATCH(C71,Bar_No,0))/1000</f>
      </c>
      <c r="O71" s="17">
        <f>M71*INDEX(Bar_X,MATCH(C71,Bar_No,0))/1000</f>
      </c>
    </row>
    <row r="72" spans="2:15" x14ac:dyDescent="0.25">
      <c r="B72">
        <v>4</v>
      </c>
      <c r="C72">
        <v>13</v>
      </c>
      <c r="D72" s="17">
        <f>INDEX(Blk_c,MATCH(B72,Blk_St,0))</f>
      </c>
      <c r="E72" s="17">
        <f>INDEX(Bar_U,MATCH(C72,Bar_No,0))</f>
      </c>
      <c r="F72" s="17">
        <f>u_max-E72</f>
      </c>
      <c r="G72" s="20">
        <f>IF(AND(ec_pivot&gt;0,D72&gt;d_theta),ec_pivot*D72/(D72-(1-ec_pivot/ecu)*d_theta),ecu)*(1-F72/D72)</f>
      </c>
      <c r="H72" s="20">
        <f>MAX(0,-G72)</f>
      </c>
      <c r="I72" s="17">
        <f>MAX(MIN(Es*G72,fy),-fy)</f>
      </c>
      <c r="J72">
        <f>IF(E72&gt;=u_max-beta_1*D72-blk_tol,1,0)</f>
      </c>
      <c r="K72" s="17">
        <f>J72*sig_blk</f>
      </c>
      <c r="L72" s="17">
        <f>I72-K72</f>
      </c>
      <c r="M72" s="17">
        <f>INDEX(Bar_As,MATCH(C72,Bar_No,0))*L72/1000</f>
      </c>
      <c r="N72" s="17">
        <f>M72*INDEX(Bar_Y,MATCH(C72,Bar_No,0))/1000</f>
      </c>
      <c r="O72" s="17">
        <f>M72*INDEX(Bar_X,MATCH(C72,Bar_No,0))/1000</f>
      </c>
    </row>
    <row r="73" spans="2:15" x14ac:dyDescent="0.25">
      <c r="B73">
        <v>4</v>
      </c>
      <c r="C73">
        <v>14</v>
      </c>
      <c r="D73" s="17">
        <f>INDEX(Blk_c,MATCH(B73,Blk_St,0))</f>
      </c>
      <c r="E73" s="17">
        <f>INDEX(Bar_U,MATCH(C73,Bar_No,0))</f>
      </c>
      <c r="F73" s="17">
        <f>u_max-E73</f>
      </c>
      <c r="G73" s="20">
        <f>IF(AND(ec_pivot&gt;0,D73&gt;d_theta),ec_pivot*D73/(D73-(1-ec_pivot/ecu)*d_theta),ecu)*(1-F73/D73)</f>
      </c>
      <c r="H73" s="20">
        <f>MAX(0,-G73)</f>
      </c>
      <c r="I73" s="17">
        <f>MAX(MIN(Es*G73,fy),-fy)</f>
      </c>
      <c r="J73">
        <f>IF(E73&gt;=u_max-beta_1*D73-blk_tol,1,0)</f>
      </c>
      <c r="K73" s="17">
        <f>J73*sig_blk</f>
      </c>
      <c r="L73" s="17">
        <f>I73-K73</f>
      </c>
      <c r="M73" s="17">
        <f>INDEX(Bar_As,MATCH(C73,Bar_No,0))*L73/1000</f>
      </c>
      <c r="N73" s="17">
        <f>M73*INDEX(Bar_Y,MATCH(C73,Bar_No,0))/1000</f>
      </c>
      <c r="O73" s="17">
        <f>M73*INDEX(Bar_X,MATCH(C73,Bar_No,0))/1000</f>
      </c>
    </row>
    <row r="74" spans="2:15" x14ac:dyDescent="0.25">
      <c r="B74">
        <v>4</v>
      </c>
      <c r="C74">
        <v>15</v>
      </c>
      <c r="D74" s="17">
        <f>INDEX(Blk_c,MATCH(B74,Blk_St,0))</f>
      </c>
      <c r="E74" s="17">
        <f>INDEX(Bar_U,MATCH(C74,Bar_No,0))</f>
      </c>
      <c r="F74" s="17">
        <f>u_max-E74</f>
      </c>
      <c r="G74" s="20">
        <f>IF(AND(ec_pivot&gt;0,D74&gt;d_theta),ec_pivot*D74/(D74-(1-ec_pivot/ecu)*d_theta),ecu)*(1-F74/D74)</f>
      </c>
      <c r="H74" s="20">
        <f>MAX(0,-G74)</f>
      </c>
      <c r="I74" s="17">
        <f>MAX(MIN(Es*G74,fy),-fy)</f>
      </c>
      <c r="J74">
        <f>IF(E74&gt;=u_max-beta_1*D74-blk_tol,1,0)</f>
      </c>
      <c r="K74" s="17">
        <f>J74*sig_blk</f>
      </c>
      <c r="L74" s="17">
        <f>I74-K74</f>
      </c>
      <c r="M74" s="17">
        <f>INDEX(Bar_As,MATCH(C74,Bar_No,0))*L74/1000</f>
      </c>
      <c r="N74" s="17">
        <f>M74*INDEX(Bar_Y,MATCH(C74,Bar_No,0))/1000</f>
      </c>
      <c r="O74" s="17">
        <f>M74*INDEX(Bar_X,MATCH(C74,Bar_No,0))/1000</f>
      </c>
    </row>
    <row r="75" spans="2:15" x14ac:dyDescent="0.25">
      <c r="B75">
        <v>4</v>
      </c>
      <c r="C75">
        <v>16</v>
      </c>
      <c r="D75" s="17">
        <f>INDEX(Blk_c,MATCH(B75,Blk_St,0))</f>
      </c>
      <c r="E75" s="17">
        <f>INDEX(Bar_U,MATCH(C75,Bar_No,0))</f>
      </c>
      <c r="F75" s="17">
        <f>u_max-E75</f>
      </c>
      <c r="G75" s="20">
        <f>IF(AND(ec_pivot&gt;0,D75&gt;d_theta),ec_pivot*D75/(D75-(1-ec_pivot/ecu)*d_theta),ecu)*(1-F75/D75)</f>
      </c>
      <c r="H75" s="20">
        <f>MAX(0,-G75)</f>
      </c>
      <c r="I75" s="17">
        <f>MAX(MIN(Es*G75,fy),-fy)</f>
      </c>
      <c r="J75">
        <f>IF(E75&gt;=u_max-beta_1*D75-blk_tol,1,0)</f>
      </c>
      <c r="K75" s="17">
        <f>J75*sig_blk</f>
      </c>
      <c r="L75" s="17">
        <f>I75-K75</f>
      </c>
      <c r="M75" s="17">
        <f>INDEX(Bar_As,MATCH(C75,Bar_No,0))*L75/1000</f>
      </c>
      <c r="N75" s="17">
        <f>M75*INDEX(Bar_Y,MATCH(C75,Bar_No,0))/1000</f>
      </c>
      <c r="O75" s="17">
        <f>M75*INDEX(Bar_X,MATCH(C75,Bar_No,0))/1000</f>
      </c>
    </row>
    <row r="76" spans="2:15" x14ac:dyDescent="0.25">
      <c r="B76">
        <v>4</v>
      </c>
      <c r="C76">
        <v>17</v>
      </c>
      <c r="D76" s="17">
        <f>INDEX(Blk_c,MATCH(B76,Blk_St,0))</f>
      </c>
      <c r="E76" s="17">
        <f>INDEX(Bar_U,MATCH(C76,Bar_No,0))</f>
      </c>
      <c r="F76" s="17">
        <f>u_max-E76</f>
      </c>
      <c r="G76" s="20">
        <f>IF(AND(ec_pivot&gt;0,D76&gt;d_theta),ec_pivot*D76/(D76-(1-ec_pivot/ecu)*d_theta),ecu)*(1-F76/D76)</f>
      </c>
      <c r="H76" s="20">
        <f>MAX(0,-G76)</f>
      </c>
      <c r="I76" s="17">
        <f>MAX(MIN(Es*G76,fy),-fy)</f>
      </c>
      <c r="J76">
        <f>IF(E76&gt;=u_max-beta_1*D76-blk_tol,1,0)</f>
      </c>
      <c r="K76" s="17">
        <f>J76*sig_blk</f>
      </c>
      <c r="L76" s="17">
        <f>I76-K76</f>
      </c>
      <c r="M76" s="17">
        <f>INDEX(Bar_As,MATCH(C76,Bar_No,0))*L76/1000</f>
      </c>
      <c r="N76" s="17">
        <f>M76*INDEX(Bar_Y,MATCH(C76,Bar_No,0))/1000</f>
      </c>
      <c r="O76" s="17">
        <f>M76*INDEX(Bar_X,MATCH(C76,Bar_No,0))/1000</f>
      </c>
    </row>
    <row r="77" spans="2:15" x14ac:dyDescent="0.25">
      <c r="B77">
        <v>4</v>
      </c>
      <c r="C77">
        <v>18</v>
      </c>
      <c r="D77" s="17">
        <f>INDEX(Blk_c,MATCH(B77,Blk_St,0))</f>
      </c>
      <c r="E77" s="17">
        <f>INDEX(Bar_U,MATCH(C77,Bar_No,0))</f>
      </c>
      <c r="F77" s="17">
        <f>u_max-E77</f>
      </c>
      <c r="G77" s="20">
        <f>IF(AND(ec_pivot&gt;0,D77&gt;d_theta),ec_pivot*D77/(D77-(1-ec_pivot/ecu)*d_theta),ecu)*(1-F77/D77)</f>
      </c>
      <c r="H77" s="20">
        <f>MAX(0,-G77)</f>
      </c>
      <c r="I77" s="17">
        <f>MAX(MIN(Es*G77,fy),-fy)</f>
      </c>
      <c r="J77">
        <f>IF(E77&gt;=u_max-beta_1*D77-blk_tol,1,0)</f>
      </c>
      <c r="K77" s="17">
        <f>J77*sig_blk</f>
      </c>
      <c r="L77" s="17">
        <f>I77-K77</f>
      </c>
      <c r="M77" s="17">
        <f>INDEX(Bar_As,MATCH(C77,Bar_No,0))*L77/1000</f>
      </c>
      <c r="N77" s="17">
        <f>M77*INDEX(Bar_Y,MATCH(C77,Bar_No,0))/1000</f>
      </c>
      <c r="O77" s="17">
        <f>M77*INDEX(Bar_X,MATCH(C77,Bar_No,0))/1000</f>
      </c>
    </row>
    <row r="78" spans="2:15" x14ac:dyDescent="0.25">
      <c r="B78">
        <v>5</v>
      </c>
      <c r="C78">
        <v>1</v>
      </c>
      <c r="D78" s="17">
        <f>INDEX(Blk_c,MATCH(B78,Blk_St,0))</f>
      </c>
      <c r="E78" s="17">
        <f>INDEX(Bar_U,MATCH(C78,Bar_No,0))</f>
      </c>
      <c r="F78" s="17">
        <f>u_max-E78</f>
      </c>
      <c r="G78" s="20">
        <f>IF(AND(ec_pivot&gt;0,D78&gt;d_theta),ec_pivot*D78/(D78-(1-ec_pivot/ecu)*d_theta),ecu)*(1-F78/D78)</f>
      </c>
      <c r="H78" s="20">
        <f>MAX(0,-G78)</f>
      </c>
      <c r="I78" s="17">
        <f>MAX(MIN(Es*G78,fy),-fy)</f>
      </c>
      <c r="J78">
        <f>IF(E78&gt;=u_max-beta_1*D78-blk_tol,1,0)</f>
      </c>
      <c r="K78" s="17">
        <f>J78*sig_blk</f>
      </c>
      <c r="L78" s="17">
        <f>I78-K78</f>
      </c>
      <c r="M78" s="17">
        <f>INDEX(Bar_As,MATCH(C78,Bar_No,0))*L78/1000</f>
      </c>
      <c r="N78" s="17">
        <f>M78*INDEX(Bar_Y,MATCH(C78,Bar_No,0))/1000</f>
      </c>
      <c r="O78" s="17">
        <f>M78*INDEX(Bar_X,MATCH(C78,Bar_No,0))/1000</f>
      </c>
    </row>
    <row r="79" spans="2:15" x14ac:dyDescent="0.25">
      <c r="B79">
        <v>5</v>
      </c>
      <c r="C79">
        <v>2</v>
      </c>
      <c r="D79" s="17">
        <f>INDEX(Blk_c,MATCH(B79,Blk_St,0))</f>
      </c>
      <c r="E79" s="17">
        <f>INDEX(Bar_U,MATCH(C79,Bar_No,0))</f>
      </c>
      <c r="F79" s="17">
        <f>u_max-E79</f>
      </c>
      <c r="G79" s="20">
        <f>IF(AND(ec_pivot&gt;0,D79&gt;d_theta),ec_pivot*D79/(D79-(1-ec_pivot/ecu)*d_theta),ecu)*(1-F79/D79)</f>
      </c>
      <c r="H79" s="20">
        <f>MAX(0,-G79)</f>
      </c>
      <c r="I79" s="17">
        <f>MAX(MIN(Es*G79,fy),-fy)</f>
      </c>
      <c r="J79">
        <f>IF(E79&gt;=u_max-beta_1*D79-blk_tol,1,0)</f>
      </c>
      <c r="K79" s="17">
        <f>J79*sig_blk</f>
      </c>
      <c r="L79" s="17">
        <f>I79-K79</f>
      </c>
      <c r="M79" s="17">
        <f>INDEX(Bar_As,MATCH(C79,Bar_No,0))*L79/1000</f>
      </c>
      <c r="N79" s="17">
        <f>M79*INDEX(Bar_Y,MATCH(C79,Bar_No,0))/1000</f>
      </c>
      <c r="O79" s="17">
        <f>M79*INDEX(Bar_X,MATCH(C79,Bar_No,0))/1000</f>
      </c>
    </row>
    <row r="80" spans="2:15" x14ac:dyDescent="0.25">
      <c r="B80">
        <v>5</v>
      </c>
      <c r="C80">
        <v>3</v>
      </c>
      <c r="D80" s="17">
        <f>INDEX(Blk_c,MATCH(B80,Blk_St,0))</f>
      </c>
      <c r="E80" s="17">
        <f>INDEX(Bar_U,MATCH(C80,Bar_No,0))</f>
      </c>
      <c r="F80" s="17">
        <f>u_max-E80</f>
      </c>
      <c r="G80" s="20">
        <f>IF(AND(ec_pivot&gt;0,D80&gt;d_theta),ec_pivot*D80/(D80-(1-ec_pivot/ecu)*d_theta),ecu)*(1-F80/D80)</f>
      </c>
      <c r="H80" s="20">
        <f>MAX(0,-G80)</f>
      </c>
      <c r="I80" s="17">
        <f>MAX(MIN(Es*G80,fy),-fy)</f>
      </c>
      <c r="J80">
        <f>IF(E80&gt;=u_max-beta_1*D80-blk_tol,1,0)</f>
      </c>
      <c r="K80" s="17">
        <f>J80*sig_blk</f>
      </c>
      <c r="L80" s="17">
        <f>I80-K80</f>
      </c>
      <c r="M80" s="17">
        <f>INDEX(Bar_As,MATCH(C80,Bar_No,0))*L80/1000</f>
      </c>
      <c r="N80" s="17">
        <f>M80*INDEX(Bar_Y,MATCH(C80,Bar_No,0))/1000</f>
      </c>
      <c r="O80" s="17">
        <f>M80*INDEX(Bar_X,MATCH(C80,Bar_No,0))/1000</f>
      </c>
    </row>
    <row r="81" spans="2:15" x14ac:dyDescent="0.25">
      <c r="B81">
        <v>5</v>
      </c>
      <c r="C81">
        <v>4</v>
      </c>
      <c r="D81" s="17">
        <f>INDEX(Blk_c,MATCH(B81,Blk_St,0))</f>
      </c>
      <c r="E81" s="17">
        <f>INDEX(Bar_U,MATCH(C81,Bar_No,0))</f>
      </c>
      <c r="F81" s="17">
        <f>u_max-E81</f>
      </c>
      <c r="G81" s="20">
        <f>IF(AND(ec_pivot&gt;0,D81&gt;d_theta),ec_pivot*D81/(D81-(1-ec_pivot/ecu)*d_theta),ecu)*(1-F81/D81)</f>
      </c>
      <c r="H81" s="20">
        <f>MAX(0,-G81)</f>
      </c>
      <c r="I81" s="17">
        <f>MAX(MIN(Es*G81,fy),-fy)</f>
      </c>
      <c r="J81">
        <f>IF(E81&gt;=u_max-beta_1*D81-blk_tol,1,0)</f>
      </c>
      <c r="K81" s="17">
        <f>J81*sig_blk</f>
      </c>
      <c r="L81" s="17">
        <f>I81-K81</f>
      </c>
      <c r="M81" s="17">
        <f>INDEX(Bar_As,MATCH(C81,Bar_No,0))*L81/1000</f>
      </c>
      <c r="N81" s="17">
        <f>M81*INDEX(Bar_Y,MATCH(C81,Bar_No,0))/1000</f>
      </c>
      <c r="O81" s="17">
        <f>M81*INDEX(Bar_X,MATCH(C81,Bar_No,0))/1000</f>
      </c>
    </row>
    <row r="82" spans="2:15" x14ac:dyDescent="0.25">
      <c r="B82">
        <v>5</v>
      </c>
      <c r="C82">
        <v>5</v>
      </c>
      <c r="D82" s="17">
        <f>INDEX(Blk_c,MATCH(B82,Blk_St,0))</f>
      </c>
      <c r="E82" s="17">
        <f>INDEX(Bar_U,MATCH(C82,Bar_No,0))</f>
      </c>
      <c r="F82" s="17">
        <f>u_max-E82</f>
      </c>
      <c r="G82" s="20">
        <f>IF(AND(ec_pivot&gt;0,D82&gt;d_theta),ec_pivot*D82/(D82-(1-ec_pivot/ecu)*d_theta),ecu)*(1-F82/D82)</f>
      </c>
      <c r="H82" s="20">
        <f>MAX(0,-G82)</f>
      </c>
      <c r="I82" s="17">
        <f>MAX(MIN(Es*G82,fy),-fy)</f>
      </c>
      <c r="J82">
        <f>IF(E82&gt;=u_max-beta_1*D82-blk_tol,1,0)</f>
      </c>
      <c r="K82" s="17">
        <f>J82*sig_blk</f>
      </c>
      <c r="L82" s="17">
        <f>I82-K82</f>
      </c>
      <c r="M82" s="17">
        <f>INDEX(Bar_As,MATCH(C82,Bar_No,0))*L82/1000</f>
      </c>
      <c r="N82" s="17">
        <f>M82*INDEX(Bar_Y,MATCH(C82,Bar_No,0))/1000</f>
      </c>
      <c r="O82" s="17">
        <f>M82*INDEX(Bar_X,MATCH(C82,Bar_No,0))/1000</f>
      </c>
    </row>
    <row r="83" spans="2:15" x14ac:dyDescent="0.25">
      <c r="B83">
        <v>5</v>
      </c>
      <c r="C83">
        <v>6</v>
      </c>
      <c r="D83" s="17">
        <f>INDEX(Blk_c,MATCH(B83,Blk_St,0))</f>
      </c>
      <c r="E83" s="17">
        <f>INDEX(Bar_U,MATCH(C83,Bar_No,0))</f>
      </c>
      <c r="F83" s="17">
        <f>u_max-E83</f>
      </c>
      <c r="G83" s="20">
        <f>IF(AND(ec_pivot&gt;0,D83&gt;d_theta),ec_pivot*D83/(D83-(1-ec_pivot/ecu)*d_theta),ecu)*(1-F83/D83)</f>
      </c>
      <c r="H83" s="20">
        <f>MAX(0,-G83)</f>
      </c>
      <c r="I83" s="17">
        <f>MAX(MIN(Es*G83,fy),-fy)</f>
      </c>
      <c r="J83">
        <f>IF(E83&gt;=u_max-beta_1*D83-blk_tol,1,0)</f>
      </c>
      <c r="K83" s="17">
        <f>J83*sig_blk</f>
      </c>
      <c r="L83" s="17">
        <f>I83-K83</f>
      </c>
      <c r="M83" s="17">
        <f>INDEX(Bar_As,MATCH(C83,Bar_No,0))*L83/1000</f>
      </c>
      <c r="N83" s="17">
        <f>M83*INDEX(Bar_Y,MATCH(C83,Bar_No,0))/1000</f>
      </c>
      <c r="O83" s="17">
        <f>M83*INDEX(Bar_X,MATCH(C83,Bar_No,0))/1000</f>
      </c>
    </row>
    <row r="84" spans="2:15" x14ac:dyDescent="0.25">
      <c r="B84">
        <v>5</v>
      </c>
      <c r="C84">
        <v>7</v>
      </c>
      <c r="D84" s="17">
        <f>INDEX(Blk_c,MATCH(B84,Blk_St,0))</f>
      </c>
      <c r="E84" s="17">
        <f>INDEX(Bar_U,MATCH(C84,Bar_No,0))</f>
      </c>
      <c r="F84" s="17">
        <f>u_max-E84</f>
      </c>
      <c r="G84" s="20">
        <f>IF(AND(ec_pivot&gt;0,D84&gt;d_theta),ec_pivot*D84/(D84-(1-ec_pivot/ecu)*d_theta),ecu)*(1-F84/D84)</f>
      </c>
      <c r="H84" s="20">
        <f>MAX(0,-G84)</f>
      </c>
      <c r="I84" s="17">
        <f>MAX(MIN(Es*G84,fy),-fy)</f>
      </c>
      <c r="J84">
        <f>IF(E84&gt;=u_max-beta_1*D84-blk_tol,1,0)</f>
      </c>
      <c r="K84" s="17">
        <f>J84*sig_blk</f>
      </c>
      <c r="L84" s="17">
        <f>I84-K84</f>
      </c>
      <c r="M84" s="17">
        <f>INDEX(Bar_As,MATCH(C84,Bar_No,0))*L84/1000</f>
      </c>
      <c r="N84" s="17">
        <f>M84*INDEX(Bar_Y,MATCH(C84,Bar_No,0))/1000</f>
      </c>
      <c r="O84" s="17">
        <f>M84*INDEX(Bar_X,MATCH(C84,Bar_No,0))/1000</f>
      </c>
    </row>
    <row r="85" spans="2:15" x14ac:dyDescent="0.25">
      <c r="B85">
        <v>5</v>
      </c>
      <c r="C85">
        <v>8</v>
      </c>
      <c r="D85" s="17">
        <f>INDEX(Blk_c,MATCH(B85,Blk_St,0))</f>
      </c>
      <c r="E85" s="17">
        <f>INDEX(Bar_U,MATCH(C85,Bar_No,0))</f>
      </c>
      <c r="F85" s="17">
        <f>u_max-E85</f>
      </c>
      <c r="G85" s="20">
        <f>IF(AND(ec_pivot&gt;0,D85&gt;d_theta),ec_pivot*D85/(D85-(1-ec_pivot/ecu)*d_theta),ecu)*(1-F85/D85)</f>
      </c>
      <c r="H85" s="20">
        <f>MAX(0,-G85)</f>
      </c>
      <c r="I85" s="17">
        <f>MAX(MIN(Es*G85,fy),-fy)</f>
      </c>
      <c r="J85">
        <f>IF(E85&gt;=u_max-beta_1*D85-blk_tol,1,0)</f>
      </c>
      <c r="K85" s="17">
        <f>J85*sig_blk</f>
      </c>
      <c r="L85" s="17">
        <f>I85-K85</f>
      </c>
      <c r="M85" s="17">
        <f>INDEX(Bar_As,MATCH(C85,Bar_No,0))*L85/1000</f>
      </c>
      <c r="N85" s="17">
        <f>M85*INDEX(Bar_Y,MATCH(C85,Bar_No,0))/1000</f>
      </c>
      <c r="O85" s="17">
        <f>M85*INDEX(Bar_X,MATCH(C85,Bar_No,0))/1000</f>
      </c>
    </row>
    <row r="86" spans="2:15" x14ac:dyDescent="0.25">
      <c r="B86">
        <v>5</v>
      </c>
      <c r="C86">
        <v>9</v>
      </c>
      <c r="D86" s="17">
        <f>INDEX(Blk_c,MATCH(B86,Blk_St,0))</f>
      </c>
      <c r="E86" s="17">
        <f>INDEX(Bar_U,MATCH(C86,Bar_No,0))</f>
      </c>
      <c r="F86" s="17">
        <f>u_max-E86</f>
      </c>
      <c r="G86" s="20">
        <f>IF(AND(ec_pivot&gt;0,D86&gt;d_theta),ec_pivot*D86/(D86-(1-ec_pivot/ecu)*d_theta),ecu)*(1-F86/D86)</f>
      </c>
      <c r="H86" s="20">
        <f>MAX(0,-G86)</f>
      </c>
      <c r="I86" s="17">
        <f>MAX(MIN(Es*G86,fy),-fy)</f>
      </c>
      <c r="J86">
        <f>IF(E86&gt;=u_max-beta_1*D86-blk_tol,1,0)</f>
      </c>
      <c r="K86" s="17">
        <f>J86*sig_blk</f>
      </c>
      <c r="L86" s="17">
        <f>I86-K86</f>
      </c>
      <c r="M86" s="17">
        <f>INDEX(Bar_As,MATCH(C86,Bar_No,0))*L86/1000</f>
      </c>
      <c r="N86" s="17">
        <f>M86*INDEX(Bar_Y,MATCH(C86,Bar_No,0))/1000</f>
      </c>
      <c r="O86" s="17">
        <f>M86*INDEX(Bar_X,MATCH(C86,Bar_No,0))/1000</f>
      </c>
    </row>
    <row r="87" spans="2:15" x14ac:dyDescent="0.25">
      <c r="B87">
        <v>5</v>
      </c>
      <c r="C87">
        <v>10</v>
      </c>
      <c r="D87" s="17">
        <f>INDEX(Blk_c,MATCH(B87,Blk_St,0))</f>
      </c>
      <c r="E87" s="17">
        <f>INDEX(Bar_U,MATCH(C87,Bar_No,0))</f>
      </c>
      <c r="F87" s="17">
        <f>u_max-E87</f>
      </c>
      <c r="G87" s="20">
        <f>IF(AND(ec_pivot&gt;0,D87&gt;d_theta),ec_pivot*D87/(D87-(1-ec_pivot/ecu)*d_theta),ecu)*(1-F87/D87)</f>
      </c>
      <c r="H87" s="20">
        <f>MAX(0,-G87)</f>
      </c>
      <c r="I87" s="17">
        <f>MAX(MIN(Es*G87,fy),-fy)</f>
      </c>
      <c r="J87">
        <f>IF(E87&gt;=u_max-beta_1*D87-blk_tol,1,0)</f>
      </c>
      <c r="K87" s="17">
        <f>J87*sig_blk</f>
      </c>
      <c r="L87" s="17">
        <f>I87-K87</f>
      </c>
      <c r="M87" s="17">
        <f>INDEX(Bar_As,MATCH(C87,Bar_No,0))*L87/1000</f>
      </c>
      <c r="N87" s="17">
        <f>M87*INDEX(Bar_Y,MATCH(C87,Bar_No,0))/1000</f>
      </c>
      <c r="O87" s="17">
        <f>M87*INDEX(Bar_X,MATCH(C87,Bar_No,0))/1000</f>
      </c>
    </row>
    <row r="88" spans="2:15" x14ac:dyDescent="0.25">
      <c r="B88">
        <v>5</v>
      </c>
      <c r="C88">
        <v>11</v>
      </c>
      <c r="D88" s="17">
        <f>INDEX(Blk_c,MATCH(B88,Blk_St,0))</f>
      </c>
      <c r="E88" s="17">
        <f>INDEX(Bar_U,MATCH(C88,Bar_No,0))</f>
      </c>
      <c r="F88" s="17">
        <f>u_max-E88</f>
      </c>
      <c r="G88" s="20">
        <f>IF(AND(ec_pivot&gt;0,D88&gt;d_theta),ec_pivot*D88/(D88-(1-ec_pivot/ecu)*d_theta),ecu)*(1-F88/D88)</f>
      </c>
      <c r="H88" s="20">
        <f>MAX(0,-G88)</f>
      </c>
      <c r="I88" s="17">
        <f>MAX(MIN(Es*G88,fy),-fy)</f>
      </c>
      <c r="J88">
        <f>IF(E88&gt;=u_max-beta_1*D88-blk_tol,1,0)</f>
      </c>
      <c r="K88" s="17">
        <f>J88*sig_blk</f>
      </c>
      <c r="L88" s="17">
        <f>I88-K88</f>
      </c>
      <c r="M88" s="17">
        <f>INDEX(Bar_As,MATCH(C88,Bar_No,0))*L88/1000</f>
      </c>
      <c r="N88" s="17">
        <f>M88*INDEX(Bar_Y,MATCH(C88,Bar_No,0))/1000</f>
      </c>
      <c r="O88" s="17">
        <f>M88*INDEX(Bar_X,MATCH(C88,Bar_No,0))/1000</f>
      </c>
    </row>
    <row r="89" spans="2:15" x14ac:dyDescent="0.25">
      <c r="B89">
        <v>5</v>
      </c>
      <c r="C89">
        <v>12</v>
      </c>
      <c r="D89" s="17">
        <f>INDEX(Blk_c,MATCH(B89,Blk_St,0))</f>
      </c>
      <c r="E89" s="17">
        <f>INDEX(Bar_U,MATCH(C89,Bar_No,0))</f>
      </c>
      <c r="F89" s="17">
        <f>u_max-E89</f>
      </c>
      <c r="G89" s="20">
        <f>IF(AND(ec_pivot&gt;0,D89&gt;d_theta),ec_pivot*D89/(D89-(1-ec_pivot/ecu)*d_theta),ecu)*(1-F89/D89)</f>
      </c>
      <c r="H89" s="20">
        <f>MAX(0,-G89)</f>
      </c>
      <c r="I89" s="17">
        <f>MAX(MIN(Es*G89,fy),-fy)</f>
      </c>
      <c r="J89">
        <f>IF(E89&gt;=u_max-beta_1*D89-blk_tol,1,0)</f>
      </c>
      <c r="K89" s="17">
        <f>J89*sig_blk</f>
      </c>
      <c r="L89" s="17">
        <f>I89-K89</f>
      </c>
      <c r="M89" s="17">
        <f>INDEX(Bar_As,MATCH(C89,Bar_No,0))*L89/1000</f>
      </c>
      <c r="N89" s="17">
        <f>M89*INDEX(Bar_Y,MATCH(C89,Bar_No,0))/1000</f>
      </c>
      <c r="O89" s="17">
        <f>M89*INDEX(Bar_X,MATCH(C89,Bar_No,0))/1000</f>
      </c>
    </row>
    <row r="90" spans="2:15" x14ac:dyDescent="0.25">
      <c r="B90">
        <v>5</v>
      </c>
      <c r="C90">
        <v>13</v>
      </c>
      <c r="D90" s="17">
        <f>INDEX(Blk_c,MATCH(B90,Blk_St,0))</f>
      </c>
      <c r="E90" s="17">
        <f>INDEX(Bar_U,MATCH(C90,Bar_No,0))</f>
      </c>
      <c r="F90" s="17">
        <f>u_max-E90</f>
      </c>
      <c r="G90" s="20">
        <f>IF(AND(ec_pivot&gt;0,D90&gt;d_theta),ec_pivot*D90/(D90-(1-ec_pivot/ecu)*d_theta),ecu)*(1-F90/D90)</f>
      </c>
      <c r="H90" s="20">
        <f>MAX(0,-G90)</f>
      </c>
      <c r="I90" s="17">
        <f>MAX(MIN(Es*G90,fy),-fy)</f>
      </c>
      <c r="J90">
        <f>IF(E90&gt;=u_max-beta_1*D90-blk_tol,1,0)</f>
      </c>
      <c r="K90" s="17">
        <f>J90*sig_blk</f>
      </c>
      <c r="L90" s="17">
        <f>I90-K90</f>
      </c>
      <c r="M90" s="17">
        <f>INDEX(Bar_As,MATCH(C90,Bar_No,0))*L90/1000</f>
      </c>
      <c r="N90" s="17">
        <f>M90*INDEX(Bar_Y,MATCH(C90,Bar_No,0))/1000</f>
      </c>
      <c r="O90" s="17">
        <f>M90*INDEX(Bar_X,MATCH(C90,Bar_No,0))/1000</f>
      </c>
    </row>
    <row r="91" spans="2:15" x14ac:dyDescent="0.25">
      <c r="B91">
        <v>5</v>
      </c>
      <c r="C91">
        <v>14</v>
      </c>
      <c r="D91" s="17">
        <f>INDEX(Blk_c,MATCH(B91,Blk_St,0))</f>
      </c>
      <c r="E91" s="17">
        <f>INDEX(Bar_U,MATCH(C91,Bar_No,0))</f>
      </c>
      <c r="F91" s="17">
        <f>u_max-E91</f>
      </c>
      <c r="G91" s="20">
        <f>IF(AND(ec_pivot&gt;0,D91&gt;d_theta),ec_pivot*D91/(D91-(1-ec_pivot/ecu)*d_theta),ecu)*(1-F91/D91)</f>
      </c>
      <c r="H91" s="20">
        <f>MAX(0,-G91)</f>
      </c>
      <c r="I91" s="17">
        <f>MAX(MIN(Es*G91,fy),-fy)</f>
      </c>
      <c r="J91">
        <f>IF(E91&gt;=u_max-beta_1*D91-blk_tol,1,0)</f>
      </c>
      <c r="K91" s="17">
        <f>J91*sig_blk</f>
      </c>
      <c r="L91" s="17">
        <f>I91-K91</f>
      </c>
      <c r="M91" s="17">
        <f>INDEX(Bar_As,MATCH(C91,Bar_No,0))*L91/1000</f>
      </c>
      <c r="N91" s="17">
        <f>M91*INDEX(Bar_Y,MATCH(C91,Bar_No,0))/1000</f>
      </c>
      <c r="O91" s="17">
        <f>M91*INDEX(Bar_X,MATCH(C91,Bar_No,0))/1000</f>
      </c>
    </row>
    <row r="92" spans="2:15" x14ac:dyDescent="0.25">
      <c r="B92">
        <v>5</v>
      </c>
      <c r="C92">
        <v>15</v>
      </c>
      <c r="D92" s="17">
        <f>INDEX(Blk_c,MATCH(B92,Blk_St,0))</f>
      </c>
      <c r="E92" s="17">
        <f>INDEX(Bar_U,MATCH(C92,Bar_No,0))</f>
      </c>
      <c r="F92" s="17">
        <f>u_max-E92</f>
      </c>
      <c r="G92" s="20">
        <f>IF(AND(ec_pivot&gt;0,D92&gt;d_theta),ec_pivot*D92/(D92-(1-ec_pivot/ecu)*d_theta),ecu)*(1-F92/D92)</f>
      </c>
      <c r="H92" s="20">
        <f>MAX(0,-G92)</f>
      </c>
      <c r="I92" s="17">
        <f>MAX(MIN(Es*G92,fy),-fy)</f>
      </c>
      <c r="J92">
        <f>IF(E92&gt;=u_max-beta_1*D92-blk_tol,1,0)</f>
      </c>
      <c r="K92" s="17">
        <f>J92*sig_blk</f>
      </c>
      <c r="L92" s="17">
        <f>I92-K92</f>
      </c>
      <c r="M92" s="17">
        <f>INDEX(Bar_As,MATCH(C92,Bar_No,0))*L92/1000</f>
      </c>
      <c r="N92" s="17">
        <f>M92*INDEX(Bar_Y,MATCH(C92,Bar_No,0))/1000</f>
      </c>
      <c r="O92" s="17">
        <f>M92*INDEX(Bar_X,MATCH(C92,Bar_No,0))/1000</f>
      </c>
    </row>
    <row r="93" spans="2:15" x14ac:dyDescent="0.25">
      <c r="B93">
        <v>5</v>
      </c>
      <c r="C93">
        <v>16</v>
      </c>
      <c r="D93" s="17">
        <f>INDEX(Blk_c,MATCH(B93,Blk_St,0))</f>
      </c>
      <c r="E93" s="17">
        <f>INDEX(Bar_U,MATCH(C93,Bar_No,0))</f>
      </c>
      <c r="F93" s="17">
        <f>u_max-E93</f>
      </c>
      <c r="G93" s="20">
        <f>IF(AND(ec_pivot&gt;0,D93&gt;d_theta),ec_pivot*D93/(D93-(1-ec_pivot/ecu)*d_theta),ecu)*(1-F93/D93)</f>
      </c>
      <c r="H93" s="20">
        <f>MAX(0,-G93)</f>
      </c>
      <c r="I93" s="17">
        <f>MAX(MIN(Es*G93,fy),-fy)</f>
      </c>
      <c r="J93">
        <f>IF(E93&gt;=u_max-beta_1*D93-blk_tol,1,0)</f>
      </c>
      <c r="K93" s="17">
        <f>J93*sig_blk</f>
      </c>
      <c r="L93" s="17">
        <f>I93-K93</f>
      </c>
      <c r="M93" s="17">
        <f>INDEX(Bar_As,MATCH(C93,Bar_No,0))*L93/1000</f>
      </c>
      <c r="N93" s="17">
        <f>M93*INDEX(Bar_Y,MATCH(C93,Bar_No,0))/1000</f>
      </c>
      <c r="O93" s="17">
        <f>M93*INDEX(Bar_X,MATCH(C93,Bar_No,0))/1000</f>
      </c>
    </row>
    <row r="94" spans="2:15" x14ac:dyDescent="0.25">
      <c r="B94">
        <v>5</v>
      </c>
      <c r="C94">
        <v>17</v>
      </c>
      <c r="D94" s="17">
        <f>INDEX(Blk_c,MATCH(B94,Blk_St,0))</f>
      </c>
      <c r="E94" s="17">
        <f>INDEX(Bar_U,MATCH(C94,Bar_No,0))</f>
      </c>
      <c r="F94" s="17">
        <f>u_max-E94</f>
      </c>
      <c r="G94" s="20">
        <f>IF(AND(ec_pivot&gt;0,D94&gt;d_theta),ec_pivot*D94/(D94-(1-ec_pivot/ecu)*d_theta),ecu)*(1-F94/D94)</f>
      </c>
      <c r="H94" s="20">
        <f>MAX(0,-G94)</f>
      </c>
      <c r="I94" s="17">
        <f>MAX(MIN(Es*G94,fy),-fy)</f>
      </c>
      <c r="J94">
        <f>IF(E94&gt;=u_max-beta_1*D94-blk_tol,1,0)</f>
      </c>
      <c r="K94" s="17">
        <f>J94*sig_blk</f>
      </c>
      <c r="L94" s="17">
        <f>I94-K94</f>
      </c>
      <c r="M94" s="17">
        <f>INDEX(Bar_As,MATCH(C94,Bar_No,0))*L94/1000</f>
      </c>
      <c r="N94" s="17">
        <f>M94*INDEX(Bar_Y,MATCH(C94,Bar_No,0))/1000</f>
      </c>
      <c r="O94" s="17">
        <f>M94*INDEX(Bar_X,MATCH(C94,Bar_No,0))/1000</f>
      </c>
    </row>
    <row r="95" spans="2:15" x14ac:dyDescent="0.25">
      <c r="B95">
        <v>5</v>
      </c>
      <c r="C95">
        <v>18</v>
      </c>
      <c r="D95" s="17">
        <f>INDEX(Blk_c,MATCH(B95,Blk_St,0))</f>
      </c>
      <c r="E95" s="17">
        <f>INDEX(Bar_U,MATCH(C95,Bar_No,0))</f>
      </c>
      <c r="F95" s="17">
        <f>u_max-E95</f>
      </c>
      <c r="G95" s="20">
        <f>IF(AND(ec_pivot&gt;0,D95&gt;d_theta),ec_pivot*D95/(D95-(1-ec_pivot/ecu)*d_theta),ecu)*(1-F95/D95)</f>
      </c>
      <c r="H95" s="20">
        <f>MAX(0,-G95)</f>
      </c>
      <c r="I95" s="17">
        <f>MAX(MIN(Es*G95,fy),-fy)</f>
      </c>
      <c r="J95">
        <f>IF(E95&gt;=u_max-beta_1*D95-blk_tol,1,0)</f>
      </c>
      <c r="K95" s="17">
        <f>J95*sig_blk</f>
      </c>
      <c r="L95" s="17">
        <f>I95-K95</f>
      </c>
      <c r="M95" s="17">
        <f>INDEX(Bar_As,MATCH(C95,Bar_No,0))*L95/1000</f>
      </c>
      <c r="N95" s="17">
        <f>M95*INDEX(Bar_Y,MATCH(C95,Bar_No,0))/1000</f>
      </c>
      <c r="O95" s="17">
        <f>M95*INDEX(Bar_X,MATCH(C95,Bar_No,0))/1000</f>
      </c>
    </row>
    <row r="96" spans="2:15" x14ac:dyDescent="0.25">
      <c r="B96">
        <v>6</v>
      </c>
      <c r="C96">
        <v>1</v>
      </c>
      <c r="D96" s="17">
        <f>INDEX(Blk_c,MATCH(B96,Blk_St,0))</f>
      </c>
      <c r="E96" s="17">
        <f>INDEX(Bar_U,MATCH(C96,Bar_No,0))</f>
      </c>
      <c r="F96" s="17">
        <f>u_max-E96</f>
      </c>
      <c r="G96" s="20">
        <f>IF(AND(ec_pivot&gt;0,D96&gt;d_theta),ec_pivot*D96/(D96-(1-ec_pivot/ecu)*d_theta),ecu)*(1-F96/D96)</f>
      </c>
      <c r="H96" s="20">
        <f>MAX(0,-G96)</f>
      </c>
      <c r="I96" s="17">
        <f>MAX(MIN(Es*G96,fy),-fy)</f>
      </c>
      <c r="J96">
        <f>IF(E96&gt;=u_max-beta_1*D96-blk_tol,1,0)</f>
      </c>
      <c r="K96" s="17">
        <f>J96*sig_blk</f>
      </c>
      <c r="L96" s="17">
        <f>I96-K96</f>
      </c>
      <c r="M96" s="17">
        <f>INDEX(Bar_As,MATCH(C96,Bar_No,0))*L96/1000</f>
      </c>
      <c r="N96" s="17">
        <f>M96*INDEX(Bar_Y,MATCH(C96,Bar_No,0))/1000</f>
      </c>
      <c r="O96" s="17">
        <f>M96*INDEX(Bar_X,MATCH(C96,Bar_No,0))/1000</f>
      </c>
    </row>
    <row r="97" spans="2:15" x14ac:dyDescent="0.25">
      <c r="B97">
        <v>6</v>
      </c>
      <c r="C97">
        <v>2</v>
      </c>
      <c r="D97" s="17">
        <f>INDEX(Blk_c,MATCH(B97,Blk_St,0))</f>
      </c>
      <c r="E97" s="17">
        <f>INDEX(Bar_U,MATCH(C97,Bar_No,0))</f>
      </c>
      <c r="F97" s="17">
        <f>u_max-E97</f>
      </c>
      <c r="G97" s="20">
        <f>IF(AND(ec_pivot&gt;0,D97&gt;d_theta),ec_pivot*D97/(D97-(1-ec_pivot/ecu)*d_theta),ecu)*(1-F97/D97)</f>
      </c>
      <c r="H97" s="20">
        <f>MAX(0,-G97)</f>
      </c>
      <c r="I97" s="17">
        <f>MAX(MIN(Es*G97,fy),-fy)</f>
      </c>
      <c r="J97">
        <f>IF(E97&gt;=u_max-beta_1*D97-blk_tol,1,0)</f>
      </c>
      <c r="K97" s="17">
        <f>J97*sig_blk</f>
      </c>
      <c r="L97" s="17">
        <f>I97-K97</f>
      </c>
      <c r="M97" s="17">
        <f>INDEX(Bar_As,MATCH(C97,Bar_No,0))*L97/1000</f>
      </c>
      <c r="N97" s="17">
        <f>M97*INDEX(Bar_Y,MATCH(C97,Bar_No,0))/1000</f>
      </c>
      <c r="O97" s="17">
        <f>M97*INDEX(Bar_X,MATCH(C97,Bar_No,0))/1000</f>
      </c>
    </row>
    <row r="98" spans="2:15" x14ac:dyDescent="0.25">
      <c r="B98">
        <v>6</v>
      </c>
      <c r="C98">
        <v>3</v>
      </c>
      <c r="D98" s="17">
        <f>INDEX(Blk_c,MATCH(B98,Blk_St,0))</f>
      </c>
      <c r="E98" s="17">
        <f>INDEX(Bar_U,MATCH(C98,Bar_No,0))</f>
      </c>
      <c r="F98" s="17">
        <f>u_max-E98</f>
      </c>
      <c r="G98" s="20">
        <f>IF(AND(ec_pivot&gt;0,D98&gt;d_theta),ec_pivot*D98/(D98-(1-ec_pivot/ecu)*d_theta),ecu)*(1-F98/D98)</f>
      </c>
      <c r="H98" s="20">
        <f>MAX(0,-G98)</f>
      </c>
      <c r="I98" s="17">
        <f>MAX(MIN(Es*G98,fy),-fy)</f>
      </c>
      <c r="J98">
        <f>IF(E98&gt;=u_max-beta_1*D98-blk_tol,1,0)</f>
      </c>
      <c r="K98" s="17">
        <f>J98*sig_blk</f>
      </c>
      <c r="L98" s="17">
        <f>I98-K98</f>
      </c>
      <c r="M98" s="17">
        <f>INDEX(Bar_As,MATCH(C98,Bar_No,0))*L98/1000</f>
      </c>
      <c r="N98" s="17">
        <f>M98*INDEX(Bar_Y,MATCH(C98,Bar_No,0))/1000</f>
      </c>
      <c r="O98" s="17">
        <f>M98*INDEX(Bar_X,MATCH(C98,Bar_No,0))/1000</f>
      </c>
    </row>
    <row r="99" spans="2:15" x14ac:dyDescent="0.25">
      <c r="B99">
        <v>6</v>
      </c>
      <c r="C99">
        <v>4</v>
      </c>
      <c r="D99" s="17">
        <f>INDEX(Blk_c,MATCH(B99,Blk_St,0))</f>
      </c>
      <c r="E99" s="17">
        <f>INDEX(Bar_U,MATCH(C99,Bar_No,0))</f>
      </c>
      <c r="F99" s="17">
        <f>u_max-E99</f>
      </c>
      <c r="G99" s="20">
        <f>IF(AND(ec_pivot&gt;0,D99&gt;d_theta),ec_pivot*D99/(D99-(1-ec_pivot/ecu)*d_theta),ecu)*(1-F99/D99)</f>
      </c>
      <c r="H99" s="20">
        <f>MAX(0,-G99)</f>
      </c>
      <c r="I99" s="17">
        <f>MAX(MIN(Es*G99,fy),-fy)</f>
      </c>
      <c r="J99">
        <f>IF(E99&gt;=u_max-beta_1*D99-blk_tol,1,0)</f>
      </c>
      <c r="K99" s="17">
        <f>J99*sig_blk</f>
      </c>
      <c r="L99" s="17">
        <f>I99-K99</f>
      </c>
      <c r="M99" s="17">
        <f>INDEX(Bar_As,MATCH(C99,Bar_No,0))*L99/1000</f>
      </c>
      <c r="N99" s="17">
        <f>M99*INDEX(Bar_Y,MATCH(C99,Bar_No,0))/1000</f>
      </c>
      <c r="O99" s="17">
        <f>M99*INDEX(Bar_X,MATCH(C99,Bar_No,0))/1000</f>
      </c>
    </row>
    <row r="100" spans="2:15" x14ac:dyDescent="0.25">
      <c r="B100">
        <v>6</v>
      </c>
      <c r="C100">
        <v>5</v>
      </c>
      <c r="D100" s="17">
        <f>INDEX(Blk_c,MATCH(B100,Blk_St,0))</f>
      </c>
      <c r="E100" s="17">
        <f>INDEX(Bar_U,MATCH(C100,Bar_No,0))</f>
      </c>
      <c r="F100" s="17">
        <f>u_max-E100</f>
      </c>
      <c r="G100" s="20">
        <f>IF(AND(ec_pivot&gt;0,D100&gt;d_theta),ec_pivot*D100/(D100-(1-ec_pivot/ecu)*d_theta),ecu)*(1-F100/D100)</f>
      </c>
      <c r="H100" s="20">
        <f>MAX(0,-G100)</f>
      </c>
      <c r="I100" s="17">
        <f>MAX(MIN(Es*G100,fy),-fy)</f>
      </c>
      <c r="J100">
        <f>IF(E100&gt;=u_max-beta_1*D100-blk_tol,1,0)</f>
      </c>
      <c r="K100" s="17">
        <f>J100*sig_blk</f>
      </c>
      <c r="L100" s="17">
        <f>I100-K100</f>
      </c>
      <c r="M100" s="17">
        <f>INDEX(Bar_As,MATCH(C100,Bar_No,0))*L100/1000</f>
      </c>
      <c r="N100" s="17">
        <f>M100*INDEX(Bar_Y,MATCH(C100,Bar_No,0))/1000</f>
      </c>
      <c r="O100" s="17">
        <f>M100*INDEX(Bar_X,MATCH(C100,Bar_No,0))/1000</f>
      </c>
    </row>
    <row r="101" spans="2:15" x14ac:dyDescent="0.25">
      <c r="B101">
        <v>6</v>
      </c>
      <c r="C101">
        <v>6</v>
      </c>
      <c r="D101" s="17">
        <f>INDEX(Blk_c,MATCH(B101,Blk_St,0))</f>
      </c>
      <c r="E101" s="17">
        <f>INDEX(Bar_U,MATCH(C101,Bar_No,0))</f>
      </c>
      <c r="F101" s="17">
        <f>u_max-E101</f>
      </c>
      <c r="G101" s="20">
        <f>IF(AND(ec_pivot&gt;0,D101&gt;d_theta),ec_pivot*D101/(D101-(1-ec_pivot/ecu)*d_theta),ecu)*(1-F101/D101)</f>
      </c>
      <c r="H101" s="20">
        <f>MAX(0,-G101)</f>
      </c>
      <c r="I101" s="17">
        <f>MAX(MIN(Es*G101,fy),-fy)</f>
      </c>
      <c r="J101">
        <f>IF(E101&gt;=u_max-beta_1*D101-blk_tol,1,0)</f>
      </c>
      <c r="K101" s="17">
        <f>J101*sig_blk</f>
      </c>
      <c r="L101" s="17">
        <f>I101-K101</f>
      </c>
      <c r="M101" s="17">
        <f>INDEX(Bar_As,MATCH(C101,Bar_No,0))*L101/1000</f>
      </c>
      <c r="N101" s="17">
        <f>M101*INDEX(Bar_Y,MATCH(C101,Bar_No,0))/1000</f>
      </c>
      <c r="O101" s="17">
        <f>M101*INDEX(Bar_X,MATCH(C101,Bar_No,0))/1000</f>
      </c>
    </row>
    <row r="102" spans="2:15" x14ac:dyDescent="0.25">
      <c r="B102">
        <v>6</v>
      </c>
      <c r="C102">
        <v>7</v>
      </c>
      <c r="D102" s="17">
        <f>INDEX(Blk_c,MATCH(B102,Blk_St,0))</f>
      </c>
      <c r="E102" s="17">
        <f>INDEX(Bar_U,MATCH(C102,Bar_No,0))</f>
      </c>
      <c r="F102" s="17">
        <f>u_max-E102</f>
      </c>
      <c r="G102" s="20">
        <f>IF(AND(ec_pivot&gt;0,D102&gt;d_theta),ec_pivot*D102/(D102-(1-ec_pivot/ecu)*d_theta),ecu)*(1-F102/D102)</f>
      </c>
      <c r="H102" s="20">
        <f>MAX(0,-G102)</f>
      </c>
      <c r="I102" s="17">
        <f>MAX(MIN(Es*G102,fy),-fy)</f>
      </c>
      <c r="J102">
        <f>IF(E102&gt;=u_max-beta_1*D102-blk_tol,1,0)</f>
      </c>
      <c r="K102" s="17">
        <f>J102*sig_blk</f>
      </c>
      <c r="L102" s="17">
        <f>I102-K102</f>
      </c>
      <c r="M102" s="17">
        <f>INDEX(Bar_As,MATCH(C102,Bar_No,0))*L102/1000</f>
      </c>
      <c r="N102" s="17">
        <f>M102*INDEX(Bar_Y,MATCH(C102,Bar_No,0))/1000</f>
      </c>
      <c r="O102" s="17">
        <f>M102*INDEX(Bar_X,MATCH(C102,Bar_No,0))/1000</f>
      </c>
    </row>
    <row r="103" spans="2:15" x14ac:dyDescent="0.25">
      <c r="B103">
        <v>6</v>
      </c>
      <c r="C103">
        <v>8</v>
      </c>
      <c r="D103" s="17">
        <f>INDEX(Blk_c,MATCH(B103,Blk_St,0))</f>
      </c>
      <c r="E103" s="17">
        <f>INDEX(Bar_U,MATCH(C103,Bar_No,0))</f>
      </c>
      <c r="F103" s="17">
        <f>u_max-E103</f>
      </c>
      <c r="G103" s="20">
        <f>IF(AND(ec_pivot&gt;0,D103&gt;d_theta),ec_pivot*D103/(D103-(1-ec_pivot/ecu)*d_theta),ecu)*(1-F103/D103)</f>
      </c>
      <c r="H103" s="20">
        <f>MAX(0,-G103)</f>
      </c>
      <c r="I103" s="17">
        <f>MAX(MIN(Es*G103,fy),-fy)</f>
      </c>
      <c r="J103">
        <f>IF(E103&gt;=u_max-beta_1*D103-blk_tol,1,0)</f>
      </c>
      <c r="K103" s="17">
        <f>J103*sig_blk</f>
      </c>
      <c r="L103" s="17">
        <f>I103-K103</f>
      </c>
      <c r="M103" s="17">
        <f>INDEX(Bar_As,MATCH(C103,Bar_No,0))*L103/1000</f>
      </c>
      <c r="N103" s="17">
        <f>M103*INDEX(Bar_Y,MATCH(C103,Bar_No,0))/1000</f>
      </c>
      <c r="O103" s="17">
        <f>M103*INDEX(Bar_X,MATCH(C103,Bar_No,0))/1000</f>
      </c>
    </row>
    <row r="104" spans="2:15" x14ac:dyDescent="0.25">
      <c r="B104">
        <v>6</v>
      </c>
      <c r="C104">
        <v>9</v>
      </c>
      <c r="D104" s="17">
        <f>INDEX(Blk_c,MATCH(B104,Blk_St,0))</f>
      </c>
      <c r="E104" s="17">
        <f>INDEX(Bar_U,MATCH(C104,Bar_No,0))</f>
      </c>
      <c r="F104" s="17">
        <f>u_max-E104</f>
      </c>
      <c r="G104" s="20">
        <f>IF(AND(ec_pivot&gt;0,D104&gt;d_theta),ec_pivot*D104/(D104-(1-ec_pivot/ecu)*d_theta),ecu)*(1-F104/D104)</f>
      </c>
      <c r="H104" s="20">
        <f>MAX(0,-G104)</f>
      </c>
      <c r="I104" s="17">
        <f>MAX(MIN(Es*G104,fy),-fy)</f>
      </c>
      <c r="J104">
        <f>IF(E104&gt;=u_max-beta_1*D104-blk_tol,1,0)</f>
      </c>
      <c r="K104" s="17">
        <f>J104*sig_blk</f>
      </c>
      <c r="L104" s="17">
        <f>I104-K104</f>
      </c>
      <c r="M104" s="17">
        <f>INDEX(Bar_As,MATCH(C104,Bar_No,0))*L104/1000</f>
      </c>
      <c r="N104" s="17">
        <f>M104*INDEX(Bar_Y,MATCH(C104,Bar_No,0))/1000</f>
      </c>
      <c r="O104" s="17">
        <f>M104*INDEX(Bar_X,MATCH(C104,Bar_No,0))/1000</f>
      </c>
    </row>
    <row r="105" spans="2:15" x14ac:dyDescent="0.25">
      <c r="B105">
        <v>6</v>
      </c>
      <c r="C105">
        <v>10</v>
      </c>
      <c r="D105" s="17">
        <f>INDEX(Blk_c,MATCH(B105,Blk_St,0))</f>
      </c>
      <c r="E105" s="17">
        <f>INDEX(Bar_U,MATCH(C105,Bar_No,0))</f>
      </c>
      <c r="F105" s="17">
        <f>u_max-E105</f>
      </c>
      <c r="G105" s="20">
        <f>IF(AND(ec_pivot&gt;0,D105&gt;d_theta),ec_pivot*D105/(D105-(1-ec_pivot/ecu)*d_theta),ecu)*(1-F105/D105)</f>
      </c>
      <c r="H105" s="20">
        <f>MAX(0,-G105)</f>
      </c>
      <c r="I105" s="17">
        <f>MAX(MIN(Es*G105,fy),-fy)</f>
      </c>
      <c r="J105">
        <f>IF(E105&gt;=u_max-beta_1*D105-blk_tol,1,0)</f>
      </c>
      <c r="K105" s="17">
        <f>J105*sig_blk</f>
      </c>
      <c r="L105" s="17">
        <f>I105-K105</f>
      </c>
      <c r="M105" s="17">
        <f>INDEX(Bar_As,MATCH(C105,Bar_No,0))*L105/1000</f>
      </c>
      <c r="N105" s="17">
        <f>M105*INDEX(Bar_Y,MATCH(C105,Bar_No,0))/1000</f>
      </c>
      <c r="O105" s="17">
        <f>M105*INDEX(Bar_X,MATCH(C105,Bar_No,0))/1000</f>
      </c>
    </row>
    <row r="106" spans="2:15" x14ac:dyDescent="0.25">
      <c r="B106">
        <v>6</v>
      </c>
      <c r="C106">
        <v>11</v>
      </c>
      <c r="D106" s="17">
        <f>INDEX(Blk_c,MATCH(B106,Blk_St,0))</f>
      </c>
      <c r="E106" s="17">
        <f>INDEX(Bar_U,MATCH(C106,Bar_No,0))</f>
      </c>
      <c r="F106" s="17">
        <f>u_max-E106</f>
      </c>
      <c r="G106" s="20">
        <f>IF(AND(ec_pivot&gt;0,D106&gt;d_theta),ec_pivot*D106/(D106-(1-ec_pivot/ecu)*d_theta),ecu)*(1-F106/D106)</f>
      </c>
      <c r="H106" s="20">
        <f>MAX(0,-G106)</f>
      </c>
      <c r="I106" s="17">
        <f>MAX(MIN(Es*G106,fy),-fy)</f>
      </c>
      <c r="J106">
        <f>IF(E106&gt;=u_max-beta_1*D106-blk_tol,1,0)</f>
      </c>
      <c r="K106" s="17">
        <f>J106*sig_blk</f>
      </c>
      <c r="L106" s="17">
        <f>I106-K106</f>
      </c>
      <c r="M106" s="17">
        <f>INDEX(Bar_As,MATCH(C106,Bar_No,0))*L106/1000</f>
      </c>
      <c r="N106" s="17">
        <f>M106*INDEX(Bar_Y,MATCH(C106,Bar_No,0))/1000</f>
      </c>
      <c r="O106" s="17">
        <f>M106*INDEX(Bar_X,MATCH(C106,Bar_No,0))/1000</f>
      </c>
    </row>
    <row r="107" spans="2:15" x14ac:dyDescent="0.25">
      <c r="B107">
        <v>6</v>
      </c>
      <c r="C107">
        <v>12</v>
      </c>
      <c r="D107" s="17">
        <f>INDEX(Blk_c,MATCH(B107,Blk_St,0))</f>
      </c>
      <c r="E107" s="17">
        <f>INDEX(Bar_U,MATCH(C107,Bar_No,0))</f>
      </c>
      <c r="F107" s="17">
        <f>u_max-E107</f>
      </c>
      <c r="G107" s="20">
        <f>IF(AND(ec_pivot&gt;0,D107&gt;d_theta),ec_pivot*D107/(D107-(1-ec_pivot/ecu)*d_theta),ecu)*(1-F107/D107)</f>
      </c>
      <c r="H107" s="20">
        <f>MAX(0,-G107)</f>
      </c>
      <c r="I107" s="17">
        <f>MAX(MIN(Es*G107,fy),-fy)</f>
      </c>
      <c r="J107">
        <f>IF(E107&gt;=u_max-beta_1*D107-blk_tol,1,0)</f>
      </c>
      <c r="K107" s="17">
        <f>J107*sig_blk</f>
      </c>
      <c r="L107" s="17">
        <f>I107-K107</f>
      </c>
      <c r="M107" s="17">
        <f>INDEX(Bar_As,MATCH(C107,Bar_No,0))*L107/1000</f>
      </c>
      <c r="N107" s="17">
        <f>M107*INDEX(Bar_Y,MATCH(C107,Bar_No,0))/1000</f>
      </c>
      <c r="O107" s="17">
        <f>M107*INDEX(Bar_X,MATCH(C107,Bar_No,0))/1000</f>
      </c>
    </row>
    <row r="108" spans="2:15" x14ac:dyDescent="0.25">
      <c r="B108">
        <v>6</v>
      </c>
      <c r="C108">
        <v>13</v>
      </c>
      <c r="D108" s="17">
        <f>INDEX(Blk_c,MATCH(B108,Blk_St,0))</f>
      </c>
      <c r="E108" s="17">
        <f>INDEX(Bar_U,MATCH(C108,Bar_No,0))</f>
      </c>
      <c r="F108" s="17">
        <f>u_max-E108</f>
      </c>
      <c r="G108" s="20">
        <f>IF(AND(ec_pivot&gt;0,D108&gt;d_theta),ec_pivot*D108/(D108-(1-ec_pivot/ecu)*d_theta),ecu)*(1-F108/D108)</f>
      </c>
      <c r="H108" s="20">
        <f>MAX(0,-G108)</f>
      </c>
      <c r="I108" s="17">
        <f>MAX(MIN(Es*G108,fy),-fy)</f>
      </c>
      <c r="J108">
        <f>IF(E108&gt;=u_max-beta_1*D108-blk_tol,1,0)</f>
      </c>
      <c r="K108" s="17">
        <f>J108*sig_blk</f>
      </c>
      <c r="L108" s="17">
        <f>I108-K108</f>
      </c>
      <c r="M108" s="17">
        <f>INDEX(Bar_As,MATCH(C108,Bar_No,0))*L108/1000</f>
      </c>
      <c r="N108" s="17">
        <f>M108*INDEX(Bar_Y,MATCH(C108,Bar_No,0))/1000</f>
      </c>
      <c r="O108" s="17">
        <f>M108*INDEX(Bar_X,MATCH(C108,Bar_No,0))/1000</f>
      </c>
    </row>
    <row r="109" spans="2:15" x14ac:dyDescent="0.25">
      <c r="B109">
        <v>6</v>
      </c>
      <c r="C109">
        <v>14</v>
      </c>
      <c r="D109" s="17">
        <f>INDEX(Blk_c,MATCH(B109,Blk_St,0))</f>
      </c>
      <c r="E109" s="17">
        <f>INDEX(Bar_U,MATCH(C109,Bar_No,0))</f>
      </c>
      <c r="F109" s="17">
        <f>u_max-E109</f>
      </c>
      <c r="G109" s="20">
        <f>IF(AND(ec_pivot&gt;0,D109&gt;d_theta),ec_pivot*D109/(D109-(1-ec_pivot/ecu)*d_theta),ecu)*(1-F109/D109)</f>
      </c>
      <c r="H109" s="20">
        <f>MAX(0,-G109)</f>
      </c>
      <c r="I109" s="17">
        <f>MAX(MIN(Es*G109,fy),-fy)</f>
      </c>
      <c r="J109">
        <f>IF(E109&gt;=u_max-beta_1*D109-blk_tol,1,0)</f>
      </c>
      <c r="K109" s="17">
        <f>J109*sig_blk</f>
      </c>
      <c r="L109" s="17">
        <f>I109-K109</f>
      </c>
      <c r="M109" s="17">
        <f>INDEX(Bar_As,MATCH(C109,Bar_No,0))*L109/1000</f>
      </c>
      <c r="N109" s="17">
        <f>M109*INDEX(Bar_Y,MATCH(C109,Bar_No,0))/1000</f>
      </c>
      <c r="O109" s="17">
        <f>M109*INDEX(Bar_X,MATCH(C109,Bar_No,0))/1000</f>
      </c>
    </row>
    <row r="110" spans="2:15" x14ac:dyDescent="0.25">
      <c r="B110">
        <v>6</v>
      </c>
      <c r="C110">
        <v>15</v>
      </c>
      <c r="D110" s="17">
        <f>INDEX(Blk_c,MATCH(B110,Blk_St,0))</f>
      </c>
      <c r="E110" s="17">
        <f>INDEX(Bar_U,MATCH(C110,Bar_No,0))</f>
      </c>
      <c r="F110" s="17">
        <f>u_max-E110</f>
      </c>
      <c r="G110" s="20">
        <f>IF(AND(ec_pivot&gt;0,D110&gt;d_theta),ec_pivot*D110/(D110-(1-ec_pivot/ecu)*d_theta),ecu)*(1-F110/D110)</f>
      </c>
      <c r="H110" s="20">
        <f>MAX(0,-G110)</f>
      </c>
      <c r="I110" s="17">
        <f>MAX(MIN(Es*G110,fy),-fy)</f>
      </c>
      <c r="J110">
        <f>IF(E110&gt;=u_max-beta_1*D110-blk_tol,1,0)</f>
      </c>
      <c r="K110" s="17">
        <f>J110*sig_blk</f>
      </c>
      <c r="L110" s="17">
        <f>I110-K110</f>
      </c>
      <c r="M110" s="17">
        <f>INDEX(Bar_As,MATCH(C110,Bar_No,0))*L110/1000</f>
      </c>
      <c r="N110" s="17">
        <f>M110*INDEX(Bar_Y,MATCH(C110,Bar_No,0))/1000</f>
      </c>
      <c r="O110" s="17">
        <f>M110*INDEX(Bar_X,MATCH(C110,Bar_No,0))/1000</f>
      </c>
    </row>
    <row r="111" spans="2:15" x14ac:dyDescent="0.25">
      <c r="B111">
        <v>6</v>
      </c>
      <c r="C111">
        <v>16</v>
      </c>
      <c r="D111" s="17">
        <f>INDEX(Blk_c,MATCH(B111,Blk_St,0))</f>
      </c>
      <c r="E111" s="17">
        <f>INDEX(Bar_U,MATCH(C111,Bar_No,0))</f>
      </c>
      <c r="F111" s="17">
        <f>u_max-E111</f>
      </c>
      <c r="G111" s="20">
        <f>IF(AND(ec_pivot&gt;0,D111&gt;d_theta),ec_pivot*D111/(D111-(1-ec_pivot/ecu)*d_theta),ecu)*(1-F111/D111)</f>
      </c>
      <c r="H111" s="20">
        <f>MAX(0,-G111)</f>
      </c>
      <c r="I111" s="17">
        <f>MAX(MIN(Es*G111,fy),-fy)</f>
      </c>
      <c r="J111">
        <f>IF(E111&gt;=u_max-beta_1*D111-blk_tol,1,0)</f>
      </c>
      <c r="K111" s="17">
        <f>J111*sig_blk</f>
      </c>
      <c r="L111" s="17">
        <f>I111-K111</f>
      </c>
      <c r="M111" s="17">
        <f>INDEX(Bar_As,MATCH(C111,Bar_No,0))*L111/1000</f>
      </c>
      <c r="N111" s="17">
        <f>M111*INDEX(Bar_Y,MATCH(C111,Bar_No,0))/1000</f>
      </c>
      <c r="O111" s="17">
        <f>M111*INDEX(Bar_X,MATCH(C111,Bar_No,0))/1000</f>
      </c>
    </row>
    <row r="112" spans="2:15" x14ac:dyDescent="0.25">
      <c r="B112">
        <v>6</v>
      </c>
      <c r="C112">
        <v>17</v>
      </c>
      <c r="D112" s="17">
        <f>INDEX(Blk_c,MATCH(B112,Blk_St,0))</f>
      </c>
      <c r="E112" s="17">
        <f>INDEX(Bar_U,MATCH(C112,Bar_No,0))</f>
      </c>
      <c r="F112" s="17">
        <f>u_max-E112</f>
      </c>
      <c r="G112" s="20">
        <f>IF(AND(ec_pivot&gt;0,D112&gt;d_theta),ec_pivot*D112/(D112-(1-ec_pivot/ecu)*d_theta),ecu)*(1-F112/D112)</f>
      </c>
      <c r="H112" s="20">
        <f>MAX(0,-G112)</f>
      </c>
      <c r="I112" s="17">
        <f>MAX(MIN(Es*G112,fy),-fy)</f>
      </c>
      <c r="J112">
        <f>IF(E112&gt;=u_max-beta_1*D112-blk_tol,1,0)</f>
      </c>
      <c r="K112" s="17">
        <f>J112*sig_blk</f>
      </c>
      <c r="L112" s="17">
        <f>I112-K112</f>
      </c>
      <c r="M112" s="17">
        <f>INDEX(Bar_As,MATCH(C112,Bar_No,0))*L112/1000</f>
      </c>
      <c r="N112" s="17">
        <f>M112*INDEX(Bar_Y,MATCH(C112,Bar_No,0))/1000</f>
      </c>
      <c r="O112" s="17">
        <f>M112*INDEX(Bar_X,MATCH(C112,Bar_No,0))/1000</f>
      </c>
    </row>
    <row r="113" spans="2:15" x14ac:dyDescent="0.25">
      <c r="B113">
        <v>6</v>
      </c>
      <c r="C113">
        <v>18</v>
      </c>
      <c r="D113" s="17">
        <f>INDEX(Blk_c,MATCH(B113,Blk_St,0))</f>
      </c>
      <c r="E113" s="17">
        <f>INDEX(Bar_U,MATCH(C113,Bar_No,0))</f>
      </c>
      <c r="F113" s="17">
        <f>u_max-E113</f>
      </c>
      <c r="G113" s="20">
        <f>IF(AND(ec_pivot&gt;0,D113&gt;d_theta),ec_pivot*D113/(D113-(1-ec_pivot/ecu)*d_theta),ecu)*(1-F113/D113)</f>
      </c>
      <c r="H113" s="20">
        <f>MAX(0,-G113)</f>
      </c>
      <c r="I113" s="17">
        <f>MAX(MIN(Es*G113,fy),-fy)</f>
      </c>
      <c r="J113">
        <f>IF(E113&gt;=u_max-beta_1*D113-blk_tol,1,0)</f>
      </c>
      <c r="K113" s="17">
        <f>J113*sig_blk</f>
      </c>
      <c r="L113" s="17">
        <f>I113-K113</f>
      </c>
      <c r="M113" s="17">
        <f>INDEX(Bar_As,MATCH(C113,Bar_No,0))*L113/1000</f>
      </c>
      <c r="N113" s="17">
        <f>M113*INDEX(Bar_Y,MATCH(C113,Bar_No,0))/1000</f>
      </c>
      <c r="O113" s="17">
        <f>M113*INDEX(Bar_X,MATCH(C113,Bar_No,0))/1000</f>
      </c>
    </row>
    <row r="114" spans="2:15" x14ac:dyDescent="0.25">
      <c r="B114">
        <v>7</v>
      </c>
      <c r="C114">
        <v>1</v>
      </c>
      <c r="D114" s="17">
        <f>INDEX(Blk_c,MATCH(B114,Blk_St,0))</f>
      </c>
      <c r="E114" s="17">
        <f>INDEX(Bar_U,MATCH(C114,Bar_No,0))</f>
      </c>
      <c r="F114" s="17">
        <f>u_max-E114</f>
      </c>
      <c r="G114" s="20">
        <f>IF(AND(ec_pivot&gt;0,D114&gt;d_theta),ec_pivot*D114/(D114-(1-ec_pivot/ecu)*d_theta),ecu)*(1-F114/D114)</f>
      </c>
      <c r="H114" s="20">
        <f>MAX(0,-G114)</f>
      </c>
      <c r="I114" s="17">
        <f>MAX(MIN(Es*G114,fy),-fy)</f>
      </c>
      <c r="J114">
        <f>IF(E114&gt;=u_max-beta_1*D114-blk_tol,1,0)</f>
      </c>
      <c r="K114" s="17">
        <f>J114*sig_blk</f>
      </c>
      <c r="L114" s="17">
        <f>I114-K114</f>
      </c>
      <c r="M114" s="17">
        <f>INDEX(Bar_As,MATCH(C114,Bar_No,0))*L114/1000</f>
      </c>
      <c r="N114" s="17">
        <f>M114*INDEX(Bar_Y,MATCH(C114,Bar_No,0))/1000</f>
      </c>
      <c r="O114" s="17">
        <f>M114*INDEX(Bar_X,MATCH(C114,Bar_No,0))/1000</f>
      </c>
    </row>
    <row r="115" spans="2:15" x14ac:dyDescent="0.25">
      <c r="B115">
        <v>7</v>
      </c>
      <c r="C115">
        <v>2</v>
      </c>
      <c r="D115" s="17">
        <f>INDEX(Blk_c,MATCH(B115,Blk_St,0))</f>
      </c>
      <c r="E115" s="17">
        <f>INDEX(Bar_U,MATCH(C115,Bar_No,0))</f>
      </c>
      <c r="F115" s="17">
        <f>u_max-E115</f>
      </c>
      <c r="G115" s="20">
        <f>IF(AND(ec_pivot&gt;0,D115&gt;d_theta),ec_pivot*D115/(D115-(1-ec_pivot/ecu)*d_theta),ecu)*(1-F115/D115)</f>
      </c>
      <c r="H115" s="20">
        <f>MAX(0,-G115)</f>
      </c>
      <c r="I115" s="17">
        <f>MAX(MIN(Es*G115,fy),-fy)</f>
      </c>
      <c r="J115">
        <f>IF(E115&gt;=u_max-beta_1*D115-blk_tol,1,0)</f>
      </c>
      <c r="K115" s="17">
        <f>J115*sig_blk</f>
      </c>
      <c r="L115" s="17">
        <f>I115-K115</f>
      </c>
      <c r="M115" s="17">
        <f>INDEX(Bar_As,MATCH(C115,Bar_No,0))*L115/1000</f>
      </c>
      <c r="N115" s="17">
        <f>M115*INDEX(Bar_Y,MATCH(C115,Bar_No,0))/1000</f>
      </c>
      <c r="O115" s="17">
        <f>M115*INDEX(Bar_X,MATCH(C115,Bar_No,0))/1000</f>
      </c>
    </row>
    <row r="116" spans="2:15" x14ac:dyDescent="0.25">
      <c r="B116">
        <v>7</v>
      </c>
      <c r="C116">
        <v>3</v>
      </c>
      <c r="D116" s="17">
        <f>INDEX(Blk_c,MATCH(B116,Blk_St,0))</f>
      </c>
      <c r="E116" s="17">
        <f>INDEX(Bar_U,MATCH(C116,Bar_No,0))</f>
      </c>
      <c r="F116" s="17">
        <f>u_max-E116</f>
      </c>
      <c r="G116" s="20">
        <f>IF(AND(ec_pivot&gt;0,D116&gt;d_theta),ec_pivot*D116/(D116-(1-ec_pivot/ecu)*d_theta),ecu)*(1-F116/D116)</f>
      </c>
      <c r="H116" s="20">
        <f>MAX(0,-G116)</f>
      </c>
      <c r="I116" s="17">
        <f>MAX(MIN(Es*G116,fy),-fy)</f>
      </c>
      <c r="J116">
        <f>IF(E116&gt;=u_max-beta_1*D116-blk_tol,1,0)</f>
      </c>
      <c r="K116" s="17">
        <f>J116*sig_blk</f>
      </c>
      <c r="L116" s="17">
        <f>I116-K116</f>
      </c>
      <c r="M116" s="17">
        <f>INDEX(Bar_As,MATCH(C116,Bar_No,0))*L116/1000</f>
      </c>
      <c r="N116" s="17">
        <f>M116*INDEX(Bar_Y,MATCH(C116,Bar_No,0))/1000</f>
      </c>
      <c r="O116" s="17">
        <f>M116*INDEX(Bar_X,MATCH(C116,Bar_No,0))/1000</f>
      </c>
    </row>
    <row r="117" spans="2:15" x14ac:dyDescent="0.25">
      <c r="B117">
        <v>7</v>
      </c>
      <c r="C117">
        <v>4</v>
      </c>
      <c r="D117" s="17">
        <f>INDEX(Blk_c,MATCH(B117,Blk_St,0))</f>
      </c>
      <c r="E117" s="17">
        <f>INDEX(Bar_U,MATCH(C117,Bar_No,0))</f>
      </c>
      <c r="F117" s="17">
        <f>u_max-E117</f>
      </c>
      <c r="G117" s="20">
        <f>IF(AND(ec_pivot&gt;0,D117&gt;d_theta),ec_pivot*D117/(D117-(1-ec_pivot/ecu)*d_theta),ecu)*(1-F117/D117)</f>
      </c>
      <c r="H117" s="20">
        <f>MAX(0,-G117)</f>
      </c>
      <c r="I117" s="17">
        <f>MAX(MIN(Es*G117,fy),-fy)</f>
      </c>
      <c r="J117">
        <f>IF(E117&gt;=u_max-beta_1*D117-blk_tol,1,0)</f>
      </c>
      <c r="K117" s="17">
        <f>J117*sig_blk</f>
      </c>
      <c r="L117" s="17">
        <f>I117-K117</f>
      </c>
      <c r="M117" s="17">
        <f>INDEX(Bar_As,MATCH(C117,Bar_No,0))*L117/1000</f>
      </c>
      <c r="N117" s="17">
        <f>M117*INDEX(Bar_Y,MATCH(C117,Bar_No,0))/1000</f>
      </c>
      <c r="O117" s="17">
        <f>M117*INDEX(Bar_X,MATCH(C117,Bar_No,0))/1000</f>
      </c>
    </row>
    <row r="118" spans="2:15" x14ac:dyDescent="0.25">
      <c r="B118">
        <v>7</v>
      </c>
      <c r="C118">
        <v>5</v>
      </c>
      <c r="D118" s="17">
        <f>INDEX(Blk_c,MATCH(B118,Blk_St,0))</f>
      </c>
      <c r="E118" s="17">
        <f>INDEX(Bar_U,MATCH(C118,Bar_No,0))</f>
      </c>
      <c r="F118" s="17">
        <f>u_max-E118</f>
      </c>
      <c r="G118" s="20">
        <f>IF(AND(ec_pivot&gt;0,D118&gt;d_theta),ec_pivot*D118/(D118-(1-ec_pivot/ecu)*d_theta),ecu)*(1-F118/D118)</f>
      </c>
      <c r="H118" s="20">
        <f>MAX(0,-G118)</f>
      </c>
      <c r="I118" s="17">
        <f>MAX(MIN(Es*G118,fy),-fy)</f>
      </c>
      <c r="J118">
        <f>IF(E118&gt;=u_max-beta_1*D118-blk_tol,1,0)</f>
      </c>
      <c r="K118" s="17">
        <f>J118*sig_blk</f>
      </c>
      <c r="L118" s="17">
        <f>I118-K118</f>
      </c>
      <c r="M118" s="17">
        <f>INDEX(Bar_As,MATCH(C118,Bar_No,0))*L118/1000</f>
      </c>
      <c r="N118" s="17">
        <f>M118*INDEX(Bar_Y,MATCH(C118,Bar_No,0))/1000</f>
      </c>
      <c r="O118" s="17">
        <f>M118*INDEX(Bar_X,MATCH(C118,Bar_No,0))/1000</f>
      </c>
    </row>
    <row r="119" spans="2:15" x14ac:dyDescent="0.25">
      <c r="B119">
        <v>7</v>
      </c>
      <c r="C119">
        <v>6</v>
      </c>
      <c r="D119" s="17">
        <f>INDEX(Blk_c,MATCH(B119,Blk_St,0))</f>
      </c>
      <c r="E119" s="17">
        <f>INDEX(Bar_U,MATCH(C119,Bar_No,0))</f>
      </c>
      <c r="F119" s="17">
        <f>u_max-E119</f>
      </c>
      <c r="G119" s="20">
        <f>IF(AND(ec_pivot&gt;0,D119&gt;d_theta),ec_pivot*D119/(D119-(1-ec_pivot/ecu)*d_theta),ecu)*(1-F119/D119)</f>
      </c>
      <c r="H119" s="20">
        <f>MAX(0,-G119)</f>
      </c>
      <c r="I119" s="17">
        <f>MAX(MIN(Es*G119,fy),-fy)</f>
      </c>
      <c r="J119">
        <f>IF(E119&gt;=u_max-beta_1*D119-blk_tol,1,0)</f>
      </c>
      <c r="K119" s="17">
        <f>J119*sig_blk</f>
      </c>
      <c r="L119" s="17">
        <f>I119-K119</f>
      </c>
      <c r="M119" s="17">
        <f>INDEX(Bar_As,MATCH(C119,Bar_No,0))*L119/1000</f>
      </c>
      <c r="N119" s="17">
        <f>M119*INDEX(Bar_Y,MATCH(C119,Bar_No,0))/1000</f>
      </c>
      <c r="O119" s="17">
        <f>M119*INDEX(Bar_X,MATCH(C119,Bar_No,0))/1000</f>
      </c>
    </row>
    <row r="120" spans="2:15" x14ac:dyDescent="0.25">
      <c r="B120">
        <v>7</v>
      </c>
      <c r="C120">
        <v>7</v>
      </c>
      <c r="D120" s="17">
        <f>INDEX(Blk_c,MATCH(B120,Blk_St,0))</f>
      </c>
      <c r="E120" s="17">
        <f>INDEX(Bar_U,MATCH(C120,Bar_No,0))</f>
      </c>
      <c r="F120" s="17">
        <f>u_max-E120</f>
      </c>
      <c r="G120" s="20">
        <f>IF(AND(ec_pivot&gt;0,D120&gt;d_theta),ec_pivot*D120/(D120-(1-ec_pivot/ecu)*d_theta),ecu)*(1-F120/D120)</f>
      </c>
      <c r="H120" s="20">
        <f>MAX(0,-G120)</f>
      </c>
      <c r="I120" s="17">
        <f>MAX(MIN(Es*G120,fy),-fy)</f>
      </c>
      <c r="J120">
        <f>IF(E120&gt;=u_max-beta_1*D120-blk_tol,1,0)</f>
      </c>
      <c r="K120" s="17">
        <f>J120*sig_blk</f>
      </c>
      <c r="L120" s="17">
        <f>I120-K120</f>
      </c>
      <c r="M120" s="17">
        <f>INDEX(Bar_As,MATCH(C120,Bar_No,0))*L120/1000</f>
      </c>
      <c r="N120" s="17">
        <f>M120*INDEX(Bar_Y,MATCH(C120,Bar_No,0))/1000</f>
      </c>
      <c r="O120" s="17">
        <f>M120*INDEX(Bar_X,MATCH(C120,Bar_No,0))/1000</f>
      </c>
    </row>
    <row r="121" spans="2:15" x14ac:dyDescent="0.25">
      <c r="B121">
        <v>7</v>
      </c>
      <c r="C121">
        <v>8</v>
      </c>
      <c r="D121" s="17">
        <f>INDEX(Blk_c,MATCH(B121,Blk_St,0))</f>
      </c>
      <c r="E121" s="17">
        <f>INDEX(Bar_U,MATCH(C121,Bar_No,0))</f>
      </c>
      <c r="F121" s="17">
        <f>u_max-E121</f>
      </c>
      <c r="G121" s="20">
        <f>IF(AND(ec_pivot&gt;0,D121&gt;d_theta),ec_pivot*D121/(D121-(1-ec_pivot/ecu)*d_theta),ecu)*(1-F121/D121)</f>
      </c>
      <c r="H121" s="20">
        <f>MAX(0,-G121)</f>
      </c>
      <c r="I121" s="17">
        <f>MAX(MIN(Es*G121,fy),-fy)</f>
      </c>
      <c r="J121">
        <f>IF(E121&gt;=u_max-beta_1*D121-blk_tol,1,0)</f>
      </c>
      <c r="K121" s="17">
        <f>J121*sig_blk</f>
      </c>
      <c r="L121" s="17">
        <f>I121-K121</f>
      </c>
      <c r="M121" s="17">
        <f>INDEX(Bar_As,MATCH(C121,Bar_No,0))*L121/1000</f>
      </c>
      <c r="N121" s="17">
        <f>M121*INDEX(Bar_Y,MATCH(C121,Bar_No,0))/1000</f>
      </c>
      <c r="O121" s="17">
        <f>M121*INDEX(Bar_X,MATCH(C121,Bar_No,0))/1000</f>
      </c>
    </row>
    <row r="122" spans="2:15" x14ac:dyDescent="0.25">
      <c r="B122">
        <v>7</v>
      </c>
      <c r="C122">
        <v>9</v>
      </c>
      <c r="D122" s="17">
        <f>INDEX(Blk_c,MATCH(B122,Blk_St,0))</f>
      </c>
      <c r="E122" s="17">
        <f>INDEX(Bar_U,MATCH(C122,Bar_No,0))</f>
      </c>
      <c r="F122" s="17">
        <f>u_max-E122</f>
      </c>
      <c r="G122" s="20">
        <f>IF(AND(ec_pivot&gt;0,D122&gt;d_theta),ec_pivot*D122/(D122-(1-ec_pivot/ecu)*d_theta),ecu)*(1-F122/D122)</f>
      </c>
      <c r="H122" s="20">
        <f>MAX(0,-G122)</f>
      </c>
      <c r="I122" s="17">
        <f>MAX(MIN(Es*G122,fy),-fy)</f>
      </c>
      <c r="J122">
        <f>IF(E122&gt;=u_max-beta_1*D122-blk_tol,1,0)</f>
      </c>
      <c r="K122" s="17">
        <f>J122*sig_blk</f>
      </c>
      <c r="L122" s="17">
        <f>I122-K122</f>
      </c>
      <c r="M122" s="17">
        <f>INDEX(Bar_As,MATCH(C122,Bar_No,0))*L122/1000</f>
      </c>
      <c r="N122" s="17">
        <f>M122*INDEX(Bar_Y,MATCH(C122,Bar_No,0))/1000</f>
      </c>
      <c r="O122" s="17">
        <f>M122*INDEX(Bar_X,MATCH(C122,Bar_No,0))/1000</f>
      </c>
    </row>
    <row r="123" spans="2:15" x14ac:dyDescent="0.25">
      <c r="B123">
        <v>7</v>
      </c>
      <c r="C123">
        <v>10</v>
      </c>
      <c r="D123" s="17">
        <f>INDEX(Blk_c,MATCH(B123,Blk_St,0))</f>
      </c>
      <c r="E123" s="17">
        <f>INDEX(Bar_U,MATCH(C123,Bar_No,0))</f>
      </c>
      <c r="F123" s="17">
        <f>u_max-E123</f>
      </c>
      <c r="G123" s="20">
        <f>IF(AND(ec_pivot&gt;0,D123&gt;d_theta),ec_pivot*D123/(D123-(1-ec_pivot/ecu)*d_theta),ecu)*(1-F123/D123)</f>
      </c>
      <c r="H123" s="20">
        <f>MAX(0,-G123)</f>
      </c>
      <c r="I123" s="17">
        <f>MAX(MIN(Es*G123,fy),-fy)</f>
      </c>
      <c r="J123">
        <f>IF(E123&gt;=u_max-beta_1*D123-blk_tol,1,0)</f>
      </c>
      <c r="K123" s="17">
        <f>J123*sig_blk</f>
      </c>
      <c r="L123" s="17">
        <f>I123-K123</f>
      </c>
      <c r="M123" s="17">
        <f>INDEX(Bar_As,MATCH(C123,Bar_No,0))*L123/1000</f>
      </c>
      <c r="N123" s="17">
        <f>M123*INDEX(Bar_Y,MATCH(C123,Bar_No,0))/1000</f>
      </c>
      <c r="O123" s="17">
        <f>M123*INDEX(Bar_X,MATCH(C123,Bar_No,0))/1000</f>
      </c>
    </row>
    <row r="124" spans="2:15" x14ac:dyDescent="0.25">
      <c r="B124">
        <v>7</v>
      </c>
      <c r="C124">
        <v>11</v>
      </c>
      <c r="D124" s="17">
        <f>INDEX(Blk_c,MATCH(B124,Blk_St,0))</f>
      </c>
      <c r="E124" s="17">
        <f>INDEX(Bar_U,MATCH(C124,Bar_No,0))</f>
      </c>
      <c r="F124" s="17">
        <f>u_max-E124</f>
      </c>
      <c r="G124" s="20">
        <f>IF(AND(ec_pivot&gt;0,D124&gt;d_theta),ec_pivot*D124/(D124-(1-ec_pivot/ecu)*d_theta),ecu)*(1-F124/D124)</f>
      </c>
      <c r="H124" s="20">
        <f>MAX(0,-G124)</f>
      </c>
      <c r="I124" s="17">
        <f>MAX(MIN(Es*G124,fy),-fy)</f>
      </c>
      <c r="J124">
        <f>IF(E124&gt;=u_max-beta_1*D124-blk_tol,1,0)</f>
      </c>
      <c r="K124" s="17">
        <f>J124*sig_blk</f>
      </c>
      <c r="L124" s="17">
        <f>I124-K124</f>
      </c>
      <c r="M124" s="17">
        <f>INDEX(Bar_As,MATCH(C124,Bar_No,0))*L124/1000</f>
      </c>
      <c r="N124" s="17">
        <f>M124*INDEX(Bar_Y,MATCH(C124,Bar_No,0))/1000</f>
      </c>
      <c r="O124" s="17">
        <f>M124*INDEX(Bar_X,MATCH(C124,Bar_No,0))/1000</f>
      </c>
    </row>
    <row r="125" spans="2:15" x14ac:dyDescent="0.25">
      <c r="B125">
        <v>7</v>
      </c>
      <c r="C125">
        <v>12</v>
      </c>
      <c r="D125" s="17">
        <f>INDEX(Blk_c,MATCH(B125,Blk_St,0))</f>
      </c>
      <c r="E125" s="17">
        <f>INDEX(Bar_U,MATCH(C125,Bar_No,0))</f>
      </c>
      <c r="F125" s="17">
        <f>u_max-E125</f>
      </c>
      <c r="G125" s="20">
        <f>IF(AND(ec_pivot&gt;0,D125&gt;d_theta),ec_pivot*D125/(D125-(1-ec_pivot/ecu)*d_theta),ecu)*(1-F125/D125)</f>
      </c>
      <c r="H125" s="20">
        <f>MAX(0,-G125)</f>
      </c>
      <c r="I125" s="17">
        <f>MAX(MIN(Es*G125,fy),-fy)</f>
      </c>
      <c r="J125">
        <f>IF(E125&gt;=u_max-beta_1*D125-blk_tol,1,0)</f>
      </c>
      <c r="K125" s="17">
        <f>J125*sig_blk</f>
      </c>
      <c r="L125" s="17">
        <f>I125-K125</f>
      </c>
      <c r="M125" s="17">
        <f>INDEX(Bar_As,MATCH(C125,Bar_No,0))*L125/1000</f>
      </c>
      <c r="N125" s="17">
        <f>M125*INDEX(Bar_Y,MATCH(C125,Bar_No,0))/1000</f>
      </c>
      <c r="O125" s="17">
        <f>M125*INDEX(Bar_X,MATCH(C125,Bar_No,0))/1000</f>
      </c>
    </row>
    <row r="126" spans="2:15" x14ac:dyDescent="0.25">
      <c r="B126">
        <v>7</v>
      </c>
      <c r="C126">
        <v>13</v>
      </c>
      <c r="D126" s="17">
        <f>INDEX(Blk_c,MATCH(B126,Blk_St,0))</f>
      </c>
      <c r="E126" s="17">
        <f>INDEX(Bar_U,MATCH(C126,Bar_No,0))</f>
      </c>
      <c r="F126" s="17">
        <f>u_max-E126</f>
      </c>
      <c r="G126" s="20">
        <f>IF(AND(ec_pivot&gt;0,D126&gt;d_theta),ec_pivot*D126/(D126-(1-ec_pivot/ecu)*d_theta),ecu)*(1-F126/D126)</f>
      </c>
      <c r="H126" s="20">
        <f>MAX(0,-G126)</f>
      </c>
      <c r="I126" s="17">
        <f>MAX(MIN(Es*G126,fy),-fy)</f>
      </c>
      <c r="J126">
        <f>IF(E126&gt;=u_max-beta_1*D126-blk_tol,1,0)</f>
      </c>
      <c r="K126" s="17">
        <f>J126*sig_blk</f>
      </c>
      <c r="L126" s="17">
        <f>I126-K126</f>
      </c>
      <c r="M126" s="17">
        <f>INDEX(Bar_As,MATCH(C126,Bar_No,0))*L126/1000</f>
      </c>
      <c r="N126" s="17">
        <f>M126*INDEX(Bar_Y,MATCH(C126,Bar_No,0))/1000</f>
      </c>
      <c r="O126" s="17">
        <f>M126*INDEX(Bar_X,MATCH(C126,Bar_No,0))/1000</f>
      </c>
    </row>
    <row r="127" spans="2:15" x14ac:dyDescent="0.25">
      <c r="B127">
        <v>7</v>
      </c>
      <c r="C127">
        <v>14</v>
      </c>
      <c r="D127" s="17">
        <f>INDEX(Blk_c,MATCH(B127,Blk_St,0))</f>
      </c>
      <c r="E127" s="17">
        <f>INDEX(Bar_U,MATCH(C127,Bar_No,0))</f>
      </c>
      <c r="F127" s="17">
        <f>u_max-E127</f>
      </c>
      <c r="G127" s="20">
        <f>IF(AND(ec_pivot&gt;0,D127&gt;d_theta),ec_pivot*D127/(D127-(1-ec_pivot/ecu)*d_theta),ecu)*(1-F127/D127)</f>
      </c>
      <c r="H127" s="20">
        <f>MAX(0,-G127)</f>
      </c>
      <c r="I127" s="17">
        <f>MAX(MIN(Es*G127,fy),-fy)</f>
      </c>
      <c r="J127">
        <f>IF(E127&gt;=u_max-beta_1*D127-blk_tol,1,0)</f>
      </c>
      <c r="K127" s="17">
        <f>J127*sig_blk</f>
      </c>
      <c r="L127" s="17">
        <f>I127-K127</f>
      </c>
      <c r="M127" s="17">
        <f>INDEX(Bar_As,MATCH(C127,Bar_No,0))*L127/1000</f>
      </c>
      <c r="N127" s="17">
        <f>M127*INDEX(Bar_Y,MATCH(C127,Bar_No,0))/1000</f>
      </c>
      <c r="O127" s="17">
        <f>M127*INDEX(Bar_X,MATCH(C127,Bar_No,0))/1000</f>
      </c>
    </row>
    <row r="128" spans="2:15" x14ac:dyDescent="0.25">
      <c r="B128">
        <v>7</v>
      </c>
      <c r="C128">
        <v>15</v>
      </c>
      <c r="D128" s="17">
        <f>INDEX(Blk_c,MATCH(B128,Blk_St,0))</f>
      </c>
      <c r="E128" s="17">
        <f>INDEX(Bar_U,MATCH(C128,Bar_No,0))</f>
      </c>
      <c r="F128" s="17">
        <f>u_max-E128</f>
      </c>
      <c r="G128" s="20">
        <f>IF(AND(ec_pivot&gt;0,D128&gt;d_theta),ec_pivot*D128/(D128-(1-ec_pivot/ecu)*d_theta),ecu)*(1-F128/D128)</f>
      </c>
      <c r="H128" s="20">
        <f>MAX(0,-G128)</f>
      </c>
      <c r="I128" s="17">
        <f>MAX(MIN(Es*G128,fy),-fy)</f>
      </c>
      <c r="J128">
        <f>IF(E128&gt;=u_max-beta_1*D128-blk_tol,1,0)</f>
      </c>
      <c r="K128" s="17">
        <f>J128*sig_blk</f>
      </c>
      <c r="L128" s="17">
        <f>I128-K128</f>
      </c>
      <c r="M128" s="17">
        <f>INDEX(Bar_As,MATCH(C128,Bar_No,0))*L128/1000</f>
      </c>
      <c r="N128" s="17">
        <f>M128*INDEX(Bar_Y,MATCH(C128,Bar_No,0))/1000</f>
      </c>
      <c r="O128" s="17">
        <f>M128*INDEX(Bar_X,MATCH(C128,Bar_No,0))/1000</f>
      </c>
    </row>
    <row r="129" spans="2:15" x14ac:dyDescent="0.25">
      <c r="B129">
        <v>7</v>
      </c>
      <c r="C129">
        <v>16</v>
      </c>
      <c r="D129" s="17">
        <f>INDEX(Blk_c,MATCH(B129,Blk_St,0))</f>
      </c>
      <c r="E129" s="17">
        <f>INDEX(Bar_U,MATCH(C129,Bar_No,0))</f>
      </c>
      <c r="F129" s="17">
        <f>u_max-E129</f>
      </c>
      <c r="G129" s="20">
        <f>IF(AND(ec_pivot&gt;0,D129&gt;d_theta),ec_pivot*D129/(D129-(1-ec_pivot/ecu)*d_theta),ecu)*(1-F129/D129)</f>
      </c>
      <c r="H129" s="20">
        <f>MAX(0,-G129)</f>
      </c>
      <c r="I129" s="17">
        <f>MAX(MIN(Es*G129,fy),-fy)</f>
      </c>
      <c r="J129">
        <f>IF(E129&gt;=u_max-beta_1*D129-blk_tol,1,0)</f>
      </c>
      <c r="K129" s="17">
        <f>J129*sig_blk</f>
      </c>
      <c r="L129" s="17">
        <f>I129-K129</f>
      </c>
      <c r="M129" s="17">
        <f>INDEX(Bar_As,MATCH(C129,Bar_No,0))*L129/1000</f>
      </c>
      <c r="N129" s="17">
        <f>M129*INDEX(Bar_Y,MATCH(C129,Bar_No,0))/1000</f>
      </c>
      <c r="O129" s="17">
        <f>M129*INDEX(Bar_X,MATCH(C129,Bar_No,0))/1000</f>
      </c>
    </row>
    <row r="130" spans="2:15" x14ac:dyDescent="0.25">
      <c r="B130">
        <v>7</v>
      </c>
      <c r="C130">
        <v>17</v>
      </c>
      <c r="D130" s="17">
        <f>INDEX(Blk_c,MATCH(B130,Blk_St,0))</f>
      </c>
      <c r="E130" s="17">
        <f>INDEX(Bar_U,MATCH(C130,Bar_No,0))</f>
      </c>
      <c r="F130" s="17">
        <f>u_max-E130</f>
      </c>
      <c r="G130" s="20">
        <f>IF(AND(ec_pivot&gt;0,D130&gt;d_theta),ec_pivot*D130/(D130-(1-ec_pivot/ecu)*d_theta),ecu)*(1-F130/D130)</f>
      </c>
      <c r="H130" s="20">
        <f>MAX(0,-G130)</f>
      </c>
      <c r="I130" s="17">
        <f>MAX(MIN(Es*G130,fy),-fy)</f>
      </c>
      <c r="J130">
        <f>IF(E130&gt;=u_max-beta_1*D130-blk_tol,1,0)</f>
      </c>
      <c r="K130" s="17">
        <f>J130*sig_blk</f>
      </c>
      <c r="L130" s="17">
        <f>I130-K130</f>
      </c>
      <c r="M130" s="17">
        <f>INDEX(Bar_As,MATCH(C130,Bar_No,0))*L130/1000</f>
      </c>
      <c r="N130" s="17">
        <f>M130*INDEX(Bar_Y,MATCH(C130,Bar_No,0))/1000</f>
      </c>
      <c r="O130" s="17">
        <f>M130*INDEX(Bar_X,MATCH(C130,Bar_No,0))/1000</f>
      </c>
    </row>
    <row r="131" spans="2:15" x14ac:dyDescent="0.25">
      <c r="B131">
        <v>7</v>
      </c>
      <c r="C131">
        <v>18</v>
      </c>
      <c r="D131" s="17">
        <f>INDEX(Blk_c,MATCH(B131,Blk_St,0))</f>
      </c>
      <c r="E131" s="17">
        <f>INDEX(Bar_U,MATCH(C131,Bar_No,0))</f>
      </c>
      <c r="F131" s="17">
        <f>u_max-E131</f>
      </c>
      <c r="G131" s="20">
        <f>IF(AND(ec_pivot&gt;0,D131&gt;d_theta),ec_pivot*D131/(D131-(1-ec_pivot/ecu)*d_theta),ecu)*(1-F131/D131)</f>
      </c>
      <c r="H131" s="20">
        <f>MAX(0,-G131)</f>
      </c>
      <c r="I131" s="17">
        <f>MAX(MIN(Es*G131,fy),-fy)</f>
      </c>
      <c r="J131">
        <f>IF(E131&gt;=u_max-beta_1*D131-blk_tol,1,0)</f>
      </c>
      <c r="K131" s="17">
        <f>J131*sig_blk</f>
      </c>
      <c r="L131" s="17">
        <f>I131-K131</f>
      </c>
      <c r="M131" s="17">
        <f>INDEX(Bar_As,MATCH(C131,Bar_No,0))*L131/1000</f>
      </c>
      <c r="N131" s="17">
        <f>M131*INDEX(Bar_Y,MATCH(C131,Bar_No,0))/1000</f>
      </c>
      <c r="O131" s="17">
        <f>M131*INDEX(Bar_X,MATCH(C131,Bar_No,0))/1000</f>
      </c>
    </row>
    <row r="132" spans="2:15" x14ac:dyDescent="0.25">
      <c r="B132">
        <v>8</v>
      </c>
      <c r="C132">
        <v>1</v>
      </c>
      <c r="D132" s="17">
        <f>INDEX(Blk_c,MATCH(B132,Blk_St,0))</f>
      </c>
      <c r="E132" s="17">
        <f>INDEX(Bar_U,MATCH(C132,Bar_No,0))</f>
      </c>
      <c r="F132" s="17">
        <f>u_max-E132</f>
      </c>
      <c r="G132" s="20">
        <f>IF(AND(ec_pivot&gt;0,D132&gt;d_theta),ec_pivot*D132/(D132-(1-ec_pivot/ecu)*d_theta),ecu)*(1-F132/D132)</f>
      </c>
      <c r="H132" s="20">
        <f>MAX(0,-G132)</f>
      </c>
      <c r="I132" s="17">
        <f>MAX(MIN(Es*G132,fy),-fy)</f>
      </c>
      <c r="J132">
        <f>IF(E132&gt;=u_max-beta_1*D132-blk_tol,1,0)</f>
      </c>
      <c r="K132" s="17">
        <f>J132*sig_blk</f>
      </c>
      <c r="L132" s="17">
        <f>I132-K132</f>
      </c>
      <c r="M132" s="17">
        <f>INDEX(Bar_As,MATCH(C132,Bar_No,0))*L132/1000</f>
      </c>
      <c r="N132" s="17">
        <f>M132*INDEX(Bar_Y,MATCH(C132,Bar_No,0))/1000</f>
      </c>
      <c r="O132" s="17">
        <f>M132*INDEX(Bar_X,MATCH(C132,Bar_No,0))/1000</f>
      </c>
    </row>
    <row r="133" spans="2:15" x14ac:dyDescent="0.25">
      <c r="B133">
        <v>8</v>
      </c>
      <c r="C133">
        <v>2</v>
      </c>
      <c r="D133" s="17">
        <f>INDEX(Blk_c,MATCH(B133,Blk_St,0))</f>
      </c>
      <c r="E133" s="17">
        <f>INDEX(Bar_U,MATCH(C133,Bar_No,0))</f>
      </c>
      <c r="F133" s="17">
        <f>u_max-E133</f>
      </c>
      <c r="G133" s="20">
        <f>IF(AND(ec_pivot&gt;0,D133&gt;d_theta),ec_pivot*D133/(D133-(1-ec_pivot/ecu)*d_theta),ecu)*(1-F133/D133)</f>
      </c>
      <c r="H133" s="20">
        <f>MAX(0,-G133)</f>
      </c>
      <c r="I133" s="17">
        <f>MAX(MIN(Es*G133,fy),-fy)</f>
      </c>
      <c r="J133">
        <f>IF(E133&gt;=u_max-beta_1*D133-blk_tol,1,0)</f>
      </c>
      <c r="K133" s="17">
        <f>J133*sig_blk</f>
      </c>
      <c r="L133" s="17">
        <f>I133-K133</f>
      </c>
      <c r="M133" s="17">
        <f>INDEX(Bar_As,MATCH(C133,Bar_No,0))*L133/1000</f>
      </c>
      <c r="N133" s="17">
        <f>M133*INDEX(Bar_Y,MATCH(C133,Bar_No,0))/1000</f>
      </c>
      <c r="O133" s="17">
        <f>M133*INDEX(Bar_X,MATCH(C133,Bar_No,0))/1000</f>
      </c>
    </row>
    <row r="134" spans="2:15" x14ac:dyDescent="0.25">
      <c r="B134">
        <v>8</v>
      </c>
      <c r="C134">
        <v>3</v>
      </c>
      <c r="D134" s="17">
        <f>INDEX(Blk_c,MATCH(B134,Blk_St,0))</f>
      </c>
      <c r="E134" s="17">
        <f>INDEX(Bar_U,MATCH(C134,Bar_No,0))</f>
      </c>
      <c r="F134" s="17">
        <f>u_max-E134</f>
      </c>
      <c r="G134" s="20">
        <f>IF(AND(ec_pivot&gt;0,D134&gt;d_theta),ec_pivot*D134/(D134-(1-ec_pivot/ecu)*d_theta),ecu)*(1-F134/D134)</f>
      </c>
      <c r="H134" s="20">
        <f>MAX(0,-G134)</f>
      </c>
      <c r="I134" s="17">
        <f>MAX(MIN(Es*G134,fy),-fy)</f>
      </c>
      <c r="J134">
        <f>IF(E134&gt;=u_max-beta_1*D134-blk_tol,1,0)</f>
      </c>
      <c r="K134" s="17">
        <f>J134*sig_blk</f>
      </c>
      <c r="L134" s="17">
        <f>I134-K134</f>
      </c>
      <c r="M134" s="17">
        <f>INDEX(Bar_As,MATCH(C134,Bar_No,0))*L134/1000</f>
      </c>
      <c r="N134" s="17">
        <f>M134*INDEX(Bar_Y,MATCH(C134,Bar_No,0))/1000</f>
      </c>
      <c r="O134" s="17">
        <f>M134*INDEX(Bar_X,MATCH(C134,Bar_No,0))/1000</f>
      </c>
    </row>
    <row r="135" spans="2:15" x14ac:dyDescent="0.25">
      <c r="B135">
        <v>8</v>
      </c>
      <c r="C135">
        <v>4</v>
      </c>
      <c r="D135" s="17">
        <f>INDEX(Blk_c,MATCH(B135,Blk_St,0))</f>
      </c>
      <c r="E135" s="17">
        <f>INDEX(Bar_U,MATCH(C135,Bar_No,0))</f>
      </c>
      <c r="F135" s="17">
        <f>u_max-E135</f>
      </c>
      <c r="G135" s="20">
        <f>IF(AND(ec_pivot&gt;0,D135&gt;d_theta),ec_pivot*D135/(D135-(1-ec_pivot/ecu)*d_theta),ecu)*(1-F135/D135)</f>
      </c>
      <c r="H135" s="20">
        <f>MAX(0,-G135)</f>
      </c>
      <c r="I135" s="17">
        <f>MAX(MIN(Es*G135,fy),-fy)</f>
      </c>
      <c r="J135">
        <f>IF(E135&gt;=u_max-beta_1*D135-blk_tol,1,0)</f>
      </c>
      <c r="K135" s="17">
        <f>J135*sig_blk</f>
      </c>
      <c r="L135" s="17">
        <f>I135-K135</f>
      </c>
      <c r="M135" s="17">
        <f>INDEX(Bar_As,MATCH(C135,Bar_No,0))*L135/1000</f>
      </c>
      <c r="N135" s="17">
        <f>M135*INDEX(Bar_Y,MATCH(C135,Bar_No,0))/1000</f>
      </c>
      <c r="O135" s="17">
        <f>M135*INDEX(Bar_X,MATCH(C135,Bar_No,0))/1000</f>
      </c>
    </row>
    <row r="136" spans="2:15" x14ac:dyDescent="0.25">
      <c r="B136">
        <v>8</v>
      </c>
      <c r="C136">
        <v>5</v>
      </c>
      <c r="D136" s="17">
        <f>INDEX(Blk_c,MATCH(B136,Blk_St,0))</f>
      </c>
      <c r="E136" s="17">
        <f>INDEX(Bar_U,MATCH(C136,Bar_No,0))</f>
      </c>
      <c r="F136" s="17">
        <f>u_max-E136</f>
      </c>
      <c r="G136" s="20">
        <f>IF(AND(ec_pivot&gt;0,D136&gt;d_theta),ec_pivot*D136/(D136-(1-ec_pivot/ecu)*d_theta),ecu)*(1-F136/D136)</f>
      </c>
      <c r="H136" s="20">
        <f>MAX(0,-G136)</f>
      </c>
      <c r="I136" s="17">
        <f>MAX(MIN(Es*G136,fy),-fy)</f>
      </c>
      <c r="J136">
        <f>IF(E136&gt;=u_max-beta_1*D136-blk_tol,1,0)</f>
      </c>
      <c r="K136" s="17">
        <f>J136*sig_blk</f>
      </c>
      <c r="L136" s="17">
        <f>I136-K136</f>
      </c>
      <c r="M136" s="17">
        <f>INDEX(Bar_As,MATCH(C136,Bar_No,0))*L136/1000</f>
      </c>
      <c r="N136" s="17">
        <f>M136*INDEX(Bar_Y,MATCH(C136,Bar_No,0))/1000</f>
      </c>
      <c r="O136" s="17">
        <f>M136*INDEX(Bar_X,MATCH(C136,Bar_No,0))/1000</f>
      </c>
    </row>
    <row r="137" spans="2:15" x14ac:dyDescent="0.25">
      <c r="B137">
        <v>8</v>
      </c>
      <c r="C137">
        <v>6</v>
      </c>
      <c r="D137" s="17">
        <f>INDEX(Blk_c,MATCH(B137,Blk_St,0))</f>
      </c>
      <c r="E137" s="17">
        <f>INDEX(Bar_U,MATCH(C137,Bar_No,0))</f>
      </c>
      <c r="F137" s="17">
        <f>u_max-E137</f>
      </c>
      <c r="G137" s="20">
        <f>IF(AND(ec_pivot&gt;0,D137&gt;d_theta),ec_pivot*D137/(D137-(1-ec_pivot/ecu)*d_theta),ecu)*(1-F137/D137)</f>
      </c>
      <c r="H137" s="20">
        <f>MAX(0,-G137)</f>
      </c>
      <c r="I137" s="17">
        <f>MAX(MIN(Es*G137,fy),-fy)</f>
      </c>
      <c r="J137">
        <f>IF(E137&gt;=u_max-beta_1*D137-blk_tol,1,0)</f>
      </c>
      <c r="K137" s="17">
        <f>J137*sig_blk</f>
      </c>
      <c r="L137" s="17">
        <f>I137-K137</f>
      </c>
      <c r="M137" s="17">
        <f>INDEX(Bar_As,MATCH(C137,Bar_No,0))*L137/1000</f>
      </c>
      <c r="N137" s="17">
        <f>M137*INDEX(Bar_Y,MATCH(C137,Bar_No,0))/1000</f>
      </c>
      <c r="O137" s="17">
        <f>M137*INDEX(Bar_X,MATCH(C137,Bar_No,0))/1000</f>
      </c>
    </row>
    <row r="138" spans="2:15" x14ac:dyDescent="0.25">
      <c r="B138">
        <v>8</v>
      </c>
      <c r="C138">
        <v>7</v>
      </c>
      <c r="D138" s="17">
        <f>INDEX(Blk_c,MATCH(B138,Blk_St,0))</f>
      </c>
      <c r="E138" s="17">
        <f>INDEX(Bar_U,MATCH(C138,Bar_No,0))</f>
      </c>
      <c r="F138" s="17">
        <f>u_max-E138</f>
      </c>
      <c r="G138" s="20">
        <f>IF(AND(ec_pivot&gt;0,D138&gt;d_theta),ec_pivot*D138/(D138-(1-ec_pivot/ecu)*d_theta),ecu)*(1-F138/D138)</f>
      </c>
      <c r="H138" s="20">
        <f>MAX(0,-G138)</f>
      </c>
      <c r="I138" s="17">
        <f>MAX(MIN(Es*G138,fy),-fy)</f>
      </c>
      <c r="J138">
        <f>IF(E138&gt;=u_max-beta_1*D138-blk_tol,1,0)</f>
      </c>
      <c r="K138" s="17">
        <f>J138*sig_blk</f>
      </c>
      <c r="L138" s="17">
        <f>I138-K138</f>
      </c>
      <c r="M138" s="17">
        <f>INDEX(Bar_As,MATCH(C138,Bar_No,0))*L138/1000</f>
      </c>
      <c r="N138" s="17">
        <f>M138*INDEX(Bar_Y,MATCH(C138,Bar_No,0))/1000</f>
      </c>
      <c r="O138" s="17">
        <f>M138*INDEX(Bar_X,MATCH(C138,Bar_No,0))/1000</f>
      </c>
    </row>
    <row r="139" spans="2:15" x14ac:dyDescent="0.25">
      <c r="B139">
        <v>8</v>
      </c>
      <c r="C139">
        <v>8</v>
      </c>
      <c r="D139" s="17">
        <f>INDEX(Blk_c,MATCH(B139,Blk_St,0))</f>
      </c>
      <c r="E139" s="17">
        <f>INDEX(Bar_U,MATCH(C139,Bar_No,0))</f>
      </c>
      <c r="F139" s="17">
        <f>u_max-E139</f>
      </c>
      <c r="G139" s="20">
        <f>IF(AND(ec_pivot&gt;0,D139&gt;d_theta),ec_pivot*D139/(D139-(1-ec_pivot/ecu)*d_theta),ecu)*(1-F139/D139)</f>
      </c>
      <c r="H139" s="20">
        <f>MAX(0,-G139)</f>
      </c>
      <c r="I139" s="17">
        <f>MAX(MIN(Es*G139,fy),-fy)</f>
      </c>
      <c r="J139">
        <f>IF(E139&gt;=u_max-beta_1*D139-blk_tol,1,0)</f>
      </c>
      <c r="K139" s="17">
        <f>J139*sig_blk</f>
      </c>
      <c r="L139" s="17">
        <f>I139-K139</f>
      </c>
      <c r="M139" s="17">
        <f>INDEX(Bar_As,MATCH(C139,Bar_No,0))*L139/1000</f>
      </c>
      <c r="N139" s="17">
        <f>M139*INDEX(Bar_Y,MATCH(C139,Bar_No,0))/1000</f>
      </c>
      <c r="O139" s="17">
        <f>M139*INDEX(Bar_X,MATCH(C139,Bar_No,0))/1000</f>
      </c>
    </row>
    <row r="140" spans="2:15" x14ac:dyDescent="0.25">
      <c r="B140">
        <v>8</v>
      </c>
      <c r="C140">
        <v>9</v>
      </c>
      <c r="D140" s="17">
        <f>INDEX(Blk_c,MATCH(B140,Blk_St,0))</f>
      </c>
      <c r="E140" s="17">
        <f>INDEX(Bar_U,MATCH(C140,Bar_No,0))</f>
      </c>
      <c r="F140" s="17">
        <f>u_max-E140</f>
      </c>
      <c r="G140" s="20">
        <f>IF(AND(ec_pivot&gt;0,D140&gt;d_theta),ec_pivot*D140/(D140-(1-ec_pivot/ecu)*d_theta),ecu)*(1-F140/D140)</f>
      </c>
      <c r="H140" s="20">
        <f>MAX(0,-G140)</f>
      </c>
      <c r="I140" s="17">
        <f>MAX(MIN(Es*G140,fy),-fy)</f>
      </c>
      <c r="J140">
        <f>IF(E140&gt;=u_max-beta_1*D140-blk_tol,1,0)</f>
      </c>
      <c r="K140" s="17">
        <f>J140*sig_blk</f>
      </c>
      <c r="L140" s="17">
        <f>I140-K140</f>
      </c>
      <c r="M140" s="17">
        <f>INDEX(Bar_As,MATCH(C140,Bar_No,0))*L140/1000</f>
      </c>
      <c r="N140" s="17">
        <f>M140*INDEX(Bar_Y,MATCH(C140,Bar_No,0))/1000</f>
      </c>
      <c r="O140" s="17">
        <f>M140*INDEX(Bar_X,MATCH(C140,Bar_No,0))/1000</f>
      </c>
    </row>
    <row r="141" spans="2:15" x14ac:dyDescent="0.25">
      <c r="B141">
        <v>8</v>
      </c>
      <c r="C141">
        <v>10</v>
      </c>
      <c r="D141" s="17">
        <f>INDEX(Blk_c,MATCH(B141,Blk_St,0))</f>
      </c>
      <c r="E141" s="17">
        <f>INDEX(Bar_U,MATCH(C141,Bar_No,0))</f>
      </c>
      <c r="F141" s="17">
        <f>u_max-E141</f>
      </c>
      <c r="G141" s="20">
        <f>IF(AND(ec_pivot&gt;0,D141&gt;d_theta),ec_pivot*D141/(D141-(1-ec_pivot/ecu)*d_theta),ecu)*(1-F141/D141)</f>
      </c>
      <c r="H141" s="20">
        <f>MAX(0,-G141)</f>
      </c>
      <c r="I141" s="17">
        <f>MAX(MIN(Es*G141,fy),-fy)</f>
      </c>
      <c r="J141">
        <f>IF(E141&gt;=u_max-beta_1*D141-blk_tol,1,0)</f>
      </c>
      <c r="K141" s="17">
        <f>J141*sig_blk</f>
      </c>
      <c r="L141" s="17">
        <f>I141-K141</f>
      </c>
      <c r="M141" s="17">
        <f>INDEX(Bar_As,MATCH(C141,Bar_No,0))*L141/1000</f>
      </c>
      <c r="N141" s="17">
        <f>M141*INDEX(Bar_Y,MATCH(C141,Bar_No,0))/1000</f>
      </c>
      <c r="O141" s="17">
        <f>M141*INDEX(Bar_X,MATCH(C141,Bar_No,0))/1000</f>
      </c>
    </row>
    <row r="142" spans="2:15" x14ac:dyDescent="0.25">
      <c r="B142">
        <v>8</v>
      </c>
      <c r="C142">
        <v>11</v>
      </c>
      <c r="D142" s="17">
        <f>INDEX(Blk_c,MATCH(B142,Blk_St,0))</f>
      </c>
      <c r="E142" s="17">
        <f>INDEX(Bar_U,MATCH(C142,Bar_No,0))</f>
      </c>
      <c r="F142" s="17">
        <f>u_max-E142</f>
      </c>
      <c r="G142" s="20">
        <f>IF(AND(ec_pivot&gt;0,D142&gt;d_theta),ec_pivot*D142/(D142-(1-ec_pivot/ecu)*d_theta),ecu)*(1-F142/D142)</f>
      </c>
      <c r="H142" s="20">
        <f>MAX(0,-G142)</f>
      </c>
      <c r="I142" s="17">
        <f>MAX(MIN(Es*G142,fy),-fy)</f>
      </c>
      <c r="J142">
        <f>IF(E142&gt;=u_max-beta_1*D142-blk_tol,1,0)</f>
      </c>
      <c r="K142" s="17">
        <f>J142*sig_blk</f>
      </c>
      <c r="L142" s="17">
        <f>I142-K142</f>
      </c>
      <c r="M142" s="17">
        <f>INDEX(Bar_As,MATCH(C142,Bar_No,0))*L142/1000</f>
      </c>
      <c r="N142" s="17">
        <f>M142*INDEX(Bar_Y,MATCH(C142,Bar_No,0))/1000</f>
      </c>
      <c r="O142" s="17">
        <f>M142*INDEX(Bar_X,MATCH(C142,Bar_No,0))/1000</f>
      </c>
    </row>
    <row r="143" spans="2:15" x14ac:dyDescent="0.25">
      <c r="B143">
        <v>8</v>
      </c>
      <c r="C143">
        <v>12</v>
      </c>
      <c r="D143" s="17">
        <f>INDEX(Blk_c,MATCH(B143,Blk_St,0))</f>
      </c>
      <c r="E143" s="17">
        <f>INDEX(Bar_U,MATCH(C143,Bar_No,0))</f>
      </c>
      <c r="F143" s="17">
        <f>u_max-E143</f>
      </c>
      <c r="G143" s="20">
        <f>IF(AND(ec_pivot&gt;0,D143&gt;d_theta),ec_pivot*D143/(D143-(1-ec_pivot/ecu)*d_theta),ecu)*(1-F143/D143)</f>
      </c>
      <c r="H143" s="20">
        <f>MAX(0,-G143)</f>
      </c>
      <c r="I143" s="17">
        <f>MAX(MIN(Es*G143,fy),-fy)</f>
      </c>
      <c r="J143">
        <f>IF(E143&gt;=u_max-beta_1*D143-blk_tol,1,0)</f>
      </c>
      <c r="K143" s="17">
        <f>J143*sig_blk</f>
      </c>
      <c r="L143" s="17">
        <f>I143-K143</f>
      </c>
      <c r="M143" s="17">
        <f>INDEX(Bar_As,MATCH(C143,Bar_No,0))*L143/1000</f>
      </c>
      <c r="N143" s="17">
        <f>M143*INDEX(Bar_Y,MATCH(C143,Bar_No,0))/1000</f>
      </c>
      <c r="O143" s="17">
        <f>M143*INDEX(Bar_X,MATCH(C143,Bar_No,0))/1000</f>
      </c>
    </row>
    <row r="144" spans="2:15" x14ac:dyDescent="0.25">
      <c r="B144">
        <v>8</v>
      </c>
      <c r="C144">
        <v>13</v>
      </c>
      <c r="D144" s="17">
        <f>INDEX(Blk_c,MATCH(B144,Blk_St,0))</f>
      </c>
      <c r="E144" s="17">
        <f>INDEX(Bar_U,MATCH(C144,Bar_No,0))</f>
      </c>
      <c r="F144" s="17">
        <f>u_max-E144</f>
      </c>
      <c r="G144" s="20">
        <f>IF(AND(ec_pivot&gt;0,D144&gt;d_theta),ec_pivot*D144/(D144-(1-ec_pivot/ecu)*d_theta),ecu)*(1-F144/D144)</f>
      </c>
      <c r="H144" s="20">
        <f>MAX(0,-G144)</f>
      </c>
      <c r="I144" s="17">
        <f>MAX(MIN(Es*G144,fy),-fy)</f>
      </c>
      <c r="J144">
        <f>IF(E144&gt;=u_max-beta_1*D144-blk_tol,1,0)</f>
      </c>
      <c r="K144" s="17">
        <f>J144*sig_blk</f>
      </c>
      <c r="L144" s="17">
        <f>I144-K144</f>
      </c>
      <c r="M144" s="17">
        <f>INDEX(Bar_As,MATCH(C144,Bar_No,0))*L144/1000</f>
      </c>
      <c r="N144" s="17">
        <f>M144*INDEX(Bar_Y,MATCH(C144,Bar_No,0))/1000</f>
      </c>
      <c r="O144" s="17">
        <f>M144*INDEX(Bar_X,MATCH(C144,Bar_No,0))/1000</f>
      </c>
    </row>
    <row r="145" spans="2:15" x14ac:dyDescent="0.25">
      <c r="B145">
        <v>8</v>
      </c>
      <c r="C145">
        <v>14</v>
      </c>
      <c r="D145" s="17">
        <f>INDEX(Blk_c,MATCH(B145,Blk_St,0))</f>
      </c>
      <c r="E145" s="17">
        <f>INDEX(Bar_U,MATCH(C145,Bar_No,0))</f>
      </c>
      <c r="F145" s="17">
        <f>u_max-E145</f>
      </c>
      <c r="G145" s="20">
        <f>IF(AND(ec_pivot&gt;0,D145&gt;d_theta),ec_pivot*D145/(D145-(1-ec_pivot/ecu)*d_theta),ecu)*(1-F145/D145)</f>
      </c>
      <c r="H145" s="20">
        <f>MAX(0,-G145)</f>
      </c>
      <c r="I145" s="17">
        <f>MAX(MIN(Es*G145,fy),-fy)</f>
      </c>
      <c r="J145">
        <f>IF(E145&gt;=u_max-beta_1*D145-blk_tol,1,0)</f>
      </c>
      <c r="K145" s="17">
        <f>J145*sig_blk</f>
      </c>
      <c r="L145" s="17">
        <f>I145-K145</f>
      </c>
      <c r="M145" s="17">
        <f>INDEX(Bar_As,MATCH(C145,Bar_No,0))*L145/1000</f>
      </c>
      <c r="N145" s="17">
        <f>M145*INDEX(Bar_Y,MATCH(C145,Bar_No,0))/1000</f>
      </c>
      <c r="O145" s="17">
        <f>M145*INDEX(Bar_X,MATCH(C145,Bar_No,0))/1000</f>
      </c>
    </row>
    <row r="146" spans="2:15" x14ac:dyDescent="0.25">
      <c r="B146">
        <v>8</v>
      </c>
      <c r="C146">
        <v>15</v>
      </c>
      <c r="D146" s="17">
        <f>INDEX(Blk_c,MATCH(B146,Blk_St,0))</f>
      </c>
      <c r="E146" s="17">
        <f>INDEX(Bar_U,MATCH(C146,Bar_No,0))</f>
      </c>
      <c r="F146" s="17">
        <f>u_max-E146</f>
      </c>
      <c r="G146" s="20">
        <f>IF(AND(ec_pivot&gt;0,D146&gt;d_theta),ec_pivot*D146/(D146-(1-ec_pivot/ecu)*d_theta),ecu)*(1-F146/D146)</f>
      </c>
      <c r="H146" s="20">
        <f>MAX(0,-G146)</f>
      </c>
      <c r="I146" s="17">
        <f>MAX(MIN(Es*G146,fy),-fy)</f>
      </c>
      <c r="J146">
        <f>IF(E146&gt;=u_max-beta_1*D146-blk_tol,1,0)</f>
      </c>
      <c r="K146" s="17">
        <f>J146*sig_blk</f>
      </c>
      <c r="L146" s="17">
        <f>I146-K146</f>
      </c>
      <c r="M146" s="17">
        <f>INDEX(Bar_As,MATCH(C146,Bar_No,0))*L146/1000</f>
      </c>
      <c r="N146" s="17">
        <f>M146*INDEX(Bar_Y,MATCH(C146,Bar_No,0))/1000</f>
      </c>
      <c r="O146" s="17">
        <f>M146*INDEX(Bar_X,MATCH(C146,Bar_No,0))/1000</f>
      </c>
    </row>
    <row r="147" spans="2:15" x14ac:dyDescent="0.25">
      <c r="B147">
        <v>8</v>
      </c>
      <c r="C147">
        <v>16</v>
      </c>
      <c r="D147" s="17">
        <f>INDEX(Blk_c,MATCH(B147,Blk_St,0))</f>
      </c>
      <c r="E147" s="17">
        <f>INDEX(Bar_U,MATCH(C147,Bar_No,0))</f>
      </c>
      <c r="F147" s="17">
        <f>u_max-E147</f>
      </c>
      <c r="G147" s="20">
        <f>IF(AND(ec_pivot&gt;0,D147&gt;d_theta),ec_pivot*D147/(D147-(1-ec_pivot/ecu)*d_theta),ecu)*(1-F147/D147)</f>
      </c>
      <c r="H147" s="20">
        <f>MAX(0,-G147)</f>
      </c>
      <c r="I147" s="17">
        <f>MAX(MIN(Es*G147,fy),-fy)</f>
      </c>
      <c r="J147">
        <f>IF(E147&gt;=u_max-beta_1*D147-blk_tol,1,0)</f>
      </c>
      <c r="K147" s="17">
        <f>J147*sig_blk</f>
      </c>
      <c r="L147" s="17">
        <f>I147-K147</f>
      </c>
      <c r="M147" s="17">
        <f>INDEX(Bar_As,MATCH(C147,Bar_No,0))*L147/1000</f>
      </c>
      <c r="N147" s="17">
        <f>M147*INDEX(Bar_Y,MATCH(C147,Bar_No,0))/1000</f>
      </c>
      <c r="O147" s="17">
        <f>M147*INDEX(Bar_X,MATCH(C147,Bar_No,0))/1000</f>
      </c>
    </row>
    <row r="148" spans="2:15" x14ac:dyDescent="0.25">
      <c r="B148">
        <v>8</v>
      </c>
      <c r="C148">
        <v>17</v>
      </c>
      <c r="D148" s="17">
        <f>INDEX(Blk_c,MATCH(B148,Blk_St,0))</f>
      </c>
      <c r="E148" s="17">
        <f>INDEX(Bar_U,MATCH(C148,Bar_No,0))</f>
      </c>
      <c r="F148" s="17">
        <f>u_max-E148</f>
      </c>
      <c r="G148" s="20">
        <f>IF(AND(ec_pivot&gt;0,D148&gt;d_theta),ec_pivot*D148/(D148-(1-ec_pivot/ecu)*d_theta),ecu)*(1-F148/D148)</f>
      </c>
      <c r="H148" s="20">
        <f>MAX(0,-G148)</f>
      </c>
      <c r="I148" s="17">
        <f>MAX(MIN(Es*G148,fy),-fy)</f>
      </c>
      <c r="J148">
        <f>IF(E148&gt;=u_max-beta_1*D148-blk_tol,1,0)</f>
      </c>
      <c r="K148" s="17">
        <f>J148*sig_blk</f>
      </c>
      <c r="L148" s="17">
        <f>I148-K148</f>
      </c>
      <c r="M148" s="17">
        <f>INDEX(Bar_As,MATCH(C148,Bar_No,0))*L148/1000</f>
      </c>
      <c r="N148" s="17">
        <f>M148*INDEX(Bar_Y,MATCH(C148,Bar_No,0))/1000</f>
      </c>
      <c r="O148" s="17">
        <f>M148*INDEX(Bar_X,MATCH(C148,Bar_No,0))/1000</f>
      </c>
    </row>
    <row r="149" spans="2:15" x14ac:dyDescent="0.25">
      <c r="B149">
        <v>8</v>
      </c>
      <c r="C149">
        <v>18</v>
      </c>
      <c r="D149" s="17">
        <f>INDEX(Blk_c,MATCH(B149,Blk_St,0))</f>
      </c>
      <c r="E149" s="17">
        <f>INDEX(Bar_U,MATCH(C149,Bar_No,0))</f>
      </c>
      <c r="F149" s="17">
        <f>u_max-E149</f>
      </c>
      <c r="G149" s="20">
        <f>IF(AND(ec_pivot&gt;0,D149&gt;d_theta),ec_pivot*D149/(D149-(1-ec_pivot/ecu)*d_theta),ecu)*(1-F149/D149)</f>
      </c>
      <c r="H149" s="20">
        <f>MAX(0,-G149)</f>
      </c>
      <c r="I149" s="17">
        <f>MAX(MIN(Es*G149,fy),-fy)</f>
      </c>
      <c r="J149">
        <f>IF(E149&gt;=u_max-beta_1*D149-blk_tol,1,0)</f>
      </c>
      <c r="K149" s="17">
        <f>J149*sig_blk</f>
      </c>
      <c r="L149" s="17">
        <f>I149-K149</f>
      </c>
      <c r="M149" s="17">
        <f>INDEX(Bar_As,MATCH(C149,Bar_No,0))*L149/1000</f>
      </c>
      <c r="N149" s="17">
        <f>M149*INDEX(Bar_Y,MATCH(C149,Bar_No,0))/1000</f>
      </c>
      <c r="O149" s="17">
        <f>M149*INDEX(Bar_X,MATCH(C149,Bar_No,0))/1000</f>
      </c>
    </row>
    <row r="150" spans="2:15" x14ac:dyDescent="0.25">
      <c r="B150">
        <v>9</v>
      </c>
      <c r="C150">
        <v>1</v>
      </c>
      <c r="D150" s="17">
        <f>INDEX(Blk_c,MATCH(B150,Blk_St,0))</f>
      </c>
      <c r="E150" s="17">
        <f>INDEX(Bar_U,MATCH(C150,Bar_No,0))</f>
      </c>
      <c r="F150" s="17">
        <f>u_max-E150</f>
      </c>
      <c r="G150" s="20">
        <f>IF(AND(ec_pivot&gt;0,D150&gt;d_theta),ec_pivot*D150/(D150-(1-ec_pivot/ecu)*d_theta),ecu)*(1-F150/D150)</f>
      </c>
      <c r="H150" s="20">
        <f>MAX(0,-G150)</f>
      </c>
      <c r="I150" s="17">
        <f>MAX(MIN(Es*G150,fy),-fy)</f>
      </c>
      <c r="J150">
        <f>IF(E150&gt;=u_max-beta_1*D150-blk_tol,1,0)</f>
      </c>
      <c r="K150" s="17">
        <f>J150*sig_blk</f>
      </c>
      <c r="L150" s="17">
        <f>I150-K150</f>
      </c>
      <c r="M150" s="17">
        <f>INDEX(Bar_As,MATCH(C150,Bar_No,0))*L150/1000</f>
      </c>
      <c r="N150" s="17">
        <f>M150*INDEX(Bar_Y,MATCH(C150,Bar_No,0))/1000</f>
      </c>
      <c r="O150" s="17">
        <f>M150*INDEX(Bar_X,MATCH(C150,Bar_No,0))/1000</f>
      </c>
    </row>
    <row r="151" spans="2:15" x14ac:dyDescent="0.25">
      <c r="B151">
        <v>9</v>
      </c>
      <c r="C151">
        <v>2</v>
      </c>
      <c r="D151" s="17">
        <f>INDEX(Blk_c,MATCH(B151,Blk_St,0))</f>
      </c>
      <c r="E151" s="17">
        <f>INDEX(Bar_U,MATCH(C151,Bar_No,0))</f>
      </c>
      <c r="F151" s="17">
        <f>u_max-E151</f>
      </c>
      <c r="G151" s="20">
        <f>IF(AND(ec_pivot&gt;0,D151&gt;d_theta),ec_pivot*D151/(D151-(1-ec_pivot/ecu)*d_theta),ecu)*(1-F151/D151)</f>
      </c>
      <c r="H151" s="20">
        <f>MAX(0,-G151)</f>
      </c>
      <c r="I151" s="17">
        <f>MAX(MIN(Es*G151,fy),-fy)</f>
      </c>
      <c r="J151">
        <f>IF(E151&gt;=u_max-beta_1*D151-blk_tol,1,0)</f>
      </c>
      <c r="K151" s="17">
        <f>J151*sig_blk</f>
      </c>
      <c r="L151" s="17">
        <f>I151-K151</f>
      </c>
      <c r="M151" s="17">
        <f>INDEX(Bar_As,MATCH(C151,Bar_No,0))*L151/1000</f>
      </c>
      <c r="N151" s="17">
        <f>M151*INDEX(Bar_Y,MATCH(C151,Bar_No,0))/1000</f>
      </c>
      <c r="O151" s="17">
        <f>M151*INDEX(Bar_X,MATCH(C151,Bar_No,0))/1000</f>
      </c>
    </row>
    <row r="152" spans="2:15" x14ac:dyDescent="0.25">
      <c r="B152">
        <v>9</v>
      </c>
      <c r="C152">
        <v>3</v>
      </c>
      <c r="D152" s="17">
        <f>INDEX(Blk_c,MATCH(B152,Blk_St,0))</f>
      </c>
      <c r="E152" s="17">
        <f>INDEX(Bar_U,MATCH(C152,Bar_No,0))</f>
      </c>
      <c r="F152" s="17">
        <f>u_max-E152</f>
      </c>
      <c r="G152" s="20">
        <f>IF(AND(ec_pivot&gt;0,D152&gt;d_theta),ec_pivot*D152/(D152-(1-ec_pivot/ecu)*d_theta),ecu)*(1-F152/D152)</f>
      </c>
      <c r="H152" s="20">
        <f>MAX(0,-G152)</f>
      </c>
      <c r="I152" s="17">
        <f>MAX(MIN(Es*G152,fy),-fy)</f>
      </c>
      <c r="J152">
        <f>IF(E152&gt;=u_max-beta_1*D152-blk_tol,1,0)</f>
      </c>
      <c r="K152" s="17">
        <f>J152*sig_blk</f>
      </c>
      <c r="L152" s="17">
        <f>I152-K152</f>
      </c>
      <c r="M152" s="17">
        <f>INDEX(Bar_As,MATCH(C152,Bar_No,0))*L152/1000</f>
      </c>
      <c r="N152" s="17">
        <f>M152*INDEX(Bar_Y,MATCH(C152,Bar_No,0))/1000</f>
      </c>
      <c r="O152" s="17">
        <f>M152*INDEX(Bar_X,MATCH(C152,Bar_No,0))/1000</f>
      </c>
    </row>
    <row r="153" spans="2:15" x14ac:dyDescent="0.25">
      <c r="B153">
        <v>9</v>
      </c>
      <c r="C153">
        <v>4</v>
      </c>
      <c r="D153" s="17">
        <f>INDEX(Blk_c,MATCH(B153,Blk_St,0))</f>
      </c>
      <c r="E153" s="17">
        <f>INDEX(Bar_U,MATCH(C153,Bar_No,0))</f>
      </c>
      <c r="F153" s="17">
        <f>u_max-E153</f>
      </c>
      <c r="G153" s="20">
        <f>IF(AND(ec_pivot&gt;0,D153&gt;d_theta),ec_pivot*D153/(D153-(1-ec_pivot/ecu)*d_theta),ecu)*(1-F153/D153)</f>
      </c>
      <c r="H153" s="20">
        <f>MAX(0,-G153)</f>
      </c>
      <c r="I153" s="17">
        <f>MAX(MIN(Es*G153,fy),-fy)</f>
      </c>
      <c r="J153">
        <f>IF(E153&gt;=u_max-beta_1*D153-blk_tol,1,0)</f>
      </c>
      <c r="K153" s="17">
        <f>J153*sig_blk</f>
      </c>
      <c r="L153" s="17">
        <f>I153-K153</f>
      </c>
      <c r="M153" s="17">
        <f>INDEX(Bar_As,MATCH(C153,Bar_No,0))*L153/1000</f>
      </c>
      <c r="N153" s="17">
        <f>M153*INDEX(Bar_Y,MATCH(C153,Bar_No,0))/1000</f>
      </c>
      <c r="O153" s="17">
        <f>M153*INDEX(Bar_X,MATCH(C153,Bar_No,0))/1000</f>
      </c>
    </row>
    <row r="154" spans="2:15" x14ac:dyDescent="0.25">
      <c r="B154">
        <v>9</v>
      </c>
      <c r="C154">
        <v>5</v>
      </c>
      <c r="D154" s="17">
        <f>INDEX(Blk_c,MATCH(B154,Blk_St,0))</f>
      </c>
      <c r="E154" s="17">
        <f>INDEX(Bar_U,MATCH(C154,Bar_No,0))</f>
      </c>
      <c r="F154" s="17">
        <f>u_max-E154</f>
      </c>
      <c r="G154" s="20">
        <f>IF(AND(ec_pivot&gt;0,D154&gt;d_theta),ec_pivot*D154/(D154-(1-ec_pivot/ecu)*d_theta),ecu)*(1-F154/D154)</f>
      </c>
      <c r="H154" s="20">
        <f>MAX(0,-G154)</f>
      </c>
      <c r="I154" s="17">
        <f>MAX(MIN(Es*G154,fy),-fy)</f>
      </c>
      <c r="J154">
        <f>IF(E154&gt;=u_max-beta_1*D154-blk_tol,1,0)</f>
      </c>
      <c r="K154" s="17">
        <f>J154*sig_blk</f>
      </c>
      <c r="L154" s="17">
        <f>I154-K154</f>
      </c>
      <c r="M154" s="17">
        <f>INDEX(Bar_As,MATCH(C154,Bar_No,0))*L154/1000</f>
      </c>
      <c r="N154" s="17">
        <f>M154*INDEX(Bar_Y,MATCH(C154,Bar_No,0))/1000</f>
      </c>
      <c r="O154" s="17">
        <f>M154*INDEX(Bar_X,MATCH(C154,Bar_No,0))/1000</f>
      </c>
    </row>
    <row r="155" spans="2:15" x14ac:dyDescent="0.25">
      <c r="B155">
        <v>9</v>
      </c>
      <c r="C155">
        <v>6</v>
      </c>
      <c r="D155" s="17">
        <f>INDEX(Blk_c,MATCH(B155,Blk_St,0))</f>
      </c>
      <c r="E155" s="17">
        <f>INDEX(Bar_U,MATCH(C155,Bar_No,0))</f>
      </c>
      <c r="F155" s="17">
        <f>u_max-E155</f>
      </c>
      <c r="G155" s="20">
        <f>IF(AND(ec_pivot&gt;0,D155&gt;d_theta),ec_pivot*D155/(D155-(1-ec_pivot/ecu)*d_theta),ecu)*(1-F155/D155)</f>
      </c>
      <c r="H155" s="20">
        <f>MAX(0,-G155)</f>
      </c>
      <c r="I155" s="17">
        <f>MAX(MIN(Es*G155,fy),-fy)</f>
      </c>
      <c r="J155">
        <f>IF(E155&gt;=u_max-beta_1*D155-blk_tol,1,0)</f>
      </c>
      <c r="K155" s="17">
        <f>J155*sig_blk</f>
      </c>
      <c r="L155" s="17">
        <f>I155-K155</f>
      </c>
      <c r="M155" s="17">
        <f>INDEX(Bar_As,MATCH(C155,Bar_No,0))*L155/1000</f>
      </c>
      <c r="N155" s="17">
        <f>M155*INDEX(Bar_Y,MATCH(C155,Bar_No,0))/1000</f>
      </c>
      <c r="O155" s="17">
        <f>M155*INDEX(Bar_X,MATCH(C155,Bar_No,0))/1000</f>
      </c>
    </row>
    <row r="156" spans="2:15" x14ac:dyDescent="0.25">
      <c r="B156">
        <v>9</v>
      </c>
      <c r="C156">
        <v>7</v>
      </c>
      <c r="D156" s="17">
        <f>INDEX(Blk_c,MATCH(B156,Blk_St,0))</f>
      </c>
      <c r="E156" s="17">
        <f>INDEX(Bar_U,MATCH(C156,Bar_No,0))</f>
      </c>
      <c r="F156" s="17">
        <f>u_max-E156</f>
      </c>
      <c r="G156" s="20">
        <f>IF(AND(ec_pivot&gt;0,D156&gt;d_theta),ec_pivot*D156/(D156-(1-ec_pivot/ecu)*d_theta),ecu)*(1-F156/D156)</f>
      </c>
      <c r="H156" s="20">
        <f>MAX(0,-G156)</f>
      </c>
      <c r="I156" s="17">
        <f>MAX(MIN(Es*G156,fy),-fy)</f>
      </c>
      <c r="J156">
        <f>IF(E156&gt;=u_max-beta_1*D156-blk_tol,1,0)</f>
      </c>
      <c r="K156" s="17">
        <f>J156*sig_blk</f>
      </c>
      <c r="L156" s="17">
        <f>I156-K156</f>
      </c>
      <c r="M156" s="17">
        <f>INDEX(Bar_As,MATCH(C156,Bar_No,0))*L156/1000</f>
      </c>
      <c r="N156" s="17">
        <f>M156*INDEX(Bar_Y,MATCH(C156,Bar_No,0))/1000</f>
      </c>
      <c r="O156" s="17">
        <f>M156*INDEX(Bar_X,MATCH(C156,Bar_No,0))/1000</f>
      </c>
    </row>
    <row r="157" spans="2:15" x14ac:dyDescent="0.25">
      <c r="B157">
        <v>9</v>
      </c>
      <c r="C157">
        <v>8</v>
      </c>
      <c r="D157" s="17">
        <f>INDEX(Blk_c,MATCH(B157,Blk_St,0))</f>
      </c>
      <c r="E157" s="17">
        <f>INDEX(Bar_U,MATCH(C157,Bar_No,0))</f>
      </c>
      <c r="F157" s="17">
        <f>u_max-E157</f>
      </c>
      <c r="G157" s="20">
        <f>IF(AND(ec_pivot&gt;0,D157&gt;d_theta),ec_pivot*D157/(D157-(1-ec_pivot/ecu)*d_theta),ecu)*(1-F157/D157)</f>
      </c>
      <c r="H157" s="20">
        <f>MAX(0,-G157)</f>
      </c>
      <c r="I157" s="17">
        <f>MAX(MIN(Es*G157,fy),-fy)</f>
      </c>
      <c r="J157">
        <f>IF(E157&gt;=u_max-beta_1*D157-blk_tol,1,0)</f>
      </c>
      <c r="K157" s="17">
        <f>J157*sig_blk</f>
      </c>
      <c r="L157" s="17">
        <f>I157-K157</f>
      </c>
      <c r="M157" s="17">
        <f>INDEX(Bar_As,MATCH(C157,Bar_No,0))*L157/1000</f>
      </c>
      <c r="N157" s="17">
        <f>M157*INDEX(Bar_Y,MATCH(C157,Bar_No,0))/1000</f>
      </c>
      <c r="O157" s="17">
        <f>M157*INDEX(Bar_X,MATCH(C157,Bar_No,0))/1000</f>
      </c>
    </row>
    <row r="158" spans="2:15" x14ac:dyDescent="0.25">
      <c r="B158">
        <v>9</v>
      </c>
      <c r="C158">
        <v>9</v>
      </c>
      <c r="D158" s="17">
        <f>INDEX(Blk_c,MATCH(B158,Blk_St,0))</f>
      </c>
      <c r="E158" s="17">
        <f>INDEX(Bar_U,MATCH(C158,Bar_No,0))</f>
      </c>
      <c r="F158" s="17">
        <f>u_max-E158</f>
      </c>
      <c r="G158" s="20">
        <f>IF(AND(ec_pivot&gt;0,D158&gt;d_theta),ec_pivot*D158/(D158-(1-ec_pivot/ecu)*d_theta),ecu)*(1-F158/D158)</f>
      </c>
      <c r="H158" s="20">
        <f>MAX(0,-G158)</f>
      </c>
      <c r="I158" s="17">
        <f>MAX(MIN(Es*G158,fy),-fy)</f>
      </c>
      <c r="J158">
        <f>IF(E158&gt;=u_max-beta_1*D158-blk_tol,1,0)</f>
      </c>
      <c r="K158" s="17">
        <f>J158*sig_blk</f>
      </c>
      <c r="L158" s="17">
        <f>I158-K158</f>
      </c>
      <c r="M158" s="17">
        <f>INDEX(Bar_As,MATCH(C158,Bar_No,0))*L158/1000</f>
      </c>
      <c r="N158" s="17">
        <f>M158*INDEX(Bar_Y,MATCH(C158,Bar_No,0))/1000</f>
      </c>
      <c r="O158" s="17">
        <f>M158*INDEX(Bar_X,MATCH(C158,Bar_No,0))/1000</f>
      </c>
    </row>
    <row r="159" spans="2:15" x14ac:dyDescent="0.25">
      <c r="B159">
        <v>9</v>
      </c>
      <c r="C159">
        <v>10</v>
      </c>
      <c r="D159" s="17">
        <f>INDEX(Blk_c,MATCH(B159,Blk_St,0))</f>
      </c>
      <c r="E159" s="17">
        <f>INDEX(Bar_U,MATCH(C159,Bar_No,0))</f>
      </c>
      <c r="F159" s="17">
        <f>u_max-E159</f>
      </c>
      <c r="G159" s="20">
        <f>IF(AND(ec_pivot&gt;0,D159&gt;d_theta),ec_pivot*D159/(D159-(1-ec_pivot/ecu)*d_theta),ecu)*(1-F159/D159)</f>
      </c>
      <c r="H159" s="20">
        <f>MAX(0,-G159)</f>
      </c>
      <c r="I159" s="17">
        <f>MAX(MIN(Es*G159,fy),-fy)</f>
      </c>
      <c r="J159">
        <f>IF(E159&gt;=u_max-beta_1*D159-blk_tol,1,0)</f>
      </c>
      <c r="K159" s="17">
        <f>J159*sig_blk</f>
      </c>
      <c r="L159" s="17">
        <f>I159-K159</f>
      </c>
      <c r="M159" s="17">
        <f>INDEX(Bar_As,MATCH(C159,Bar_No,0))*L159/1000</f>
      </c>
      <c r="N159" s="17">
        <f>M159*INDEX(Bar_Y,MATCH(C159,Bar_No,0))/1000</f>
      </c>
      <c r="O159" s="17">
        <f>M159*INDEX(Bar_X,MATCH(C159,Bar_No,0))/1000</f>
      </c>
    </row>
    <row r="160" spans="2:15" x14ac:dyDescent="0.25">
      <c r="B160">
        <v>9</v>
      </c>
      <c r="C160">
        <v>11</v>
      </c>
      <c r="D160" s="17">
        <f>INDEX(Blk_c,MATCH(B160,Blk_St,0))</f>
      </c>
      <c r="E160" s="17">
        <f>INDEX(Bar_U,MATCH(C160,Bar_No,0))</f>
      </c>
      <c r="F160" s="17">
        <f>u_max-E160</f>
      </c>
      <c r="G160" s="20">
        <f>IF(AND(ec_pivot&gt;0,D160&gt;d_theta),ec_pivot*D160/(D160-(1-ec_pivot/ecu)*d_theta),ecu)*(1-F160/D160)</f>
      </c>
      <c r="H160" s="20">
        <f>MAX(0,-G160)</f>
      </c>
      <c r="I160" s="17">
        <f>MAX(MIN(Es*G160,fy),-fy)</f>
      </c>
      <c r="J160">
        <f>IF(E160&gt;=u_max-beta_1*D160-blk_tol,1,0)</f>
      </c>
      <c r="K160" s="17">
        <f>J160*sig_blk</f>
      </c>
      <c r="L160" s="17">
        <f>I160-K160</f>
      </c>
      <c r="M160" s="17">
        <f>INDEX(Bar_As,MATCH(C160,Bar_No,0))*L160/1000</f>
      </c>
      <c r="N160" s="17">
        <f>M160*INDEX(Bar_Y,MATCH(C160,Bar_No,0))/1000</f>
      </c>
      <c r="O160" s="17">
        <f>M160*INDEX(Bar_X,MATCH(C160,Bar_No,0))/1000</f>
      </c>
    </row>
    <row r="161" spans="2:15" x14ac:dyDescent="0.25">
      <c r="B161">
        <v>9</v>
      </c>
      <c r="C161">
        <v>12</v>
      </c>
      <c r="D161" s="17">
        <f>INDEX(Blk_c,MATCH(B161,Blk_St,0))</f>
      </c>
      <c r="E161" s="17">
        <f>INDEX(Bar_U,MATCH(C161,Bar_No,0))</f>
      </c>
      <c r="F161" s="17">
        <f>u_max-E161</f>
      </c>
      <c r="G161" s="20">
        <f>IF(AND(ec_pivot&gt;0,D161&gt;d_theta),ec_pivot*D161/(D161-(1-ec_pivot/ecu)*d_theta),ecu)*(1-F161/D161)</f>
      </c>
      <c r="H161" s="20">
        <f>MAX(0,-G161)</f>
      </c>
      <c r="I161" s="17">
        <f>MAX(MIN(Es*G161,fy),-fy)</f>
      </c>
      <c r="J161">
        <f>IF(E161&gt;=u_max-beta_1*D161-blk_tol,1,0)</f>
      </c>
      <c r="K161" s="17">
        <f>J161*sig_blk</f>
      </c>
      <c r="L161" s="17">
        <f>I161-K161</f>
      </c>
      <c r="M161" s="17">
        <f>INDEX(Bar_As,MATCH(C161,Bar_No,0))*L161/1000</f>
      </c>
      <c r="N161" s="17">
        <f>M161*INDEX(Bar_Y,MATCH(C161,Bar_No,0))/1000</f>
      </c>
      <c r="O161" s="17">
        <f>M161*INDEX(Bar_X,MATCH(C161,Bar_No,0))/1000</f>
      </c>
    </row>
    <row r="162" spans="2:15" x14ac:dyDescent="0.25">
      <c r="B162">
        <v>9</v>
      </c>
      <c r="C162">
        <v>13</v>
      </c>
      <c r="D162" s="17">
        <f>INDEX(Blk_c,MATCH(B162,Blk_St,0))</f>
      </c>
      <c r="E162" s="17">
        <f>INDEX(Bar_U,MATCH(C162,Bar_No,0))</f>
      </c>
      <c r="F162" s="17">
        <f>u_max-E162</f>
      </c>
      <c r="G162" s="20">
        <f>IF(AND(ec_pivot&gt;0,D162&gt;d_theta),ec_pivot*D162/(D162-(1-ec_pivot/ecu)*d_theta),ecu)*(1-F162/D162)</f>
      </c>
      <c r="H162" s="20">
        <f>MAX(0,-G162)</f>
      </c>
      <c r="I162" s="17">
        <f>MAX(MIN(Es*G162,fy),-fy)</f>
      </c>
      <c r="J162">
        <f>IF(E162&gt;=u_max-beta_1*D162-blk_tol,1,0)</f>
      </c>
      <c r="K162" s="17">
        <f>J162*sig_blk</f>
      </c>
      <c r="L162" s="17">
        <f>I162-K162</f>
      </c>
      <c r="M162" s="17">
        <f>INDEX(Bar_As,MATCH(C162,Bar_No,0))*L162/1000</f>
      </c>
      <c r="N162" s="17">
        <f>M162*INDEX(Bar_Y,MATCH(C162,Bar_No,0))/1000</f>
      </c>
      <c r="O162" s="17">
        <f>M162*INDEX(Bar_X,MATCH(C162,Bar_No,0))/1000</f>
      </c>
    </row>
    <row r="163" spans="2:15" x14ac:dyDescent="0.25">
      <c r="B163">
        <v>9</v>
      </c>
      <c r="C163">
        <v>14</v>
      </c>
      <c r="D163" s="17">
        <f>INDEX(Blk_c,MATCH(B163,Blk_St,0))</f>
      </c>
      <c r="E163" s="17">
        <f>INDEX(Bar_U,MATCH(C163,Bar_No,0))</f>
      </c>
      <c r="F163" s="17">
        <f>u_max-E163</f>
      </c>
      <c r="G163" s="20">
        <f>IF(AND(ec_pivot&gt;0,D163&gt;d_theta),ec_pivot*D163/(D163-(1-ec_pivot/ecu)*d_theta),ecu)*(1-F163/D163)</f>
      </c>
      <c r="H163" s="20">
        <f>MAX(0,-G163)</f>
      </c>
      <c r="I163" s="17">
        <f>MAX(MIN(Es*G163,fy),-fy)</f>
      </c>
      <c r="J163">
        <f>IF(E163&gt;=u_max-beta_1*D163-blk_tol,1,0)</f>
      </c>
      <c r="K163" s="17">
        <f>J163*sig_blk</f>
      </c>
      <c r="L163" s="17">
        <f>I163-K163</f>
      </c>
      <c r="M163" s="17">
        <f>INDEX(Bar_As,MATCH(C163,Bar_No,0))*L163/1000</f>
      </c>
      <c r="N163" s="17">
        <f>M163*INDEX(Bar_Y,MATCH(C163,Bar_No,0))/1000</f>
      </c>
      <c r="O163" s="17">
        <f>M163*INDEX(Bar_X,MATCH(C163,Bar_No,0))/1000</f>
      </c>
    </row>
    <row r="164" spans="2:15" x14ac:dyDescent="0.25">
      <c r="B164">
        <v>9</v>
      </c>
      <c r="C164">
        <v>15</v>
      </c>
      <c r="D164" s="17">
        <f>INDEX(Blk_c,MATCH(B164,Blk_St,0))</f>
      </c>
      <c r="E164" s="17">
        <f>INDEX(Bar_U,MATCH(C164,Bar_No,0))</f>
      </c>
      <c r="F164" s="17">
        <f>u_max-E164</f>
      </c>
      <c r="G164" s="20">
        <f>IF(AND(ec_pivot&gt;0,D164&gt;d_theta),ec_pivot*D164/(D164-(1-ec_pivot/ecu)*d_theta),ecu)*(1-F164/D164)</f>
      </c>
      <c r="H164" s="20">
        <f>MAX(0,-G164)</f>
      </c>
      <c r="I164" s="17">
        <f>MAX(MIN(Es*G164,fy),-fy)</f>
      </c>
      <c r="J164">
        <f>IF(E164&gt;=u_max-beta_1*D164-blk_tol,1,0)</f>
      </c>
      <c r="K164" s="17">
        <f>J164*sig_blk</f>
      </c>
      <c r="L164" s="17">
        <f>I164-K164</f>
      </c>
      <c r="M164" s="17">
        <f>INDEX(Bar_As,MATCH(C164,Bar_No,0))*L164/1000</f>
      </c>
      <c r="N164" s="17">
        <f>M164*INDEX(Bar_Y,MATCH(C164,Bar_No,0))/1000</f>
      </c>
      <c r="O164" s="17">
        <f>M164*INDEX(Bar_X,MATCH(C164,Bar_No,0))/1000</f>
      </c>
    </row>
    <row r="165" spans="2:15" x14ac:dyDescent="0.25">
      <c r="B165">
        <v>9</v>
      </c>
      <c r="C165">
        <v>16</v>
      </c>
      <c r="D165" s="17">
        <f>INDEX(Blk_c,MATCH(B165,Blk_St,0))</f>
      </c>
      <c r="E165" s="17">
        <f>INDEX(Bar_U,MATCH(C165,Bar_No,0))</f>
      </c>
      <c r="F165" s="17">
        <f>u_max-E165</f>
      </c>
      <c r="G165" s="20">
        <f>IF(AND(ec_pivot&gt;0,D165&gt;d_theta),ec_pivot*D165/(D165-(1-ec_pivot/ecu)*d_theta),ecu)*(1-F165/D165)</f>
      </c>
      <c r="H165" s="20">
        <f>MAX(0,-G165)</f>
      </c>
      <c r="I165" s="17">
        <f>MAX(MIN(Es*G165,fy),-fy)</f>
      </c>
      <c r="J165">
        <f>IF(E165&gt;=u_max-beta_1*D165-blk_tol,1,0)</f>
      </c>
      <c r="K165" s="17">
        <f>J165*sig_blk</f>
      </c>
      <c r="L165" s="17">
        <f>I165-K165</f>
      </c>
      <c r="M165" s="17">
        <f>INDEX(Bar_As,MATCH(C165,Bar_No,0))*L165/1000</f>
      </c>
      <c r="N165" s="17">
        <f>M165*INDEX(Bar_Y,MATCH(C165,Bar_No,0))/1000</f>
      </c>
      <c r="O165" s="17">
        <f>M165*INDEX(Bar_X,MATCH(C165,Bar_No,0))/1000</f>
      </c>
    </row>
    <row r="166" spans="2:15" x14ac:dyDescent="0.25">
      <c r="B166">
        <v>9</v>
      </c>
      <c r="C166">
        <v>17</v>
      </c>
      <c r="D166" s="17">
        <f>INDEX(Blk_c,MATCH(B166,Blk_St,0))</f>
      </c>
      <c r="E166" s="17">
        <f>INDEX(Bar_U,MATCH(C166,Bar_No,0))</f>
      </c>
      <c r="F166" s="17">
        <f>u_max-E166</f>
      </c>
      <c r="G166" s="20">
        <f>IF(AND(ec_pivot&gt;0,D166&gt;d_theta),ec_pivot*D166/(D166-(1-ec_pivot/ecu)*d_theta),ecu)*(1-F166/D166)</f>
      </c>
      <c r="H166" s="20">
        <f>MAX(0,-G166)</f>
      </c>
      <c r="I166" s="17">
        <f>MAX(MIN(Es*G166,fy),-fy)</f>
      </c>
      <c r="J166">
        <f>IF(E166&gt;=u_max-beta_1*D166-blk_tol,1,0)</f>
      </c>
      <c r="K166" s="17">
        <f>J166*sig_blk</f>
      </c>
      <c r="L166" s="17">
        <f>I166-K166</f>
      </c>
      <c r="M166" s="17">
        <f>INDEX(Bar_As,MATCH(C166,Bar_No,0))*L166/1000</f>
      </c>
      <c r="N166" s="17">
        <f>M166*INDEX(Bar_Y,MATCH(C166,Bar_No,0))/1000</f>
      </c>
      <c r="O166" s="17">
        <f>M166*INDEX(Bar_X,MATCH(C166,Bar_No,0))/1000</f>
      </c>
    </row>
    <row r="167" spans="2:15" x14ac:dyDescent="0.25">
      <c r="B167">
        <v>9</v>
      </c>
      <c r="C167">
        <v>18</v>
      </c>
      <c r="D167" s="17">
        <f>INDEX(Blk_c,MATCH(B167,Blk_St,0))</f>
      </c>
      <c r="E167" s="17">
        <f>INDEX(Bar_U,MATCH(C167,Bar_No,0))</f>
      </c>
      <c r="F167" s="17">
        <f>u_max-E167</f>
      </c>
      <c r="G167" s="20">
        <f>IF(AND(ec_pivot&gt;0,D167&gt;d_theta),ec_pivot*D167/(D167-(1-ec_pivot/ecu)*d_theta),ecu)*(1-F167/D167)</f>
      </c>
      <c r="H167" s="20">
        <f>MAX(0,-G167)</f>
      </c>
      <c r="I167" s="17">
        <f>MAX(MIN(Es*G167,fy),-fy)</f>
      </c>
      <c r="J167">
        <f>IF(E167&gt;=u_max-beta_1*D167-blk_tol,1,0)</f>
      </c>
      <c r="K167" s="17">
        <f>J167*sig_blk</f>
      </c>
      <c r="L167" s="17">
        <f>I167-K167</f>
      </c>
      <c r="M167" s="17">
        <f>INDEX(Bar_As,MATCH(C167,Bar_No,0))*L167/1000</f>
      </c>
      <c r="N167" s="17">
        <f>M167*INDEX(Bar_Y,MATCH(C167,Bar_No,0))/1000</f>
      </c>
      <c r="O167" s="17">
        <f>M167*INDEX(Bar_X,MATCH(C167,Bar_No,0))/1000</f>
      </c>
    </row>
    <row r="168" spans="2:15" x14ac:dyDescent="0.25">
      <c r="B168">
        <v>10</v>
      </c>
      <c r="C168">
        <v>1</v>
      </c>
      <c r="D168" s="17">
        <f>INDEX(Blk_c,MATCH(B168,Blk_St,0))</f>
      </c>
      <c r="E168" s="17">
        <f>INDEX(Bar_U,MATCH(C168,Bar_No,0))</f>
      </c>
      <c r="F168" s="17">
        <f>u_max-E168</f>
      </c>
      <c r="G168" s="20">
        <f>IF(AND(ec_pivot&gt;0,D168&gt;d_theta),ec_pivot*D168/(D168-(1-ec_pivot/ecu)*d_theta),ecu)*(1-F168/D168)</f>
      </c>
      <c r="H168" s="20">
        <f>MAX(0,-G168)</f>
      </c>
      <c r="I168" s="17">
        <f>MAX(MIN(Es*G168,fy),-fy)</f>
      </c>
      <c r="J168">
        <f>IF(E168&gt;=u_max-beta_1*D168-blk_tol,1,0)</f>
      </c>
      <c r="K168" s="17">
        <f>J168*sig_blk</f>
      </c>
      <c r="L168" s="17">
        <f>I168-K168</f>
      </c>
      <c r="M168" s="17">
        <f>INDEX(Bar_As,MATCH(C168,Bar_No,0))*L168/1000</f>
      </c>
      <c r="N168" s="17">
        <f>M168*INDEX(Bar_Y,MATCH(C168,Bar_No,0))/1000</f>
      </c>
      <c r="O168" s="17">
        <f>M168*INDEX(Bar_X,MATCH(C168,Bar_No,0))/1000</f>
      </c>
    </row>
    <row r="169" spans="2:15" x14ac:dyDescent="0.25">
      <c r="B169">
        <v>10</v>
      </c>
      <c r="C169">
        <v>2</v>
      </c>
      <c r="D169" s="17">
        <f>INDEX(Blk_c,MATCH(B169,Blk_St,0))</f>
      </c>
      <c r="E169" s="17">
        <f>INDEX(Bar_U,MATCH(C169,Bar_No,0))</f>
      </c>
      <c r="F169" s="17">
        <f>u_max-E169</f>
      </c>
      <c r="G169" s="20">
        <f>IF(AND(ec_pivot&gt;0,D169&gt;d_theta),ec_pivot*D169/(D169-(1-ec_pivot/ecu)*d_theta),ecu)*(1-F169/D169)</f>
      </c>
      <c r="H169" s="20">
        <f>MAX(0,-G169)</f>
      </c>
      <c r="I169" s="17">
        <f>MAX(MIN(Es*G169,fy),-fy)</f>
      </c>
      <c r="J169">
        <f>IF(E169&gt;=u_max-beta_1*D169-blk_tol,1,0)</f>
      </c>
      <c r="K169" s="17">
        <f>J169*sig_blk</f>
      </c>
      <c r="L169" s="17">
        <f>I169-K169</f>
      </c>
      <c r="M169" s="17">
        <f>INDEX(Bar_As,MATCH(C169,Bar_No,0))*L169/1000</f>
      </c>
      <c r="N169" s="17">
        <f>M169*INDEX(Bar_Y,MATCH(C169,Bar_No,0))/1000</f>
      </c>
      <c r="O169" s="17">
        <f>M169*INDEX(Bar_X,MATCH(C169,Bar_No,0))/1000</f>
      </c>
    </row>
    <row r="170" spans="2:15" x14ac:dyDescent="0.25">
      <c r="B170">
        <v>10</v>
      </c>
      <c r="C170">
        <v>3</v>
      </c>
      <c r="D170" s="17">
        <f>INDEX(Blk_c,MATCH(B170,Blk_St,0))</f>
      </c>
      <c r="E170" s="17">
        <f>INDEX(Bar_U,MATCH(C170,Bar_No,0))</f>
      </c>
      <c r="F170" s="17">
        <f>u_max-E170</f>
      </c>
      <c r="G170" s="20">
        <f>IF(AND(ec_pivot&gt;0,D170&gt;d_theta),ec_pivot*D170/(D170-(1-ec_pivot/ecu)*d_theta),ecu)*(1-F170/D170)</f>
      </c>
      <c r="H170" s="20">
        <f>MAX(0,-G170)</f>
      </c>
      <c r="I170" s="17">
        <f>MAX(MIN(Es*G170,fy),-fy)</f>
      </c>
      <c r="J170">
        <f>IF(E170&gt;=u_max-beta_1*D170-blk_tol,1,0)</f>
      </c>
      <c r="K170" s="17">
        <f>J170*sig_blk</f>
      </c>
      <c r="L170" s="17">
        <f>I170-K170</f>
      </c>
      <c r="M170" s="17">
        <f>INDEX(Bar_As,MATCH(C170,Bar_No,0))*L170/1000</f>
      </c>
      <c r="N170" s="17">
        <f>M170*INDEX(Bar_Y,MATCH(C170,Bar_No,0))/1000</f>
      </c>
      <c r="O170" s="17">
        <f>M170*INDEX(Bar_X,MATCH(C170,Bar_No,0))/1000</f>
      </c>
    </row>
    <row r="171" spans="2:15" x14ac:dyDescent="0.25">
      <c r="B171">
        <v>10</v>
      </c>
      <c r="C171">
        <v>4</v>
      </c>
      <c r="D171" s="17">
        <f>INDEX(Blk_c,MATCH(B171,Blk_St,0))</f>
      </c>
      <c r="E171" s="17">
        <f>INDEX(Bar_U,MATCH(C171,Bar_No,0))</f>
      </c>
      <c r="F171" s="17">
        <f>u_max-E171</f>
      </c>
      <c r="G171" s="20">
        <f>IF(AND(ec_pivot&gt;0,D171&gt;d_theta),ec_pivot*D171/(D171-(1-ec_pivot/ecu)*d_theta),ecu)*(1-F171/D171)</f>
      </c>
      <c r="H171" s="20">
        <f>MAX(0,-G171)</f>
      </c>
      <c r="I171" s="17">
        <f>MAX(MIN(Es*G171,fy),-fy)</f>
      </c>
      <c r="J171">
        <f>IF(E171&gt;=u_max-beta_1*D171-blk_tol,1,0)</f>
      </c>
      <c r="K171" s="17">
        <f>J171*sig_blk</f>
      </c>
      <c r="L171" s="17">
        <f>I171-K171</f>
      </c>
      <c r="M171" s="17">
        <f>INDEX(Bar_As,MATCH(C171,Bar_No,0))*L171/1000</f>
      </c>
      <c r="N171" s="17">
        <f>M171*INDEX(Bar_Y,MATCH(C171,Bar_No,0))/1000</f>
      </c>
      <c r="O171" s="17">
        <f>M171*INDEX(Bar_X,MATCH(C171,Bar_No,0))/1000</f>
      </c>
    </row>
    <row r="172" spans="2:15" x14ac:dyDescent="0.25">
      <c r="B172">
        <v>10</v>
      </c>
      <c r="C172">
        <v>5</v>
      </c>
      <c r="D172" s="17">
        <f>INDEX(Blk_c,MATCH(B172,Blk_St,0))</f>
      </c>
      <c r="E172" s="17">
        <f>INDEX(Bar_U,MATCH(C172,Bar_No,0))</f>
      </c>
      <c r="F172" s="17">
        <f>u_max-E172</f>
      </c>
      <c r="G172" s="20">
        <f>IF(AND(ec_pivot&gt;0,D172&gt;d_theta),ec_pivot*D172/(D172-(1-ec_pivot/ecu)*d_theta),ecu)*(1-F172/D172)</f>
      </c>
      <c r="H172" s="20">
        <f>MAX(0,-G172)</f>
      </c>
      <c r="I172" s="17">
        <f>MAX(MIN(Es*G172,fy),-fy)</f>
      </c>
      <c r="J172">
        <f>IF(E172&gt;=u_max-beta_1*D172-blk_tol,1,0)</f>
      </c>
      <c r="K172" s="17">
        <f>J172*sig_blk</f>
      </c>
      <c r="L172" s="17">
        <f>I172-K172</f>
      </c>
      <c r="M172" s="17">
        <f>INDEX(Bar_As,MATCH(C172,Bar_No,0))*L172/1000</f>
      </c>
      <c r="N172" s="17">
        <f>M172*INDEX(Bar_Y,MATCH(C172,Bar_No,0))/1000</f>
      </c>
      <c r="O172" s="17">
        <f>M172*INDEX(Bar_X,MATCH(C172,Bar_No,0))/1000</f>
      </c>
    </row>
    <row r="173" spans="2:15" x14ac:dyDescent="0.25">
      <c r="B173">
        <v>10</v>
      </c>
      <c r="C173">
        <v>6</v>
      </c>
      <c r="D173" s="17">
        <f>INDEX(Blk_c,MATCH(B173,Blk_St,0))</f>
      </c>
      <c r="E173" s="17">
        <f>INDEX(Bar_U,MATCH(C173,Bar_No,0))</f>
      </c>
      <c r="F173" s="17">
        <f>u_max-E173</f>
      </c>
      <c r="G173" s="20">
        <f>IF(AND(ec_pivot&gt;0,D173&gt;d_theta),ec_pivot*D173/(D173-(1-ec_pivot/ecu)*d_theta),ecu)*(1-F173/D173)</f>
      </c>
      <c r="H173" s="20">
        <f>MAX(0,-G173)</f>
      </c>
      <c r="I173" s="17">
        <f>MAX(MIN(Es*G173,fy),-fy)</f>
      </c>
      <c r="J173">
        <f>IF(E173&gt;=u_max-beta_1*D173-blk_tol,1,0)</f>
      </c>
      <c r="K173" s="17">
        <f>J173*sig_blk</f>
      </c>
      <c r="L173" s="17">
        <f>I173-K173</f>
      </c>
      <c r="M173" s="17">
        <f>INDEX(Bar_As,MATCH(C173,Bar_No,0))*L173/1000</f>
      </c>
      <c r="N173" s="17">
        <f>M173*INDEX(Bar_Y,MATCH(C173,Bar_No,0))/1000</f>
      </c>
      <c r="O173" s="17">
        <f>M173*INDEX(Bar_X,MATCH(C173,Bar_No,0))/1000</f>
      </c>
    </row>
    <row r="174" spans="2:15" x14ac:dyDescent="0.25">
      <c r="B174">
        <v>10</v>
      </c>
      <c r="C174">
        <v>7</v>
      </c>
      <c r="D174" s="17">
        <f>INDEX(Blk_c,MATCH(B174,Blk_St,0))</f>
      </c>
      <c r="E174" s="17">
        <f>INDEX(Bar_U,MATCH(C174,Bar_No,0))</f>
      </c>
      <c r="F174" s="17">
        <f>u_max-E174</f>
      </c>
      <c r="G174" s="20">
        <f>IF(AND(ec_pivot&gt;0,D174&gt;d_theta),ec_pivot*D174/(D174-(1-ec_pivot/ecu)*d_theta),ecu)*(1-F174/D174)</f>
      </c>
      <c r="H174" s="20">
        <f>MAX(0,-G174)</f>
      </c>
      <c r="I174" s="17">
        <f>MAX(MIN(Es*G174,fy),-fy)</f>
      </c>
      <c r="J174">
        <f>IF(E174&gt;=u_max-beta_1*D174-blk_tol,1,0)</f>
      </c>
      <c r="K174" s="17">
        <f>J174*sig_blk</f>
      </c>
      <c r="L174" s="17">
        <f>I174-K174</f>
      </c>
      <c r="M174" s="17">
        <f>INDEX(Bar_As,MATCH(C174,Bar_No,0))*L174/1000</f>
      </c>
      <c r="N174" s="17">
        <f>M174*INDEX(Bar_Y,MATCH(C174,Bar_No,0))/1000</f>
      </c>
      <c r="O174" s="17">
        <f>M174*INDEX(Bar_X,MATCH(C174,Bar_No,0))/1000</f>
      </c>
    </row>
    <row r="175" spans="2:15" x14ac:dyDescent="0.25">
      <c r="B175">
        <v>10</v>
      </c>
      <c r="C175">
        <v>8</v>
      </c>
      <c r="D175" s="17">
        <f>INDEX(Blk_c,MATCH(B175,Blk_St,0))</f>
      </c>
      <c r="E175" s="17">
        <f>INDEX(Bar_U,MATCH(C175,Bar_No,0))</f>
      </c>
      <c r="F175" s="17">
        <f>u_max-E175</f>
      </c>
      <c r="G175" s="20">
        <f>IF(AND(ec_pivot&gt;0,D175&gt;d_theta),ec_pivot*D175/(D175-(1-ec_pivot/ecu)*d_theta),ecu)*(1-F175/D175)</f>
      </c>
      <c r="H175" s="20">
        <f>MAX(0,-G175)</f>
      </c>
      <c r="I175" s="17">
        <f>MAX(MIN(Es*G175,fy),-fy)</f>
      </c>
      <c r="J175">
        <f>IF(E175&gt;=u_max-beta_1*D175-blk_tol,1,0)</f>
      </c>
      <c r="K175" s="17">
        <f>J175*sig_blk</f>
      </c>
      <c r="L175" s="17">
        <f>I175-K175</f>
      </c>
      <c r="M175" s="17">
        <f>INDEX(Bar_As,MATCH(C175,Bar_No,0))*L175/1000</f>
      </c>
      <c r="N175" s="17">
        <f>M175*INDEX(Bar_Y,MATCH(C175,Bar_No,0))/1000</f>
      </c>
      <c r="O175" s="17">
        <f>M175*INDEX(Bar_X,MATCH(C175,Bar_No,0))/1000</f>
      </c>
    </row>
    <row r="176" spans="2:15" x14ac:dyDescent="0.25">
      <c r="B176">
        <v>10</v>
      </c>
      <c r="C176">
        <v>9</v>
      </c>
      <c r="D176" s="17">
        <f>INDEX(Blk_c,MATCH(B176,Blk_St,0))</f>
      </c>
      <c r="E176" s="17">
        <f>INDEX(Bar_U,MATCH(C176,Bar_No,0))</f>
      </c>
      <c r="F176" s="17">
        <f>u_max-E176</f>
      </c>
      <c r="G176" s="20">
        <f>IF(AND(ec_pivot&gt;0,D176&gt;d_theta),ec_pivot*D176/(D176-(1-ec_pivot/ecu)*d_theta),ecu)*(1-F176/D176)</f>
      </c>
      <c r="H176" s="20">
        <f>MAX(0,-G176)</f>
      </c>
      <c r="I176" s="17">
        <f>MAX(MIN(Es*G176,fy),-fy)</f>
      </c>
      <c r="J176">
        <f>IF(E176&gt;=u_max-beta_1*D176-blk_tol,1,0)</f>
      </c>
      <c r="K176" s="17">
        <f>J176*sig_blk</f>
      </c>
      <c r="L176" s="17">
        <f>I176-K176</f>
      </c>
      <c r="M176" s="17">
        <f>INDEX(Bar_As,MATCH(C176,Bar_No,0))*L176/1000</f>
      </c>
      <c r="N176" s="17">
        <f>M176*INDEX(Bar_Y,MATCH(C176,Bar_No,0))/1000</f>
      </c>
      <c r="O176" s="17">
        <f>M176*INDEX(Bar_X,MATCH(C176,Bar_No,0))/1000</f>
      </c>
    </row>
    <row r="177" spans="2:15" x14ac:dyDescent="0.25">
      <c r="B177">
        <v>10</v>
      </c>
      <c r="C177">
        <v>10</v>
      </c>
      <c r="D177" s="17">
        <f>INDEX(Blk_c,MATCH(B177,Blk_St,0))</f>
      </c>
      <c r="E177" s="17">
        <f>INDEX(Bar_U,MATCH(C177,Bar_No,0))</f>
      </c>
      <c r="F177" s="17">
        <f>u_max-E177</f>
      </c>
      <c r="G177" s="20">
        <f>IF(AND(ec_pivot&gt;0,D177&gt;d_theta),ec_pivot*D177/(D177-(1-ec_pivot/ecu)*d_theta),ecu)*(1-F177/D177)</f>
      </c>
      <c r="H177" s="20">
        <f>MAX(0,-G177)</f>
      </c>
      <c r="I177" s="17">
        <f>MAX(MIN(Es*G177,fy),-fy)</f>
      </c>
      <c r="J177">
        <f>IF(E177&gt;=u_max-beta_1*D177-blk_tol,1,0)</f>
      </c>
      <c r="K177" s="17">
        <f>J177*sig_blk</f>
      </c>
      <c r="L177" s="17">
        <f>I177-K177</f>
      </c>
      <c r="M177" s="17">
        <f>INDEX(Bar_As,MATCH(C177,Bar_No,0))*L177/1000</f>
      </c>
      <c r="N177" s="17">
        <f>M177*INDEX(Bar_Y,MATCH(C177,Bar_No,0))/1000</f>
      </c>
      <c r="O177" s="17">
        <f>M177*INDEX(Bar_X,MATCH(C177,Bar_No,0))/1000</f>
      </c>
    </row>
    <row r="178" spans="2:15" x14ac:dyDescent="0.25">
      <c r="B178">
        <v>10</v>
      </c>
      <c r="C178">
        <v>11</v>
      </c>
      <c r="D178" s="17">
        <f>INDEX(Blk_c,MATCH(B178,Blk_St,0))</f>
      </c>
      <c r="E178" s="17">
        <f>INDEX(Bar_U,MATCH(C178,Bar_No,0))</f>
      </c>
      <c r="F178" s="17">
        <f>u_max-E178</f>
      </c>
      <c r="G178" s="20">
        <f>IF(AND(ec_pivot&gt;0,D178&gt;d_theta),ec_pivot*D178/(D178-(1-ec_pivot/ecu)*d_theta),ecu)*(1-F178/D178)</f>
      </c>
      <c r="H178" s="20">
        <f>MAX(0,-G178)</f>
      </c>
      <c r="I178" s="17">
        <f>MAX(MIN(Es*G178,fy),-fy)</f>
      </c>
      <c r="J178">
        <f>IF(E178&gt;=u_max-beta_1*D178-blk_tol,1,0)</f>
      </c>
      <c r="K178" s="17">
        <f>J178*sig_blk</f>
      </c>
      <c r="L178" s="17">
        <f>I178-K178</f>
      </c>
      <c r="M178" s="17">
        <f>INDEX(Bar_As,MATCH(C178,Bar_No,0))*L178/1000</f>
      </c>
      <c r="N178" s="17">
        <f>M178*INDEX(Bar_Y,MATCH(C178,Bar_No,0))/1000</f>
      </c>
      <c r="O178" s="17">
        <f>M178*INDEX(Bar_X,MATCH(C178,Bar_No,0))/1000</f>
      </c>
    </row>
    <row r="179" spans="2:15" x14ac:dyDescent="0.25">
      <c r="B179">
        <v>10</v>
      </c>
      <c r="C179">
        <v>12</v>
      </c>
      <c r="D179" s="17">
        <f>INDEX(Blk_c,MATCH(B179,Blk_St,0))</f>
      </c>
      <c r="E179" s="17">
        <f>INDEX(Bar_U,MATCH(C179,Bar_No,0))</f>
      </c>
      <c r="F179" s="17">
        <f>u_max-E179</f>
      </c>
      <c r="G179" s="20">
        <f>IF(AND(ec_pivot&gt;0,D179&gt;d_theta),ec_pivot*D179/(D179-(1-ec_pivot/ecu)*d_theta),ecu)*(1-F179/D179)</f>
      </c>
      <c r="H179" s="20">
        <f>MAX(0,-G179)</f>
      </c>
      <c r="I179" s="17">
        <f>MAX(MIN(Es*G179,fy),-fy)</f>
      </c>
      <c r="J179">
        <f>IF(E179&gt;=u_max-beta_1*D179-blk_tol,1,0)</f>
      </c>
      <c r="K179" s="17">
        <f>J179*sig_blk</f>
      </c>
      <c r="L179" s="17">
        <f>I179-K179</f>
      </c>
      <c r="M179" s="17">
        <f>INDEX(Bar_As,MATCH(C179,Bar_No,0))*L179/1000</f>
      </c>
      <c r="N179" s="17">
        <f>M179*INDEX(Bar_Y,MATCH(C179,Bar_No,0))/1000</f>
      </c>
      <c r="O179" s="17">
        <f>M179*INDEX(Bar_X,MATCH(C179,Bar_No,0))/1000</f>
      </c>
    </row>
    <row r="180" spans="2:15" x14ac:dyDescent="0.25">
      <c r="B180">
        <v>10</v>
      </c>
      <c r="C180">
        <v>13</v>
      </c>
      <c r="D180" s="17">
        <f>INDEX(Blk_c,MATCH(B180,Blk_St,0))</f>
      </c>
      <c r="E180" s="17">
        <f>INDEX(Bar_U,MATCH(C180,Bar_No,0))</f>
      </c>
      <c r="F180" s="17">
        <f>u_max-E180</f>
      </c>
      <c r="G180" s="20">
        <f>IF(AND(ec_pivot&gt;0,D180&gt;d_theta),ec_pivot*D180/(D180-(1-ec_pivot/ecu)*d_theta),ecu)*(1-F180/D180)</f>
      </c>
      <c r="H180" s="20">
        <f>MAX(0,-G180)</f>
      </c>
      <c r="I180" s="17">
        <f>MAX(MIN(Es*G180,fy),-fy)</f>
      </c>
      <c r="J180">
        <f>IF(E180&gt;=u_max-beta_1*D180-blk_tol,1,0)</f>
      </c>
      <c r="K180" s="17">
        <f>J180*sig_blk</f>
      </c>
      <c r="L180" s="17">
        <f>I180-K180</f>
      </c>
      <c r="M180" s="17">
        <f>INDEX(Bar_As,MATCH(C180,Bar_No,0))*L180/1000</f>
      </c>
      <c r="N180" s="17">
        <f>M180*INDEX(Bar_Y,MATCH(C180,Bar_No,0))/1000</f>
      </c>
      <c r="O180" s="17">
        <f>M180*INDEX(Bar_X,MATCH(C180,Bar_No,0))/1000</f>
      </c>
    </row>
    <row r="181" spans="2:15" x14ac:dyDescent="0.25">
      <c r="B181">
        <v>10</v>
      </c>
      <c r="C181">
        <v>14</v>
      </c>
      <c r="D181" s="17">
        <f>INDEX(Blk_c,MATCH(B181,Blk_St,0))</f>
      </c>
      <c r="E181" s="17">
        <f>INDEX(Bar_U,MATCH(C181,Bar_No,0))</f>
      </c>
      <c r="F181" s="17">
        <f>u_max-E181</f>
      </c>
      <c r="G181" s="20">
        <f>IF(AND(ec_pivot&gt;0,D181&gt;d_theta),ec_pivot*D181/(D181-(1-ec_pivot/ecu)*d_theta),ecu)*(1-F181/D181)</f>
      </c>
      <c r="H181" s="20">
        <f>MAX(0,-G181)</f>
      </c>
      <c r="I181" s="17">
        <f>MAX(MIN(Es*G181,fy),-fy)</f>
      </c>
      <c r="J181">
        <f>IF(E181&gt;=u_max-beta_1*D181-blk_tol,1,0)</f>
      </c>
      <c r="K181" s="17">
        <f>J181*sig_blk</f>
      </c>
      <c r="L181" s="17">
        <f>I181-K181</f>
      </c>
      <c r="M181" s="17">
        <f>INDEX(Bar_As,MATCH(C181,Bar_No,0))*L181/1000</f>
      </c>
      <c r="N181" s="17">
        <f>M181*INDEX(Bar_Y,MATCH(C181,Bar_No,0))/1000</f>
      </c>
      <c r="O181" s="17">
        <f>M181*INDEX(Bar_X,MATCH(C181,Bar_No,0))/1000</f>
      </c>
    </row>
    <row r="182" spans="2:15" x14ac:dyDescent="0.25">
      <c r="B182">
        <v>10</v>
      </c>
      <c r="C182">
        <v>15</v>
      </c>
      <c r="D182" s="17">
        <f>INDEX(Blk_c,MATCH(B182,Blk_St,0))</f>
      </c>
      <c r="E182" s="17">
        <f>INDEX(Bar_U,MATCH(C182,Bar_No,0))</f>
      </c>
      <c r="F182" s="17">
        <f>u_max-E182</f>
      </c>
      <c r="G182" s="20">
        <f>IF(AND(ec_pivot&gt;0,D182&gt;d_theta),ec_pivot*D182/(D182-(1-ec_pivot/ecu)*d_theta),ecu)*(1-F182/D182)</f>
      </c>
      <c r="H182" s="20">
        <f>MAX(0,-G182)</f>
      </c>
      <c r="I182" s="17">
        <f>MAX(MIN(Es*G182,fy),-fy)</f>
      </c>
      <c r="J182">
        <f>IF(E182&gt;=u_max-beta_1*D182-blk_tol,1,0)</f>
      </c>
      <c r="K182" s="17">
        <f>J182*sig_blk</f>
      </c>
      <c r="L182" s="17">
        <f>I182-K182</f>
      </c>
      <c r="M182" s="17">
        <f>INDEX(Bar_As,MATCH(C182,Bar_No,0))*L182/1000</f>
      </c>
      <c r="N182" s="17">
        <f>M182*INDEX(Bar_Y,MATCH(C182,Bar_No,0))/1000</f>
      </c>
      <c r="O182" s="17">
        <f>M182*INDEX(Bar_X,MATCH(C182,Bar_No,0))/1000</f>
      </c>
    </row>
    <row r="183" spans="2:15" x14ac:dyDescent="0.25">
      <c r="B183">
        <v>10</v>
      </c>
      <c r="C183">
        <v>16</v>
      </c>
      <c r="D183" s="17">
        <f>INDEX(Blk_c,MATCH(B183,Blk_St,0))</f>
      </c>
      <c r="E183" s="17">
        <f>INDEX(Bar_U,MATCH(C183,Bar_No,0))</f>
      </c>
      <c r="F183" s="17">
        <f>u_max-E183</f>
      </c>
      <c r="G183" s="20">
        <f>IF(AND(ec_pivot&gt;0,D183&gt;d_theta),ec_pivot*D183/(D183-(1-ec_pivot/ecu)*d_theta),ecu)*(1-F183/D183)</f>
      </c>
      <c r="H183" s="20">
        <f>MAX(0,-G183)</f>
      </c>
      <c r="I183" s="17">
        <f>MAX(MIN(Es*G183,fy),-fy)</f>
      </c>
      <c r="J183">
        <f>IF(E183&gt;=u_max-beta_1*D183-blk_tol,1,0)</f>
      </c>
      <c r="K183" s="17">
        <f>J183*sig_blk</f>
      </c>
      <c r="L183" s="17">
        <f>I183-K183</f>
      </c>
      <c r="M183" s="17">
        <f>INDEX(Bar_As,MATCH(C183,Bar_No,0))*L183/1000</f>
      </c>
      <c r="N183" s="17">
        <f>M183*INDEX(Bar_Y,MATCH(C183,Bar_No,0))/1000</f>
      </c>
      <c r="O183" s="17">
        <f>M183*INDEX(Bar_X,MATCH(C183,Bar_No,0))/1000</f>
      </c>
    </row>
    <row r="184" spans="2:15" x14ac:dyDescent="0.25">
      <c r="B184">
        <v>10</v>
      </c>
      <c r="C184">
        <v>17</v>
      </c>
      <c r="D184" s="17">
        <f>INDEX(Blk_c,MATCH(B184,Blk_St,0))</f>
      </c>
      <c r="E184" s="17">
        <f>INDEX(Bar_U,MATCH(C184,Bar_No,0))</f>
      </c>
      <c r="F184" s="17">
        <f>u_max-E184</f>
      </c>
      <c r="G184" s="20">
        <f>IF(AND(ec_pivot&gt;0,D184&gt;d_theta),ec_pivot*D184/(D184-(1-ec_pivot/ecu)*d_theta),ecu)*(1-F184/D184)</f>
      </c>
      <c r="H184" s="20">
        <f>MAX(0,-G184)</f>
      </c>
      <c r="I184" s="17">
        <f>MAX(MIN(Es*G184,fy),-fy)</f>
      </c>
      <c r="J184">
        <f>IF(E184&gt;=u_max-beta_1*D184-blk_tol,1,0)</f>
      </c>
      <c r="K184" s="17">
        <f>J184*sig_blk</f>
      </c>
      <c r="L184" s="17">
        <f>I184-K184</f>
      </c>
      <c r="M184" s="17">
        <f>INDEX(Bar_As,MATCH(C184,Bar_No,0))*L184/1000</f>
      </c>
      <c r="N184" s="17">
        <f>M184*INDEX(Bar_Y,MATCH(C184,Bar_No,0))/1000</f>
      </c>
      <c r="O184" s="17">
        <f>M184*INDEX(Bar_X,MATCH(C184,Bar_No,0))/1000</f>
      </c>
    </row>
    <row r="185" spans="2:15" x14ac:dyDescent="0.25">
      <c r="B185">
        <v>10</v>
      </c>
      <c r="C185">
        <v>18</v>
      </c>
      <c r="D185" s="17">
        <f>INDEX(Blk_c,MATCH(B185,Blk_St,0))</f>
      </c>
      <c r="E185" s="17">
        <f>INDEX(Bar_U,MATCH(C185,Bar_No,0))</f>
      </c>
      <c r="F185" s="17">
        <f>u_max-E185</f>
      </c>
      <c r="G185" s="20">
        <f>IF(AND(ec_pivot&gt;0,D185&gt;d_theta),ec_pivot*D185/(D185-(1-ec_pivot/ecu)*d_theta),ecu)*(1-F185/D185)</f>
      </c>
      <c r="H185" s="20">
        <f>MAX(0,-G185)</f>
      </c>
      <c r="I185" s="17">
        <f>MAX(MIN(Es*G185,fy),-fy)</f>
      </c>
      <c r="J185">
        <f>IF(E185&gt;=u_max-beta_1*D185-blk_tol,1,0)</f>
      </c>
      <c r="K185" s="17">
        <f>J185*sig_blk</f>
      </c>
      <c r="L185" s="17">
        <f>I185-K185</f>
      </c>
      <c r="M185" s="17">
        <f>INDEX(Bar_As,MATCH(C185,Bar_No,0))*L185/1000</f>
      </c>
      <c r="N185" s="17">
        <f>M185*INDEX(Bar_Y,MATCH(C185,Bar_No,0))/1000</f>
      </c>
      <c r="O185" s="17">
        <f>M185*INDEX(Bar_X,MATCH(C185,Bar_No,0))/1000</f>
      </c>
    </row>
    <row r="186" spans="2:15" x14ac:dyDescent="0.25">
      <c r="B186">
        <v>11</v>
      </c>
      <c r="C186">
        <v>1</v>
      </c>
      <c r="D186" s="17">
        <f>INDEX(Blk_c,MATCH(B186,Blk_St,0))</f>
      </c>
      <c r="E186" s="17">
        <f>INDEX(Bar_U,MATCH(C186,Bar_No,0))</f>
      </c>
      <c r="F186" s="17">
        <f>u_max-E186</f>
      </c>
      <c r="G186" s="20">
        <f>IF(AND(ec_pivot&gt;0,D186&gt;d_theta),ec_pivot*D186/(D186-(1-ec_pivot/ecu)*d_theta),ecu)*(1-F186/D186)</f>
      </c>
      <c r="H186" s="20">
        <f>MAX(0,-G186)</f>
      </c>
      <c r="I186" s="17">
        <f>MAX(MIN(Es*G186,fy),-fy)</f>
      </c>
      <c r="J186">
        <f>IF(E186&gt;=u_max-beta_1*D186-blk_tol,1,0)</f>
      </c>
      <c r="K186" s="17">
        <f>J186*sig_blk</f>
      </c>
      <c r="L186" s="17">
        <f>I186-K186</f>
      </c>
      <c r="M186" s="17">
        <f>INDEX(Bar_As,MATCH(C186,Bar_No,0))*L186/1000</f>
      </c>
      <c r="N186" s="17">
        <f>M186*INDEX(Bar_Y,MATCH(C186,Bar_No,0))/1000</f>
      </c>
      <c r="O186" s="17">
        <f>M186*INDEX(Bar_X,MATCH(C186,Bar_No,0))/1000</f>
      </c>
    </row>
    <row r="187" spans="2:15" x14ac:dyDescent="0.25">
      <c r="B187">
        <v>11</v>
      </c>
      <c r="C187">
        <v>2</v>
      </c>
      <c r="D187" s="17">
        <f>INDEX(Blk_c,MATCH(B187,Blk_St,0))</f>
      </c>
      <c r="E187" s="17">
        <f>INDEX(Bar_U,MATCH(C187,Bar_No,0))</f>
      </c>
      <c r="F187" s="17">
        <f>u_max-E187</f>
      </c>
      <c r="G187" s="20">
        <f>IF(AND(ec_pivot&gt;0,D187&gt;d_theta),ec_pivot*D187/(D187-(1-ec_pivot/ecu)*d_theta),ecu)*(1-F187/D187)</f>
      </c>
      <c r="H187" s="20">
        <f>MAX(0,-G187)</f>
      </c>
      <c r="I187" s="17">
        <f>MAX(MIN(Es*G187,fy),-fy)</f>
      </c>
      <c r="J187">
        <f>IF(E187&gt;=u_max-beta_1*D187-blk_tol,1,0)</f>
      </c>
      <c r="K187" s="17">
        <f>J187*sig_blk</f>
      </c>
      <c r="L187" s="17">
        <f>I187-K187</f>
      </c>
      <c r="M187" s="17">
        <f>INDEX(Bar_As,MATCH(C187,Bar_No,0))*L187/1000</f>
      </c>
      <c r="N187" s="17">
        <f>M187*INDEX(Bar_Y,MATCH(C187,Bar_No,0))/1000</f>
      </c>
      <c r="O187" s="17">
        <f>M187*INDEX(Bar_X,MATCH(C187,Bar_No,0))/1000</f>
      </c>
    </row>
    <row r="188" spans="2:15" x14ac:dyDescent="0.25">
      <c r="B188">
        <v>11</v>
      </c>
      <c r="C188">
        <v>3</v>
      </c>
      <c r="D188" s="17">
        <f>INDEX(Blk_c,MATCH(B188,Blk_St,0))</f>
      </c>
      <c r="E188" s="17">
        <f>INDEX(Bar_U,MATCH(C188,Bar_No,0))</f>
      </c>
      <c r="F188" s="17">
        <f>u_max-E188</f>
      </c>
      <c r="G188" s="20">
        <f>IF(AND(ec_pivot&gt;0,D188&gt;d_theta),ec_pivot*D188/(D188-(1-ec_pivot/ecu)*d_theta),ecu)*(1-F188/D188)</f>
      </c>
      <c r="H188" s="20">
        <f>MAX(0,-G188)</f>
      </c>
      <c r="I188" s="17">
        <f>MAX(MIN(Es*G188,fy),-fy)</f>
      </c>
      <c r="J188">
        <f>IF(E188&gt;=u_max-beta_1*D188-blk_tol,1,0)</f>
      </c>
      <c r="K188" s="17">
        <f>J188*sig_blk</f>
      </c>
      <c r="L188" s="17">
        <f>I188-K188</f>
      </c>
      <c r="M188" s="17">
        <f>INDEX(Bar_As,MATCH(C188,Bar_No,0))*L188/1000</f>
      </c>
      <c r="N188" s="17">
        <f>M188*INDEX(Bar_Y,MATCH(C188,Bar_No,0))/1000</f>
      </c>
      <c r="O188" s="17">
        <f>M188*INDEX(Bar_X,MATCH(C188,Bar_No,0))/1000</f>
      </c>
    </row>
    <row r="189" spans="2:15" x14ac:dyDescent="0.25">
      <c r="B189">
        <v>11</v>
      </c>
      <c r="C189">
        <v>4</v>
      </c>
      <c r="D189" s="17">
        <f>INDEX(Blk_c,MATCH(B189,Blk_St,0))</f>
      </c>
      <c r="E189" s="17">
        <f>INDEX(Bar_U,MATCH(C189,Bar_No,0))</f>
      </c>
      <c r="F189" s="17">
        <f>u_max-E189</f>
      </c>
      <c r="G189" s="20">
        <f>IF(AND(ec_pivot&gt;0,D189&gt;d_theta),ec_pivot*D189/(D189-(1-ec_pivot/ecu)*d_theta),ecu)*(1-F189/D189)</f>
      </c>
      <c r="H189" s="20">
        <f>MAX(0,-G189)</f>
      </c>
      <c r="I189" s="17">
        <f>MAX(MIN(Es*G189,fy),-fy)</f>
      </c>
      <c r="J189">
        <f>IF(E189&gt;=u_max-beta_1*D189-blk_tol,1,0)</f>
      </c>
      <c r="K189" s="17">
        <f>J189*sig_blk</f>
      </c>
      <c r="L189" s="17">
        <f>I189-K189</f>
      </c>
      <c r="M189" s="17">
        <f>INDEX(Bar_As,MATCH(C189,Bar_No,0))*L189/1000</f>
      </c>
      <c r="N189" s="17">
        <f>M189*INDEX(Bar_Y,MATCH(C189,Bar_No,0))/1000</f>
      </c>
      <c r="O189" s="17">
        <f>M189*INDEX(Bar_X,MATCH(C189,Bar_No,0))/1000</f>
      </c>
    </row>
    <row r="190" spans="2:15" x14ac:dyDescent="0.25">
      <c r="B190">
        <v>11</v>
      </c>
      <c r="C190">
        <v>5</v>
      </c>
      <c r="D190" s="17">
        <f>INDEX(Blk_c,MATCH(B190,Blk_St,0))</f>
      </c>
      <c r="E190" s="17">
        <f>INDEX(Bar_U,MATCH(C190,Bar_No,0))</f>
      </c>
      <c r="F190" s="17">
        <f>u_max-E190</f>
      </c>
      <c r="G190" s="20">
        <f>IF(AND(ec_pivot&gt;0,D190&gt;d_theta),ec_pivot*D190/(D190-(1-ec_pivot/ecu)*d_theta),ecu)*(1-F190/D190)</f>
      </c>
      <c r="H190" s="20">
        <f>MAX(0,-G190)</f>
      </c>
      <c r="I190" s="17">
        <f>MAX(MIN(Es*G190,fy),-fy)</f>
      </c>
      <c r="J190">
        <f>IF(E190&gt;=u_max-beta_1*D190-blk_tol,1,0)</f>
      </c>
      <c r="K190" s="17">
        <f>J190*sig_blk</f>
      </c>
      <c r="L190" s="17">
        <f>I190-K190</f>
      </c>
      <c r="M190" s="17">
        <f>INDEX(Bar_As,MATCH(C190,Bar_No,0))*L190/1000</f>
      </c>
      <c r="N190" s="17">
        <f>M190*INDEX(Bar_Y,MATCH(C190,Bar_No,0))/1000</f>
      </c>
      <c r="O190" s="17">
        <f>M190*INDEX(Bar_X,MATCH(C190,Bar_No,0))/1000</f>
      </c>
    </row>
    <row r="191" spans="2:15" x14ac:dyDescent="0.25">
      <c r="B191">
        <v>11</v>
      </c>
      <c r="C191">
        <v>6</v>
      </c>
      <c r="D191" s="17">
        <f>INDEX(Blk_c,MATCH(B191,Blk_St,0))</f>
      </c>
      <c r="E191" s="17">
        <f>INDEX(Bar_U,MATCH(C191,Bar_No,0))</f>
      </c>
      <c r="F191" s="17">
        <f>u_max-E191</f>
      </c>
      <c r="G191" s="20">
        <f>IF(AND(ec_pivot&gt;0,D191&gt;d_theta),ec_pivot*D191/(D191-(1-ec_pivot/ecu)*d_theta),ecu)*(1-F191/D191)</f>
      </c>
      <c r="H191" s="20">
        <f>MAX(0,-G191)</f>
      </c>
      <c r="I191" s="17">
        <f>MAX(MIN(Es*G191,fy),-fy)</f>
      </c>
      <c r="J191">
        <f>IF(E191&gt;=u_max-beta_1*D191-blk_tol,1,0)</f>
      </c>
      <c r="K191" s="17">
        <f>J191*sig_blk</f>
      </c>
      <c r="L191" s="17">
        <f>I191-K191</f>
      </c>
      <c r="M191" s="17">
        <f>INDEX(Bar_As,MATCH(C191,Bar_No,0))*L191/1000</f>
      </c>
      <c r="N191" s="17">
        <f>M191*INDEX(Bar_Y,MATCH(C191,Bar_No,0))/1000</f>
      </c>
      <c r="O191" s="17">
        <f>M191*INDEX(Bar_X,MATCH(C191,Bar_No,0))/1000</f>
      </c>
    </row>
    <row r="192" spans="2:15" x14ac:dyDescent="0.25">
      <c r="B192">
        <v>11</v>
      </c>
      <c r="C192">
        <v>7</v>
      </c>
      <c r="D192" s="17">
        <f>INDEX(Blk_c,MATCH(B192,Blk_St,0))</f>
      </c>
      <c r="E192" s="17">
        <f>INDEX(Bar_U,MATCH(C192,Bar_No,0))</f>
      </c>
      <c r="F192" s="17">
        <f>u_max-E192</f>
      </c>
      <c r="G192" s="20">
        <f>IF(AND(ec_pivot&gt;0,D192&gt;d_theta),ec_pivot*D192/(D192-(1-ec_pivot/ecu)*d_theta),ecu)*(1-F192/D192)</f>
      </c>
      <c r="H192" s="20">
        <f>MAX(0,-G192)</f>
      </c>
      <c r="I192" s="17">
        <f>MAX(MIN(Es*G192,fy),-fy)</f>
      </c>
      <c r="J192">
        <f>IF(E192&gt;=u_max-beta_1*D192-blk_tol,1,0)</f>
      </c>
      <c r="K192" s="17">
        <f>J192*sig_blk</f>
      </c>
      <c r="L192" s="17">
        <f>I192-K192</f>
      </c>
      <c r="M192" s="17">
        <f>INDEX(Bar_As,MATCH(C192,Bar_No,0))*L192/1000</f>
      </c>
      <c r="N192" s="17">
        <f>M192*INDEX(Bar_Y,MATCH(C192,Bar_No,0))/1000</f>
      </c>
      <c r="O192" s="17">
        <f>M192*INDEX(Bar_X,MATCH(C192,Bar_No,0))/1000</f>
      </c>
    </row>
    <row r="193" spans="2:15" x14ac:dyDescent="0.25">
      <c r="B193">
        <v>11</v>
      </c>
      <c r="C193">
        <v>8</v>
      </c>
      <c r="D193" s="17">
        <f>INDEX(Blk_c,MATCH(B193,Blk_St,0))</f>
      </c>
      <c r="E193" s="17">
        <f>INDEX(Bar_U,MATCH(C193,Bar_No,0))</f>
      </c>
      <c r="F193" s="17">
        <f>u_max-E193</f>
      </c>
      <c r="G193" s="20">
        <f>IF(AND(ec_pivot&gt;0,D193&gt;d_theta),ec_pivot*D193/(D193-(1-ec_pivot/ecu)*d_theta),ecu)*(1-F193/D193)</f>
      </c>
      <c r="H193" s="20">
        <f>MAX(0,-G193)</f>
      </c>
      <c r="I193" s="17">
        <f>MAX(MIN(Es*G193,fy),-fy)</f>
      </c>
      <c r="J193">
        <f>IF(E193&gt;=u_max-beta_1*D193-blk_tol,1,0)</f>
      </c>
      <c r="K193" s="17">
        <f>J193*sig_blk</f>
      </c>
      <c r="L193" s="17">
        <f>I193-K193</f>
      </c>
      <c r="M193" s="17">
        <f>INDEX(Bar_As,MATCH(C193,Bar_No,0))*L193/1000</f>
      </c>
      <c r="N193" s="17">
        <f>M193*INDEX(Bar_Y,MATCH(C193,Bar_No,0))/1000</f>
      </c>
      <c r="O193" s="17">
        <f>M193*INDEX(Bar_X,MATCH(C193,Bar_No,0))/1000</f>
      </c>
    </row>
    <row r="194" spans="2:15" x14ac:dyDescent="0.25">
      <c r="B194">
        <v>11</v>
      </c>
      <c r="C194">
        <v>9</v>
      </c>
      <c r="D194" s="17">
        <f>INDEX(Blk_c,MATCH(B194,Blk_St,0))</f>
      </c>
      <c r="E194" s="17">
        <f>INDEX(Bar_U,MATCH(C194,Bar_No,0))</f>
      </c>
      <c r="F194" s="17">
        <f>u_max-E194</f>
      </c>
      <c r="G194" s="20">
        <f>IF(AND(ec_pivot&gt;0,D194&gt;d_theta),ec_pivot*D194/(D194-(1-ec_pivot/ecu)*d_theta),ecu)*(1-F194/D194)</f>
      </c>
      <c r="H194" s="20">
        <f>MAX(0,-G194)</f>
      </c>
      <c r="I194" s="17">
        <f>MAX(MIN(Es*G194,fy),-fy)</f>
      </c>
      <c r="J194">
        <f>IF(E194&gt;=u_max-beta_1*D194-blk_tol,1,0)</f>
      </c>
      <c r="K194" s="17">
        <f>J194*sig_blk</f>
      </c>
      <c r="L194" s="17">
        <f>I194-K194</f>
      </c>
      <c r="M194" s="17">
        <f>INDEX(Bar_As,MATCH(C194,Bar_No,0))*L194/1000</f>
      </c>
      <c r="N194" s="17">
        <f>M194*INDEX(Bar_Y,MATCH(C194,Bar_No,0))/1000</f>
      </c>
      <c r="O194" s="17">
        <f>M194*INDEX(Bar_X,MATCH(C194,Bar_No,0))/1000</f>
      </c>
    </row>
    <row r="195" spans="2:15" x14ac:dyDescent="0.25">
      <c r="B195">
        <v>11</v>
      </c>
      <c r="C195">
        <v>10</v>
      </c>
      <c r="D195" s="17">
        <f>INDEX(Blk_c,MATCH(B195,Blk_St,0))</f>
      </c>
      <c r="E195" s="17">
        <f>INDEX(Bar_U,MATCH(C195,Bar_No,0))</f>
      </c>
      <c r="F195" s="17">
        <f>u_max-E195</f>
      </c>
      <c r="G195" s="20">
        <f>IF(AND(ec_pivot&gt;0,D195&gt;d_theta),ec_pivot*D195/(D195-(1-ec_pivot/ecu)*d_theta),ecu)*(1-F195/D195)</f>
      </c>
      <c r="H195" s="20">
        <f>MAX(0,-G195)</f>
      </c>
      <c r="I195" s="17">
        <f>MAX(MIN(Es*G195,fy),-fy)</f>
      </c>
      <c r="J195">
        <f>IF(E195&gt;=u_max-beta_1*D195-blk_tol,1,0)</f>
      </c>
      <c r="K195" s="17">
        <f>J195*sig_blk</f>
      </c>
      <c r="L195" s="17">
        <f>I195-K195</f>
      </c>
      <c r="M195" s="17">
        <f>INDEX(Bar_As,MATCH(C195,Bar_No,0))*L195/1000</f>
      </c>
      <c r="N195" s="17">
        <f>M195*INDEX(Bar_Y,MATCH(C195,Bar_No,0))/1000</f>
      </c>
      <c r="O195" s="17">
        <f>M195*INDEX(Bar_X,MATCH(C195,Bar_No,0))/1000</f>
      </c>
    </row>
    <row r="196" spans="2:15" x14ac:dyDescent="0.25">
      <c r="B196">
        <v>11</v>
      </c>
      <c r="C196">
        <v>11</v>
      </c>
      <c r="D196" s="17">
        <f>INDEX(Blk_c,MATCH(B196,Blk_St,0))</f>
      </c>
      <c r="E196" s="17">
        <f>INDEX(Bar_U,MATCH(C196,Bar_No,0))</f>
      </c>
      <c r="F196" s="17">
        <f>u_max-E196</f>
      </c>
      <c r="G196" s="20">
        <f>IF(AND(ec_pivot&gt;0,D196&gt;d_theta),ec_pivot*D196/(D196-(1-ec_pivot/ecu)*d_theta),ecu)*(1-F196/D196)</f>
      </c>
      <c r="H196" s="20">
        <f>MAX(0,-G196)</f>
      </c>
      <c r="I196" s="17">
        <f>MAX(MIN(Es*G196,fy),-fy)</f>
      </c>
      <c r="J196">
        <f>IF(E196&gt;=u_max-beta_1*D196-blk_tol,1,0)</f>
      </c>
      <c r="K196" s="17">
        <f>J196*sig_blk</f>
      </c>
      <c r="L196" s="17">
        <f>I196-K196</f>
      </c>
      <c r="M196" s="17">
        <f>INDEX(Bar_As,MATCH(C196,Bar_No,0))*L196/1000</f>
      </c>
      <c r="N196" s="17">
        <f>M196*INDEX(Bar_Y,MATCH(C196,Bar_No,0))/1000</f>
      </c>
      <c r="O196" s="17">
        <f>M196*INDEX(Bar_X,MATCH(C196,Bar_No,0))/1000</f>
      </c>
    </row>
    <row r="197" spans="2:15" x14ac:dyDescent="0.25">
      <c r="B197">
        <v>11</v>
      </c>
      <c r="C197">
        <v>12</v>
      </c>
      <c r="D197" s="17">
        <f>INDEX(Blk_c,MATCH(B197,Blk_St,0))</f>
      </c>
      <c r="E197" s="17">
        <f>INDEX(Bar_U,MATCH(C197,Bar_No,0))</f>
      </c>
      <c r="F197" s="17">
        <f>u_max-E197</f>
      </c>
      <c r="G197" s="20">
        <f>IF(AND(ec_pivot&gt;0,D197&gt;d_theta),ec_pivot*D197/(D197-(1-ec_pivot/ecu)*d_theta),ecu)*(1-F197/D197)</f>
      </c>
      <c r="H197" s="20">
        <f>MAX(0,-G197)</f>
      </c>
      <c r="I197" s="17">
        <f>MAX(MIN(Es*G197,fy),-fy)</f>
      </c>
      <c r="J197">
        <f>IF(E197&gt;=u_max-beta_1*D197-blk_tol,1,0)</f>
      </c>
      <c r="K197" s="17">
        <f>J197*sig_blk</f>
      </c>
      <c r="L197" s="17">
        <f>I197-K197</f>
      </c>
      <c r="M197" s="17">
        <f>INDEX(Bar_As,MATCH(C197,Bar_No,0))*L197/1000</f>
      </c>
      <c r="N197" s="17">
        <f>M197*INDEX(Bar_Y,MATCH(C197,Bar_No,0))/1000</f>
      </c>
      <c r="O197" s="17">
        <f>M197*INDEX(Bar_X,MATCH(C197,Bar_No,0))/1000</f>
      </c>
    </row>
    <row r="198" spans="2:15" x14ac:dyDescent="0.25">
      <c r="B198">
        <v>11</v>
      </c>
      <c r="C198">
        <v>13</v>
      </c>
      <c r="D198" s="17">
        <f>INDEX(Blk_c,MATCH(B198,Blk_St,0))</f>
      </c>
      <c r="E198" s="17">
        <f>INDEX(Bar_U,MATCH(C198,Bar_No,0))</f>
      </c>
      <c r="F198" s="17">
        <f>u_max-E198</f>
      </c>
      <c r="G198" s="20">
        <f>IF(AND(ec_pivot&gt;0,D198&gt;d_theta),ec_pivot*D198/(D198-(1-ec_pivot/ecu)*d_theta),ecu)*(1-F198/D198)</f>
      </c>
      <c r="H198" s="20">
        <f>MAX(0,-G198)</f>
      </c>
      <c r="I198" s="17">
        <f>MAX(MIN(Es*G198,fy),-fy)</f>
      </c>
      <c r="J198">
        <f>IF(E198&gt;=u_max-beta_1*D198-blk_tol,1,0)</f>
      </c>
      <c r="K198" s="17">
        <f>J198*sig_blk</f>
      </c>
      <c r="L198" s="17">
        <f>I198-K198</f>
      </c>
      <c r="M198" s="17">
        <f>INDEX(Bar_As,MATCH(C198,Bar_No,0))*L198/1000</f>
      </c>
      <c r="N198" s="17">
        <f>M198*INDEX(Bar_Y,MATCH(C198,Bar_No,0))/1000</f>
      </c>
      <c r="O198" s="17">
        <f>M198*INDEX(Bar_X,MATCH(C198,Bar_No,0))/1000</f>
      </c>
    </row>
    <row r="199" spans="2:15" x14ac:dyDescent="0.25">
      <c r="B199">
        <v>11</v>
      </c>
      <c r="C199">
        <v>14</v>
      </c>
      <c r="D199" s="17">
        <f>INDEX(Blk_c,MATCH(B199,Blk_St,0))</f>
      </c>
      <c r="E199" s="17">
        <f>INDEX(Bar_U,MATCH(C199,Bar_No,0))</f>
      </c>
      <c r="F199" s="17">
        <f>u_max-E199</f>
      </c>
      <c r="G199" s="20">
        <f>IF(AND(ec_pivot&gt;0,D199&gt;d_theta),ec_pivot*D199/(D199-(1-ec_pivot/ecu)*d_theta),ecu)*(1-F199/D199)</f>
      </c>
      <c r="H199" s="20">
        <f>MAX(0,-G199)</f>
      </c>
      <c r="I199" s="17">
        <f>MAX(MIN(Es*G199,fy),-fy)</f>
      </c>
      <c r="J199">
        <f>IF(E199&gt;=u_max-beta_1*D199-blk_tol,1,0)</f>
      </c>
      <c r="K199" s="17">
        <f>J199*sig_blk</f>
      </c>
      <c r="L199" s="17">
        <f>I199-K199</f>
      </c>
      <c r="M199" s="17">
        <f>INDEX(Bar_As,MATCH(C199,Bar_No,0))*L199/1000</f>
      </c>
      <c r="N199" s="17">
        <f>M199*INDEX(Bar_Y,MATCH(C199,Bar_No,0))/1000</f>
      </c>
      <c r="O199" s="17">
        <f>M199*INDEX(Bar_X,MATCH(C199,Bar_No,0))/1000</f>
      </c>
    </row>
    <row r="200" spans="2:15" x14ac:dyDescent="0.25">
      <c r="B200">
        <v>11</v>
      </c>
      <c r="C200">
        <v>15</v>
      </c>
      <c r="D200" s="17">
        <f>INDEX(Blk_c,MATCH(B200,Blk_St,0))</f>
      </c>
      <c r="E200" s="17">
        <f>INDEX(Bar_U,MATCH(C200,Bar_No,0))</f>
      </c>
      <c r="F200" s="17">
        <f>u_max-E200</f>
      </c>
      <c r="G200" s="20">
        <f>IF(AND(ec_pivot&gt;0,D200&gt;d_theta),ec_pivot*D200/(D200-(1-ec_pivot/ecu)*d_theta),ecu)*(1-F200/D200)</f>
      </c>
      <c r="H200" s="20">
        <f>MAX(0,-G200)</f>
      </c>
      <c r="I200" s="17">
        <f>MAX(MIN(Es*G200,fy),-fy)</f>
      </c>
      <c r="J200">
        <f>IF(E200&gt;=u_max-beta_1*D200-blk_tol,1,0)</f>
      </c>
      <c r="K200" s="17">
        <f>J200*sig_blk</f>
      </c>
      <c r="L200" s="17">
        <f>I200-K200</f>
      </c>
      <c r="M200" s="17">
        <f>INDEX(Bar_As,MATCH(C200,Bar_No,0))*L200/1000</f>
      </c>
      <c r="N200" s="17">
        <f>M200*INDEX(Bar_Y,MATCH(C200,Bar_No,0))/1000</f>
      </c>
      <c r="O200" s="17">
        <f>M200*INDEX(Bar_X,MATCH(C200,Bar_No,0))/1000</f>
      </c>
    </row>
    <row r="201" spans="2:15" x14ac:dyDescent="0.25">
      <c r="B201">
        <v>11</v>
      </c>
      <c r="C201">
        <v>16</v>
      </c>
      <c r="D201" s="17">
        <f>INDEX(Blk_c,MATCH(B201,Blk_St,0))</f>
      </c>
      <c r="E201" s="17">
        <f>INDEX(Bar_U,MATCH(C201,Bar_No,0))</f>
      </c>
      <c r="F201" s="17">
        <f>u_max-E201</f>
      </c>
      <c r="G201" s="20">
        <f>IF(AND(ec_pivot&gt;0,D201&gt;d_theta),ec_pivot*D201/(D201-(1-ec_pivot/ecu)*d_theta),ecu)*(1-F201/D201)</f>
      </c>
      <c r="H201" s="20">
        <f>MAX(0,-G201)</f>
      </c>
      <c r="I201" s="17">
        <f>MAX(MIN(Es*G201,fy),-fy)</f>
      </c>
      <c r="J201">
        <f>IF(E201&gt;=u_max-beta_1*D201-blk_tol,1,0)</f>
      </c>
      <c r="K201" s="17">
        <f>J201*sig_blk</f>
      </c>
      <c r="L201" s="17">
        <f>I201-K201</f>
      </c>
      <c r="M201" s="17">
        <f>INDEX(Bar_As,MATCH(C201,Bar_No,0))*L201/1000</f>
      </c>
      <c r="N201" s="17">
        <f>M201*INDEX(Bar_Y,MATCH(C201,Bar_No,0))/1000</f>
      </c>
      <c r="O201" s="17">
        <f>M201*INDEX(Bar_X,MATCH(C201,Bar_No,0))/1000</f>
      </c>
    </row>
    <row r="202" spans="2:15" x14ac:dyDescent="0.25">
      <c r="B202">
        <v>11</v>
      </c>
      <c r="C202">
        <v>17</v>
      </c>
      <c r="D202" s="17">
        <f>INDEX(Blk_c,MATCH(B202,Blk_St,0))</f>
      </c>
      <c r="E202" s="17">
        <f>INDEX(Bar_U,MATCH(C202,Bar_No,0))</f>
      </c>
      <c r="F202" s="17">
        <f>u_max-E202</f>
      </c>
      <c r="G202" s="20">
        <f>IF(AND(ec_pivot&gt;0,D202&gt;d_theta),ec_pivot*D202/(D202-(1-ec_pivot/ecu)*d_theta),ecu)*(1-F202/D202)</f>
      </c>
      <c r="H202" s="20">
        <f>MAX(0,-G202)</f>
      </c>
      <c r="I202" s="17">
        <f>MAX(MIN(Es*G202,fy),-fy)</f>
      </c>
      <c r="J202">
        <f>IF(E202&gt;=u_max-beta_1*D202-blk_tol,1,0)</f>
      </c>
      <c r="K202" s="17">
        <f>J202*sig_blk</f>
      </c>
      <c r="L202" s="17">
        <f>I202-K202</f>
      </c>
      <c r="M202" s="17">
        <f>INDEX(Bar_As,MATCH(C202,Bar_No,0))*L202/1000</f>
      </c>
      <c r="N202" s="17">
        <f>M202*INDEX(Bar_Y,MATCH(C202,Bar_No,0))/1000</f>
      </c>
      <c r="O202" s="17">
        <f>M202*INDEX(Bar_X,MATCH(C202,Bar_No,0))/1000</f>
      </c>
    </row>
    <row r="203" spans="2:15" x14ac:dyDescent="0.25">
      <c r="B203">
        <v>11</v>
      </c>
      <c r="C203">
        <v>18</v>
      </c>
      <c r="D203" s="17">
        <f>INDEX(Blk_c,MATCH(B203,Blk_St,0))</f>
      </c>
      <c r="E203" s="17">
        <f>INDEX(Bar_U,MATCH(C203,Bar_No,0))</f>
      </c>
      <c r="F203" s="17">
        <f>u_max-E203</f>
      </c>
      <c r="G203" s="20">
        <f>IF(AND(ec_pivot&gt;0,D203&gt;d_theta),ec_pivot*D203/(D203-(1-ec_pivot/ecu)*d_theta),ecu)*(1-F203/D203)</f>
      </c>
      <c r="H203" s="20">
        <f>MAX(0,-G203)</f>
      </c>
      <c r="I203" s="17">
        <f>MAX(MIN(Es*G203,fy),-fy)</f>
      </c>
      <c r="J203">
        <f>IF(E203&gt;=u_max-beta_1*D203-blk_tol,1,0)</f>
      </c>
      <c r="K203" s="17">
        <f>J203*sig_blk</f>
      </c>
      <c r="L203" s="17">
        <f>I203-K203</f>
      </c>
      <c r="M203" s="17">
        <f>INDEX(Bar_As,MATCH(C203,Bar_No,0))*L203/1000</f>
      </c>
      <c r="N203" s="17">
        <f>M203*INDEX(Bar_Y,MATCH(C203,Bar_No,0))/1000</f>
      </c>
      <c r="O203" s="17">
        <f>M203*INDEX(Bar_X,MATCH(C203,Bar_No,0))/1000</f>
      </c>
    </row>
    <row r="204" spans="2:15" x14ac:dyDescent="0.25">
      <c r="B204">
        <v>12</v>
      </c>
      <c r="C204">
        <v>1</v>
      </c>
      <c r="D204" s="17">
        <f>INDEX(Blk_c,MATCH(B204,Blk_St,0))</f>
      </c>
      <c r="E204" s="17">
        <f>INDEX(Bar_U,MATCH(C204,Bar_No,0))</f>
      </c>
      <c r="F204" s="17">
        <f>u_max-E204</f>
      </c>
      <c r="G204" s="20">
        <f>IF(AND(ec_pivot&gt;0,D204&gt;d_theta),ec_pivot*D204/(D204-(1-ec_pivot/ecu)*d_theta),ecu)*(1-F204/D204)</f>
      </c>
      <c r="H204" s="20">
        <f>MAX(0,-G204)</f>
      </c>
      <c r="I204" s="17">
        <f>MAX(MIN(Es*G204,fy),-fy)</f>
      </c>
      <c r="J204">
        <f>IF(E204&gt;=u_max-beta_1*D204-blk_tol,1,0)</f>
      </c>
      <c r="K204" s="17">
        <f>J204*sig_blk</f>
      </c>
      <c r="L204" s="17">
        <f>I204-K204</f>
      </c>
      <c r="M204" s="17">
        <f>INDEX(Bar_As,MATCH(C204,Bar_No,0))*L204/1000</f>
      </c>
      <c r="N204" s="17">
        <f>M204*INDEX(Bar_Y,MATCH(C204,Bar_No,0))/1000</f>
      </c>
      <c r="O204" s="17">
        <f>M204*INDEX(Bar_X,MATCH(C204,Bar_No,0))/1000</f>
      </c>
    </row>
    <row r="205" spans="2:15" x14ac:dyDescent="0.25">
      <c r="B205">
        <v>12</v>
      </c>
      <c r="C205">
        <v>2</v>
      </c>
      <c r="D205" s="17">
        <f>INDEX(Blk_c,MATCH(B205,Blk_St,0))</f>
      </c>
      <c r="E205" s="17">
        <f>INDEX(Bar_U,MATCH(C205,Bar_No,0))</f>
      </c>
      <c r="F205" s="17">
        <f>u_max-E205</f>
      </c>
      <c r="G205" s="20">
        <f>IF(AND(ec_pivot&gt;0,D205&gt;d_theta),ec_pivot*D205/(D205-(1-ec_pivot/ecu)*d_theta),ecu)*(1-F205/D205)</f>
      </c>
      <c r="H205" s="20">
        <f>MAX(0,-G205)</f>
      </c>
      <c r="I205" s="17">
        <f>MAX(MIN(Es*G205,fy),-fy)</f>
      </c>
      <c r="J205">
        <f>IF(E205&gt;=u_max-beta_1*D205-blk_tol,1,0)</f>
      </c>
      <c r="K205" s="17">
        <f>J205*sig_blk</f>
      </c>
      <c r="L205" s="17">
        <f>I205-K205</f>
      </c>
      <c r="M205" s="17">
        <f>INDEX(Bar_As,MATCH(C205,Bar_No,0))*L205/1000</f>
      </c>
      <c r="N205" s="17">
        <f>M205*INDEX(Bar_Y,MATCH(C205,Bar_No,0))/1000</f>
      </c>
      <c r="O205" s="17">
        <f>M205*INDEX(Bar_X,MATCH(C205,Bar_No,0))/1000</f>
      </c>
    </row>
    <row r="206" spans="2:15" x14ac:dyDescent="0.25">
      <c r="B206">
        <v>12</v>
      </c>
      <c r="C206">
        <v>3</v>
      </c>
      <c r="D206" s="17">
        <f>INDEX(Blk_c,MATCH(B206,Blk_St,0))</f>
      </c>
      <c r="E206" s="17">
        <f>INDEX(Bar_U,MATCH(C206,Bar_No,0))</f>
      </c>
      <c r="F206" s="17">
        <f>u_max-E206</f>
      </c>
      <c r="G206" s="20">
        <f>IF(AND(ec_pivot&gt;0,D206&gt;d_theta),ec_pivot*D206/(D206-(1-ec_pivot/ecu)*d_theta),ecu)*(1-F206/D206)</f>
      </c>
      <c r="H206" s="20">
        <f>MAX(0,-G206)</f>
      </c>
      <c r="I206" s="17">
        <f>MAX(MIN(Es*G206,fy),-fy)</f>
      </c>
      <c r="J206">
        <f>IF(E206&gt;=u_max-beta_1*D206-blk_tol,1,0)</f>
      </c>
      <c r="K206" s="17">
        <f>J206*sig_blk</f>
      </c>
      <c r="L206" s="17">
        <f>I206-K206</f>
      </c>
      <c r="M206" s="17">
        <f>INDEX(Bar_As,MATCH(C206,Bar_No,0))*L206/1000</f>
      </c>
      <c r="N206" s="17">
        <f>M206*INDEX(Bar_Y,MATCH(C206,Bar_No,0))/1000</f>
      </c>
      <c r="O206" s="17">
        <f>M206*INDEX(Bar_X,MATCH(C206,Bar_No,0))/1000</f>
      </c>
    </row>
    <row r="207" spans="2:15" x14ac:dyDescent="0.25">
      <c r="B207">
        <v>12</v>
      </c>
      <c r="C207">
        <v>4</v>
      </c>
      <c r="D207" s="17">
        <f>INDEX(Blk_c,MATCH(B207,Blk_St,0))</f>
      </c>
      <c r="E207" s="17">
        <f>INDEX(Bar_U,MATCH(C207,Bar_No,0))</f>
      </c>
      <c r="F207" s="17">
        <f>u_max-E207</f>
      </c>
      <c r="G207" s="20">
        <f>IF(AND(ec_pivot&gt;0,D207&gt;d_theta),ec_pivot*D207/(D207-(1-ec_pivot/ecu)*d_theta),ecu)*(1-F207/D207)</f>
      </c>
      <c r="H207" s="20">
        <f>MAX(0,-G207)</f>
      </c>
      <c r="I207" s="17">
        <f>MAX(MIN(Es*G207,fy),-fy)</f>
      </c>
      <c r="J207">
        <f>IF(E207&gt;=u_max-beta_1*D207-blk_tol,1,0)</f>
      </c>
      <c r="K207" s="17">
        <f>J207*sig_blk</f>
      </c>
      <c r="L207" s="17">
        <f>I207-K207</f>
      </c>
      <c r="M207" s="17">
        <f>INDEX(Bar_As,MATCH(C207,Bar_No,0))*L207/1000</f>
      </c>
      <c r="N207" s="17">
        <f>M207*INDEX(Bar_Y,MATCH(C207,Bar_No,0))/1000</f>
      </c>
      <c r="O207" s="17">
        <f>M207*INDEX(Bar_X,MATCH(C207,Bar_No,0))/1000</f>
      </c>
    </row>
    <row r="208" spans="2:15" x14ac:dyDescent="0.25">
      <c r="B208">
        <v>12</v>
      </c>
      <c r="C208">
        <v>5</v>
      </c>
      <c r="D208" s="17">
        <f>INDEX(Blk_c,MATCH(B208,Blk_St,0))</f>
      </c>
      <c r="E208" s="17">
        <f>INDEX(Bar_U,MATCH(C208,Bar_No,0))</f>
      </c>
      <c r="F208" s="17">
        <f>u_max-E208</f>
      </c>
      <c r="G208" s="20">
        <f>IF(AND(ec_pivot&gt;0,D208&gt;d_theta),ec_pivot*D208/(D208-(1-ec_pivot/ecu)*d_theta),ecu)*(1-F208/D208)</f>
      </c>
      <c r="H208" s="20">
        <f>MAX(0,-G208)</f>
      </c>
      <c r="I208" s="17">
        <f>MAX(MIN(Es*G208,fy),-fy)</f>
      </c>
      <c r="J208">
        <f>IF(E208&gt;=u_max-beta_1*D208-blk_tol,1,0)</f>
      </c>
      <c r="K208" s="17">
        <f>J208*sig_blk</f>
      </c>
      <c r="L208" s="17">
        <f>I208-K208</f>
      </c>
      <c r="M208" s="17">
        <f>INDEX(Bar_As,MATCH(C208,Bar_No,0))*L208/1000</f>
      </c>
      <c r="N208" s="17">
        <f>M208*INDEX(Bar_Y,MATCH(C208,Bar_No,0))/1000</f>
      </c>
      <c r="O208" s="17">
        <f>M208*INDEX(Bar_X,MATCH(C208,Bar_No,0))/1000</f>
      </c>
    </row>
    <row r="209" spans="2:15" x14ac:dyDescent="0.25">
      <c r="B209">
        <v>12</v>
      </c>
      <c r="C209">
        <v>6</v>
      </c>
      <c r="D209" s="17">
        <f>INDEX(Blk_c,MATCH(B209,Blk_St,0))</f>
      </c>
      <c r="E209" s="17">
        <f>INDEX(Bar_U,MATCH(C209,Bar_No,0))</f>
      </c>
      <c r="F209" s="17">
        <f>u_max-E209</f>
      </c>
      <c r="G209" s="20">
        <f>IF(AND(ec_pivot&gt;0,D209&gt;d_theta),ec_pivot*D209/(D209-(1-ec_pivot/ecu)*d_theta),ecu)*(1-F209/D209)</f>
      </c>
      <c r="H209" s="20">
        <f>MAX(0,-G209)</f>
      </c>
      <c r="I209" s="17">
        <f>MAX(MIN(Es*G209,fy),-fy)</f>
      </c>
      <c r="J209">
        <f>IF(E209&gt;=u_max-beta_1*D209-blk_tol,1,0)</f>
      </c>
      <c r="K209" s="17">
        <f>J209*sig_blk</f>
      </c>
      <c r="L209" s="17">
        <f>I209-K209</f>
      </c>
      <c r="M209" s="17">
        <f>INDEX(Bar_As,MATCH(C209,Bar_No,0))*L209/1000</f>
      </c>
      <c r="N209" s="17">
        <f>M209*INDEX(Bar_Y,MATCH(C209,Bar_No,0))/1000</f>
      </c>
      <c r="O209" s="17">
        <f>M209*INDEX(Bar_X,MATCH(C209,Bar_No,0))/1000</f>
      </c>
    </row>
    <row r="210" spans="2:15" x14ac:dyDescent="0.25">
      <c r="B210">
        <v>12</v>
      </c>
      <c r="C210">
        <v>7</v>
      </c>
      <c r="D210" s="17">
        <f>INDEX(Blk_c,MATCH(B210,Blk_St,0))</f>
      </c>
      <c r="E210" s="17">
        <f>INDEX(Bar_U,MATCH(C210,Bar_No,0))</f>
      </c>
      <c r="F210" s="17">
        <f>u_max-E210</f>
      </c>
      <c r="G210" s="20">
        <f>IF(AND(ec_pivot&gt;0,D210&gt;d_theta),ec_pivot*D210/(D210-(1-ec_pivot/ecu)*d_theta),ecu)*(1-F210/D210)</f>
      </c>
      <c r="H210" s="20">
        <f>MAX(0,-G210)</f>
      </c>
      <c r="I210" s="17">
        <f>MAX(MIN(Es*G210,fy),-fy)</f>
      </c>
      <c r="J210">
        <f>IF(E210&gt;=u_max-beta_1*D210-blk_tol,1,0)</f>
      </c>
      <c r="K210" s="17">
        <f>J210*sig_blk</f>
      </c>
      <c r="L210" s="17">
        <f>I210-K210</f>
      </c>
      <c r="M210" s="17">
        <f>INDEX(Bar_As,MATCH(C210,Bar_No,0))*L210/1000</f>
      </c>
      <c r="N210" s="17">
        <f>M210*INDEX(Bar_Y,MATCH(C210,Bar_No,0))/1000</f>
      </c>
      <c r="O210" s="17">
        <f>M210*INDEX(Bar_X,MATCH(C210,Bar_No,0))/1000</f>
      </c>
    </row>
    <row r="211" spans="2:15" x14ac:dyDescent="0.25">
      <c r="B211">
        <v>12</v>
      </c>
      <c r="C211">
        <v>8</v>
      </c>
      <c r="D211" s="17">
        <f>INDEX(Blk_c,MATCH(B211,Blk_St,0))</f>
      </c>
      <c r="E211" s="17">
        <f>INDEX(Bar_U,MATCH(C211,Bar_No,0))</f>
      </c>
      <c r="F211" s="17">
        <f>u_max-E211</f>
      </c>
      <c r="G211" s="20">
        <f>IF(AND(ec_pivot&gt;0,D211&gt;d_theta),ec_pivot*D211/(D211-(1-ec_pivot/ecu)*d_theta),ecu)*(1-F211/D211)</f>
      </c>
      <c r="H211" s="20">
        <f>MAX(0,-G211)</f>
      </c>
      <c r="I211" s="17">
        <f>MAX(MIN(Es*G211,fy),-fy)</f>
      </c>
      <c r="J211">
        <f>IF(E211&gt;=u_max-beta_1*D211-blk_tol,1,0)</f>
      </c>
      <c r="K211" s="17">
        <f>J211*sig_blk</f>
      </c>
      <c r="L211" s="17">
        <f>I211-K211</f>
      </c>
      <c r="M211" s="17">
        <f>INDEX(Bar_As,MATCH(C211,Bar_No,0))*L211/1000</f>
      </c>
      <c r="N211" s="17">
        <f>M211*INDEX(Bar_Y,MATCH(C211,Bar_No,0))/1000</f>
      </c>
      <c r="O211" s="17">
        <f>M211*INDEX(Bar_X,MATCH(C211,Bar_No,0))/1000</f>
      </c>
    </row>
    <row r="212" spans="2:15" x14ac:dyDescent="0.25">
      <c r="B212">
        <v>12</v>
      </c>
      <c r="C212">
        <v>9</v>
      </c>
      <c r="D212" s="17">
        <f>INDEX(Blk_c,MATCH(B212,Blk_St,0))</f>
      </c>
      <c r="E212" s="17">
        <f>INDEX(Bar_U,MATCH(C212,Bar_No,0))</f>
      </c>
      <c r="F212" s="17">
        <f>u_max-E212</f>
      </c>
      <c r="G212" s="20">
        <f>IF(AND(ec_pivot&gt;0,D212&gt;d_theta),ec_pivot*D212/(D212-(1-ec_pivot/ecu)*d_theta),ecu)*(1-F212/D212)</f>
      </c>
      <c r="H212" s="20">
        <f>MAX(0,-G212)</f>
      </c>
      <c r="I212" s="17">
        <f>MAX(MIN(Es*G212,fy),-fy)</f>
      </c>
      <c r="J212">
        <f>IF(E212&gt;=u_max-beta_1*D212-blk_tol,1,0)</f>
      </c>
      <c r="K212" s="17">
        <f>J212*sig_blk</f>
      </c>
      <c r="L212" s="17">
        <f>I212-K212</f>
      </c>
      <c r="M212" s="17">
        <f>INDEX(Bar_As,MATCH(C212,Bar_No,0))*L212/1000</f>
      </c>
      <c r="N212" s="17">
        <f>M212*INDEX(Bar_Y,MATCH(C212,Bar_No,0))/1000</f>
      </c>
      <c r="O212" s="17">
        <f>M212*INDEX(Bar_X,MATCH(C212,Bar_No,0))/1000</f>
      </c>
    </row>
    <row r="213" spans="2:15" x14ac:dyDescent="0.25">
      <c r="B213">
        <v>12</v>
      </c>
      <c r="C213">
        <v>10</v>
      </c>
      <c r="D213" s="17">
        <f>INDEX(Blk_c,MATCH(B213,Blk_St,0))</f>
      </c>
      <c r="E213" s="17">
        <f>INDEX(Bar_U,MATCH(C213,Bar_No,0))</f>
      </c>
      <c r="F213" s="17">
        <f>u_max-E213</f>
      </c>
      <c r="G213" s="20">
        <f>IF(AND(ec_pivot&gt;0,D213&gt;d_theta),ec_pivot*D213/(D213-(1-ec_pivot/ecu)*d_theta),ecu)*(1-F213/D213)</f>
      </c>
      <c r="H213" s="20">
        <f>MAX(0,-G213)</f>
      </c>
      <c r="I213" s="17">
        <f>MAX(MIN(Es*G213,fy),-fy)</f>
      </c>
      <c r="J213">
        <f>IF(E213&gt;=u_max-beta_1*D213-blk_tol,1,0)</f>
      </c>
      <c r="K213" s="17">
        <f>J213*sig_blk</f>
      </c>
      <c r="L213" s="17">
        <f>I213-K213</f>
      </c>
      <c r="M213" s="17">
        <f>INDEX(Bar_As,MATCH(C213,Bar_No,0))*L213/1000</f>
      </c>
      <c r="N213" s="17">
        <f>M213*INDEX(Bar_Y,MATCH(C213,Bar_No,0))/1000</f>
      </c>
      <c r="O213" s="17">
        <f>M213*INDEX(Bar_X,MATCH(C213,Bar_No,0))/1000</f>
      </c>
    </row>
    <row r="214" spans="2:15" x14ac:dyDescent="0.25">
      <c r="B214">
        <v>12</v>
      </c>
      <c r="C214">
        <v>11</v>
      </c>
      <c r="D214" s="17">
        <f>INDEX(Blk_c,MATCH(B214,Blk_St,0))</f>
      </c>
      <c r="E214" s="17">
        <f>INDEX(Bar_U,MATCH(C214,Bar_No,0))</f>
      </c>
      <c r="F214" s="17">
        <f>u_max-E214</f>
      </c>
      <c r="G214" s="20">
        <f>IF(AND(ec_pivot&gt;0,D214&gt;d_theta),ec_pivot*D214/(D214-(1-ec_pivot/ecu)*d_theta),ecu)*(1-F214/D214)</f>
      </c>
      <c r="H214" s="20">
        <f>MAX(0,-G214)</f>
      </c>
      <c r="I214" s="17">
        <f>MAX(MIN(Es*G214,fy),-fy)</f>
      </c>
      <c r="J214">
        <f>IF(E214&gt;=u_max-beta_1*D214-blk_tol,1,0)</f>
      </c>
      <c r="K214" s="17">
        <f>J214*sig_blk</f>
      </c>
      <c r="L214" s="17">
        <f>I214-K214</f>
      </c>
      <c r="M214" s="17">
        <f>INDEX(Bar_As,MATCH(C214,Bar_No,0))*L214/1000</f>
      </c>
      <c r="N214" s="17">
        <f>M214*INDEX(Bar_Y,MATCH(C214,Bar_No,0))/1000</f>
      </c>
      <c r="O214" s="17">
        <f>M214*INDEX(Bar_X,MATCH(C214,Bar_No,0))/1000</f>
      </c>
    </row>
    <row r="215" spans="2:15" x14ac:dyDescent="0.25">
      <c r="B215">
        <v>12</v>
      </c>
      <c r="C215">
        <v>12</v>
      </c>
      <c r="D215" s="17">
        <f>INDEX(Blk_c,MATCH(B215,Blk_St,0))</f>
      </c>
      <c r="E215" s="17">
        <f>INDEX(Bar_U,MATCH(C215,Bar_No,0))</f>
      </c>
      <c r="F215" s="17">
        <f>u_max-E215</f>
      </c>
      <c r="G215" s="20">
        <f>IF(AND(ec_pivot&gt;0,D215&gt;d_theta),ec_pivot*D215/(D215-(1-ec_pivot/ecu)*d_theta),ecu)*(1-F215/D215)</f>
      </c>
      <c r="H215" s="20">
        <f>MAX(0,-G215)</f>
      </c>
      <c r="I215" s="17">
        <f>MAX(MIN(Es*G215,fy),-fy)</f>
      </c>
      <c r="J215">
        <f>IF(E215&gt;=u_max-beta_1*D215-blk_tol,1,0)</f>
      </c>
      <c r="K215" s="17">
        <f>J215*sig_blk</f>
      </c>
      <c r="L215" s="17">
        <f>I215-K215</f>
      </c>
      <c r="M215" s="17">
        <f>INDEX(Bar_As,MATCH(C215,Bar_No,0))*L215/1000</f>
      </c>
      <c r="N215" s="17">
        <f>M215*INDEX(Bar_Y,MATCH(C215,Bar_No,0))/1000</f>
      </c>
      <c r="O215" s="17">
        <f>M215*INDEX(Bar_X,MATCH(C215,Bar_No,0))/1000</f>
      </c>
    </row>
    <row r="216" spans="2:15" x14ac:dyDescent="0.25">
      <c r="B216">
        <v>12</v>
      </c>
      <c r="C216">
        <v>13</v>
      </c>
      <c r="D216" s="17">
        <f>INDEX(Blk_c,MATCH(B216,Blk_St,0))</f>
      </c>
      <c r="E216" s="17">
        <f>INDEX(Bar_U,MATCH(C216,Bar_No,0))</f>
      </c>
      <c r="F216" s="17">
        <f>u_max-E216</f>
      </c>
      <c r="G216" s="20">
        <f>IF(AND(ec_pivot&gt;0,D216&gt;d_theta),ec_pivot*D216/(D216-(1-ec_pivot/ecu)*d_theta),ecu)*(1-F216/D216)</f>
      </c>
      <c r="H216" s="20">
        <f>MAX(0,-G216)</f>
      </c>
      <c r="I216" s="17">
        <f>MAX(MIN(Es*G216,fy),-fy)</f>
      </c>
      <c r="J216">
        <f>IF(E216&gt;=u_max-beta_1*D216-blk_tol,1,0)</f>
      </c>
      <c r="K216" s="17">
        <f>J216*sig_blk</f>
      </c>
      <c r="L216" s="17">
        <f>I216-K216</f>
      </c>
      <c r="M216" s="17">
        <f>INDEX(Bar_As,MATCH(C216,Bar_No,0))*L216/1000</f>
      </c>
      <c r="N216" s="17">
        <f>M216*INDEX(Bar_Y,MATCH(C216,Bar_No,0))/1000</f>
      </c>
      <c r="O216" s="17">
        <f>M216*INDEX(Bar_X,MATCH(C216,Bar_No,0))/1000</f>
      </c>
    </row>
    <row r="217" spans="2:15" x14ac:dyDescent="0.25">
      <c r="B217">
        <v>12</v>
      </c>
      <c r="C217">
        <v>14</v>
      </c>
      <c r="D217" s="17">
        <f>INDEX(Blk_c,MATCH(B217,Blk_St,0))</f>
      </c>
      <c r="E217" s="17">
        <f>INDEX(Bar_U,MATCH(C217,Bar_No,0))</f>
      </c>
      <c r="F217" s="17">
        <f>u_max-E217</f>
      </c>
      <c r="G217" s="20">
        <f>IF(AND(ec_pivot&gt;0,D217&gt;d_theta),ec_pivot*D217/(D217-(1-ec_pivot/ecu)*d_theta),ecu)*(1-F217/D217)</f>
      </c>
      <c r="H217" s="20">
        <f>MAX(0,-G217)</f>
      </c>
      <c r="I217" s="17">
        <f>MAX(MIN(Es*G217,fy),-fy)</f>
      </c>
      <c r="J217">
        <f>IF(E217&gt;=u_max-beta_1*D217-blk_tol,1,0)</f>
      </c>
      <c r="K217" s="17">
        <f>J217*sig_blk</f>
      </c>
      <c r="L217" s="17">
        <f>I217-K217</f>
      </c>
      <c r="M217" s="17">
        <f>INDEX(Bar_As,MATCH(C217,Bar_No,0))*L217/1000</f>
      </c>
      <c r="N217" s="17">
        <f>M217*INDEX(Bar_Y,MATCH(C217,Bar_No,0))/1000</f>
      </c>
      <c r="O217" s="17">
        <f>M217*INDEX(Bar_X,MATCH(C217,Bar_No,0))/1000</f>
      </c>
    </row>
    <row r="218" spans="2:15" x14ac:dyDescent="0.25">
      <c r="B218">
        <v>12</v>
      </c>
      <c r="C218">
        <v>15</v>
      </c>
      <c r="D218" s="17">
        <f>INDEX(Blk_c,MATCH(B218,Blk_St,0))</f>
      </c>
      <c r="E218" s="17">
        <f>INDEX(Bar_U,MATCH(C218,Bar_No,0))</f>
      </c>
      <c r="F218" s="17">
        <f>u_max-E218</f>
      </c>
      <c r="G218" s="20">
        <f>IF(AND(ec_pivot&gt;0,D218&gt;d_theta),ec_pivot*D218/(D218-(1-ec_pivot/ecu)*d_theta),ecu)*(1-F218/D218)</f>
      </c>
      <c r="H218" s="20">
        <f>MAX(0,-G218)</f>
      </c>
      <c r="I218" s="17">
        <f>MAX(MIN(Es*G218,fy),-fy)</f>
      </c>
      <c r="J218">
        <f>IF(E218&gt;=u_max-beta_1*D218-blk_tol,1,0)</f>
      </c>
      <c r="K218" s="17">
        <f>J218*sig_blk</f>
      </c>
      <c r="L218" s="17">
        <f>I218-K218</f>
      </c>
      <c r="M218" s="17">
        <f>INDEX(Bar_As,MATCH(C218,Bar_No,0))*L218/1000</f>
      </c>
      <c r="N218" s="17">
        <f>M218*INDEX(Bar_Y,MATCH(C218,Bar_No,0))/1000</f>
      </c>
      <c r="O218" s="17">
        <f>M218*INDEX(Bar_X,MATCH(C218,Bar_No,0))/1000</f>
      </c>
    </row>
    <row r="219" spans="2:15" x14ac:dyDescent="0.25">
      <c r="B219">
        <v>12</v>
      </c>
      <c r="C219">
        <v>16</v>
      </c>
      <c r="D219" s="17">
        <f>INDEX(Blk_c,MATCH(B219,Blk_St,0))</f>
      </c>
      <c r="E219" s="17">
        <f>INDEX(Bar_U,MATCH(C219,Bar_No,0))</f>
      </c>
      <c r="F219" s="17">
        <f>u_max-E219</f>
      </c>
      <c r="G219" s="20">
        <f>IF(AND(ec_pivot&gt;0,D219&gt;d_theta),ec_pivot*D219/(D219-(1-ec_pivot/ecu)*d_theta),ecu)*(1-F219/D219)</f>
      </c>
      <c r="H219" s="20">
        <f>MAX(0,-G219)</f>
      </c>
      <c r="I219" s="17">
        <f>MAX(MIN(Es*G219,fy),-fy)</f>
      </c>
      <c r="J219">
        <f>IF(E219&gt;=u_max-beta_1*D219-blk_tol,1,0)</f>
      </c>
      <c r="K219" s="17">
        <f>J219*sig_blk</f>
      </c>
      <c r="L219" s="17">
        <f>I219-K219</f>
      </c>
      <c r="M219" s="17">
        <f>INDEX(Bar_As,MATCH(C219,Bar_No,0))*L219/1000</f>
      </c>
      <c r="N219" s="17">
        <f>M219*INDEX(Bar_Y,MATCH(C219,Bar_No,0))/1000</f>
      </c>
      <c r="O219" s="17">
        <f>M219*INDEX(Bar_X,MATCH(C219,Bar_No,0))/1000</f>
      </c>
    </row>
    <row r="220" spans="2:15" x14ac:dyDescent="0.25">
      <c r="B220">
        <v>12</v>
      </c>
      <c r="C220">
        <v>17</v>
      </c>
      <c r="D220" s="17">
        <f>INDEX(Blk_c,MATCH(B220,Blk_St,0))</f>
      </c>
      <c r="E220" s="17">
        <f>INDEX(Bar_U,MATCH(C220,Bar_No,0))</f>
      </c>
      <c r="F220" s="17">
        <f>u_max-E220</f>
      </c>
      <c r="G220" s="20">
        <f>IF(AND(ec_pivot&gt;0,D220&gt;d_theta),ec_pivot*D220/(D220-(1-ec_pivot/ecu)*d_theta),ecu)*(1-F220/D220)</f>
      </c>
      <c r="H220" s="20">
        <f>MAX(0,-G220)</f>
      </c>
      <c r="I220" s="17">
        <f>MAX(MIN(Es*G220,fy),-fy)</f>
      </c>
      <c r="J220">
        <f>IF(E220&gt;=u_max-beta_1*D220-blk_tol,1,0)</f>
      </c>
      <c r="K220" s="17">
        <f>J220*sig_blk</f>
      </c>
      <c r="L220" s="17">
        <f>I220-K220</f>
      </c>
      <c r="M220" s="17">
        <f>INDEX(Bar_As,MATCH(C220,Bar_No,0))*L220/1000</f>
      </c>
      <c r="N220" s="17">
        <f>M220*INDEX(Bar_Y,MATCH(C220,Bar_No,0))/1000</f>
      </c>
      <c r="O220" s="17">
        <f>M220*INDEX(Bar_X,MATCH(C220,Bar_No,0))/1000</f>
      </c>
    </row>
    <row r="221" spans="2:15" x14ac:dyDescent="0.25">
      <c r="B221">
        <v>12</v>
      </c>
      <c r="C221">
        <v>18</v>
      </c>
      <c r="D221" s="17">
        <f>INDEX(Blk_c,MATCH(B221,Blk_St,0))</f>
      </c>
      <c r="E221" s="17">
        <f>INDEX(Bar_U,MATCH(C221,Bar_No,0))</f>
      </c>
      <c r="F221" s="17">
        <f>u_max-E221</f>
      </c>
      <c r="G221" s="20">
        <f>IF(AND(ec_pivot&gt;0,D221&gt;d_theta),ec_pivot*D221/(D221-(1-ec_pivot/ecu)*d_theta),ecu)*(1-F221/D221)</f>
      </c>
      <c r="H221" s="20">
        <f>MAX(0,-G221)</f>
      </c>
      <c r="I221" s="17">
        <f>MAX(MIN(Es*G221,fy),-fy)</f>
      </c>
      <c r="J221">
        <f>IF(E221&gt;=u_max-beta_1*D221-blk_tol,1,0)</f>
      </c>
      <c r="K221" s="17">
        <f>J221*sig_blk</f>
      </c>
      <c r="L221" s="17">
        <f>I221-K221</f>
      </c>
      <c r="M221" s="17">
        <f>INDEX(Bar_As,MATCH(C221,Bar_No,0))*L221/1000</f>
      </c>
      <c r="N221" s="17">
        <f>M221*INDEX(Bar_Y,MATCH(C221,Bar_No,0))/1000</f>
      </c>
      <c r="O221" s="17">
        <f>M221*INDEX(Bar_X,MATCH(C221,Bar_No,0))/1000</f>
      </c>
    </row>
    <row r="222" spans="2:15" x14ac:dyDescent="0.25">
      <c r="B222">
        <v>13</v>
      </c>
      <c r="C222">
        <v>1</v>
      </c>
      <c r="D222" s="17">
        <f>INDEX(Blk_c,MATCH(B222,Blk_St,0))</f>
      </c>
      <c r="E222" s="17">
        <f>INDEX(Bar_U,MATCH(C222,Bar_No,0))</f>
      </c>
      <c r="F222" s="17">
        <f>u_max-E222</f>
      </c>
      <c r="G222" s="20">
        <f>IF(AND(ec_pivot&gt;0,D222&gt;d_theta),ec_pivot*D222/(D222-(1-ec_pivot/ecu)*d_theta),ecu)*(1-F222/D222)</f>
      </c>
      <c r="H222" s="20">
        <f>MAX(0,-G222)</f>
      </c>
      <c r="I222" s="17">
        <f>MAX(MIN(Es*G222,fy),-fy)</f>
      </c>
      <c r="J222">
        <f>IF(E222&gt;=u_max-beta_1*D222-blk_tol,1,0)</f>
      </c>
      <c r="K222" s="17">
        <f>J222*sig_blk</f>
      </c>
      <c r="L222" s="17">
        <f>I222-K222</f>
      </c>
      <c r="M222" s="17">
        <f>INDEX(Bar_As,MATCH(C222,Bar_No,0))*L222/1000</f>
      </c>
      <c r="N222" s="17">
        <f>M222*INDEX(Bar_Y,MATCH(C222,Bar_No,0))/1000</f>
      </c>
      <c r="O222" s="17">
        <f>M222*INDEX(Bar_X,MATCH(C222,Bar_No,0))/1000</f>
      </c>
    </row>
    <row r="223" spans="2:15" x14ac:dyDescent="0.25">
      <c r="B223">
        <v>13</v>
      </c>
      <c r="C223">
        <v>2</v>
      </c>
      <c r="D223" s="17">
        <f>INDEX(Blk_c,MATCH(B223,Blk_St,0))</f>
      </c>
      <c r="E223" s="17">
        <f>INDEX(Bar_U,MATCH(C223,Bar_No,0))</f>
      </c>
      <c r="F223" s="17">
        <f>u_max-E223</f>
      </c>
      <c r="G223" s="20">
        <f>IF(AND(ec_pivot&gt;0,D223&gt;d_theta),ec_pivot*D223/(D223-(1-ec_pivot/ecu)*d_theta),ecu)*(1-F223/D223)</f>
      </c>
      <c r="H223" s="20">
        <f>MAX(0,-G223)</f>
      </c>
      <c r="I223" s="17">
        <f>MAX(MIN(Es*G223,fy),-fy)</f>
      </c>
      <c r="J223">
        <f>IF(E223&gt;=u_max-beta_1*D223-blk_tol,1,0)</f>
      </c>
      <c r="K223" s="17">
        <f>J223*sig_blk</f>
      </c>
      <c r="L223" s="17">
        <f>I223-K223</f>
      </c>
      <c r="M223" s="17">
        <f>INDEX(Bar_As,MATCH(C223,Bar_No,0))*L223/1000</f>
      </c>
      <c r="N223" s="17">
        <f>M223*INDEX(Bar_Y,MATCH(C223,Bar_No,0))/1000</f>
      </c>
      <c r="O223" s="17">
        <f>M223*INDEX(Bar_X,MATCH(C223,Bar_No,0))/1000</f>
      </c>
    </row>
    <row r="224" spans="2:15" x14ac:dyDescent="0.25">
      <c r="B224">
        <v>13</v>
      </c>
      <c r="C224">
        <v>3</v>
      </c>
      <c r="D224" s="17">
        <f>INDEX(Blk_c,MATCH(B224,Blk_St,0))</f>
      </c>
      <c r="E224" s="17">
        <f>INDEX(Bar_U,MATCH(C224,Bar_No,0))</f>
      </c>
      <c r="F224" s="17">
        <f>u_max-E224</f>
      </c>
      <c r="G224" s="20">
        <f>IF(AND(ec_pivot&gt;0,D224&gt;d_theta),ec_pivot*D224/(D224-(1-ec_pivot/ecu)*d_theta),ecu)*(1-F224/D224)</f>
      </c>
      <c r="H224" s="20">
        <f>MAX(0,-G224)</f>
      </c>
      <c r="I224" s="17">
        <f>MAX(MIN(Es*G224,fy),-fy)</f>
      </c>
      <c r="J224">
        <f>IF(E224&gt;=u_max-beta_1*D224-blk_tol,1,0)</f>
      </c>
      <c r="K224" s="17">
        <f>J224*sig_blk</f>
      </c>
      <c r="L224" s="17">
        <f>I224-K224</f>
      </c>
      <c r="M224" s="17">
        <f>INDEX(Bar_As,MATCH(C224,Bar_No,0))*L224/1000</f>
      </c>
      <c r="N224" s="17">
        <f>M224*INDEX(Bar_Y,MATCH(C224,Bar_No,0))/1000</f>
      </c>
      <c r="O224" s="17">
        <f>M224*INDEX(Bar_X,MATCH(C224,Bar_No,0))/1000</f>
      </c>
    </row>
    <row r="225" spans="2:15" x14ac:dyDescent="0.25">
      <c r="B225">
        <v>13</v>
      </c>
      <c r="C225">
        <v>4</v>
      </c>
      <c r="D225" s="17">
        <f>INDEX(Blk_c,MATCH(B225,Blk_St,0))</f>
      </c>
      <c r="E225" s="17">
        <f>INDEX(Bar_U,MATCH(C225,Bar_No,0))</f>
      </c>
      <c r="F225" s="17">
        <f>u_max-E225</f>
      </c>
      <c r="G225" s="20">
        <f>IF(AND(ec_pivot&gt;0,D225&gt;d_theta),ec_pivot*D225/(D225-(1-ec_pivot/ecu)*d_theta),ecu)*(1-F225/D225)</f>
      </c>
      <c r="H225" s="20">
        <f>MAX(0,-G225)</f>
      </c>
      <c r="I225" s="17">
        <f>MAX(MIN(Es*G225,fy),-fy)</f>
      </c>
      <c r="J225">
        <f>IF(E225&gt;=u_max-beta_1*D225-blk_tol,1,0)</f>
      </c>
      <c r="K225" s="17">
        <f>J225*sig_blk</f>
      </c>
      <c r="L225" s="17">
        <f>I225-K225</f>
      </c>
      <c r="M225" s="17">
        <f>INDEX(Bar_As,MATCH(C225,Bar_No,0))*L225/1000</f>
      </c>
      <c r="N225" s="17">
        <f>M225*INDEX(Bar_Y,MATCH(C225,Bar_No,0))/1000</f>
      </c>
      <c r="O225" s="17">
        <f>M225*INDEX(Bar_X,MATCH(C225,Bar_No,0))/1000</f>
      </c>
    </row>
    <row r="226" spans="2:15" x14ac:dyDescent="0.25">
      <c r="B226">
        <v>13</v>
      </c>
      <c r="C226">
        <v>5</v>
      </c>
      <c r="D226" s="17">
        <f>INDEX(Blk_c,MATCH(B226,Blk_St,0))</f>
      </c>
      <c r="E226" s="17">
        <f>INDEX(Bar_U,MATCH(C226,Bar_No,0))</f>
      </c>
      <c r="F226" s="17">
        <f>u_max-E226</f>
      </c>
      <c r="G226" s="20">
        <f>IF(AND(ec_pivot&gt;0,D226&gt;d_theta),ec_pivot*D226/(D226-(1-ec_pivot/ecu)*d_theta),ecu)*(1-F226/D226)</f>
      </c>
      <c r="H226" s="20">
        <f>MAX(0,-G226)</f>
      </c>
      <c r="I226" s="17">
        <f>MAX(MIN(Es*G226,fy),-fy)</f>
      </c>
      <c r="J226">
        <f>IF(E226&gt;=u_max-beta_1*D226-blk_tol,1,0)</f>
      </c>
      <c r="K226" s="17">
        <f>J226*sig_blk</f>
      </c>
      <c r="L226" s="17">
        <f>I226-K226</f>
      </c>
      <c r="M226" s="17">
        <f>INDEX(Bar_As,MATCH(C226,Bar_No,0))*L226/1000</f>
      </c>
      <c r="N226" s="17">
        <f>M226*INDEX(Bar_Y,MATCH(C226,Bar_No,0))/1000</f>
      </c>
      <c r="O226" s="17">
        <f>M226*INDEX(Bar_X,MATCH(C226,Bar_No,0))/1000</f>
      </c>
    </row>
    <row r="227" spans="2:15" x14ac:dyDescent="0.25">
      <c r="B227">
        <v>13</v>
      </c>
      <c r="C227">
        <v>6</v>
      </c>
      <c r="D227" s="17">
        <f>INDEX(Blk_c,MATCH(B227,Blk_St,0))</f>
      </c>
      <c r="E227" s="17">
        <f>INDEX(Bar_U,MATCH(C227,Bar_No,0))</f>
      </c>
      <c r="F227" s="17">
        <f>u_max-E227</f>
      </c>
      <c r="G227" s="20">
        <f>IF(AND(ec_pivot&gt;0,D227&gt;d_theta),ec_pivot*D227/(D227-(1-ec_pivot/ecu)*d_theta),ecu)*(1-F227/D227)</f>
      </c>
      <c r="H227" s="20">
        <f>MAX(0,-G227)</f>
      </c>
      <c r="I227" s="17">
        <f>MAX(MIN(Es*G227,fy),-fy)</f>
      </c>
      <c r="J227">
        <f>IF(E227&gt;=u_max-beta_1*D227-blk_tol,1,0)</f>
      </c>
      <c r="K227" s="17">
        <f>J227*sig_blk</f>
      </c>
      <c r="L227" s="17">
        <f>I227-K227</f>
      </c>
      <c r="M227" s="17">
        <f>INDEX(Bar_As,MATCH(C227,Bar_No,0))*L227/1000</f>
      </c>
      <c r="N227" s="17">
        <f>M227*INDEX(Bar_Y,MATCH(C227,Bar_No,0))/1000</f>
      </c>
      <c r="O227" s="17">
        <f>M227*INDEX(Bar_X,MATCH(C227,Bar_No,0))/1000</f>
      </c>
    </row>
    <row r="228" spans="2:15" x14ac:dyDescent="0.25">
      <c r="B228">
        <v>13</v>
      </c>
      <c r="C228">
        <v>7</v>
      </c>
      <c r="D228" s="17">
        <f>INDEX(Blk_c,MATCH(B228,Blk_St,0))</f>
      </c>
      <c r="E228" s="17">
        <f>INDEX(Bar_U,MATCH(C228,Bar_No,0))</f>
      </c>
      <c r="F228" s="17">
        <f>u_max-E228</f>
      </c>
      <c r="G228" s="20">
        <f>IF(AND(ec_pivot&gt;0,D228&gt;d_theta),ec_pivot*D228/(D228-(1-ec_pivot/ecu)*d_theta),ecu)*(1-F228/D228)</f>
      </c>
      <c r="H228" s="20">
        <f>MAX(0,-G228)</f>
      </c>
      <c r="I228" s="17">
        <f>MAX(MIN(Es*G228,fy),-fy)</f>
      </c>
      <c r="J228">
        <f>IF(E228&gt;=u_max-beta_1*D228-blk_tol,1,0)</f>
      </c>
      <c r="K228" s="17">
        <f>J228*sig_blk</f>
      </c>
      <c r="L228" s="17">
        <f>I228-K228</f>
      </c>
      <c r="M228" s="17">
        <f>INDEX(Bar_As,MATCH(C228,Bar_No,0))*L228/1000</f>
      </c>
      <c r="N228" s="17">
        <f>M228*INDEX(Bar_Y,MATCH(C228,Bar_No,0))/1000</f>
      </c>
      <c r="O228" s="17">
        <f>M228*INDEX(Bar_X,MATCH(C228,Bar_No,0))/1000</f>
      </c>
    </row>
    <row r="229" spans="2:15" x14ac:dyDescent="0.25">
      <c r="B229">
        <v>13</v>
      </c>
      <c r="C229">
        <v>8</v>
      </c>
      <c r="D229" s="17">
        <f>INDEX(Blk_c,MATCH(B229,Blk_St,0))</f>
      </c>
      <c r="E229" s="17">
        <f>INDEX(Bar_U,MATCH(C229,Bar_No,0))</f>
      </c>
      <c r="F229" s="17">
        <f>u_max-E229</f>
      </c>
      <c r="G229" s="20">
        <f>IF(AND(ec_pivot&gt;0,D229&gt;d_theta),ec_pivot*D229/(D229-(1-ec_pivot/ecu)*d_theta),ecu)*(1-F229/D229)</f>
      </c>
      <c r="H229" s="20">
        <f>MAX(0,-G229)</f>
      </c>
      <c r="I229" s="17">
        <f>MAX(MIN(Es*G229,fy),-fy)</f>
      </c>
      <c r="J229">
        <f>IF(E229&gt;=u_max-beta_1*D229-blk_tol,1,0)</f>
      </c>
      <c r="K229" s="17">
        <f>J229*sig_blk</f>
      </c>
      <c r="L229" s="17">
        <f>I229-K229</f>
      </c>
      <c r="M229" s="17">
        <f>INDEX(Bar_As,MATCH(C229,Bar_No,0))*L229/1000</f>
      </c>
      <c r="N229" s="17">
        <f>M229*INDEX(Bar_Y,MATCH(C229,Bar_No,0))/1000</f>
      </c>
      <c r="O229" s="17">
        <f>M229*INDEX(Bar_X,MATCH(C229,Bar_No,0))/1000</f>
      </c>
    </row>
    <row r="230" spans="2:15" x14ac:dyDescent="0.25">
      <c r="B230">
        <v>13</v>
      </c>
      <c r="C230">
        <v>9</v>
      </c>
      <c r="D230" s="17">
        <f>INDEX(Blk_c,MATCH(B230,Blk_St,0))</f>
      </c>
      <c r="E230" s="17">
        <f>INDEX(Bar_U,MATCH(C230,Bar_No,0))</f>
      </c>
      <c r="F230" s="17">
        <f>u_max-E230</f>
      </c>
      <c r="G230" s="20">
        <f>IF(AND(ec_pivot&gt;0,D230&gt;d_theta),ec_pivot*D230/(D230-(1-ec_pivot/ecu)*d_theta),ecu)*(1-F230/D230)</f>
      </c>
      <c r="H230" s="20">
        <f>MAX(0,-G230)</f>
      </c>
      <c r="I230" s="17">
        <f>MAX(MIN(Es*G230,fy),-fy)</f>
      </c>
      <c r="J230">
        <f>IF(E230&gt;=u_max-beta_1*D230-blk_tol,1,0)</f>
      </c>
      <c r="K230" s="17">
        <f>J230*sig_blk</f>
      </c>
      <c r="L230" s="17">
        <f>I230-K230</f>
      </c>
      <c r="M230" s="17">
        <f>INDEX(Bar_As,MATCH(C230,Bar_No,0))*L230/1000</f>
      </c>
      <c r="N230" s="17">
        <f>M230*INDEX(Bar_Y,MATCH(C230,Bar_No,0))/1000</f>
      </c>
      <c r="O230" s="17">
        <f>M230*INDEX(Bar_X,MATCH(C230,Bar_No,0))/1000</f>
      </c>
    </row>
    <row r="231" spans="2:15" x14ac:dyDescent="0.25">
      <c r="B231">
        <v>13</v>
      </c>
      <c r="C231">
        <v>10</v>
      </c>
      <c r="D231" s="17">
        <f>INDEX(Blk_c,MATCH(B231,Blk_St,0))</f>
      </c>
      <c r="E231" s="17">
        <f>INDEX(Bar_U,MATCH(C231,Bar_No,0))</f>
      </c>
      <c r="F231" s="17">
        <f>u_max-E231</f>
      </c>
      <c r="G231" s="20">
        <f>IF(AND(ec_pivot&gt;0,D231&gt;d_theta),ec_pivot*D231/(D231-(1-ec_pivot/ecu)*d_theta),ecu)*(1-F231/D231)</f>
      </c>
      <c r="H231" s="20">
        <f>MAX(0,-G231)</f>
      </c>
      <c r="I231" s="17">
        <f>MAX(MIN(Es*G231,fy),-fy)</f>
      </c>
      <c r="J231">
        <f>IF(E231&gt;=u_max-beta_1*D231-blk_tol,1,0)</f>
      </c>
      <c r="K231" s="17">
        <f>J231*sig_blk</f>
      </c>
      <c r="L231" s="17">
        <f>I231-K231</f>
      </c>
      <c r="M231" s="17">
        <f>INDEX(Bar_As,MATCH(C231,Bar_No,0))*L231/1000</f>
      </c>
      <c r="N231" s="17">
        <f>M231*INDEX(Bar_Y,MATCH(C231,Bar_No,0))/1000</f>
      </c>
      <c r="O231" s="17">
        <f>M231*INDEX(Bar_X,MATCH(C231,Bar_No,0))/1000</f>
      </c>
    </row>
    <row r="232" spans="2:15" x14ac:dyDescent="0.25">
      <c r="B232">
        <v>13</v>
      </c>
      <c r="C232">
        <v>11</v>
      </c>
      <c r="D232" s="17">
        <f>INDEX(Blk_c,MATCH(B232,Blk_St,0))</f>
      </c>
      <c r="E232" s="17">
        <f>INDEX(Bar_U,MATCH(C232,Bar_No,0))</f>
      </c>
      <c r="F232" s="17">
        <f>u_max-E232</f>
      </c>
      <c r="G232" s="20">
        <f>IF(AND(ec_pivot&gt;0,D232&gt;d_theta),ec_pivot*D232/(D232-(1-ec_pivot/ecu)*d_theta),ecu)*(1-F232/D232)</f>
      </c>
      <c r="H232" s="20">
        <f>MAX(0,-G232)</f>
      </c>
      <c r="I232" s="17">
        <f>MAX(MIN(Es*G232,fy),-fy)</f>
      </c>
      <c r="J232">
        <f>IF(E232&gt;=u_max-beta_1*D232-blk_tol,1,0)</f>
      </c>
      <c r="K232" s="17">
        <f>J232*sig_blk</f>
      </c>
      <c r="L232" s="17">
        <f>I232-K232</f>
      </c>
      <c r="M232" s="17">
        <f>INDEX(Bar_As,MATCH(C232,Bar_No,0))*L232/1000</f>
      </c>
      <c r="N232" s="17">
        <f>M232*INDEX(Bar_Y,MATCH(C232,Bar_No,0))/1000</f>
      </c>
      <c r="O232" s="17">
        <f>M232*INDEX(Bar_X,MATCH(C232,Bar_No,0))/1000</f>
      </c>
    </row>
    <row r="233" spans="2:15" x14ac:dyDescent="0.25">
      <c r="B233">
        <v>13</v>
      </c>
      <c r="C233">
        <v>12</v>
      </c>
      <c r="D233" s="17">
        <f>INDEX(Blk_c,MATCH(B233,Blk_St,0))</f>
      </c>
      <c r="E233" s="17">
        <f>INDEX(Bar_U,MATCH(C233,Bar_No,0))</f>
      </c>
      <c r="F233" s="17">
        <f>u_max-E233</f>
      </c>
      <c r="G233" s="20">
        <f>IF(AND(ec_pivot&gt;0,D233&gt;d_theta),ec_pivot*D233/(D233-(1-ec_pivot/ecu)*d_theta),ecu)*(1-F233/D233)</f>
      </c>
      <c r="H233" s="20">
        <f>MAX(0,-G233)</f>
      </c>
      <c r="I233" s="17">
        <f>MAX(MIN(Es*G233,fy),-fy)</f>
      </c>
      <c r="J233">
        <f>IF(E233&gt;=u_max-beta_1*D233-blk_tol,1,0)</f>
      </c>
      <c r="K233" s="17">
        <f>J233*sig_blk</f>
      </c>
      <c r="L233" s="17">
        <f>I233-K233</f>
      </c>
      <c r="M233" s="17">
        <f>INDEX(Bar_As,MATCH(C233,Bar_No,0))*L233/1000</f>
      </c>
      <c r="N233" s="17">
        <f>M233*INDEX(Bar_Y,MATCH(C233,Bar_No,0))/1000</f>
      </c>
      <c r="O233" s="17">
        <f>M233*INDEX(Bar_X,MATCH(C233,Bar_No,0))/1000</f>
      </c>
    </row>
    <row r="234" spans="2:15" x14ac:dyDescent="0.25">
      <c r="B234">
        <v>13</v>
      </c>
      <c r="C234">
        <v>13</v>
      </c>
      <c r="D234" s="17">
        <f>INDEX(Blk_c,MATCH(B234,Blk_St,0))</f>
      </c>
      <c r="E234" s="17">
        <f>INDEX(Bar_U,MATCH(C234,Bar_No,0))</f>
      </c>
      <c r="F234" s="17">
        <f>u_max-E234</f>
      </c>
      <c r="G234" s="20">
        <f>IF(AND(ec_pivot&gt;0,D234&gt;d_theta),ec_pivot*D234/(D234-(1-ec_pivot/ecu)*d_theta),ecu)*(1-F234/D234)</f>
      </c>
      <c r="H234" s="20">
        <f>MAX(0,-G234)</f>
      </c>
      <c r="I234" s="17">
        <f>MAX(MIN(Es*G234,fy),-fy)</f>
      </c>
      <c r="J234">
        <f>IF(E234&gt;=u_max-beta_1*D234-blk_tol,1,0)</f>
      </c>
      <c r="K234" s="17">
        <f>J234*sig_blk</f>
      </c>
      <c r="L234" s="17">
        <f>I234-K234</f>
      </c>
      <c r="M234" s="17">
        <f>INDEX(Bar_As,MATCH(C234,Bar_No,0))*L234/1000</f>
      </c>
      <c r="N234" s="17">
        <f>M234*INDEX(Bar_Y,MATCH(C234,Bar_No,0))/1000</f>
      </c>
      <c r="O234" s="17">
        <f>M234*INDEX(Bar_X,MATCH(C234,Bar_No,0))/1000</f>
      </c>
    </row>
    <row r="235" spans="2:15" x14ac:dyDescent="0.25">
      <c r="B235">
        <v>13</v>
      </c>
      <c r="C235">
        <v>14</v>
      </c>
      <c r="D235" s="17">
        <f>INDEX(Blk_c,MATCH(B235,Blk_St,0))</f>
      </c>
      <c r="E235" s="17">
        <f>INDEX(Bar_U,MATCH(C235,Bar_No,0))</f>
      </c>
      <c r="F235" s="17">
        <f>u_max-E235</f>
      </c>
      <c r="G235" s="20">
        <f>IF(AND(ec_pivot&gt;0,D235&gt;d_theta),ec_pivot*D235/(D235-(1-ec_pivot/ecu)*d_theta),ecu)*(1-F235/D235)</f>
      </c>
      <c r="H235" s="20">
        <f>MAX(0,-G235)</f>
      </c>
      <c r="I235" s="17">
        <f>MAX(MIN(Es*G235,fy),-fy)</f>
      </c>
      <c r="J235">
        <f>IF(E235&gt;=u_max-beta_1*D235-blk_tol,1,0)</f>
      </c>
      <c r="K235" s="17">
        <f>J235*sig_blk</f>
      </c>
      <c r="L235" s="17">
        <f>I235-K235</f>
      </c>
      <c r="M235" s="17">
        <f>INDEX(Bar_As,MATCH(C235,Bar_No,0))*L235/1000</f>
      </c>
      <c r="N235" s="17">
        <f>M235*INDEX(Bar_Y,MATCH(C235,Bar_No,0))/1000</f>
      </c>
      <c r="O235" s="17">
        <f>M235*INDEX(Bar_X,MATCH(C235,Bar_No,0))/1000</f>
      </c>
    </row>
    <row r="236" spans="2:15" x14ac:dyDescent="0.25">
      <c r="B236">
        <v>13</v>
      </c>
      <c r="C236">
        <v>15</v>
      </c>
      <c r="D236" s="17">
        <f>INDEX(Blk_c,MATCH(B236,Blk_St,0))</f>
      </c>
      <c r="E236" s="17">
        <f>INDEX(Bar_U,MATCH(C236,Bar_No,0))</f>
      </c>
      <c r="F236" s="17">
        <f>u_max-E236</f>
      </c>
      <c r="G236" s="20">
        <f>IF(AND(ec_pivot&gt;0,D236&gt;d_theta),ec_pivot*D236/(D236-(1-ec_pivot/ecu)*d_theta),ecu)*(1-F236/D236)</f>
      </c>
      <c r="H236" s="20">
        <f>MAX(0,-G236)</f>
      </c>
      <c r="I236" s="17">
        <f>MAX(MIN(Es*G236,fy),-fy)</f>
      </c>
      <c r="J236">
        <f>IF(E236&gt;=u_max-beta_1*D236-blk_tol,1,0)</f>
      </c>
      <c r="K236" s="17">
        <f>J236*sig_blk</f>
      </c>
      <c r="L236" s="17">
        <f>I236-K236</f>
      </c>
      <c r="M236" s="17">
        <f>INDEX(Bar_As,MATCH(C236,Bar_No,0))*L236/1000</f>
      </c>
      <c r="N236" s="17">
        <f>M236*INDEX(Bar_Y,MATCH(C236,Bar_No,0))/1000</f>
      </c>
      <c r="O236" s="17">
        <f>M236*INDEX(Bar_X,MATCH(C236,Bar_No,0))/1000</f>
      </c>
    </row>
    <row r="237" spans="2:15" x14ac:dyDescent="0.25">
      <c r="B237">
        <v>13</v>
      </c>
      <c r="C237">
        <v>16</v>
      </c>
      <c r="D237" s="17">
        <f>INDEX(Blk_c,MATCH(B237,Blk_St,0))</f>
      </c>
      <c r="E237" s="17">
        <f>INDEX(Bar_U,MATCH(C237,Bar_No,0))</f>
      </c>
      <c r="F237" s="17">
        <f>u_max-E237</f>
      </c>
      <c r="G237" s="20">
        <f>IF(AND(ec_pivot&gt;0,D237&gt;d_theta),ec_pivot*D237/(D237-(1-ec_pivot/ecu)*d_theta),ecu)*(1-F237/D237)</f>
      </c>
      <c r="H237" s="20">
        <f>MAX(0,-G237)</f>
      </c>
      <c r="I237" s="17">
        <f>MAX(MIN(Es*G237,fy),-fy)</f>
      </c>
      <c r="J237">
        <f>IF(E237&gt;=u_max-beta_1*D237-blk_tol,1,0)</f>
      </c>
      <c r="K237" s="17">
        <f>J237*sig_blk</f>
      </c>
      <c r="L237" s="17">
        <f>I237-K237</f>
      </c>
      <c r="M237" s="17">
        <f>INDEX(Bar_As,MATCH(C237,Bar_No,0))*L237/1000</f>
      </c>
      <c r="N237" s="17">
        <f>M237*INDEX(Bar_Y,MATCH(C237,Bar_No,0))/1000</f>
      </c>
      <c r="O237" s="17">
        <f>M237*INDEX(Bar_X,MATCH(C237,Bar_No,0))/1000</f>
      </c>
    </row>
    <row r="238" spans="2:15" x14ac:dyDescent="0.25">
      <c r="B238">
        <v>13</v>
      </c>
      <c r="C238">
        <v>17</v>
      </c>
      <c r="D238" s="17">
        <f>INDEX(Blk_c,MATCH(B238,Blk_St,0))</f>
      </c>
      <c r="E238" s="17">
        <f>INDEX(Bar_U,MATCH(C238,Bar_No,0))</f>
      </c>
      <c r="F238" s="17">
        <f>u_max-E238</f>
      </c>
      <c r="G238" s="20">
        <f>IF(AND(ec_pivot&gt;0,D238&gt;d_theta),ec_pivot*D238/(D238-(1-ec_pivot/ecu)*d_theta),ecu)*(1-F238/D238)</f>
      </c>
      <c r="H238" s="20">
        <f>MAX(0,-G238)</f>
      </c>
      <c r="I238" s="17">
        <f>MAX(MIN(Es*G238,fy),-fy)</f>
      </c>
      <c r="J238">
        <f>IF(E238&gt;=u_max-beta_1*D238-blk_tol,1,0)</f>
      </c>
      <c r="K238" s="17">
        <f>J238*sig_blk</f>
      </c>
      <c r="L238" s="17">
        <f>I238-K238</f>
      </c>
      <c r="M238" s="17">
        <f>INDEX(Bar_As,MATCH(C238,Bar_No,0))*L238/1000</f>
      </c>
      <c r="N238" s="17">
        <f>M238*INDEX(Bar_Y,MATCH(C238,Bar_No,0))/1000</f>
      </c>
      <c r="O238" s="17">
        <f>M238*INDEX(Bar_X,MATCH(C238,Bar_No,0))/1000</f>
      </c>
    </row>
    <row r="239" spans="2:15" x14ac:dyDescent="0.25">
      <c r="B239">
        <v>13</v>
      </c>
      <c r="C239">
        <v>18</v>
      </c>
      <c r="D239" s="17">
        <f>INDEX(Blk_c,MATCH(B239,Blk_St,0))</f>
      </c>
      <c r="E239" s="17">
        <f>INDEX(Bar_U,MATCH(C239,Bar_No,0))</f>
      </c>
      <c r="F239" s="17">
        <f>u_max-E239</f>
      </c>
      <c r="G239" s="20">
        <f>IF(AND(ec_pivot&gt;0,D239&gt;d_theta),ec_pivot*D239/(D239-(1-ec_pivot/ecu)*d_theta),ecu)*(1-F239/D239)</f>
      </c>
      <c r="H239" s="20">
        <f>MAX(0,-G239)</f>
      </c>
      <c r="I239" s="17">
        <f>MAX(MIN(Es*G239,fy),-fy)</f>
      </c>
      <c r="J239">
        <f>IF(E239&gt;=u_max-beta_1*D239-blk_tol,1,0)</f>
      </c>
      <c r="K239" s="17">
        <f>J239*sig_blk</f>
      </c>
      <c r="L239" s="17">
        <f>I239-K239</f>
      </c>
      <c r="M239" s="17">
        <f>INDEX(Bar_As,MATCH(C239,Bar_No,0))*L239/1000</f>
      </c>
      <c r="N239" s="17">
        <f>M239*INDEX(Bar_Y,MATCH(C239,Bar_No,0))/1000</f>
      </c>
      <c r="O239" s="17">
        <f>M239*INDEX(Bar_X,MATCH(C239,Bar_No,0))/1000</f>
      </c>
    </row>
    <row r="240" spans="2:15" x14ac:dyDescent="0.25">
      <c r="B240">
        <v>14</v>
      </c>
      <c r="C240">
        <v>1</v>
      </c>
      <c r="D240" s="17">
        <f>INDEX(Blk_c,MATCH(B240,Blk_St,0))</f>
      </c>
      <c r="E240" s="17">
        <f>INDEX(Bar_U,MATCH(C240,Bar_No,0))</f>
      </c>
      <c r="F240" s="17">
        <f>u_max-E240</f>
      </c>
      <c r="G240" s="20">
        <f>IF(AND(ec_pivot&gt;0,D240&gt;d_theta),ec_pivot*D240/(D240-(1-ec_pivot/ecu)*d_theta),ecu)*(1-F240/D240)</f>
      </c>
      <c r="H240" s="20">
        <f>MAX(0,-G240)</f>
      </c>
      <c r="I240" s="17">
        <f>MAX(MIN(Es*G240,fy),-fy)</f>
      </c>
      <c r="J240">
        <f>IF(E240&gt;=u_max-beta_1*D240-blk_tol,1,0)</f>
      </c>
      <c r="K240" s="17">
        <f>J240*sig_blk</f>
      </c>
      <c r="L240" s="17">
        <f>I240-K240</f>
      </c>
      <c r="M240" s="17">
        <f>INDEX(Bar_As,MATCH(C240,Bar_No,0))*L240/1000</f>
      </c>
      <c r="N240" s="17">
        <f>M240*INDEX(Bar_Y,MATCH(C240,Bar_No,0))/1000</f>
      </c>
      <c r="O240" s="17">
        <f>M240*INDEX(Bar_X,MATCH(C240,Bar_No,0))/1000</f>
      </c>
    </row>
    <row r="241" spans="2:15" x14ac:dyDescent="0.25">
      <c r="B241">
        <v>14</v>
      </c>
      <c r="C241">
        <v>2</v>
      </c>
      <c r="D241" s="17">
        <f>INDEX(Blk_c,MATCH(B241,Blk_St,0))</f>
      </c>
      <c r="E241" s="17">
        <f>INDEX(Bar_U,MATCH(C241,Bar_No,0))</f>
      </c>
      <c r="F241" s="17">
        <f>u_max-E241</f>
      </c>
      <c r="G241" s="20">
        <f>IF(AND(ec_pivot&gt;0,D241&gt;d_theta),ec_pivot*D241/(D241-(1-ec_pivot/ecu)*d_theta),ecu)*(1-F241/D241)</f>
      </c>
      <c r="H241" s="20">
        <f>MAX(0,-G241)</f>
      </c>
      <c r="I241" s="17">
        <f>MAX(MIN(Es*G241,fy),-fy)</f>
      </c>
      <c r="J241">
        <f>IF(E241&gt;=u_max-beta_1*D241-blk_tol,1,0)</f>
      </c>
      <c r="K241" s="17">
        <f>J241*sig_blk</f>
      </c>
      <c r="L241" s="17">
        <f>I241-K241</f>
      </c>
      <c r="M241" s="17">
        <f>INDEX(Bar_As,MATCH(C241,Bar_No,0))*L241/1000</f>
      </c>
      <c r="N241" s="17">
        <f>M241*INDEX(Bar_Y,MATCH(C241,Bar_No,0))/1000</f>
      </c>
      <c r="O241" s="17">
        <f>M241*INDEX(Bar_X,MATCH(C241,Bar_No,0))/1000</f>
      </c>
    </row>
    <row r="242" spans="2:15" x14ac:dyDescent="0.25">
      <c r="B242">
        <v>14</v>
      </c>
      <c r="C242">
        <v>3</v>
      </c>
      <c r="D242" s="17">
        <f>INDEX(Blk_c,MATCH(B242,Blk_St,0))</f>
      </c>
      <c r="E242" s="17">
        <f>INDEX(Bar_U,MATCH(C242,Bar_No,0))</f>
      </c>
      <c r="F242" s="17">
        <f>u_max-E242</f>
      </c>
      <c r="G242" s="20">
        <f>IF(AND(ec_pivot&gt;0,D242&gt;d_theta),ec_pivot*D242/(D242-(1-ec_pivot/ecu)*d_theta),ecu)*(1-F242/D242)</f>
      </c>
      <c r="H242" s="20">
        <f>MAX(0,-G242)</f>
      </c>
      <c r="I242" s="17">
        <f>MAX(MIN(Es*G242,fy),-fy)</f>
      </c>
      <c r="J242">
        <f>IF(E242&gt;=u_max-beta_1*D242-blk_tol,1,0)</f>
      </c>
      <c r="K242" s="17">
        <f>J242*sig_blk</f>
      </c>
      <c r="L242" s="17">
        <f>I242-K242</f>
      </c>
      <c r="M242" s="17">
        <f>INDEX(Bar_As,MATCH(C242,Bar_No,0))*L242/1000</f>
      </c>
      <c r="N242" s="17">
        <f>M242*INDEX(Bar_Y,MATCH(C242,Bar_No,0))/1000</f>
      </c>
      <c r="O242" s="17">
        <f>M242*INDEX(Bar_X,MATCH(C242,Bar_No,0))/1000</f>
      </c>
    </row>
    <row r="243" spans="2:15" x14ac:dyDescent="0.25">
      <c r="B243">
        <v>14</v>
      </c>
      <c r="C243">
        <v>4</v>
      </c>
      <c r="D243" s="17">
        <f>INDEX(Blk_c,MATCH(B243,Blk_St,0))</f>
      </c>
      <c r="E243" s="17">
        <f>INDEX(Bar_U,MATCH(C243,Bar_No,0))</f>
      </c>
      <c r="F243" s="17">
        <f>u_max-E243</f>
      </c>
      <c r="G243" s="20">
        <f>IF(AND(ec_pivot&gt;0,D243&gt;d_theta),ec_pivot*D243/(D243-(1-ec_pivot/ecu)*d_theta),ecu)*(1-F243/D243)</f>
      </c>
      <c r="H243" s="20">
        <f>MAX(0,-G243)</f>
      </c>
      <c r="I243" s="17">
        <f>MAX(MIN(Es*G243,fy),-fy)</f>
      </c>
      <c r="J243">
        <f>IF(E243&gt;=u_max-beta_1*D243-blk_tol,1,0)</f>
      </c>
      <c r="K243" s="17">
        <f>J243*sig_blk</f>
      </c>
      <c r="L243" s="17">
        <f>I243-K243</f>
      </c>
      <c r="M243" s="17">
        <f>INDEX(Bar_As,MATCH(C243,Bar_No,0))*L243/1000</f>
      </c>
      <c r="N243" s="17">
        <f>M243*INDEX(Bar_Y,MATCH(C243,Bar_No,0))/1000</f>
      </c>
      <c r="O243" s="17">
        <f>M243*INDEX(Bar_X,MATCH(C243,Bar_No,0))/1000</f>
      </c>
    </row>
    <row r="244" spans="2:15" x14ac:dyDescent="0.25">
      <c r="B244">
        <v>14</v>
      </c>
      <c r="C244">
        <v>5</v>
      </c>
      <c r="D244" s="17">
        <f>INDEX(Blk_c,MATCH(B244,Blk_St,0))</f>
      </c>
      <c r="E244" s="17">
        <f>INDEX(Bar_U,MATCH(C244,Bar_No,0))</f>
      </c>
      <c r="F244" s="17">
        <f>u_max-E244</f>
      </c>
      <c r="G244" s="20">
        <f>IF(AND(ec_pivot&gt;0,D244&gt;d_theta),ec_pivot*D244/(D244-(1-ec_pivot/ecu)*d_theta),ecu)*(1-F244/D244)</f>
      </c>
      <c r="H244" s="20">
        <f>MAX(0,-G244)</f>
      </c>
      <c r="I244" s="17">
        <f>MAX(MIN(Es*G244,fy),-fy)</f>
      </c>
      <c r="J244">
        <f>IF(E244&gt;=u_max-beta_1*D244-blk_tol,1,0)</f>
      </c>
      <c r="K244" s="17">
        <f>J244*sig_blk</f>
      </c>
      <c r="L244" s="17">
        <f>I244-K244</f>
      </c>
      <c r="M244" s="17">
        <f>INDEX(Bar_As,MATCH(C244,Bar_No,0))*L244/1000</f>
      </c>
      <c r="N244" s="17">
        <f>M244*INDEX(Bar_Y,MATCH(C244,Bar_No,0))/1000</f>
      </c>
      <c r="O244" s="17">
        <f>M244*INDEX(Bar_X,MATCH(C244,Bar_No,0))/1000</f>
      </c>
    </row>
    <row r="245" spans="2:15" x14ac:dyDescent="0.25">
      <c r="B245">
        <v>14</v>
      </c>
      <c r="C245">
        <v>6</v>
      </c>
      <c r="D245" s="17">
        <f>INDEX(Blk_c,MATCH(B245,Blk_St,0))</f>
      </c>
      <c r="E245" s="17">
        <f>INDEX(Bar_U,MATCH(C245,Bar_No,0))</f>
      </c>
      <c r="F245" s="17">
        <f>u_max-E245</f>
      </c>
      <c r="G245" s="20">
        <f>IF(AND(ec_pivot&gt;0,D245&gt;d_theta),ec_pivot*D245/(D245-(1-ec_pivot/ecu)*d_theta),ecu)*(1-F245/D245)</f>
      </c>
      <c r="H245" s="20">
        <f>MAX(0,-G245)</f>
      </c>
      <c r="I245" s="17">
        <f>MAX(MIN(Es*G245,fy),-fy)</f>
      </c>
      <c r="J245">
        <f>IF(E245&gt;=u_max-beta_1*D245-blk_tol,1,0)</f>
      </c>
      <c r="K245" s="17">
        <f>J245*sig_blk</f>
      </c>
      <c r="L245" s="17">
        <f>I245-K245</f>
      </c>
      <c r="M245" s="17">
        <f>INDEX(Bar_As,MATCH(C245,Bar_No,0))*L245/1000</f>
      </c>
      <c r="N245" s="17">
        <f>M245*INDEX(Bar_Y,MATCH(C245,Bar_No,0))/1000</f>
      </c>
      <c r="O245" s="17">
        <f>M245*INDEX(Bar_X,MATCH(C245,Bar_No,0))/1000</f>
      </c>
    </row>
    <row r="246" spans="2:15" x14ac:dyDescent="0.25">
      <c r="B246">
        <v>14</v>
      </c>
      <c r="C246">
        <v>7</v>
      </c>
      <c r="D246" s="17">
        <f>INDEX(Blk_c,MATCH(B246,Blk_St,0))</f>
      </c>
      <c r="E246" s="17">
        <f>INDEX(Bar_U,MATCH(C246,Bar_No,0))</f>
      </c>
      <c r="F246" s="17">
        <f>u_max-E246</f>
      </c>
      <c r="G246" s="20">
        <f>IF(AND(ec_pivot&gt;0,D246&gt;d_theta),ec_pivot*D246/(D246-(1-ec_pivot/ecu)*d_theta),ecu)*(1-F246/D246)</f>
      </c>
      <c r="H246" s="20">
        <f>MAX(0,-G246)</f>
      </c>
      <c r="I246" s="17">
        <f>MAX(MIN(Es*G246,fy),-fy)</f>
      </c>
      <c r="J246">
        <f>IF(E246&gt;=u_max-beta_1*D246-blk_tol,1,0)</f>
      </c>
      <c r="K246" s="17">
        <f>J246*sig_blk</f>
      </c>
      <c r="L246" s="17">
        <f>I246-K246</f>
      </c>
      <c r="M246" s="17">
        <f>INDEX(Bar_As,MATCH(C246,Bar_No,0))*L246/1000</f>
      </c>
      <c r="N246" s="17">
        <f>M246*INDEX(Bar_Y,MATCH(C246,Bar_No,0))/1000</f>
      </c>
      <c r="O246" s="17">
        <f>M246*INDEX(Bar_X,MATCH(C246,Bar_No,0))/1000</f>
      </c>
    </row>
    <row r="247" spans="2:15" x14ac:dyDescent="0.25">
      <c r="B247">
        <v>14</v>
      </c>
      <c r="C247">
        <v>8</v>
      </c>
      <c r="D247" s="17">
        <f>INDEX(Blk_c,MATCH(B247,Blk_St,0))</f>
      </c>
      <c r="E247" s="17">
        <f>INDEX(Bar_U,MATCH(C247,Bar_No,0))</f>
      </c>
      <c r="F247" s="17">
        <f>u_max-E247</f>
      </c>
      <c r="G247" s="20">
        <f>IF(AND(ec_pivot&gt;0,D247&gt;d_theta),ec_pivot*D247/(D247-(1-ec_pivot/ecu)*d_theta),ecu)*(1-F247/D247)</f>
      </c>
      <c r="H247" s="20">
        <f>MAX(0,-G247)</f>
      </c>
      <c r="I247" s="17">
        <f>MAX(MIN(Es*G247,fy),-fy)</f>
      </c>
      <c r="J247">
        <f>IF(E247&gt;=u_max-beta_1*D247-blk_tol,1,0)</f>
      </c>
      <c r="K247" s="17">
        <f>J247*sig_blk</f>
      </c>
      <c r="L247" s="17">
        <f>I247-K247</f>
      </c>
      <c r="M247" s="17">
        <f>INDEX(Bar_As,MATCH(C247,Bar_No,0))*L247/1000</f>
      </c>
      <c r="N247" s="17">
        <f>M247*INDEX(Bar_Y,MATCH(C247,Bar_No,0))/1000</f>
      </c>
      <c r="O247" s="17">
        <f>M247*INDEX(Bar_X,MATCH(C247,Bar_No,0))/1000</f>
      </c>
    </row>
    <row r="248" spans="2:15" x14ac:dyDescent="0.25">
      <c r="B248">
        <v>14</v>
      </c>
      <c r="C248">
        <v>9</v>
      </c>
      <c r="D248" s="17">
        <f>INDEX(Blk_c,MATCH(B248,Blk_St,0))</f>
      </c>
      <c r="E248" s="17">
        <f>INDEX(Bar_U,MATCH(C248,Bar_No,0))</f>
      </c>
      <c r="F248" s="17">
        <f>u_max-E248</f>
      </c>
      <c r="G248" s="20">
        <f>IF(AND(ec_pivot&gt;0,D248&gt;d_theta),ec_pivot*D248/(D248-(1-ec_pivot/ecu)*d_theta),ecu)*(1-F248/D248)</f>
      </c>
      <c r="H248" s="20">
        <f>MAX(0,-G248)</f>
      </c>
      <c r="I248" s="17">
        <f>MAX(MIN(Es*G248,fy),-fy)</f>
      </c>
      <c r="J248">
        <f>IF(E248&gt;=u_max-beta_1*D248-blk_tol,1,0)</f>
      </c>
      <c r="K248" s="17">
        <f>J248*sig_blk</f>
      </c>
      <c r="L248" s="17">
        <f>I248-K248</f>
      </c>
      <c r="M248" s="17">
        <f>INDEX(Bar_As,MATCH(C248,Bar_No,0))*L248/1000</f>
      </c>
      <c r="N248" s="17">
        <f>M248*INDEX(Bar_Y,MATCH(C248,Bar_No,0))/1000</f>
      </c>
      <c r="O248" s="17">
        <f>M248*INDEX(Bar_X,MATCH(C248,Bar_No,0))/1000</f>
      </c>
    </row>
    <row r="249" spans="2:15" x14ac:dyDescent="0.25">
      <c r="B249">
        <v>14</v>
      </c>
      <c r="C249">
        <v>10</v>
      </c>
      <c r="D249" s="17">
        <f>INDEX(Blk_c,MATCH(B249,Blk_St,0))</f>
      </c>
      <c r="E249" s="17">
        <f>INDEX(Bar_U,MATCH(C249,Bar_No,0))</f>
      </c>
      <c r="F249" s="17">
        <f>u_max-E249</f>
      </c>
      <c r="G249" s="20">
        <f>IF(AND(ec_pivot&gt;0,D249&gt;d_theta),ec_pivot*D249/(D249-(1-ec_pivot/ecu)*d_theta),ecu)*(1-F249/D249)</f>
      </c>
      <c r="H249" s="20">
        <f>MAX(0,-G249)</f>
      </c>
      <c r="I249" s="17">
        <f>MAX(MIN(Es*G249,fy),-fy)</f>
      </c>
      <c r="J249">
        <f>IF(E249&gt;=u_max-beta_1*D249-blk_tol,1,0)</f>
      </c>
      <c r="K249" s="17">
        <f>J249*sig_blk</f>
      </c>
      <c r="L249" s="17">
        <f>I249-K249</f>
      </c>
      <c r="M249" s="17">
        <f>INDEX(Bar_As,MATCH(C249,Bar_No,0))*L249/1000</f>
      </c>
      <c r="N249" s="17">
        <f>M249*INDEX(Bar_Y,MATCH(C249,Bar_No,0))/1000</f>
      </c>
      <c r="O249" s="17">
        <f>M249*INDEX(Bar_X,MATCH(C249,Bar_No,0))/1000</f>
      </c>
    </row>
    <row r="250" spans="2:15" x14ac:dyDescent="0.25">
      <c r="B250">
        <v>14</v>
      </c>
      <c r="C250">
        <v>11</v>
      </c>
      <c r="D250" s="17">
        <f>INDEX(Blk_c,MATCH(B250,Blk_St,0))</f>
      </c>
      <c r="E250" s="17">
        <f>INDEX(Bar_U,MATCH(C250,Bar_No,0))</f>
      </c>
      <c r="F250" s="17">
        <f>u_max-E250</f>
      </c>
      <c r="G250" s="20">
        <f>IF(AND(ec_pivot&gt;0,D250&gt;d_theta),ec_pivot*D250/(D250-(1-ec_pivot/ecu)*d_theta),ecu)*(1-F250/D250)</f>
      </c>
      <c r="H250" s="20">
        <f>MAX(0,-G250)</f>
      </c>
      <c r="I250" s="17">
        <f>MAX(MIN(Es*G250,fy),-fy)</f>
      </c>
      <c r="J250">
        <f>IF(E250&gt;=u_max-beta_1*D250-blk_tol,1,0)</f>
      </c>
      <c r="K250" s="17">
        <f>J250*sig_blk</f>
      </c>
      <c r="L250" s="17">
        <f>I250-K250</f>
      </c>
      <c r="M250" s="17">
        <f>INDEX(Bar_As,MATCH(C250,Bar_No,0))*L250/1000</f>
      </c>
      <c r="N250" s="17">
        <f>M250*INDEX(Bar_Y,MATCH(C250,Bar_No,0))/1000</f>
      </c>
      <c r="O250" s="17">
        <f>M250*INDEX(Bar_X,MATCH(C250,Bar_No,0))/1000</f>
      </c>
    </row>
    <row r="251" spans="2:15" x14ac:dyDescent="0.25">
      <c r="B251">
        <v>14</v>
      </c>
      <c r="C251">
        <v>12</v>
      </c>
      <c r="D251" s="17">
        <f>INDEX(Blk_c,MATCH(B251,Blk_St,0))</f>
      </c>
      <c r="E251" s="17">
        <f>INDEX(Bar_U,MATCH(C251,Bar_No,0))</f>
      </c>
      <c r="F251" s="17">
        <f>u_max-E251</f>
      </c>
      <c r="G251" s="20">
        <f>IF(AND(ec_pivot&gt;0,D251&gt;d_theta),ec_pivot*D251/(D251-(1-ec_pivot/ecu)*d_theta),ecu)*(1-F251/D251)</f>
      </c>
      <c r="H251" s="20">
        <f>MAX(0,-G251)</f>
      </c>
      <c r="I251" s="17">
        <f>MAX(MIN(Es*G251,fy),-fy)</f>
      </c>
      <c r="J251">
        <f>IF(E251&gt;=u_max-beta_1*D251-blk_tol,1,0)</f>
      </c>
      <c r="K251" s="17">
        <f>J251*sig_blk</f>
      </c>
      <c r="L251" s="17">
        <f>I251-K251</f>
      </c>
      <c r="M251" s="17">
        <f>INDEX(Bar_As,MATCH(C251,Bar_No,0))*L251/1000</f>
      </c>
      <c r="N251" s="17">
        <f>M251*INDEX(Bar_Y,MATCH(C251,Bar_No,0))/1000</f>
      </c>
      <c r="O251" s="17">
        <f>M251*INDEX(Bar_X,MATCH(C251,Bar_No,0))/1000</f>
      </c>
    </row>
    <row r="252" spans="2:15" x14ac:dyDescent="0.25">
      <c r="B252">
        <v>14</v>
      </c>
      <c r="C252">
        <v>13</v>
      </c>
      <c r="D252" s="17">
        <f>INDEX(Blk_c,MATCH(B252,Blk_St,0))</f>
      </c>
      <c r="E252" s="17">
        <f>INDEX(Bar_U,MATCH(C252,Bar_No,0))</f>
      </c>
      <c r="F252" s="17">
        <f>u_max-E252</f>
      </c>
      <c r="G252" s="20">
        <f>IF(AND(ec_pivot&gt;0,D252&gt;d_theta),ec_pivot*D252/(D252-(1-ec_pivot/ecu)*d_theta),ecu)*(1-F252/D252)</f>
      </c>
      <c r="H252" s="20">
        <f>MAX(0,-G252)</f>
      </c>
      <c r="I252" s="17">
        <f>MAX(MIN(Es*G252,fy),-fy)</f>
      </c>
      <c r="J252">
        <f>IF(E252&gt;=u_max-beta_1*D252-blk_tol,1,0)</f>
      </c>
      <c r="K252" s="17">
        <f>J252*sig_blk</f>
      </c>
      <c r="L252" s="17">
        <f>I252-K252</f>
      </c>
      <c r="M252" s="17">
        <f>INDEX(Bar_As,MATCH(C252,Bar_No,0))*L252/1000</f>
      </c>
      <c r="N252" s="17">
        <f>M252*INDEX(Bar_Y,MATCH(C252,Bar_No,0))/1000</f>
      </c>
      <c r="O252" s="17">
        <f>M252*INDEX(Bar_X,MATCH(C252,Bar_No,0))/1000</f>
      </c>
    </row>
    <row r="253" spans="2:15" x14ac:dyDescent="0.25">
      <c r="B253">
        <v>14</v>
      </c>
      <c r="C253">
        <v>14</v>
      </c>
      <c r="D253" s="17">
        <f>INDEX(Blk_c,MATCH(B253,Blk_St,0))</f>
      </c>
      <c r="E253" s="17">
        <f>INDEX(Bar_U,MATCH(C253,Bar_No,0))</f>
      </c>
      <c r="F253" s="17">
        <f>u_max-E253</f>
      </c>
      <c r="G253" s="20">
        <f>IF(AND(ec_pivot&gt;0,D253&gt;d_theta),ec_pivot*D253/(D253-(1-ec_pivot/ecu)*d_theta),ecu)*(1-F253/D253)</f>
      </c>
      <c r="H253" s="20">
        <f>MAX(0,-G253)</f>
      </c>
      <c r="I253" s="17">
        <f>MAX(MIN(Es*G253,fy),-fy)</f>
      </c>
      <c r="J253">
        <f>IF(E253&gt;=u_max-beta_1*D253-blk_tol,1,0)</f>
      </c>
      <c r="K253" s="17">
        <f>J253*sig_blk</f>
      </c>
      <c r="L253" s="17">
        <f>I253-K253</f>
      </c>
      <c r="M253" s="17">
        <f>INDEX(Bar_As,MATCH(C253,Bar_No,0))*L253/1000</f>
      </c>
      <c r="N253" s="17">
        <f>M253*INDEX(Bar_Y,MATCH(C253,Bar_No,0))/1000</f>
      </c>
      <c r="O253" s="17">
        <f>M253*INDEX(Bar_X,MATCH(C253,Bar_No,0))/1000</f>
      </c>
    </row>
    <row r="254" spans="2:15" x14ac:dyDescent="0.25">
      <c r="B254">
        <v>14</v>
      </c>
      <c r="C254">
        <v>15</v>
      </c>
      <c r="D254" s="17">
        <f>INDEX(Blk_c,MATCH(B254,Blk_St,0))</f>
      </c>
      <c r="E254" s="17">
        <f>INDEX(Bar_U,MATCH(C254,Bar_No,0))</f>
      </c>
      <c r="F254" s="17">
        <f>u_max-E254</f>
      </c>
      <c r="G254" s="20">
        <f>IF(AND(ec_pivot&gt;0,D254&gt;d_theta),ec_pivot*D254/(D254-(1-ec_pivot/ecu)*d_theta),ecu)*(1-F254/D254)</f>
      </c>
      <c r="H254" s="20">
        <f>MAX(0,-G254)</f>
      </c>
      <c r="I254" s="17">
        <f>MAX(MIN(Es*G254,fy),-fy)</f>
      </c>
      <c r="J254">
        <f>IF(E254&gt;=u_max-beta_1*D254-blk_tol,1,0)</f>
      </c>
      <c r="K254" s="17">
        <f>J254*sig_blk</f>
      </c>
      <c r="L254" s="17">
        <f>I254-K254</f>
      </c>
      <c r="M254" s="17">
        <f>INDEX(Bar_As,MATCH(C254,Bar_No,0))*L254/1000</f>
      </c>
      <c r="N254" s="17">
        <f>M254*INDEX(Bar_Y,MATCH(C254,Bar_No,0))/1000</f>
      </c>
      <c r="O254" s="17">
        <f>M254*INDEX(Bar_X,MATCH(C254,Bar_No,0))/1000</f>
      </c>
    </row>
    <row r="255" spans="2:15" x14ac:dyDescent="0.25">
      <c r="B255">
        <v>14</v>
      </c>
      <c r="C255">
        <v>16</v>
      </c>
      <c r="D255" s="17">
        <f>INDEX(Blk_c,MATCH(B255,Blk_St,0))</f>
      </c>
      <c r="E255" s="17">
        <f>INDEX(Bar_U,MATCH(C255,Bar_No,0))</f>
      </c>
      <c r="F255" s="17">
        <f>u_max-E255</f>
      </c>
      <c r="G255" s="20">
        <f>IF(AND(ec_pivot&gt;0,D255&gt;d_theta),ec_pivot*D255/(D255-(1-ec_pivot/ecu)*d_theta),ecu)*(1-F255/D255)</f>
      </c>
      <c r="H255" s="20">
        <f>MAX(0,-G255)</f>
      </c>
      <c r="I255" s="17">
        <f>MAX(MIN(Es*G255,fy),-fy)</f>
      </c>
      <c r="J255">
        <f>IF(E255&gt;=u_max-beta_1*D255-blk_tol,1,0)</f>
      </c>
      <c r="K255" s="17">
        <f>J255*sig_blk</f>
      </c>
      <c r="L255" s="17">
        <f>I255-K255</f>
      </c>
      <c r="M255" s="17">
        <f>INDEX(Bar_As,MATCH(C255,Bar_No,0))*L255/1000</f>
      </c>
      <c r="N255" s="17">
        <f>M255*INDEX(Bar_Y,MATCH(C255,Bar_No,0))/1000</f>
      </c>
      <c r="O255" s="17">
        <f>M255*INDEX(Bar_X,MATCH(C255,Bar_No,0))/1000</f>
      </c>
    </row>
    <row r="256" spans="2:15" x14ac:dyDescent="0.25">
      <c r="B256">
        <v>14</v>
      </c>
      <c r="C256">
        <v>17</v>
      </c>
      <c r="D256" s="17">
        <f>INDEX(Blk_c,MATCH(B256,Blk_St,0))</f>
      </c>
      <c r="E256" s="17">
        <f>INDEX(Bar_U,MATCH(C256,Bar_No,0))</f>
      </c>
      <c r="F256" s="17">
        <f>u_max-E256</f>
      </c>
      <c r="G256" s="20">
        <f>IF(AND(ec_pivot&gt;0,D256&gt;d_theta),ec_pivot*D256/(D256-(1-ec_pivot/ecu)*d_theta),ecu)*(1-F256/D256)</f>
      </c>
      <c r="H256" s="20">
        <f>MAX(0,-G256)</f>
      </c>
      <c r="I256" s="17">
        <f>MAX(MIN(Es*G256,fy),-fy)</f>
      </c>
      <c r="J256">
        <f>IF(E256&gt;=u_max-beta_1*D256-blk_tol,1,0)</f>
      </c>
      <c r="K256" s="17">
        <f>J256*sig_blk</f>
      </c>
      <c r="L256" s="17">
        <f>I256-K256</f>
      </c>
      <c r="M256" s="17">
        <f>INDEX(Bar_As,MATCH(C256,Bar_No,0))*L256/1000</f>
      </c>
      <c r="N256" s="17">
        <f>M256*INDEX(Bar_Y,MATCH(C256,Bar_No,0))/1000</f>
      </c>
      <c r="O256" s="17">
        <f>M256*INDEX(Bar_X,MATCH(C256,Bar_No,0))/1000</f>
      </c>
    </row>
    <row r="257" spans="2:15" x14ac:dyDescent="0.25">
      <c r="B257">
        <v>14</v>
      </c>
      <c r="C257">
        <v>18</v>
      </c>
      <c r="D257" s="17">
        <f>INDEX(Blk_c,MATCH(B257,Blk_St,0))</f>
      </c>
      <c r="E257" s="17">
        <f>INDEX(Bar_U,MATCH(C257,Bar_No,0))</f>
      </c>
      <c r="F257" s="17">
        <f>u_max-E257</f>
      </c>
      <c r="G257" s="20">
        <f>IF(AND(ec_pivot&gt;0,D257&gt;d_theta),ec_pivot*D257/(D257-(1-ec_pivot/ecu)*d_theta),ecu)*(1-F257/D257)</f>
      </c>
      <c r="H257" s="20">
        <f>MAX(0,-G257)</f>
      </c>
      <c r="I257" s="17">
        <f>MAX(MIN(Es*G257,fy),-fy)</f>
      </c>
      <c r="J257">
        <f>IF(E257&gt;=u_max-beta_1*D257-blk_tol,1,0)</f>
      </c>
      <c r="K257" s="17">
        <f>J257*sig_blk</f>
      </c>
      <c r="L257" s="17">
        <f>I257-K257</f>
      </c>
      <c r="M257" s="17">
        <f>INDEX(Bar_As,MATCH(C257,Bar_No,0))*L257/1000</f>
      </c>
      <c r="N257" s="17">
        <f>M257*INDEX(Bar_Y,MATCH(C257,Bar_No,0))/1000</f>
      </c>
      <c r="O257" s="17">
        <f>M257*INDEX(Bar_X,MATCH(C257,Bar_No,0))/1000</f>
      </c>
    </row>
    <row r="258" spans="2:15" x14ac:dyDescent="0.25">
      <c r="B258">
        <v>15</v>
      </c>
      <c r="C258">
        <v>1</v>
      </c>
      <c r="D258" s="17">
        <f>INDEX(Blk_c,MATCH(B258,Blk_St,0))</f>
      </c>
      <c r="E258" s="17">
        <f>INDEX(Bar_U,MATCH(C258,Bar_No,0))</f>
      </c>
      <c r="F258" s="17">
        <f>u_max-E258</f>
      </c>
      <c r="G258" s="20">
        <f>IF(AND(ec_pivot&gt;0,D258&gt;d_theta),ec_pivot*D258/(D258-(1-ec_pivot/ecu)*d_theta),ecu)*(1-F258/D258)</f>
      </c>
      <c r="H258" s="20">
        <f>MAX(0,-G258)</f>
      </c>
      <c r="I258" s="17">
        <f>MAX(MIN(Es*G258,fy),-fy)</f>
      </c>
      <c r="J258">
        <f>IF(E258&gt;=u_max-beta_1*D258-blk_tol,1,0)</f>
      </c>
      <c r="K258" s="17">
        <f>J258*sig_blk</f>
      </c>
      <c r="L258" s="17">
        <f>I258-K258</f>
      </c>
      <c r="M258" s="17">
        <f>INDEX(Bar_As,MATCH(C258,Bar_No,0))*L258/1000</f>
      </c>
      <c r="N258" s="17">
        <f>M258*INDEX(Bar_Y,MATCH(C258,Bar_No,0))/1000</f>
      </c>
      <c r="O258" s="17">
        <f>M258*INDEX(Bar_X,MATCH(C258,Bar_No,0))/1000</f>
      </c>
    </row>
    <row r="259" spans="2:15" x14ac:dyDescent="0.25">
      <c r="B259">
        <v>15</v>
      </c>
      <c r="C259">
        <v>2</v>
      </c>
      <c r="D259" s="17">
        <f>INDEX(Blk_c,MATCH(B259,Blk_St,0))</f>
      </c>
      <c r="E259" s="17">
        <f>INDEX(Bar_U,MATCH(C259,Bar_No,0))</f>
      </c>
      <c r="F259" s="17">
        <f>u_max-E259</f>
      </c>
      <c r="G259" s="20">
        <f>IF(AND(ec_pivot&gt;0,D259&gt;d_theta),ec_pivot*D259/(D259-(1-ec_pivot/ecu)*d_theta),ecu)*(1-F259/D259)</f>
      </c>
      <c r="H259" s="20">
        <f>MAX(0,-G259)</f>
      </c>
      <c r="I259" s="17">
        <f>MAX(MIN(Es*G259,fy),-fy)</f>
      </c>
      <c r="J259">
        <f>IF(E259&gt;=u_max-beta_1*D259-blk_tol,1,0)</f>
      </c>
      <c r="K259" s="17">
        <f>J259*sig_blk</f>
      </c>
      <c r="L259" s="17">
        <f>I259-K259</f>
      </c>
      <c r="M259" s="17">
        <f>INDEX(Bar_As,MATCH(C259,Bar_No,0))*L259/1000</f>
      </c>
      <c r="N259" s="17">
        <f>M259*INDEX(Bar_Y,MATCH(C259,Bar_No,0))/1000</f>
      </c>
      <c r="O259" s="17">
        <f>M259*INDEX(Bar_X,MATCH(C259,Bar_No,0))/1000</f>
      </c>
    </row>
    <row r="260" spans="2:15" x14ac:dyDescent="0.25">
      <c r="B260">
        <v>15</v>
      </c>
      <c r="C260">
        <v>3</v>
      </c>
      <c r="D260" s="17">
        <f>INDEX(Blk_c,MATCH(B260,Blk_St,0))</f>
      </c>
      <c r="E260" s="17">
        <f>INDEX(Bar_U,MATCH(C260,Bar_No,0))</f>
      </c>
      <c r="F260" s="17">
        <f>u_max-E260</f>
      </c>
      <c r="G260" s="20">
        <f>IF(AND(ec_pivot&gt;0,D260&gt;d_theta),ec_pivot*D260/(D260-(1-ec_pivot/ecu)*d_theta),ecu)*(1-F260/D260)</f>
      </c>
      <c r="H260" s="20">
        <f>MAX(0,-G260)</f>
      </c>
      <c r="I260" s="17">
        <f>MAX(MIN(Es*G260,fy),-fy)</f>
      </c>
      <c r="J260">
        <f>IF(E260&gt;=u_max-beta_1*D260-blk_tol,1,0)</f>
      </c>
      <c r="K260" s="17">
        <f>J260*sig_blk</f>
      </c>
      <c r="L260" s="17">
        <f>I260-K260</f>
      </c>
      <c r="M260" s="17">
        <f>INDEX(Bar_As,MATCH(C260,Bar_No,0))*L260/1000</f>
      </c>
      <c r="N260" s="17">
        <f>M260*INDEX(Bar_Y,MATCH(C260,Bar_No,0))/1000</f>
      </c>
      <c r="O260" s="17">
        <f>M260*INDEX(Bar_X,MATCH(C260,Bar_No,0))/1000</f>
      </c>
    </row>
    <row r="261" spans="2:15" x14ac:dyDescent="0.25">
      <c r="B261">
        <v>15</v>
      </c>
      <c r="C261">
        <v>4</v>
      </c>
      <c r="D261" s="17">
        <f>INDEX(Blk_c,MATCH(B261,Blk_St,0))</f>
      </c>
      <c r="E261" s="17">
        <f>INDEX(Bar_U,MATCH(C261,Bar_No,0))</f>
      </c>
      <c r="F261" s="17">
        <f>u_max-E261</f>
      </c>
      <c r="G261" s="20">
        <f>IF(AND(ec_pivot&gt;0,D261&gt;d_theta),ec_pivot*D261/(D261-(1-ec_pivot/ecu)*d_theta),ecu)*(1-F261/D261)</f>
      </c>
      <c r="H261" s="20">
        <f>MAX(0,-G261)</f>
      </c>
      <c r="I261" s="17">
        <f>MAX(MIN(Es*G261,fy),-fy)</f>
      </c>
      <c r="J261">
        <f>IF(E261&gt;=u_max-beta_1*D261-blk_tol,1,0)</f>
      </c>
      <c r="K261" s="17">
        <f>J261*sig_blk</f>
      </c>
      <c r="L261" s="17">
        <f>I261-K261</f>
      </c>
      <c r="M261" s="17">
        <f>INDEX(Bar_As,MATCH(C261,Bar_No,0))*L261/1000</f>
      </c>
      <c r="N261" s="17">
        <f>M261*INDEX(Bar_Y,MATCH(C261,Bar_No,0))/1000</f>
      </c>
      <c r="O261" s="17">
        <f>M261*INDEX(Bar_X,MATCH(C261,Bar_No,0))/1000</f>
      </c>
    </row>
    <row r="262" spans="2:15" x14ac:dyDescent="0.25">
      <c r="B262">
        <v>15</v>
      </c>
      <c r="C262">
        <v>5</v>
      </c>
      <c r="D262" s="17">
        <f>INDEX(Blk_c,MATCH(B262,Blk_St,0))</f>
      </c>
      <c r="E262" s="17">
        <f>INDEX(Bar_U,MATCH(C262,Bar_No,0))</f>
      </c>
      <c r="F262" s="17">
        <f>u_max-E262</f>
      </c>
      <c r="G262" s="20">
        <f>IF(AND(ec_pivot&gt;0,D262&gt;d_theta),ec_pivot*D262/(D262-(1-ec_pivot/ecu)*d_theta),ecu)*(1-F262/D262)</f>
      </c>
      <c r="H262" s="20">
        <f>MAX(0,-G262)</f>
      </c>
      <c r="I262" s="17">
        <f>MAX(MIN(Es*G262,fy),-fy)</f>
      </c>
      <c r="J262">
        <f>IF(E262&gt;=u_max-beta_1*D262-blk_tol,1,0)</f>
      </c>
      <c r="K262" s="17">
        <f>J262*sig_blk</f>
      </c>
      <c r="L262" s="17">
        <f>I262-K262</f>
      </c>
      <c r="M262" s="17">
        <f>INDEX(Bar_As,MATCH(C262,Bar_No,0))*L262/1000</f>
      </c>
      <c r="N262" s="17">
        <f>M262*INDEX(Bar_Y,MATCH(C262,Bar_No,0))/1000</f>
      </c>
      <c r="O262" s="17">
        <f>M262*INDEX(Bar_X,MATCH(C262,Bar_No,0))/1000</f>
      </c>
    </row>
    <row r="263" spans="2:15" x14ac:dyDescent="0.25">
      <c r="B263">
        <v>15</v>
      </c>
      <c r="C263">
        <v>6</v>
      </c>
      <c r="D263" s="17">
        <f>INDEX(Blk_c,MATCH(B263,Blk_St,0))</f>
      </c>
      <c r="E263" s="17">
        <f>INDEX(Bar_U,MATCH(C263,Bar_No,0))</f>
      </c>
      <c r="F263" s="17">
        <f>u_max-E263</f>
      </c>
      <c r="G263" s="20">
        <f>IF(AND(ec_pivot&gt;0,D263&gt;d_theta),ec_pivot*D263/(D263-(1-ec_pivot/ecu)*d_theta),ecu)*(1-F263/D263)</f>
      </c>
      <c r="H263" s="20">
        <f>MAX(0,-G263)</f>
      </c>
      <c r="I263" s="17">
        <f>MAX(MIN(Es*G263,fy),-fy)</f>
      </c>
      <c r="J263">
        <f>IF(E263&gt;=u_max-beta_1*D263-blk_tol,1,0)</f>
      </c>
      <c r="K263" s="17">
        <f>J263*sig_blk</f>
      </c>
      <c r="L263" s="17">
        <f>I263-K263</f>
      </c>
      <c r="M263" s="17">
        <f>INDEX(Bar_As,MATCH(C263,Bar_No,0))*L263/1000</f>
      </c>
      <c r="N263" s="17">
        <f>M263*INDEX(Bar_Y,MATCH(C263,Bar_No,0))/1000</f>
      </c>
      <c r="O263" s="17">
        <f>M263*INDEX(Bar_X,MATCH(C263,Bar_No,0))/1000</f>
      </c>
    </row>
    <row r="264" spans="2:15" x14ac:dyDescent="0.25">
      <c r="B264">
        <v>15</v>
      </c>
      <c r="C264">
        <v>7</v>
      </c>
      <c r="D264" s="17">
        <f>INDEX(Blk_c,MATCH(B264,Blk_St,0))</f>
      </c>
      <c r="E264" s="17">
        <f>INDEX(Bar_U,MATCH(C264,Bar_No,0))</f>
      </c>
      <c r="F264" s="17">
        <f>u_max-E264</f>
      </c>
      <c r="G264" s="20">
        <f>IF(AND(ec_pivot&gt;0,D264&gt;d_theta),ec_pivot*D264/(D264-(1-ec_pivot/ecu)*d_theta),ecu)*(1-F264/D264)</f>
      </c>
      <c r="H264" s="20">
        <f>MAX(0,-G264)</f>
      </c>
      <c r="I264" s="17">
        <f>MAX(MIN(Es*G264,fy),-fy)</f>
      </c>
      <c r="J264">
        <f>IF(E264&gt;=u_max-beta_1*D264-blk_tol,1,0)</f>
      </c>
      <c r="K264" s="17">
        <f>J264*sig_blk</f>
      </c>
      <c r="L264" s="17">
        <f>I264-K264</f>
      </c>
      <c r="M264" s="17">
        <f>INDEX(Bar_As,MATCH(C264,Bar_No,0))*L264/1000</f>
      </c>
      <c r="N264" s="17">
        <f>M264*INDEX(Bar_Y,MATCH(C264,Bar_No,0))/1000</f>
      </c>
      <c r="O264" s="17">
        <f>M264*INDEX(Bar_X,MATCH(C264,Bar_No,0))/1000</f>
      </c>
    </row>
    <row r="265" spans="2:15" x14ac:dyDescent="0.25">
      <c r="B265">
        <v>15</v>
      </c>
      <c r="C265">
        <v>8</v>
      </c>
      <c r="D265" s="17">
        <f>INDEX(Blk_c,MATCH(B265,Blk_St,0))</f>
      </c>
      <c r="E265" s="17">
        <f>INDEX(Bar_U,MATCH(C265,Bar_No,0))</f>
      </c>
      <c r="F265" s="17">
        <f>u_max-E265</f>
      </c>
      <c r="G265" s="20">
        <f>IF(AND(ec_pivot&gt;0,D265&gt;d_theta),ec_pivot*D265/(D265-(1-ec_pivot/ecu)*d_theta),ecu)*(1-F265/D265)</f>
      </c>
      <c r="H265" s="20">
        <f>MAX(0,-G265)</f>
      </c>
      <c r="I265" s="17">
        <f>MAX(MIN(Es*G265,fy),-fy)</f>
      </c>
      <c r="J265">
        <f>IF(E265&gt;=u_max-beta_1*D265-blk_tol,1,0)</f>
      </c>
      <c r="K265" s="17">
        <f>J265*sig_blk</f>
      </c>
      <c r="L265" s="17">
        <f>I265-K265</f>
      </c>
      <c r="M265" s="17">
        <f>INDEX(Bar_As,MATCH(C265,Bar_No,0))*L265/1000</f>
      </c>
      <c r="N265" s="17">
        <f>M265*INDEX(Bar_Y,MATCH(C265,Bar_No,0))/1000</f>
      </c>
      <c r="O265" s="17">
        <f>M265*INDEX(Bar_X,MATCH(C265,Bar_No,0))/1000</f>
      </c>
    </row>
    <row r="266" spans="2:15" x14ac:dyDescent="0.25">
      <c r="B266">
        <v>15</v>
      </c>
      <c r="C266">
        <v>9</v>
      </c>
      <c r="D266" s="17">
        <f>INDEX(Blk_c,MATCH(B266,Blk_St,0))</f>
      </c>
      <c r="E266" s="17">
        <f>INDEX(Bar_U,MATCH(C266,Bar_No,0))</f>
      </c>
      <c r="F266" s="17">
        <f>u_max-E266</f>
      </c>
      <c r="G266" s="20">
        <f>IF(AND(ec_pivot&gt;0,D266&gt;d_theta),ec_pivot*D266/(D266-(1-ec_pivot/ecu)*d_theta),ecu)*(1-F266/D266)</f>
      </c>
      <c r="H266" s="20">
        <f>MAX(0,-G266)</f>
      </c>
      <c r="I266" s="17">
        <f>MAX(MIN(Es*G266,fy),-fy)</f>
      </c>
      <c r="J266">
        <f>IF(E266&gt;=u_max-beta_1*D266-blk_tol,1,0)</f>
      </c>
      <c r="K266" s="17">
        <f>J266*sig_blk</f>
      </c>
      <c r="L266" s="17">
        <f>I266-K266</f>
      </c>
      <c r="M266" s="17">
        <f>INDEX(Bar_As,MATCH(C266,Bar_No,0))*L266/1000</f>
      </c>
      <c r="N266" s="17">
        <f>M266*INDEX(Bar_Y,MATCH(C266,Bar_No,0))/1000</f>
      </c>
      <c r="O266" s="17">
        <f>M266*INDEX(Bar_X,MATCH(C266,Bar_No,0))/1000</f>
      </c>
    </row>
    <row r="267" spans="2:15" x14ac:dyDescent="0.25">
      <c r="B267">
        <v>15</v>
      </c>
      <c r="C267">
        <v>10</v>
      </c>
      <c r="D267" s="17">
        <f>INDEX(Blk_c,MATCH(B267,Blk_St,0))</f>
      </c>
      <c r="E267" s="17">
        <f>INDEX(Bar_U,MATCH(C267,Bar_No,0))</f>
      </c>
      <c r="F267" s="17">
        <f>u_max-E267</f>
      </c>
      <c r="G267" s="20">
        <f>IF(AND(ec_pivot&gt;0,D267&gt;d_theta),ec_pivot*D267/(D267-(1-ec_pivot/ecu)*d_theta),ecu)*(1-F267/D267)</f>
      </c>
      <c r="H267" s="20">
        <f>MAX(0,-G267)</f>
      </c>
      <c r="I267" s="17">
        <f>MAX(MIN(Es*G267,fy),-fy)</f>
      </c>
      <c r="J267">
        <f>IF(E267&gt;=u_max-beta_1*D267-blk_tol,1,0)</f>
      </c>
      <c r="K267" s="17">
        <f>J267*sig_blk</f>
      </c>
      <c r="L267" s="17">
        <f>I267-K267</f>
      </c>
      <c r="M267" s="17">
        <f>INDEX(Bar_As,MATCH(C267,Bar_No,0))*L267/1000</f>
      </c>
      <c r="N267" s="17">
        <f>M267*INDEX(Bar_Y,MATCH(C267,Bar_No,0))/1000</f>
      </c>
      <c r="O267" s="17">
        <f>M267*INDEX(Bar_X,MATCH(C267,Bar_No,0))/1000</f>
      </c>
    </row>
    <row r="268" spans="2:15" x14ac:dyDescent="0.25">
      <c r="B268">
        <v>15</v>
      </c>
      <c r="C268">
        <v>11</v>
      </c>
      <c r="D268" s="17">
        <f>INDEX(Blk_c,MATCH(B268,Blk_St,0))</f>
      </c>
      <c r="E268" s="17">
        <f>INDEX(Bar_U,MATCH(C268,Bar_No,0))</f>
      </c>
      <c r="F268" s="17">
        <f>u_max-E268</f>
      </c>
      <c r="G268" s="20">
        <f>IF(AND(ec_pivot&gt;0,D268&gt;d_theta),ec_pivot*D268/(D268-(1-ec_pivot/ecu)*d_theta),ecu)*(1-F268/D268)</f>
      </c>
      <c r="H268" s="20">
        <f>MAX(0,-G268)</f>
      </c>
      <c r="I268" s="17">
        <f>MAX(MIN(Es*G268,fy),-fy)</f>
      </c>
      <c r="J268">
        <f>IF(E268&gt;=u_max-beta_1*D268-blk_tol,1,0)</f>
      </c>
      <c r="K268" s="17">
        <f>J268*sig_blk</f>
      </c>
      <c r="L268" s="17">
        <f>I268-K268</f>
      </c>
      <c r="M268" s="17">
        <f>INDEX(Bar_As,MATCH(C268,Bar_No,0))*L268/1000</f>
      </c>
      <c r="N268" s="17">
        <f>M268*INDEX(Bar_Y,MATCH(C268,Bar_No,0))/1000</f>
      </c>
      <c r="O268" s="17">
        <f>M268*INDEX(Bar_X,MATCH(C268,Bar_No,0))/1000</f>
      </c>
    </row>
    <row r="269" spans="2:15" x14ac:dyDescent="0.25">
      <c r="B269">
        <v>15</v>
      </c>
      <c r="C269">
        <v>12</v>
      </c>
      <c r="D269" s="17">
        <f>INDEX(Blk_c,MATCH(B269,Blk_St,0))</f>
      </c>
      <c r="E269" s="17">
        <f>INDEX(Bar_U,MATCH(C269,Bar_No,0))</f>
      </c>
      <c r="F269" s="17">
        <f>u_max-E269</f>
      </c>
      <c r="G269" s="20">
        <f>IF(AND(ec_pivot&gt;0,D269&gt;d_theta),ec_pivot*D269/(D269-(1-ec_pivot/ecu)*d_theta),ecu)*(1-F269/D269)</f>
      </c>
      <c r="H269" s="20">
        <f>MAX(0,-G269)</f>
      </c>
      <c r="I269" s="17">
        <f>MAX(MIN(Es*G269,fy),-fy)</f>
      </c>
      <c r="J269">
        <f>IF(E269&gt;=u_max-beta_1*D269-blk_tol,1,0)</f>
      </c>
      <c r="K269" s="17">
        <f>J269*sig_blk</f>
      </c>
      <c r="L269" s="17">
        <f>I269-K269</f>
      </c>
      <c r="M269" s="17">
        <f>INDEX(Bar_As,MATCH(C269,Bar_No,0))*L269/1000</f>
      </c>
      <c r="N269" s="17">
        <f>M269*INDEX(Bar_Y,MATCH(C269,Bar_No,0))/1000</f>
      </c>
      <c r="O269" s="17">
        <f>M269*INDEX(Bar_X,MATCH(C269,Bar_No,0))/1000</f>
      </c>
    </row>
    <row r="270" spans="2:15" x14ac:dyDescent="0.25">
      <c r="B270">
        <v>15</v>
      </c>
      <c r="C270">
        <v>13</v>
      </c>
      <c r="D270" s="17">
        <f>INDEX(Blk_c,MATCH(B270,Blk_St,0))</f>
      </c>
      <c r="E270" s="17">
        <f>INDEX(Bar_U,MATCH(C270,Bar_No,0))</f>
      </c>
      <c r="F270" s="17">
        <f>u_max-E270</f>
      </c>
      <c r="G270" s="20">
        <f>IF(AND(ec_pivot&gt;0,D270&gt;d_theta),ec_pivot*D270/(D270-(1-ec_pivot/ecu)*d_theta),ecu)*(1-F270/D270)</f>
      </c>
      <c r="H270" s="20">
        <f>MAX(0,-G270)</f>
      </c>
      <c r="I270" s="17">
        <f>MAX(MIN(Es*G270,fy),-fy)</f>
      </c>
      <c r="J270">
        <f>IF(E270&gt;=u_max-beta_1*D270-blk_tol,1,0)</f>
      </c>
      <c r="K270" s="17">
        <f>J270*sig_blk</f>
      </c>
      <c r="L270" s="17">
        <f>I270-K270</f>
      </c>
      <c r="M270" s="17">
        <f>INDEX(Bar_As,MATCH(C270,Bar_No,0))*L270/1000</f>
      </c>
      <c r="N270" s="17">
        <f>M270*INDEX(Bar_Y,MATCH(C270,Bar_No,0))/1000</f>
      </c>
      <c r="O270" s="17">
        <f>M270*INDEX(Bar_X,MATCH(C270,Bar_No,0))/1000</f>
      </c>
    </row>
    <row r="271" spans="2:15" x14ac:dyDescent="0.25">
      <c r="B271">
        <v>15</v>
      </c>
      <c r="C271">
        <v>14</v>
      </c>
      <c r="D271" s="17">
        <f>INDEX(Blk_c,MATCH(B271,Blk_St,0))</f>
      </c>
      <c r="E271" s="17">
        <f>INDEX(Bar_U,MATCH(C271,Bar_No,0))</f>
      </c>
      <c r="F271" s="17">
        <f>u_max-E271</f>
      </c>
      <c r="G271" s="20">
        <f>IF(AND(ec_pivot&gt;0,D271&gt;d_theta),ec_pivot*D271/(D271-(1-ec_pivot/ecu)*d_theta),ecu)*(1-F271/D271)</f>
      </c>
      <c r="H271" s="20">
        <f>MAX(0,-G271)</f>
      </c>
      <c r="I271" s="17">
        <f>MAX(MIN(Es*G271,fy),-fy)</f>
      </c>
      <c r="J271">
        <f>IF(E271&gt;=u_max-beta_1*D271-blk_tol,1,0)</f>
      </c>
      <c r="K271" s="17">
        <f>J271*sig_blk</f>
      </c>
      <c r="L271" s="17">
        <f>I271-K271</f>
      </c>
      <c r="M271" s="17">
        <f>INDEX(Bar_As,MATCH(C271,Bar_No,0))*L271/1000</f>
      </c>
      <c r="N271" s="17">
        <f>M271*INDEX(Bar_Y,MATCH(C271,Bar_No,0))/1000</f>
      </c>
      <c r="O271" s="17">
        <f>M271*INDEX(Bar_X,MATCH(C271,Bar_No,0))/1000</f>
      </c>
    </row>
    <row r="272" spans="2:15" x14ac:dyDescent="0.25">
      <c r="B272">
        <v>15</v>
      </c>
      <c r="C272">
        <v>15</v>
      </c>
      <c r="D272" s="17">
        <f>INDEX(Blk_c,MATCH(B272,Blk_St,0))</f>
      </c>
      <c r="E272" s="17">
        <f>INDEX(Bar_U,MATCH(C272,Bar_No,0))</f>
      </c>
      <c r="F272" s="17">
        <f>u_max-E272</f>
      </c>
      <c r="G272" s="20">
        <f>IF(AND(ec_pivot&gt;0,D272&gt;d_theta),ec_pivot*D272/(D272-(1-ec_pivot/ecu)*d_theta),ecu)*(1-F272/D272)</f>
      </c>
      <c r="H272" s="20">
        <f>MAX(0,-G272)</f>
      </c>
      <c r="I272" s="17">
        <f>MAX(MIN(Es*G272,fy),-fy)</f>
      </c>
      <c r="J272">
        <f>IF(E272&gt;=u_max-beta_1*D272-blk_tol,1,0)</f>
      </c>
      <c r="K272" s="17">
        <f>J272*sig_blk</f>
      </c>
      <c r="L272" s="17">
        <f>I272-K272</f>
      </c>
      <c r="M272" s="17">
        <f>INDEX(Bar_As,MATCH(C272,Bar_No,0))*L272/1000</f>
      </c>
      <c r="N272" s="17">
        <f>M272*INDEX(Bar_Y,MATCH(C272,Bar_No,0))/1000</f>
      </c>
      <c r="O272" s="17">
        <f>M272*INDEX(Bar_X,MATCH(C272,Bar_No,0))/1000</f>
      </c>
    </row>
    <row r="273" spans="2:15" x14ac:dyDescent="0.25">
      <c r="B273">
        <v>15</v>
      </c>
      <c r="C273">
        <v>16</v>
      </c>
      <c r="D273" s="17">
        <f>INDEX(Blk_c,MATCH(B273,Blk_St,0))</f>
      </c>
      <c r="E273" s="17">
        <f>INDEX(Bar_U,MATCH(C273,Bar_No,0))</f>
      </c>
      <c r="F273" s="17">
        <f>u_max-E273</f>
      </c>
      <c r="G273" s="20">
        <f>IF(AND(ec_pivot&gt;0,D273&gt;d_theta),ec_pivot*D273/(D273-(1-ec_pivot/ecu)*d_theta),ecu)*(1-F273/D273)</f>
      </c>
      <c r="H273" s="20">
        <f>MAX(0,-G273)</f>
      </c>
      <c r="I273" s="17">
        <f>MAX(MIN(Es*G273,fy),-fy)</f>
      </c>
      <c r="J273">
        <f>IF(E273&gt;=u_max-beta_1*D273-blk_tol,1,0)</f>
      </c>
      <c r="K273" s="17">
        <f>J273*sig_blk</f>
      </c>
      <c r="L273" s="17">
        <f>I273-K273</f>
      </c>
      <c r="M273" s="17">
        <f>INDEX(Bar_As,MATCH(C273,Bar_No,0))*L273/1000</f>
      </c>
      <c r="N273" s="17">
        <f>M273*INDEX(Bar_Y,MATCH(C273,Bar_No,0))/1000</f>
      </c>
      <c r="O273" s="17">
        <f>M273*INDEX(Bar_X,MATCH(C273,Bar_No,0))/1000</f>
      </c>
    </row>
    <row r="274" spans="2:15" x14ac:dyDescent="0.25">
      <c r="B274">
        <v>15</v>
      </c>
      <c r="C274">
        <v>17</v>
      </c>
      <c r="D274" s="17">
        <f>INDEX(Blk_c,MATCH(B274,Blk_St,0))</f>
      </c>
      <c r="E274" s="17">
        <f>INDEX(Bar_U,MATCH(C274,Bar_No,0))</f>
      </c>
      <c r="F274" s="17">
        <f>u_max-E274</f>
      </c>
      <c r="G274" s="20">
        <f>IF(AND(ec_pivot&gt;0,D274&gt;d_theta),ec_pivot*D274/(D274-(1-ec_pivot/ecu)*d_theta),ecu)*(1-F274/D274)</f>
      </c>
      <c r="H274" s="20">
        <f>MAX(0,-G274)</f>
      </c>
      <c r="I274" s="17">
        <f>MAX(MIN(Es*G274,fy),-fy)</f>
      </c>
      <c r="J274">
        <f>IF(E274&gt;=u_max-beta_1*D274-blk_tol,1,0)</f>
      </c>
      <c r="K274" s="17">
        <f>J274*sig_blk</f>
      </c>
      <c r="L274" s="17">
        <f>I274-K274</f>
      </c>
      <c r="M274" s="17">
        <f>INDEX(Bar_As,MATCH(C274,Bar_No,0))*L274/1000</f>
      </c>
      <c r="N274" s="17">
        <f>M274*INDEX(Bar_Y,MATCH(C274,Bar_No,0))/1000</f>
      </c>
      <c r="O274" s="17">
        <f>M274*INDEX(Bar_X,MATCH(C274,Bar_No,0))/1000</f>
      </c>
    </row>
    <row r="275" spans="2:15" x14ac:dyDescent="0.25">
      <c r="B275">
        <v>15</v>
      </c>
      <c r="C275">
        <v>18</v>
      </c>
      <c r="D275" s="17">
        <f>INDEX(Blk_c,MATCH(B275,Blk_St,0))</f>
      </c>
      <c r="E275" s="17">
        <f>INDEX(Bar_U,MATCH(C275,Bar_No,0))</f>
      </c>
      <c r="F275" s="17">
        <f>u_max-E275</f>
      </c>
      <c r="G275" s="20">
        <f>IF(AND(ec_pivot&gt;0,D275&gt;d_theta),ec_pivot*D275/(D275-(1-ec_pivot/ecu)*d_theta),ecu)*(1-F275/D275)</f>
      </c>
      <c r="H275" s="20">
        <f>MAX(0,-G275)</f>
      </c>
      <c r="I275" s="17">
        <f>MAX(MIN(Es*G275,fy),-fy)</f>
      </c>
      <c r="J275">
        <f>IF(E275&gt;=u_max-beta_1*D275-blk_tol,1,0)</f>
      </c>
      <c r="K275" s="17">
        <f>J275*sig_blk</f>
      </c>
      <c r="L275" s="17">
        <f>I275-K275</f>
      </c>
      <c r="M275" s="17">
        <f>INDEX(Bar_As,MATCH(C275,Bar_No,0))*L275/1000</f>
      </c>
      <c r="N275" s="17">
        <f>M275*INDEX(Bar_Y,MATCH(C275,Bar_No,0))/1000</f>
      </c>
      <c r="O275" s="17">
        <f>M275*INDEX(Bar_X,MATCH(C275,Bar_No,0))/1000</f>
      </c>
    </row>
    <row r="276" spans="2:15" x14ac:dyDescent="0.25">
      <c r="B276">
        <v>16</v>
      </c>
      <c r="C276">
        <v>1</v>
      </c>
      <c r="D276" s="17">
        <f>INDEX(Blk_c,MATCH(B276,Blk_St,0))</f>
      </c>
      <c r="E276" s="17">
        <f>INDEX(Bar_U,MATCH(C276,Bar_No,0))</f>
      </c>
      <c r="F276" s="17">
        <f>u_max-E276</f>
      </c>
      <c r="G276" s="20">
        <f>IF(AND(ec_pivot&gt;0,D276&gt;d_theta),ec_pivot*D276/(D276-(1-ec_pivot/ecu)*d_theta),ecu)*(1-F276/D276)</f>
      </c>
      <c r="H276" s="20">
        <f>MAX(0,-G276)</f>
      </c>
      <c r="I276" s="17">
        <f>MAX(MIN(Es*G276,fy),-fy)</f>
      </c>
      <c r="J276">
        <f>IF(E276&gt;=u_max-beta_1*D276-blk_tol,1,0)</f>
      </c>
      <c r="K276" s="17">
        <f>J276*sig_blk</f>
      </c>
      <c r="L276" s="17">
        <f>I276-K276</f>
      </c>
      <c r="M276" s="17">
        <f>INDEX(Bar_As,MATCH(C276,Bar_No,0))*L276/1000</f>
      </c>
      <c r="N276" s="17">
        <f>M276*INDEX(Bar_Y,MATCH(C276,Bar_No,0))/1000</f>
      </c>
      <c r="O276" s="17">
        <f>M276*INDEX(Bar_X,MATCH(C276,Bar_No,0))/1000</f>
      </c>
    </row>
    <row r="277" spans="2:15" x14ac:dyDescent="0.25">
      <c r="B277">
        <v>16</v>
      </c>
      <c r="C277">
        <v>2</v>
      </c>
      <c r="D277" s="17">
        <f>INDEX(Blk_c,MATCH(B277,Blk_St,0))</f>
      </c>
      <c r="E277" s="17">
        <f>INDEX(Bar_U,MATCH(C277,Bar_No,0))</f>
      </c>
      <c r="F277" s="17">
        <f>u_max-E277</f>
      </c>
      <c r="G277" s="20">
        <f>IF(AND(ec_pivot&gt;0,D277&gt;d_theta),ec_pivot*D277/(D277-(1-ec_pivot/ecu)*d_theta),ecu)*(1-F277/D277)</f>
      </c>
      <c r="H277" s="20">
        <f>MAX(0,-G277)</f>
      </c>
      <c r="I277" s="17">
        <f>MAX(MIN(Es*G277,fy),-fy)</f>
      </c>
      <c r="J277">
        <f>IF(E277&gt;=u_max-beta_1*D277-blk_tol,1,0)</f>
      </c>
      <c r="K277" s="17">
        <f>J277*sig_blk</f>
      </c>
      <c r="L277" s="17">
        <f>I277-K277</f>
      </c>
      <c r="M277" s="17">
        <f>INDEX(Bar_As,MATCH(C277,Bar_No,0))*L277/1000</f>
      </c>
      <c r="N277" s="17">
        <f>M277*INDEX(Bar_Y,MATCH(C277,Bar_No,0))/1000</f>
      </c>
      <c r="O277" s="17">
        <f>M277*INDEX(Bar_X,MATCH(C277,Bar_No,0))/1000</f>
      </c>
    </row>
    <row r="278" spans="2:15" x14ac:dyDescent="0.25">
      <c r="B278">
        <v>16</v>
      </c>
      <c r="C278">
        <v>3</v>
      </c>
      <c r="D278" s="17">
        <f>INDEX(Blk_c,MATCH(B278,Blk_St,0))</f>
      </c>
      <c r="E278" s="17">
        <f>INDEX(Bar_U,MATCH(C278,Bar_No,0))</f>
      </c>
      <c r="F278" s="17">
        <f>u_max-E278</f>
      </c>
      <c r="G278" s="20">
        <f>IF(AND(ec_pivot&gt;0,D278&gt;d_theta),ec_pivot*D278/(D278-(1-ec_pivot/ecu)*d_theta),ecu)*(1-F278/D278)</f>
      </c>
      <c r="H278" s="20">
        <f>MAX(0,-G278)</f>
      </c>
      <c r="I278" s="17">
        <f>MAX(MIN(Es*G278,fy),-fy)</f>
      </c>
      <c r="J278">
        <f>IF(E278&gt;=u_max-beta_1*D278-blk_tol,1,0)</f>
      </c>
      <c r="K278" s="17">
        <f>J278*sig_blk</f>
      </c>
      <c r="L278" s="17">
        <f>I278-K278</f>
      </c>
      <c r="M278" s="17">
        <f>INDEX(Bar_As,MATCH(C278,Bar_No,0))*L278/1000</f>
      </c>
      <c r="N278" s="17">
        <f>M278*INDEX(Bar_Y,MATCH(C278,Bar_No,0))/1000</f>
      </c>
      <c r="O278" s="17">
        <f>M278*INDEX(Bar_X,MATCH(C278,Bar_No,0))/1000</f>
      </c>
    </row>
    <row r="279" spans="2:15" x14ac:dyDescent="0.25">
      <c r="B279">
        <v>16</v>
      </c>
      <c r="C279">
        <v>4</v>
      </c>
      <c r="D279" s="17">
        <f>INDEX(Blk_c,MATCH(B279,Blk_St,0))</f>
      </c>
      <c r="E279" s="17">
        <f>INDEX(Bar_U,MATCH(C279,Bar_No,0))</f>
      </c>
      <c r="F279" s="17">
        <f>u_max-E279</f>
      </c>
      <c r="G279" s="20">
        <f>IF(AND(ec_pivot&gt;0,D279&gt;d_theta),ec_pivot*D279/(D279-(1-ec_pivot/ecu)*d_theta),ecu)*(1-F279/D279)</f>
      </c>
      <c r="H279" s="20">
        <f>MAX(0,-G279)</f>
      </c>
      <c r="I279" s="17">
        <f>MAX(MIN(Es*G279,fy),-fy)</f>
      </c>
      <c r="J279">
        <f>IF(E279&gt;=u_max-beta_1*D279-blk_tol,1,0)</f>
      </c>
      <c r="K279" s="17">
        <f>J279*sig_blk</f>
      </c>
      <c r="L279" s="17">
        <f>I279-K279</f>
      </c>
      <c r="M279" s="17">
        <f>INDEX(Bar_As,MATCH(C279,Bar_No,0))*L279/1000</f>
      </c>
      <c r="N279" s="17">
        <f>M279*INDEX(Bar_Y,MATCH(C279,Bar_No,0))/1000</f>
      </c>
      <c r="O279" s="17">
        <f>M279*INDEX(Bar_X,MATCH(C279,Bar_No,0))/1000</f>
      </c>
    </row>
    <row r="280" spans="2:15" x14ac:dyDescent="0.25">
      <c r="B280">
        <v>16</v>
      </c>
      <c r="C280">
        <v>5</v>
      </c>
      <c r="D280" s="17">
        <f>INDEX(Blk_c,MATCH(B280,Blk_St,0))</f>
      </c>
      <c r="E280" s="17">
        <f>INDEX(Bar_U,MATCH(C280,Bar_No,0))</f>
      </c>
      <c r="F280" s="17">
        <f>u_max-E280</f>
      </c>
      <c r="G280" s="20">
        <f>IF(AND(ec_pivot&gt;0,D280&gt;d_theta),ec_pivot*D280/(D280-(1-ec_pivot/ecu)*d_theta),ecu)*(1-F280/D280)</f>
      </c>
      <c r="H280" s="20">
        <f>MAX(0,-G280)</f>
      </c>
      <c r="I280" s="17">
        <f>MAX(MIN(Es*G280,fy),-fy)</f>
      </c>
      <c r="J280">
        <f>IF(E280&gt;=u_max-beta_1*D280-blk_tol,1,0)</f>
      </c>
      <c r="K280" s="17">
        <f>J280*sig_blk</f>
      </c>
      <c r="L280" s="17">
        <f>I280-K280</f>
      </c>
      <c r="M280" s="17">
        <f>INDEX(Bar_As,MATCH(C280,Bar_No,0))*L280/1000</f>
      </c>
      <c r="N280" s="17">
        <f>M280*INDEX(Bar_Y,MATCH(C280,Bar_No,0))/1000</f>
      </c>
      <c r="O280" s="17">
        <f>M280*INDEX(Bar_X,MATCH(C280,Bar_No,0))/1000</f>
      </c>
    </row>
    <row r="281" spans="2:15" x14ac:dyDescent="0.25">
      <c r="B281">
        <v>16</v>
      </c>
      <c r="C281">
        <v>6</v>
      </c>
      <c r="D281" s="17">
        <f>INDEX(Blk_c,MATCH(B281,Blk_St,0))</f>
      </c>
      <c r="E281" s="17">
        <f>INDEX(Bar_U,MATCH(C281,Bar_No,0))</f>
      </c>
      <c r="F281" s="17">
        <f>u_max-E281</f>
      </c>
      <c r="G281" s="20">
        <f>IF(AND(ec_pivot&gt;0,D281&gt;d_theta),ec_pivot*D281/(D281-(1-ec_pivot/ecu)*d_theta),ecu)*(1-F281/D281)</f>
      </c>
      <c r="H281" s="20">
        <f>MAX(0,-G281)</f>
      </c>
      <c r="I281" s="17">
        <f>MAX(MIN(Es*G281,fy),-fy)</f>
      </c>
      <c r="J281">
        <f>IF(E281&gt;=u_max-beta_1*D281-blk_tol,1,0)</f>
      </c>
      <c r="K281" s="17">
        <f>J281*sig_blk</f>
      </c>
      <c r="L281" s="17">
        <f>I281-K281</f>
      </c>
      <c r="M281" s="17">
        <f>INDEX(Bar_As,MATCH(C281,Bar_No,0))*L281/1000</f>
      </c>
      <c r="N281" s="17">
        <f>M281*INDEX(Bar_Y,MATCH(C281,Bar_No,0))/1000</f>
      </c>
      <c r="O281" s="17">
        <f>M281*INDEX(Bar_X,MATCH(C281,Bar_No,0))/1000</f>
      </c>
    </row>
    <row r="282" spans="2:15" x14ac:dyDescent="0.25">
      <c r="B282">
        <v>16</v>
      </c>
      <c r="C282">
        <v>7</v>
      </c>
      <c r="D282" s="17">
        <f>INDEX(Blk_c,MATCH(B282,Blk_St,0))</f>
      </c>
      <c r="E282" s="17">
        <f>INDEX(Bar_U,MATCH(C282,Bar_No,0))</f>
      </c>
      <c r="F282" s="17">
        <f>u_max-E282</f>
      </c>
      <c r="G282" s="20">
        <f>IF(AND(ec_pivot&gt;0,D282&gt;d_theta),ec_pivot*D282/(D282-(1-ec_pivot/ecu)*d_theta),ecu)*(1-F282/D282)</f>
      </c>
      <c r="H282" s="20">
        <f>MAX(0,-G282)</f>
      </c>
      <c r="I282" s="17">
        <f>MAX(MIN(Es*G282,fy),-fy)</f>
      </c>
      <c r="J282">
        <f>IF(E282&gt;=u_max-beta_1*D282-blk_tol,1,0)</f>
      </c>
      <c r="K282" s="17">
        <f>J282*sig_blk</f>
      </c>
      <c r="L282" s="17">
        <f>I282-K282</f>
      </c>
      <c r="M282" s="17">
        <f>INDEX(Bar_As,MATCH(C282,Bar_No,0))*L282/1000</f>
      </c>
      <c r="N282" s="17">
        <f>M282*INDEX(Bar_Y,MATCH(C282,Bar_No,0))/1000</f>
      </c>
      <c r="O282" s="17">
        <f>M282*INDEX(Bar_X,MATCH(C282,Bar_No,0))/1000</f>
      </c>
    </row>
    <row r="283" spans="2:15" x14ac:dyDescent="0.25">
      <c r="B283">
        <v>16</v>
      </c>
      <c r="C283">
        <v>8</v>
      </c>
      <c r="D283" s="17">
        <f>INDEX(Blk_c,MATCH(B283,Blk_St,0))</f>
      </c>
      <c r="E283" s="17">
        <f>INDEX(Bar_U,MATCH(C283,Bar_No,0))</f>
      </c>
      <c r="F283" s="17">
        <f>u_max-E283</f>
      </c>
      <c r="G283" s="20">
        <f>IF(AND(ec_pivot&gt;0,D283&gt;d_theta),ec_pivot*D283/(D283-(1-ec_pivot/ecu)*d_theta),ecu)*(1-F283/D283)</f>
      </c>
      <c r="H283" s="20">
        <f>MAX(0,-G283)</f>
      </c>
      <c r="I283" s="17">
        <f>MAX(MIN(Es*G283,fy),-fy)</f>
      </c>
      <c r="J283">
        <f>IF(E283&gt;=u_max-beta_1*D283-blk_tol,1,0)</f>
      </c>
      <c r="K283" s="17">
        <f>J283*sig_blk</f>
      </c>
      <c r="L283" s="17">
        <f>I283-K283</f>
      </c>
      <c r="M283" s="17">
        <f>INDEX(Bar_As,MATCH(C283,Bar_No,0))*L283/1000</f>
      </c>
      <c r="N283" s="17">
        <f>M283*INDEX(Bar_Y,MATCH(C283,Bar_No,0))/1000</f>
      </c>
      <c r="O283" s="17">
        <f>M283*INDEX(Bar_X,MATCH(C283,Bar_No,0))/1000</f>
      </c>
    </row>
    <row r="284" spans="2:15" x14ac:dyDescent="0.25">
      <c r="B284">
        <v>16</v>
      </c>
      <c r="C284">
        <v>9</v>
      </c>
      <c r="D284" s="17">
        <f>INDEX(Blk_c,MATCH(B284,Blk_St,0))</f>
      </c>
      <c r="E284" s="17">
        <f>INDEX(Bar_U,MATCH(C284,Bar_No,0))</f>
      </c>
      <c r="F284" s="17">
        <f>u_max-E284</f>
      </c>
      <c r="G284" s="20">
        <f>IF(AND(ec_pivot&gt;0,D284&gt;d_theta),ec_pivot*D284/(D284-(1-ec_pivot/ecu)*d_theta),ecu)*(1-F284/D284)</f>
      </c>
      <c r="H284" s="20">
        <f>MAX(0,-G284)</f>
      </c>
      <c r="I284" s="17">
        <f>MAX(MIN(Es*G284,fy),-fy)</f>
      </c>
      <c r="J284">
        <f>IF(E284&gt;=u_max-beta_1*D284-blk_tol,1,0)</f>
      </c>
      <c r="K284" s="17">
        <f>J284*sig_blk</f>
      </c>
      <c r="L284" s="17">
        <f>I284-K284</f>
      </c>
      <c r="M284" s="17">
        <f>INDEX(Bar_As,MATCH(C284,Bar_No,0))*L284/1000</f>
      </c>
      <c r="N284" s="17">
        <f>M284*INDEX(Bar_Y,MATCH(C284,Bar_No,0))/1000</f>
      </c>
      <c r="O284" s="17">
        <f>M284*INDEX(Bar_X,MATCH(C284,Bar_No,0))/1000</f>
      </c>
    </row>
    <row r="285" spans="2:15" x14ac:dyDescent="0.25">
      <c r="B285">
        <v>16</v>
      </c>
      <c r="C285">
        <v>10</v>
      </c>
      <c r="D285" s="17">
        <f>INDEX(Blk_c,MATCH(B285,Blk_St,0))</f>
      </c>
      <c r="E285" s="17">
        <f>INDEX(Bar_U,MATCH(C285,Bar_No,0))</f>
      </c>
      <c r="F285" s="17">
        <f>u_max-E285</f>
      </c>
      <c r="G285" s="20">
        <f>IF(AND(ec_pivot&gt;0,D285&gt;d_theta),ec_pivot*D285/(D285-(1-ec_pivot/ecu)*d_theta),ecu)*(1-F285/D285)</f>
      </c>
      <c r="H285" s="20">
        <f>MAX(0,-G285)</f>
      </c>
      <c r="I285" s="17">
        <f>MAX(MIN(Es*G285,fy),-fy)</f>
      </c>
      <c r="J285">
        <f>IF(E285&gt;=u_max-beta_1*D285-blk_tol,1,0)</f>
      </c>
      <c r="K285" s="17">
        <f>J285*sig_blk</f>
      </c>
      <c r="L285" s="17">
        <f>I285-K285</f>
      </c>
      <c r="M285" s="17">
        <f>INDEX(Bar_As,MATCH(C285,Bar_No,0))*L285/1000</f>
      </c>
      <c r="N285" s="17">
        <f>M285*INDEX(Bar_Y,MATCH(C285,Bar_No,0))/1000</f>
      </c>
      <c r="O285" s="17">
        <f>M285*INDEX(Bar_X,MATCH(C285,Bar_No,0))/1000</f>
      </c>
    </row>
    <row r="286" spans="2:15" x14ac:dyDescent="0.25">
      <c r="B286">
        <v>16</v>
      </c>
      <c r="C286">
        <v>11</v>
      </c>
      <c r="D286" s="17">
        <f>INDEX(Blk_c,MATCH(B286,Blk_St,0))</f>
      </c>
      <c r="E286" s="17">
        <f>INDEX(Bar_U,MATCH(C286,Bar_No,0))</f>
      </c>
      <c r="F286" s="17">
        <f>u_max-E286</f>
      </c>
      <c r="G286" s="20">
        <f>IF(AND(ec_pivot&gt;0,D286&gt;d_theta),ec_pivot*D286/(D286-(1-ec_pivot/ecu)*d_theta),ecu)*(1-F286/D286)</f>
      </c>
      <c r="H286" s="20">
        <f>MAX(0,-G286)</f>
      </c>
      <c r="I286" s="17">
        <f>MAX(MIN(Es*G286,fy),-fy)</f>
      </c>
      <c r="J286">
        <f>IF(E286&gt;=u_max-beta_1*D286-blk_tol,1,0)</f>
      </c>
      <c r="K286" s="17">
        <f>J286*sig_blk</f>
      </c>
      <c r="L286" s="17">
        <f>I286-K286</f>
      </c>
      <c r="M286" s="17">
        <f>INDEX(Bar_As,MATCH(C286,Bar_No,0))*L286/1000</f>
      </c>
      <c r="N286" s="17">
        <f>M286*INDEX(Bar_Y,MATCH(C286,Bar_No,0))/1000</f>
      </c>
      <c r="O286" s="17">
        <f>M286*INDEX(Bar_X,MATCH(C286,Bar_No,0))/1000</f>
      </c>
    </row>
    <row r="287" spans="2:15" x14ac:dyDescent="0.25">
      <c r="B287">
        <v>16</v>
      </c>
      <c r="C287">
        <v>12</v>
      </c>
      <c r="D287" s="17">
        <f>INDEX(Blk_c,MATCH(B287,Blk_St,0))</f>
      </c>
      <c r="E287" s="17">
        <f>INDEX(Bar_U,MATCH(C287,Bar_No,0))</f>
      </c>
      <c r="F287" s="17">
        <f>u_max-E287</f>
      </c>
      <c r="G287" s="20">
        <f>IF(AND(ec_pivot&gt;0,D287&gt;d_theta),ec_pivot*D287/(D287-(1-ec_pivot/ecu)*d_theta),ecu)*(1-F287/D287)</f>
      </c>
      <c r="H287" s="20">
        <f>MAX(0,-G287)</f>
      </c>
      <c r="I287" s="17">
        <f>MAX(MIN(Es*G287,fy),-fy)</f>
      </c>
      <c r="J287">
        <f>IF(E287&gt;=u_max-beta_1*D287-blk_tol,1,0)</f>
      </c>
      <c r="K287" s="17">
        <f>J287*sig_blk</f>
      </c>
      <c r="L287" s="17">
        <f>I287-K287</f>
      </c>
      <c r="M287" s="17">
        <f>INDEX(Bar_As,MATCH(C287,Bar_No,0))*L287/1000</f>
      </c>
      <c r="N287" s="17">
        <f>M287*INDEX(Bar_Y,MATCH(C287,Bar_No,0))/1000</f>
      </c>
      <c r="O287" s="17">
        <f>M287*INDEX(Bar_X,MATCH(C287,Bar_No,0))/1000</f>
      </c>
    </row>
    <row r="288" spans="2:15" x14ac:dyDescent="0.25">
      <c r="B288">
        <v>16</v>
      </c>
      <c r="C288">
        <v>13</v>
      </c>
      <c r="D288" s="17">
        <f>INDEX(Blk_c,MATCH(B288,Blk_St,0))</f>
      </c>
      <c r="E288" s="17">
        <f>INDEX(Bar_U,MATCH(C288,Bar_No,0))</f>
      </c>
      <c r="F288" s="17">
        <f>u_max-E288</f>
      </c>
      <c r="G288" s="20">
        <f>IF(AND(ec_pivot&gt;0,D288&gt;d_theta),ec_pivot*D288/(D288-(1-ec_pivot/ecu)*d_theta),ecu)*(1-F288/D288)</f>
      </c>
      <c r="H288" s="20">
        <f>MAX(0,-G288)</f>
      </c>
      <c r="I288" s="17">
        <f>MAX(MIN(Es*G288,fy),-fy)</f>
      </c>
      <c r="J288">
        <f>IF(E288&gt;=u_max-beta_1*D288-blk_tol,1,0)</f>
      </c>
      <c r="K288" s="17">
        <f>J288*sig_blk</f>
      </c>
      <c r="L288" s="17">
        <f>I288-K288</f>
      </c>
      <c r="M288" s="17">
        <f>INDEX(Bar_As,MATCH(C288,Bar_No,0))*L288/1000</f>
      </c>
      <c r="N288" s="17">
        <f>M288*INDEX(Bar_Y,MATCH(C288,Bar_No,0))/1000</f>
      </c>
      <c r="O288" s="17">
        <f>M288*INDEX(Bar_X,MATCH(C288,Bar_No,0))/1000</f>
      </c>
    </row>
    <row r="289" spans="2:15" x14ac:dyDescent="0.25">
      <c r="B289">
        <v>16</v>
      </c>
      <c r="C289">
        <v>14</v>
      </c>
      <c r="D289" s="17">
        <f>INDEX(Blk_c,MATCH(B289,Blk_St,0))</f>
      </c>
      <c r="E289" s="17">
        <f>INDEX(Bar_U,MATCH(C289,Bar_No,0))</f>
      </c>
      <c r="F289" s="17">
        <f>u_max-E289</f>
      </c>
      <c r="G289" s="20">
        <f>IF(AND(ec_pivot&gt;0,D289&gt;d_theta),ec_pivot*D289/(D289-(1-ec_pivot/ecu)*d_theta),ecu)*(1-F289/D289)</f>
      </c>
      <c r="H289" s="20">
        <f>MAX(0,-G289)</f>
      </c>
      <c r="I289" s="17">
        <f>MAX(MIN(Es*G289,fy),-fy)</f>
      </c>
      <c r="J289">
        <f>IF(E289&gt;=u_max-beta_1*D289-blk_tol,1,0)</f>
      </c>
      <c r="K289" s="17">
        <f>J289*sig_blk</f>
      </c>
      <c r="L289" s="17">
        <f>I289-K289</f>
      </c>
      <c r="M289" s="17">
        <f>INDEX(Bar_As,MATCH(C289,Bar_No,0))*L289/1000</f>
      </c>
      <c r="N289" s="17">
        <f>M289*INDEX(Bar_Y,MATCH(C289,Bar_No,0))/1000</f>
      </c>
      <c r="O289" s="17">
        <f>M289*INDEX(Bar_X,MATCH(C289,Bar_No,0))/1000</f>
      </c>
    </row>
    <row r="290" spans="2:15" x14ac:dyDescent="0.25">
      <c r="B290">
        <v>16</v>
      </c>
      <c r="C290">
        <v>15</v>
      </c>
      <c r="D290" s="17">
        <f>INDEX(Blk_c,MATCH(B290,Blk_St,0))</f>
      </c>
      <c r="E290" s="17">
        <f>INDEX(Bar_U,MATCH(C290,Bar_No,0))</f>
      </c>
      <c r="F290" s="17">
        <f>u_max-E290</f>
      </c>
      <c r="G290" s="20">
        <f>IF(AND(ec_pivot&gt;0,D290&gt;d_theta),ec_pivot*D290/(D290-(1-ec_pivot/ecu)*d_theta),ecu)*(1-F290/D290)</f>
      </c>
      <c r="H290" s="20">
        <f>MAX(0,-G290)</f>
      </c>
      <c r="I290" s="17">
        <f>MAX(MIN(Es*G290,fy),-fy)</f>
      </c>
      <c r="J290">
        <f>IF(E290&gt;=u_max-beta_1*D290-blk_tol,1,0)</f>
      </c>
      <c r="K290" s="17">
        <f>J290*sig_blk</f>
      </c>
      <c r="L290" s="17">
        <f>I290-K290</f>
      </c>
      <c r="M290" s="17">
        <f>INDEX(Bar_As,MATCH(C290,Bar_No,0))*L290/1000</f>
      </c>
      <c r="N290" s="17">
        <f>M290*INDEX(Bar_Y,MATCH(C290,Bar_No,0))/1000</f>
      </c>
      <c r="O290" s="17">
        <f>M290*INDEX(Bar_X,MATCH(C290,Bar_No,0))/1000</f>
      </c>
    </row>
    <row r="291" spans="2:15" x14ac:dyDescent="0.25">
      <c r="B291">
        <v>16</v>
      </c>
      <c r="C291">
        <v>16</v>
      </c>
      <c r="D291" s="17">
        <f>INDEX(Blk_c,MATCH(B291,Blk_St,0))</f>
      </c>
      <c r="E291" s="17">
        <f>INDEX(Bar_U,MATCH(C291,Bar_No,0))</f>
      </c>
      <c r="F291" s="17">
        <f>u_max-E291</f>
      </c>
      <c r="G291" s="20">
        <f>IF(AND(ec_pivot&gt;0,D291&gt;d_theta),ec_pivot*D291/(D291-(1-ec_pivot/ecu)*d_theta),ecu)*(1-F291/D291)</f>
      </c>
      <c r="H291" s="20">
        <f>MAX(0,-G291)</f>
      </c>
      <c r="I291" s="17">
        <f>MAX(MIN(Es*G291,fy),-fy)</f>
      </c>
      <c r="J291">
        <f>IF(E291&gt;=u_max-beta_1*D291-blk_tol,1,0)</f>
      </c>
      <c r="K291" s="17">
        <f>J291*sig_blk</f>
      </c>
      <c r="L291" s="17">
        <f>I291-K291</f>
      </c>
      <c r="M291" s="17">
        <f>INDEX(Bar_As,MATCH(C291,Bar_No,0))*L291/1000</f>
      </c>
      <c r="N291" s="17">
        <f>M291*INDEX(Bar_Y,MATCH(C291,Bar_No,0))/1000</f>
      </c>
      <c r="O291" s="17">
        <f>M291*INDEX(Bar_X,MATCH(C291,Bar_No,0))/1000</f>
      </c>
    </row>
    <row r="292" spans="2:15" x14ac:dyDescent="0.25">
      <c r="B292">
        <v>16</v>
      </c>
      <c r="C292">
        <v>17</v>
      </c>
      <c r="D292" s="17">
        <f>INDEX(Blk_c,MATCH(B292,Blk_St,0))</f>
      </c>
      <c r="E292" s="17">
        <f>INDEX(Bar_U,MATCH(C292,Bar_No,0))</f>
      </c>
      <c r="F292" s="17">
        <f>u_max-E292</f>
      </c>
      <c r="G292" s="20">
        <f>IF(AND(ec_pivot&gt;0,D292&gt;d_theta),ec_pivot*D292/(D292-(1-ec_pivot/ecu)*d_theta),ecu)*(1-F292/D292)</f>
      </c>
      <c r="H292" s="20">
        <f>MAX(0,-G292)</f>
      </c>
      <c r="I292" s="17">
        <f>MAX(MIN(Es*G292,fy),-fy)</f>
      </c>
      <c r="J292">
        <f>IF(E292&gt;=u_max-beta_1*D292-blk_tol,1,0)</f>
      </c>
      <c r="K292" s="17">
        <f>J292*sig_blk</f>
      </c>
      <c r="L292" s="17">
        <f>I292-K292</f>
      </c>
      <c r="M292" s="17">
        <f>INDEX(Bar_As,MATCH(C292,Bar_No,0))*L292/1000</f>
      </c>
      <c r="N292" s="17">
        <f>M292*INDEX(Bar_Y,MATCH(C292,Bar_No,0))/1000</f>
      </c>
      <c r="O292" s="17">
        <f>M292*INDEX(Bar_X,MATCH(C292,Bar_No,0))/1000</f>
      </c>
    </row>
    <row r="293" spans="2:15" x14ac:dyDescent="0.25">
      <c r="B293">
        <v>16</v>
      </c>
      <c r="C293">
        <v>18</v>
      </c>
      <c r="D293" s="17">
        <f>INDEX(Blk_c,MATCH(B293,Blk_St,0))</f>
      </c>
      <c r="E293" s="17">
        <f>INDEX(Bar_U,MATCH(C293,Bar_No,0))</f>
      </c>
      <c r="F293" s="17">
        <f>u_max-E293</f>
      </c>
      <c r="G293" s="20">
        <f>IF(AND(ec_pivot&gt;0,D293&gt;d_theta),ec_pivot*D293/(D293-(1-ec_pivot/ecu)*d_theta),ecu)*(1-F293/D293)</f>
      </c>
      <c r="H293" s="20">
        <f>MAX(0,-G293)</f>
      </c>
      <c r="I293" s="17">
        <f>MAX(MIN(Es*G293,fy),-fy)</f>
      </c>
      <c r="J293">
        <f>IF(E293&gt;=u_max-beta_1*D293-blk_tol,1,0)</f>
      </c>
      <c r="K293" s="17">
        <f>J293*sig_blk</f>
      </c>
      <c r="L293" s="17">
        <f>I293-K293</f>
      </c>
      <c r="M293" s="17">
        <f>INDEX(Bar_As,MATCH(C293,Bar_No,0))*L293/1000</f>
      </c>
      <c r="N293" s="17">
        <f>M293*INDEX(Bar_Y,MATCH(C293,Bar_No,0))/1000</f>
      </c>
      <c r="O293" s="17">
        <f>M293*INDEX(Bar_X,MATCH(C293,Bar_No,0))/1000</f>
      </c>
    </row>
    <row r="294" spans="2:15" x14ac:dyDescent="0.25">
      <c r="B294">
        <v>17</v>
      </c>
      <c r="C294">
        <v>1</v>
      </c>
      <c r="D294" s="17">
        <f>INDEX(Blk_c,MATCH(B294,Blk_St,0))</f>
      </c>
      <c r="E294" s="17">
        <f>INDEX(Bar_U,MATCH(C294,Bar_No,0))</f>
      </c>
      <c r="F294" s="17">
        <f>u_max-E294</f>
      </c>
      <c r="G294" s="20">
        <f>IF(AND(ec_pivot&gt;0,D294&gt;d_theta),ec_pivot*D294/(D294-(1-ec_pivot/ecu)*d_theta),ecu)*(1-F294/D294)</f>
      </c>
      <c r="H294" s="20">
        <f>MAX(0,-G294)</f>
      </c>
      <c r="I294" s="17">
        <f>MAX(MIN(Es*G294,fy),-fy)</f>
      </c>
      <c r="J294">
        <f>IF(E294&gt;=u_max-beta_1*D294-blk_tol,1,0)</f>
      </c>
      <c r="K294" s="17">
        <f>J294*sig_blk</f>
      </c>
      <c r="L294" s="17">
        <f>I294-K294</f>
      </c>
      <c r="M294" s="17">
        <f>INDEX(Bar_As,MATCH(C294,Bar_No,0))*L294/1000</f>
      </c>
      <c r="N294" s="17">
        <f>M294*INDEX(Bar_Y,MATCH(C294,Bar_No,0))/1000</f>
      </c>
      <c r="O294" s="17">
        <f>M294*INDEX(Bar_X,MATCH(C294,Bar_No,0))/1000</f>
      </c>
    </row>
    <row r="295" spans="2:15" x14ac:dyDescent="0.25">
      <c r="B295">
        <v>17</v>
      </c>
      <c r="C295">
        <v>2</v>
      </c>
      <c r="D295" s="17">
        <f>INDEX(Blk_c,MATCH(B295,Blk_St,0))</f>
      </c>
      <c r="E295" s="17">
        <f>INDEX(Bar_U,MATCH(C295,Bar_No,0))</f>
      </c>
      <c r="F295" s="17">
        <f>u_max-E295</f>
      </c>
      <c r="G295" s="20">
        <f>IF(AND(ec_pivot&gt;0,D295&gt;d_theta),ec_pivot*D295/(D295-(1-ec_pivot/ecu)*d_theta),ecu)*(1-F295/D295)</f>
      </c>
      <c r="H295" s="20">
        <f>MAX(0,-G295)</f>
      </c>
      <c r="I295" s="17">
        <f>MAX(MIN(Es*G295,fy),-fy)</f>
      </c>
      <c r="J295">
        <f>IF(E295&gt;=u_max-beta_1*D295-blk_tol,1,0)</f>
      </c>
      <c r="K295" s="17">
        <f>J295*sig_blk</f>
      </c>
      <c r="L295" s="17">
        <f>I295-K295</f>
      </c>
      <c r="M295" s="17">
        <f>INDEX(Bar_As,MATCH(C295,Bar_No,0))*L295/1000</f>
      </c>
      <c r="N295" s="17">
        <f>M295*INDEX(Bar_Y,MATCH(C295,Bar_No,0))/1000</f>
      </c>
      <c r="O295" s="17">
        <f>M295*INDEX(Bar_X,MATCH(C295,Bar_No,0))/1000</f>
      </c>
    </row>
    <row r="296" spans="2:15" x14ac:dyDescent="0.25">
      <c r="B296">
        <v>17</v>
      </c>
      <c r="C296">
        <v>3</v>
      </c>
      <c r="D296" s="17">
        <f>INDEX(Blk_c,MATCH(B296,Blk_St,0))</f>
      </c>
      <c r="E296" s="17">
        <f>INDEX(Bar_U,MATCH(C296,Bar_No,0))</f>
      </c>
      <c r="F296" s="17">
        <f>u_max-E296</f>
      </c>
      <c r="G296" s="20">
        <f>IF(AND(ec_pivot&gt;0,D296&gt;d_theta),ec_pivot*D296/(D296-(1-ec_pivot/ecu)*d_theta),ecu)*(1-F296/D296)</f>
      </c>
      <c r="H296" s="20">
        <f>MAX(0,-G296)</f>
      </c>
      <c r="I296" s="17">
        <f>MAX(MIN(Es*G296,fy),-fy)</f>
      </c>
      <c r="J296">
        <f>IF(E296&gt;=u_max-beta_1*D296-blk_tol,1,0)</f>
      </c>
      <c r="K296" s="17">
        <f>J296*sig_blk</f>
      </c>
      <c r="L296" s="17">
        <f>I296-K296</f>
      </c>
      <c r="M296" s="17">
        <f>INDEX(Bar_As,MATCH(C296,Bar_No,0))*L296/1000</f>
      </c>
      <c r="N296" s="17">
        <f>M296*INDEX(Bar_Y,MATCH(C296,Bar_No,0))/1000</f>
      </c>
      <c r="O296" s="17">
        <f>M296*INDEX(Bar_X,MATCH(C296,Bar_No,0))/1000</f>
      </c>
    </row>
    <row r="297" spans="2:15" x14ac:dyDescent="0.25">
      <c r="B297">
        <v>17</v>
      </c>
      <c r="C297">
        <v>4</v>
      </c>
      <c r="D297" s="17">
        <f>INDEX(Blk_c,MATCH(B297,Blk_St,0))</f>
      </c>
      <c r="E297" s="17">
        <f>INDEX(Bar_U,MATCH(C297,Bar_No,0))</f>
      </c>
      <c r="F297" s="17">
        <f>u_max-E297</f>
      </c>
      <c r="G297" s="20">
        <f>IF(AND(ec_pivot&gt;0,D297&gt;d_theta),ec_pivot*D297/(D297-(1-ec_pivot/ecu)*d_theta),ecu)*(1-F297/D297)</f>
      </c>
      <c r="H297" s="20">
        <f>MAX(0,-G297)</f>
      </c>
      <c r="I297" s="17">
        <f>MAX(MIN(Es*G297,fy),-fy)</f>
      </c>
      <c r="J297">
        <f>IF(E297&gt;=u_max-beta_1*D297-blk_tol,1,0)</f>
      </c>
      <c r="K297" s="17">
        <f>J297*sig_blk</f>
      </c>
      <c r="L297" s="17">
        <f>I297-K297</f>
      </c>
      <c r="M297" s="17">
        <f>INDEX(Bar_As,MATCH(C297,Bar_No,0))*L297/1000</f>
      </c>
      <c r="N297" s="17">
        <f>M297*INDEX(Bar_Y,MATCH(C297,Bar_No,0))/1000</f>
      </c>
      <c r="O297" s="17">
        <f>M297*INDEX(Bar_X,MATCH(C297,Bar_No,0))/1000</f>
      </c>
    </row>
    <row r="298" spans="2:15" x14ac:dyDescent="0.25">
      <c r="B298">
        <v>17</v>
      </c>
      <c r="C298">
        <v>5</v>
      </c>
      <c r="D298" s="17">
        <f>INDEX(Blk_c,MATCH(B298,Blk_St,0))</f>
      </c>
      <c r="E298" s="17">
        <f>INDEX(Bar_U,MATCH(C298,Bar_No,0))</f>
      </c>
      <c r="F298" s="17">
        <f>u_max-E298</f>
      </c>
      <c r="G298" s="20">
        <f>IF(AND(ec_pivot&gt;0,D298&gt;d_theta),ec_pivot*D298/(D298-(1-ec_pivot/ecu)*d_theta),ecu)*(1-F298/D298)</f>
      </c>
      <c r="H298" s="20">
        <f>MAX(0,-G298)</f>
      </c>
      <c r="I298" s="17">
        <f>MAX(MIN(Es*G298,fy),-fy)</f>
      </c>
      <c r="J298">
        <f>IF(E298&gt;=u_max-beta_1*D298-blk_tol,1,0)</f>
      </c>
      <c r="K298" s="17">
        <f>J298*sig_blk</f>
      </c>
      <c r="L298" s="17">
        <f>I298-K298</f>
      </c>
      <c r="M298" s="17">
        <f>INDEX(Bar_As,MATCH(C298,Bar_No,0))*L298/1000</f>
      </c>
      <c r="N298" s="17">
        <f>M298*INDEX(Bar_Y,MATCH(C298,Bar_No,0))/1000</f>
      </c>
      <c r="O298" s="17">
        <f>M298*INDEX(Bar_X,MATCH(C298,Bar_No,0))/1000</f>
      </c>
    </row>
    <row r="299" spans="2:15" x14ac:dyDescent="0.25">
      <c r="B299">
        <v>17</v>
      </c>
      <c r="C299">
        <v>6</v>
      </c>
      <c r="D299" s="17">
        <f>INDEX(Blk_c,MATCH(B299,Blk_St,0))</f>
      </c>
      <c r="E299" s="17">
        <f>INDEX(Bar_U,MATCH(C299,Bar_No,0))</f>
      </c>
      <c r="F299" s="17">
        <f>u_max-E299</f>
      </c>
      <c r="G299" s="20">
        <f>IF(AND(ec_pivot&gt;0,D299&gt;d_theta),ec_pivot*D299/(D299-(1-ec_pivot/ecu)*d_theta),ecu)*(1-F299/D299)</f>
      </c>
      <c r="H299" s="20">
        <f>MAX(0,-G299)</f>
      </c>
      <c r="I299" s="17">
        <f>MAX(MIN(Es*G299,fy),-fy)</f>
      </c>
      <c r="J299">
        <f>IF(E299&gt;=u_max-beta_1*D299-blk_tol,1,0)</f>
      </c>
      <c r="K299" s="17">
        <f>J299*sig_blk</f>
      </c>
      <c r="L299" s="17">
        <f>I299-K299</f>
      </c>
      <c r="M299" s="17">
        <f>INDEX(Bar_As,MATCH(C299,Bar_No,0))*L299/1000</f>
      </c>
      <c r="N299" s="17">
        <f>M299*INDEX(Bar_Y,MATCH(C299,Bar_No,0))/1000</f>
      </c>
      <c r="O299" s="17">
        <f>M299*INDEX(Bar_X,MATCH(C299,Bar_No,0))/1000</f>
      </c>
    </row>
    <row r="300" spans="2:15" x14ac:dyDescent="0.25">
      <c r="B300">
        <v>17</v>
      </c>
      <c r="C300">
        <v>7</v>
      </c>
      <c r="D300" s="17">
        <f>INDEX(Blk_c,MATCH(B300,Blk_St,0))</f>
      </c>
      <c r="E300" s="17">
        <f>INDEX(Bar_U,MATCH(C300,Bar_No,0))</f>
      </c>
      <c r="F300" s="17">
        <f>u_max-E300</f>
      </c>
      <c r="G300" s="20">
        <f>IF(AND(ec_pivot&gt;0,D300&gt;d_theta),ec_pivot*D300/(D300-(1-ec_pivot/ecu)*d_theta),ecu)*(1-F300/D300)</f>
      </c>
      <c r="H300" s="20">
        <f>MAX(0,-G300)</f>
      </c>
      <c r="I300" s="17">
        <f>MAX(MIN(Es*G300,fy),-fy)</f>
      </c>
      <c r="J300">
        <f>IF(E300&gt;=u_max-beta_1*D300-blk_tol,1,0)</f>
      </c>
      <c r="K300" s="17">
        <f>J300*sig_blk</f>
      </c>
      <c r="L300" s="17">
        <f>I300-K300</f>
      </c>
      <c r="M300" s="17">
        <f>INDEX(Bar_As,MATCH(C300,Bar_No,0))*L300/1000</f>
      </c>
      <c r="N300" s="17">
        <f>M300*INDEX(Bar_Y,MATCH(C300,Bar_No,0))/1000</f>
      </c>
      <c r="O300" s="17">
        <f>M300*INDEX(Bar_X,MATCH(C300,Bar_No,0))/1000</f>
      </c>
    </row>
    <row r="301" spans="2:15" x14ac:dyDescent="0.25">
      <c r="B301">
        <v>17</v>
      </c>
      <c r="C301">
        <v>8</v>
      </c>
      <c r="D301" s="17">
        <f>INDEX(Blk_c,MATCH(B301,Blk_St,0))</f>
      </c>
      <c r="E301" s="17">
        <f>INDEX(Bar_U,MATCH(C301,Bar_No,0))</f>
      </c>
      <c r="F301" s="17">
        <f>u_max-E301</f>
      </c>
      <c r="G301" s="20">
        <f>IF(AND(ec_pivot&gt;0,D301&gt;d_theta),ec_pivot*D301/(D301-(1-ec_pivot/ecu)*d_theta),ecu)*(1-F301/D301)</f>
      </c>
      <c r="H301" s="20">
        <f>MAX(0,-G301)</f>
      </c>
      <c r="I301" s="17">
        <f>MAX(MIN(Es*G301,fy),-fy)</f>
      </c>
      <c r="J301">
        <f>IF(E301&gt;=u_max-beta_1*D301-blk_tol,1,0)</f>
      </c>
      <c r="K301" s="17">
        <f>J301*sig_blk</f>
      </c>
      <c r="L301" s="17">
        <f>I301-K301</f>
      </c>
      <c r="M301" s="17">
        <f>INDEX(Bar_As,MATCH(C301,Bar_No,0))*L301/1000</f>
      </c>
      <c r="N301" s="17">
        <f>M301*INDEX(Bar_Y,MATCH(C301,Bar_No,0))/1000</f>
      </c>
      <c r="O301" s="17">
        <f>M301*INDEX(Bar_X,MATCH(C301,Bar_No,0))/1000</f>
      </c>
    </row>
    <row r="302" spans="2:15" x14ac:dyDescent="0.25">
      <c r="B302">
        <v>17</v>
      </c>
      <c r="C302">
        <v>9</v>
      </c>
      <c r="D302" s="17">
        <f>INDEX(Blk_c,MATCH(B302,Blk_St,0))</f>
      </c>
      <c r="E302" s="17">
        <f>INDEX(Bar_U,MATCH(C302,Bar_No,0))</f>
      </c>
      <c r="F302" s="17">
        <f>u_max-E302</f>
      </c>
      <c r="G302" s="20">
        <f>IF(AND(ec_pivot&gt;0,D302&gt;d_theta),ec_pivot*D302/(D302-(1-ec_pivot/ecu)*d_theta),ecu)*(1-F302/D302)</f>
      </c>
      <c r="H302" s="20">
        <f>MAX(0,-G302)</f>
      </c>
      <c r="I302" s="17">
        <f>MAX(MIN(Es*G302,fy),-fy)</f>
      </c>
      <c r="J302">
        <f>IF(E302&gt;=u_max-beta_1*D302-blk_tol,1,0)</f>
      </c>
      <c r="K302" s="17">
        <f>J302*sig_blk</f>
      </c>
      <c r="L302" s="17">
        <f>I302-K302</f>
      </c>
      <c r="M302" s="17">
        <f>INDEX(Bar_As,MATCH(C302,Bar_No,0))*L302/1000</f>
      </c>
      <c r="N302" s="17">
        <f>M302*INDEX(Bar_Y,MATCH(C302,Bar_No,0))/1000</f>
      </c>
      <c r="O302" s="17">
        <f>M302*INDEX(Bar_X,MATCH(C302,Bar_No,0))/1000</f>
      </c>
    </row>
    <row r="303" spans="2:15" x14ac:dyDescent="0.25">
      <c r="B303">
        <v>17</v>
      </c>
      <c r="C303">
        <v>10</v>
      </c>
      <c r="D303" s="17">
        <f>INDEX(Blk_c,MATCH(B303,Blk_St,0))</f>
      </c>
      <c r="E303" s="17">
        <f>INDEX(Bar_U,MATCH(C303,Bar_No,0))</f>
      </c>
      <c r="F303" s="17">
        <f>u_max-E303</f>
      </c>
      <c r="G303" s="20">
        <f>IF(AND(ec_pivot&gt;0,D303&gt;d_theta),ec_pivot*D303/(D303-(1-ec_pivot/ecu)*d_theta),ecu)*(1-F303/D303)</f>
      </c>
      <c r="H303" s="20">
        <f>MAX(0,-G303)</f>
      </c>
      <c r="I303" s="17">
        <f>MAX(MIN(Es*G303,fy),-fy)</f>
      </c>
      <c r="J303">
        <f>IF(E303&gt;=u_max-beta_1*D303-blk_tol,1,0)</f>
      </c>
      <c r="K303" s="17">
        <f>J303*sig_blk</f>
      </c>
      <c r="L303" s="17">
        <f>I303-K303</f>
      </c>
      <c r="M303" s="17">
        <f>INDEX(Bar_As,MATCH(C303,Bar_No,0))*L303/1000</f>
      </c>
      <c r="N303" s="17">
        <f>M303*INDEX(Bar_Y,MATCH(C303,Bar_No,0))/1000</f>
      </c>
      <c r="O303" s="17">
        <f>M303*INDEX(Bar_X,MATCH(C303,Bar_No,0))/1000</f>
      </c>
    </row>
    <row r="304" spans="2:15" x14ac:dyDescent="0.25">
      <c r="B304">
        <v>17</v>
      </c>
      <c r="C304">
        <v>11</v>
      </c>
      <c r="D304" s="17">
        <f>INDEX(Blk_c,MATCH(B304,Blk_St,0))</f>
      </c>
      <c r="E304" s="17">
        <f>INDEX(Bar_U,MATCH(C304,Bar_No,0))</f>
      </c>
      <c r="F304" s="17">
        <f>u_max-E304</f>
      </c>
      <c r="G304" s="20">
        <f>IF(AND(ec_pivot&gt;0,D304&gt;d_theta),ec_pivot*D304/(D304-(1-ec_pivot/ecu)*d_theta),ecu)*(1-F304/D304)</f>
      </c>
      <c r="H304" s="20">
        <f>MAX(0,-G304)</f>
      </c>
      <c r="I304" s="17">
        <f>MAX(MIN(Es*G304,fy),-fy)</f>
      </c>
      <c r="J304">
        <f>IF(E304&gt;=u_max-beta_1*D304-blk_tol,1,0)</f>
      </c>
      <c r="K304" s="17">
        <f>J304*sig_blk</f>
      </c>
      <c r="L304" s="17">
        <f>I304-K304</f>
      </c>
      <c r="M304" s="17">
        <f>INDEX(Bar_As,MATCH(C304,Bar_No,0))*L304/1000</f>
      </c>
      <c r="N304" s="17">
        <f>M304*INDEX(Bar_Y,MATCH(C304,Bar_No,0))/1000</f>
      </c>
      <c r="O304" s="17">
        <f>M304*INDEX(Bar_X,MATCH(C304,Bar_No,0))/1000</f>
      </c>
    </row>
    <row r="305" spans="2:15" x14ac:dyDescent="0.25">
      <c r="B305">
        <v>17</v>
      </c>
      <c r="C305">
        <v>12</v>
      </c>
      <c r="D305" s="17">
        <f>INDEX(Blk_c,MATCH(B305,Blk_St,0))</f>
      </c>
      <c r="E305" s="17">
        <f>INDEX(Bar_U,MATCH(C305,Bar_No,0))</f>
      </c>
      <c r="F305" s="17">
        <f>u_max-E305</f>
      </c>
      <c r="G305" s="20">
        <f>IF(AND(ec_pivot&gt;0,D305&gt;d_theta),ec_pivot*D305/(D305-(1-ec_pivot/ecu)*d_theta),ecu)*(1-F305/D305)</f>
      </c>
      <c r="H305" s="20">
        <f>MAX(0,-G305)</f>
      </c>
      <c r="I305" s="17">
        <f>MAX(MIN(Es*G305,fy),-fy)</f>
      </c>
      <c r="J305">
        <f>IF(E305&gt;=u_max-beta_1*D305-blk_tol,1,0)</f>
      </c>
      <c r="K305" s="17">
        <f>J305*sig_blk</f>
      </c>
      <c r="L305" s="17">
        <f>I305-K305</f>
      </c>
      <c r="M305" s="17">
        <f>INDEX(Bar_As,MATCH(C305,Bar_No,0))*L305/1000</f>
      </c>
      <c r="N305" s="17">
        <f>M305*INDEX(Bar_Y,MATCH(C305,Bar_No,0))/1000</f>
      </c>
      <c r="O305" s="17">
        <f>M305*INDEX(Bar_X,MATCH(C305,Bar_No,0))/1000</f>
      </c>
    </row>
    <row r="306" spans="2:15" x14ac:dyDescent="0.25">
      <c r="B306">
        <v>17</v>
      </c>
      <c r="C306">
        <v>13</v>
      </c>
      <c r="D306" s="17">
        <f>INDEX(Blk_c,MATCH(B306,Blk_St,0))</f>
      </c>
      <c r="E306" s="17">
        <f>INDEX(Bar_U,MATCH(C306,Bar_No,0))</f>
      </c>
      <c r="F306" s="17">
        <f>u_max-E306</f>
      </c>
      <c r="G306" s="20">
        <f>IF(AND(ec_pivot&gt;0,D306&gt;d_theta),ec_pivot*D306/(D306-(1-ec_pivot/ecu)*d_theta),ecu)*(1-F306/D306)</f>
      </c>
      <c r="H306" s="20">
        <f>MAX(0,-G306)</f>
      </c>
      <c r="I306" s="17">
        <f>MAX(MIN(Es*G306,fy),-fy)</f>
      </c>
      <c r="J306">
        <f>IF(E306&gt;=u_max-beta_1*D306-blk_tol,1,0)</f>
      </c>
      <c r="K306" s="17">
        <f>J306*sig_blk</f>
      </c>
      <c r="L306" s="17">
        <f>I306-K306</f>
      </c>
      <c r="M306" s="17">
        <f>INDEX(Bar_As,MATCH(C306,Bar_No,0))*L306/1000</f>
      </c>
      <c r="N306" s="17">
        <f>M306*INDEX(Bar_Y,MATCH(C306,Bar_No,0))/1000</f>
      </c>
      <c r="O306" s="17">
        <f>M306*INDEX(Bar_X,MATCH(C306,Bar_No,0))/1000</f>
      </c>
    </row>
    <row r="307" spans="2:15" x14ac:dyDescent="0.25">
      <c r="B307">
        <v>17</v>
      </c>
      <c r="C307">
        <v>14</v>
      </c>
      <c r="D307" s="17">
        <f>INDEX(Blk_c,MATCH(B307,Blk_St,0))</f>
      </c>
      <c r="E307" s="17">
        <f>INDEX(Bar_U,MATCH(C307,Bar_No,0))</f>
      </c>
      <c r="F307" s="17">
        <f>u_max-E307</f>
      </c>
      <c r="G307" s="20">
        <f>IF(AND(ec_pivot&gt;0,D307&gt;d_theta),ec_pivot*D307/(D307-(1-ec_pivot/ecu)*d_theta),ecu)*(1-F307/D307)</f>
      </c>
      <c r="H307" s="20">
        <f>MAX(0,-G307)</f>
      </c>
      <c r="I307" s="17">
        <f>MAX(MIN(Es*G307,fy),-fy)</f>
      </c>
      <c r="J307">
        <f>IF(E307&gt;=u_max-beta_1*D307-blk_tol,1,0)</f>
      </c>
      <c r="K307" s="17">
        <f>J307*sig_blk</f>
      </c>
      <c r="L307" s="17">
        <f>I307-K307</f>
      </c>
      <c r="M307" s="17">
        <f>INDEX(Bar_As,MATCH(C307,Bar_No,0))*L307/1000</f>
      </c>
      <c r="N307" s="17">
        <f>M307*INDEX(Bar_Y,MATCH(C307,Bar_No,0))/1000</f>
      </c>
      <c r="O307" s="17">
        <f>M307*INDEX(Bar_X,MATCH(C307,Bar_No,0))/1000</f>
      </c>
    </row>
    <row r="308" spans="2:15" x14ac:dyDescent="0.25">
      <c r="B308">
        <v>17</v>
      </c>
      <c r="C308">
        <v>15</v>
      </c>
      <c r="D308" s="17">
        <f>INDEX(Blk_c,MATCH(B308,Blk_St,0))</f>
      </c>
      <c r="E308" s="17">
        <f>INDEX(Bar_U,MATCH(C308,Bar_No,0))</f>
      </c>
      <c r="F308" s="17">
        <f>u_max-E308</f>
      </c>
      <c r="G308" s="20">
        <f>IF(AND(ec_pivot&gt;0,D308&gt;d_theta),ec_pivot*D308/(D308-(1-ec_pivot/ecu)*d_theta),ecu)*(1-F308/D308)</f>
      </c>
      <c r="H308" s="20">
        <f>MAX(0,-G308)</f>
      </c>
      <c r="I308" s="17">
        <f>MAX(MIN(Es*G308,fy),-fy)</f>
      </c>
      <c r="J308">
        <f>IF(E308&gt;=u_max-beta_1*D308-blk_tol,1,0)</f>
      </c>
      <c r="K308" s="17">
        <f>J308*sig_blk</f>
      </c>
      <c r="L308" s="17">
        <f>I308-K308</f>
      </c>
      <c r="M308" s="17">
        <f>INDEX(Bar_As,MATCH(C308,Bar_No,0))*L308/1000</f>
      </c>
      <c r="N308" s="17">
        <f>M308*INDEX(Bar_Y,MATCH(C308,Bar_No,0))/1000</f>
      </c>
      <c r="O308" s="17">
        <f>M308*INDEX(Bar_X,MATCH(C308,Bar_No,0))/1000</f>
      </c>
    </row>
    <row r="309" spans="2:15" x14ac:dyDescent="0.25">
      <c r="B309">
        <v>17</v>
      </c>
      <c r="C309">
        <v>16</v>
      </c>
      <c r="D309" s="17">
        <f>INDEX(Blk_c,MATCH(B309,Blk_St,0))</f>
      </c>
      <c r="E309" s="17">
        <f>INDEX(Bar_U,MATCH(C309,Bar_No,0))</f>
      </c>
      <c r="F309" s="17">
        <f>u_max-E309</f>
      </c>
      <c r="G309" s="20">
        <f>IF(AND(ec_pivot&gt;0,D309&gt;d_theta),ec_pivot*D309/(D309-(1-ec_pivot/ecu)*d_theta),ecu)*(1-F309/D309)</f>
      </c>
      <c r="H309" s="20">
        <f>MAX(0,-G309)</f>
      </c>
      <c r="I309" s="17">
        <f>MAX(MIN(Es*G309,fy),-fy)</f>
      </c>
      <c r="J309">
        <f>IF(E309&gt;=u_max-beta_1*D309-blk_tol,1,0)</f>
      </c>
      <c r="K309" s="17">
        <f>J309*sig_blk</f>
      </c>
      <c r="L309" s="17">
        <f>I309-K309</f>
      </c>
      <c r="M309" s="17">
        <f>INDEX(Bar_As,MATCH(C309,Bar_No,0))*L309/1000</f>
      </c>
      <c r="N309" s="17">
        <f>M309*INDEX(Bar_Y,MATCH(C309,Bar_No,0))/1000</f>
      </c>
      <c r="O309" s="17">
        <f>M309*INDEX(Bar_X,MATCH(C309,Bar_No,0))/1000</f>
      </c>
    </row>
    <row r="310" spans="2:15" x14ac:dyDescent="0.25">
      <c r="B310">
        <v>17</v>
      </c>
      <c r="C310">
        <v>17</v>
      </c>
      <c r="D310" s="17">
        <f>INDEX(Blk_c,MATCH(B310,Blk_St,0))</f>
      </c>
      <c r="E310" s="17">
        <f>INDEX(Bar_U,MATCH(C310,Bar_No,0))</f>
      </c>
      <c r="F310" s="17">
        <f>u_max-E310</f>
      </c>
      <c r="G310" s="20">
        <f>IF(AND(ec_pivot&gt;0,D310&gt;d_theta),ec_pivot*D310/(D310-(1-ec_pivot/ecu)*d_theta),ecu)*(1-F310/D310)</f>
      </c>
      <c r="H310" s="20">
        <f>MAX(0,-G310)</f>
      </c>
      <c r="I310" s="17">
        <f>MAX(MIN(Es*G310,fy),-fy)</f>
      </c>
      <c r="J310">
        <f>IF(E310&gt;=u_max-beta_1*D310-blk_tol,1,0)</f>
      </c>
      <c r="K310" s="17">
        <f>J310*sig_blk</f>
      </c>
      <c r="L310" s="17">
        <f>I310-K310</f>
      </c>
      <c r="M310" s="17">
        <f>INDEX(Bar_As,MATCH(C310,Bar_No,0))*L310/1000</f>
      </c>
      <c r="N310" s="17">
        <f>M310*INDEX(Bar_Y,MATCH(C310,Bar_No,0))/1000</f>
      </c>
      <c r="O310" s="17">
        <f>M310*INDEX(Bar_X,MATCH(C310,Bar_No,0))/1000</f>
      </c>
    </row>
    <row r="311" spans="2:15" x14ac:dyDescent="0.25">
      <c r="B311">
        <v>17</v>
      </c>
      <c r="C311">
        <v>18</v>
      </c>
      <c r="D311" s="17">
        <f>INDEX(Blk_c,MATCH(B311,Blk_St,0))</f>
      </c>
      <c r="E311" s="17">
        <f>INDEX(Bar_U,MATCH(C311,Bar_No,0))</f>
      </c>
      <c r="F311" s="17">
        <f>u_max-E311</f>
      </c>
      <c r="G311" s="20">
        <f>IF(AND(ec_pivot&gt;0,D311&gt;d_theta),ec_pivot*D311/(D311-(1-ec_pivot/ecu)*d_theta),ecu)*(1-F311/D311)</f>
      </c>
      <c r="H311" s="20">
        <f>MAX(0,-G311)</f>
      </c>
      <c r="I311" s="17">
        <f>MAX(MIN(Es*G311,fy),-fy)</f>
      </c>
      <c r="J311">
        <f>IF(E311&gt;=u_max-beta_1*D311-blk_tol,1,0)</f>
      </c>
      <c r="K311" s="17">
        <f>J311*sig_blk</f>
      </c>
      <c r="L311" s="17">
        <f>I311-K311</f>
      </c>
      <c r="M311" s="17">
        <f>INDEX(Bar_As,MATCH(C311,Bar_No,0))*L311/1000</f>
      </c>
      <c r="N311" s="17">
        <f>M311*INDEX(Bar_Y,MATCH(C311,Bar_No,0))/1000</f>
      </c>
      <c r="O311" s="17">
        <f>M311*INDEX(Bar_X,MATCH(C311,Bar_No,0))/1000</f>
      </c>
    </row>
    <row r="312" spans="2:15" x14ac:dyDescent="0.25">
      <c r="B312">
        <v>18</v>
      </c>
      <c r="C312">
        <v>1</v>
      </c>
      <c r="D312" s="17">
        <f>INDEX(Blk_c,MATCH(B312,Blk_St,0))</f>
      </c>
      <c r="E312" s="17">
        <f>INDEX(Bar_U,MATCH(C312,Bar_No,0))</f>
      </c>
      <c r="F312" s="17">
        <f>u_max-E312</f>
      </c>
      <c r="G312" s="20">
        <f>IF(AND(ec_pivot&gt;0,D312&gt;d_theta),ec_pivot*D312/(D312-(1-ec_pivot/ecu)*d_theta),ecu)*(1-F312/D312)</f>
      </c>
      <c r="H312" s="20">
        <f>MAX(0,-G312)</f>
      </c>
      <c r="I312" s="17">
        <f>MAX(MIN(Es*G312,fy),-fy)</f>
      </c>
      <c r="J312">
        <f>IF(E312&gt;=u_max-beta_1*D312-blk_tol,1,0)</f>
      </c>
      <c r="K312" s="17">
        <f>J312*sig_blk</f>
      </c>
      <c r="L312" s="17">
        <f>I312-K312</f>
      </c>
      <c r="M312" s="17">
        <f>INDEX(Bar_As,MATCH(C312,Bar_No,0))*L312/1000</f>
      </c>
      <c r="N312" s="17">
        <f>M312*INDEX(Bar_Y,MATCH(C312,Bar_No,0))/1000</f>
      </c>
      <c r="O312" s="17">
        <f>M312*INDEX(Bar_X,MATCH(C312,Bar_No,0))/1000</f>
      </c>
    </row>
    <row r="313" spans="2:15" x14ac:dyDescent="0.25">
      <c r="B313">
        <v>18</v>
      </c>
      <c r="C313">
        <v>2</v>
      </c>
      <c r="D313" s="17">
        <f>INDEX(Blk_c,MATCH(B313,Blk_St,0))</f>
      </c>
      <c r="E313" s="17">
        <f>INDEX(Bar_U,MATCH(C313,Bar_No,0))</f>
      </c>
      <c r="F313" s="17">
        <f>u_max-E313</f>
      </c>
      <c r="G313" s="20">
        <f>IF(AND(ec_pivot&gt;0,D313&gt;d_theta),ec_pivot*D313/(D313-(1-ec_pivot/ecu)*d_theta),ecu)*(1-F313/D313)</f>
      </c>
      <c r="H313" s="20">
        <f>MAX(0,-G313)</f>
      </c>
      <c r="I313" s="17">
        <f>MAX(MIN(Es*G313,fy),-fy)</f>
      </c>
      <c r="J313">
        <f>IF(E313&gt;=u_max-beta_1*D313-blk_tol,1,0)</f>
      </c>
      <c r="K313" s="17">
        <f>J313*sig_blk</f>
      </c>
      <c r="L313" s="17">
        <f>I313-K313</f>
      </c>
      <c r="M313" s="17">
        <f>INDEX(Bar_As,MATCH(C313,Bar_No,0))*L313/1000</f>
      </c>
      <c r="N313" s="17">
        <f>M313*INDEX(Bar_Y,MATCH(C313,Bar_No,0))/1000</f>
      </c>
      <c r="O313" s="17">
        <f>M313*INDEX(Bar_X,MATCH(C313,Bar_No,0))/1000</f>
      </c>
    </row>
    <row r="314" spans="2:15" x14ac:dyDescent="0.25">
      <c r="B314">
        <v>18</v>
      </c>
      <c r="C314">
        <v>3</v>
      </c>
      <c r="D314" s="17">
        <f>INDEX(Blk_c,MATCH(B314,Blk_St,0))</f>
      </c>
      <c r="E314" s="17">
        <f>INDEX(Bar_U,MATCH(C314,Bar_No,0))</f>
      </c>
      <c r="F314" s="17">
        <f>u_max-E314</f>
      </c>
      <c r="G314" s="20">
        <f>IF(AND(ec_pivot&gt;0,D314&gt;d_theta),ec_pivot*D314/(D314-(1-ec_pivot/ecu)*d_theta),ecu)*(1-F314/D314)</f>
      </c>
      <c r="H314" s="20">
        <f>MAX(0,-G314)</f>
      </c>
      <c r="I314" s="17">
        <f>MAX(MIN(Es*G314,fy),-fy)</f>
      </c>
      <c r="J314">
        <f>IF(E314&gt;=u_max-beta_1*D314-blk_tol,1,0)</f>
      </c>
      <c r="K314" s="17">
        <f>J314*sig_blk</f>
      </c>
      <c r="L314" s="17">
        <f>I314-K314</f>
      </c>
      <c r="M314" s="17">
        <f>INDEX(Bar_As,MATCH(C314,Bar_No,0))*L314/1000</f>
      </c>
      <c r="N314" s="17">
        <f>M314*INDEX(Bar_Y,MATCH(C314,Bar_No,0))/1000</f>
      </c>
      <c r="O314" s="17">
        <f>M314*INDEX(Bar_X,MATCH(C314,Bar_No,0))/1000</f>
      </c>
    </row>
    <row r="315" spans="2:15" x14ac:dyDescent="0.25">
      <c r="B315">
        <v>18</v>
      </c>
      <c r="C315">
        <v>4</v>
      </c>
      <c r="D315" s="17">
        <f>INDEX(Blk_c,MATCH(B315,Blk_St,0))</f>
      </c>
      <c r="E315" s="17">
        <f>INDEX(Bar_U,MATCH(C315,Bar_No,0))</f>
      </c>
      <c r="F315" s="17">
        <f>u_max-E315</f>
      </c>
      <c r="G315" s="20">
        <f>IF(AND(ec_pivot&gt;0,D315&gt;d_theta),ec_pivot*D315/(D315-(1-ec_pivot/ecu)*d_theta),ecu)*(1-F315/D315)</f>
      </c>
      <c r="H315" s="20">
        <f>MAX(0,-G315)</f>
      </c>
      <c r="I315" s="17">
        <f>MAX(MIN(Es*G315,fy),-fy)</f>
      </c>
      <c r="J315">
        <f>IF(E315&gt;=u_max-beta_1*D315-blk_tol,1,0)</f>
      </c>
      <c r="K315" s="17">
        <f>J315*sig_blk</f>
      </c>
      <c r="L315" s="17">
        <f>I315-K315</f>
      </c>
      <c r="M315" s="17">
        <f>INDEX(Bar_As,MATCH(C315,Bar_No,0))*L315/1000</f>
      </c>
      <c r="N315" s="17">
        <f>M315*INDEX(Bar_Y,MATCH(C315,Bar_No,0))/1000</f>
      </c>
      <c r="O315" s="17">
        <f>M315*INDEX(Bar_X,MATCH(C315,Bar_No,0))/1000</f>
      </c>
    </row>
    <row r="316" spans="2:15" x14ac:dyDescent="0.25">
      <c r="B316">
        <v>18</v>
      </c>
      <c r="C316">
        <v>5</v>
      </c>
      <c r="D316" s="17">
        <f>INDEX(Blk_c,MATCH(B316,Blk_St,0))</f>
      </c>
      <c r="E316" s="17">
        <f>INDEX(Bar_U,MATCH(C316,Bar_No,0))</f>
      </c>
      <c r="F316" s="17">
        <f>u_max-E316</f>
      </c>
      <c r="G316" s="20">
        <f>IF(AND(ec_pivot&gt;0,D316&gt;d_theta),ec_pivot*D316/(D316-(1-ec_pivot/ecu)*d_theta),ecu)*(1-F316/D316)</f>
      </c>
      <c r="H316" s="20">
        <f>MAX(0,-G316)</f>
      </c>
      <c r="I316" s="17">
        <f>MAX(MIN(Es*G316,fy),-fy)</f>
      </c>
      <c r="J316">
        <f>IF(E316&gt;=u_max-beta_1*D316-blk_tol,1,0)</f>
      </c>
      <c r="K316" s="17">
        <f>J316*sig_blk</f>
      </c>
      <c r="L316" s="17">
        <f>I316-K316</f>
      </c>
      <c r="M316" s="17">
        <f>INDEX(Bar_As,MATCH(C316,Bar_No,0))*L316/1000</f>
      </c>
      <c r="N316" s="17">
        <f>M316*INDEX(Bar_Y,MATCH(C316,Bar_No,0))/1000</f>
      </c>
      <c r="O316" s="17">
        <f>M316*INDEX(Bar_X,MATCH(C316,Bar_No,0))/1000</f>
      </c>
    </row>
    <row r="317" spans="2:15" x14ac:dyDescent="0.25">
      <c r="B317">
        <v>18</v>
      </c>
      <c r="C317">
        <v>6</v>
      </c>
      <c r="D317" s="17">
        <f>INDEX(Blk_c,MATCH(B317,Blk_St,0))</f>
      </c>
      <c r="E317" s="17">
        <f>INDEX(Bar_U,MATCH(C317,Bar_No,0))</f>
      </c>
      <c r="F317" s="17">
        <f>u_max-E317</f>
      </c>
      <c r="G317" s="20">
        <f>IF(AND(ec_pivot&gt;0,D317&gt;d_theta),ec_pivot*D317/(D317-(1-ec_pivot/ecu)*d_theta),ecu)*(1-F317/D317)</f>
      </c>
      <c r="H317" s="20">
        <f>MAX(0,-G317)</f>
      </c>
      <c r="I317" s="17">
        <f>MAX(MIN(Es*G317,fy),-fy)</f>
      </c>
      <c r="J317">
        <f>IF(E317&gt;=u_max-beta_1*D317-blk_tol,1,0)</f>
      </c>
      <c r="K317" s="17">
        <f>J317*sig_blk</f>
      </c>
      <c r="L317" s="17">
        <f>I317-K317</f>
      </c>
      <c r="M317" s="17">
        <f>INDEX(Bar_As,MATCH(C317,Bar_No,0))*L317/1000</f>
      </c>
      <c r="N317" s="17">
        <f>M317*INDEX(Bar_Y,MATCH(C317,Bar_No,0))/1000</f>
      </c>
      <c r="O317" s="17">
        <f>M317*INDEX(Bar_X,MATCH(C317,Bar_No,0))/1000</f>
      </c>
    </row>
    <row r="318" spans="2:15" x14ac:dyDescent="0.25">
      <c r="B318">
        <v>18</v>
      </c>
      <c r="C318">
        <v>7</v>
      </c>
      <c r="D318" s="17">
        <f>INDEX(Blk_c,MATCH(B318,Blk_St,0))</f>
      </c>
      <c r="E318" s="17">
        <f>INDEX(Bar_U,MATCH(C318,Bar_No,0))</f>
      </c>
      <c r="F318" s="17">
        <f>u_max-E318</f>
      </c>
      <c r="G318" s="20">
        <f>IF(AND(ec_pivot&gt;0,D318&gt;d_theta),ec_pivot*D318/(D318-(1-ec_pivot/ecu)*d_theta),ecu)*(1-F318/D318)</f>
      </c>
      <c r="H318" s="20">
        <f>MAX(0,-G318)</f>
      </c>
      <c r="I318" s="17">
        <f>MAX(MIN(Es*G318,fy),-fy)</f>
      </c>
      <c r="J318">
        <f>IF(E318&gt;=u_max-beta_1*D318-blk_tol,1,0)</f>
      </c>
      <c r="K318" s="17">
        <f>J318*sig_blk</f>
      </c>
      <c r="L318" s="17">
        <f>I318-K318</f>
      </c>
      <c r="M318" s="17">
        <f>INDEX(Bar_As,MATCH(C318,Bar_No,0))*L318/1000</f>
      </c>
      <c r="N318" s="17">
        <f>M318*INDEX(Bar_Y,MATCH(C318,Bar_No,0))/1000</f>
      </c>
      <c r="O318" s="17">
        <f>M318*INDEX(Bar_X,MATCH(C318,Bar_No,0))/1000</f>
      </c>
    </row>
    <row r="319" spans="2:15" x14ac:dyDescent="0.25">
      <c r="B319">
        <v>18</v>
      </c>
      <c r="C319">
        <v>8</v>
      </c>
      <c r="D319" s="17">
        <f>INDEX(Blk_c,MATCH(B319,Blk_St,0))</f>
      </c>
      <c r="E319" s="17">
        <f>INDEX(Bar_U,MATCH(C319,Bar_No,0))</f>
      </c>
      <c r="F319" s="17">
        <f>u_max-E319</f>
      </c>
      <c r="G319" s="20">
        <f>IF(AND(ec_pivot&gt;0,D319&gt;d_theta),ec_pivot*D319/(D319-(1-ec_pivot/ecu)*d_theta),ecu)*(1-F319/D319)</f>
      </c>
      <c r="H319" s="20">
        <f>MAX(0,-G319)</f>
      </c>
      <c r="I319" s="17">
        <f>MAX(MIN(Es*G319,fy),-fy)</f>
      </c>
      <c r="J319">
        <f>IF(E319&gt;=u_max-beta_1*D319-blk_tol,1,0)</f>
      </c>
      <c r="K319" s="17">
        <f>J319*sig_blk</f>
      </c>
      <c r="L319" s="17">
        <f>I319-K319</f>
      </c>
      <c r="M319" s="17">
        <f>INDEX(Bar_As,MATCH(C319,Bar_No,0))*L319/1000</f>
      </c>
      <c r="N319" s="17">
        <f>M319*INDEX(Bar_Y,MATCH(C319,Bar_No,0))/1000</f>
      </c>
      <c r="O319" s="17">
        <f>M319*INDEX(Bar_X,MATCH(C319,Bar_No,0))/1000</f>
      </c>
    </row>
    <row r="320" spans="2:15" x14ac:dyDescent="0.25">
      <c r="B320">
        <v>18</v>
      </c>
      <c r="C320">
        <v>9</v>
      </c>
      <c r="D320" s="17">
        <f>INDEX(Blk_c,MATCH(B320,Blk_St,0))</f>
      </c>
      <c r="E320" s="17">
        <f>INDEX(Bar_U,MATCH(C320,Bar_No,0))</f>
      </c>
      <c r="F320" s="17">
        <f>u_max-E320</f>
      </c>
      <c r="G320" s="20">
        <f>IF(AND(ec_pivot&gt;0,D320&gt;d_theta),ec_pivot*D320/(D320-(1-ec_pivot/ecu)*d_theta),ecu)*(1-F320/D320)</f>
      </c>
      <c r="H320" s="20">
        <f>MAX(0,-G320)</f>
      </c>
      <c r="I320" s="17">
        <f>MAX(MIN(Es*G320,fy),-fy)</f>
      </c>
      <c r="J320">
        <f>IF(E320&gt;=u_max-beta_1*D320-blk_tol,1,0)</f>
      </c>
      <c r="K320" s="17">
        <f>J320*sig_blk</f>
      </c>
      <c r="L320" s="17">
        <f>I320-K320</f>
      </c>
      <c r="M320" s="17">
        <f>INDEX(Bar_As,MATCH(C320,Bar_No,0))*L320/1000</f>
      </c>
      <c r="N320" s="17">
        <f>M320*INDEX(Bar_Y,MATCH(C320,Bar_No,0))/1000</f>
      </c>
      <c r="O320" s="17">
        <f>M320*INDEX(Bar_X,MATCH(C320,Bar_No,0))/1000</f>
      </c>
    </row>
    <row r="321" spans="2:15" x14ac:dyDescent="0.25">
      <c r="B321">
        <v>18</v>
      </c>
      <c r="C321">
        <v>10</v>
      </c>
      <c r="D321" s="17">
        <f>INDEX(Blk_c,MATCH(B321,Blk_St,0))</f>
      </c>
      <c r="E321" s="17">
        <f>INDEX(Bar_U,MATCH(C321,Bar_No,0))</f>
      </c>
      <c r="F321" s="17">
        <f>u_max-E321</f>
      </c>
      <c r="G321" s="20">
        <f>IF(AND(ec_pivot&gt;0,D321&gt;d_theta),ec_pivot*D321/(D321-(1-ec_pivot/ecu)*d_theta),ecu)*(1-F321/D321)</f>
      </c>
      <c r="H321" s="20">
        <f>MAX(0,-G321)</f>
      </c>
      <c r="I321" s="17">
        <f>MAX(MIN(Es*G321,fy),-fy)</f>
      </c>
      <c r="J321">
        <f>IF(E321&gt;=u_max-beta_1*D321-blk_tol,1,0)</f>
      </c>
      <c r="K321" s="17">
        <f>J321*sig_blk</f>
      </c>
      <c r="L321" s="17">
        <f>I321-K321</f>
      </c>
      <c r="M321" s="17">
        <f>INDEX(Bar_As,MATCH(C321,Bar_No,0))*L321/1000</f>
      </c>
      <c r="N321" s="17">
        <f>M321*INDEX(Bar_Y,MATCH(C321,Bar_No,0))/1000</f>
      </c>
      <c r="O321" s="17">
        <f>M321*INDEX(Bar_X,MATCH(C321,Bar_No,0))/1000</f>
      </c>
    </row>
    <row r="322" spans="2:15" x14ac:dyDescent="0.25">
      <c r="B322">
        <v>18</v>
      </c>
      <c r="C322">
        <v>11</v>
      </c>
      <c r="D322" s="17">
        <f>INDEX(Blk_c,MATCH(B322,Blk_St,0))</f>
      </c>
      <c r="E322" s="17">
        <f>INDEX(Bar_U,MATCH(C322,Bar_No,0))</f>
      </c>
      <c r="F322" s="17">
        <f>u_max-E322</f>
      </c>
      <c r="G322" s="20">
        <f>IF(AND(ec_pivot&gt;0,D322&gt;d_theta),ec_pivot*D322/(D322-(1-ec_pivot/ecu)*d_theta),ecu)*(1-F322/D322)</f>
      </c>
      <c r="H322" s="20">
        <f>MAX(0,-G322)</f>
      </c>
      <c r="I322" s="17">
        <f>MAX(MIN(Es*G322,fy),-fy)</f>
      </c>
      <c r="J322">
        <f>IF(E322&gt;=u_max-beta_1*D322-blk_tol,1,0)</f>
      </c>
      <c r="K322" s="17">
        <f>J322*sig_blk</f>
      </c>
      <c r="L322" s="17">
        <f>I322-K322</f>
      </c>
      <c r="M322" s="17">
        <f>INDEX(Bar_As,MATCH(C322,Bar_No,0))*L322/1000</f>
      </c>
      <c r="N322" s="17">
        <f>M322*INDEX(Bar_Y,MATCH(C322,Bar_No,0))/1000</f>
      </c>
      <c r="O322" s="17">
        <f>M322*INDEX(Bar_X,MATCH(C322,Bar_No,0))/1000</f>
      </c>
    </row>
    <row r="323" spans="2:15" x14ac:dyDescent="0.25">
      <c r="B323">
        <v>18</v>
      </c>
      <c r="C323">
        <v>12</v>
      </c>
      <c r="D323" s="17">
        <f>INDEX(Blk_c,MATCH(B323,Blk_St,0))</f>
      </c>
      <c r="E323" s="17">
        <f>INDEX(Bar_U,MATCH(C323,Bar_No,0))</f>
      </c>
      <c r="F323" s="17">
        <f>u_max-E323</f>
      </c>
      <c r="G323" s="20">
        <f>IF(AND(ec_pivot&gt;0,D323&gt;d_theta),ec_pivot*D323/(D323-(1-ec_pivot/ecu)*d_theta),ecu)*(1-F323/D323)</f>
      </c>
      <c r="H323" s="20">
        <f>MAX(0,-G323)</f>
      </c>
      <c r="I323" s="17">
        <f>MAX(MIN(Es*G323,fy),-fy)</f>
      </c>
      <c r="J323">
        <f>IF(E323&gt;=u_max-beta_1*D323-blk_tol,1,0)</f>
      </c>
      <c r="K323" s="17">
        <f>J323*sig_blk</f>
      </c>
      <c r="L323" s="17">
        <f>I323-K323</f>
      </c>
      <c r="M323" s="17">
        <f>INDEX(Bar_As,MATCH(C323,Bar_No,0))*L323/1000</f>
      </c>
      <c r="N323" s="17">
        <f>M323*INDEX(Bar_Y,MATCH(C323,Bar_No,0))/1000</f>
      </c>
      <c r="O323" s="17">
        <f>M323*INDEX(Bar_X,MATCH(C323,Bar_No,0))/1000</f>
      </c>
    </row>
    <row r="324" spans="2:15" x14ac:dyDescent="0.25">
      <c r="B324">
        <v>18</v>
      </c>
      <c r="C324">
        <v>13</v>
      </c>
      <c r="D324" s="17">
        <f>INDEX(Blk_c,MATCH(B324,Blk_St,0))</f>
      </c>
      <c r="E324" s="17">
        <f>INDEX(Bar_U,MATCH(C324,Bar_No,0))</f>
      </c>
      <c r="F324" s="17">
        <f>u_max-E324</f>
      </c>
      <c r="G324" s="20">
        <f>IF(AND(ec_pivot&gt;0,D324&gt;d_theta),ec_pivot*D324/(D324-(1-ec_pivot/ecu)*d_theta),ecu)*(1-F324/D324)</f>
      </c>
      <c r="H324" s="20">
        <f>MAX(0,-G324)</f>
      </c>
      <c r="I324" s="17">
        <f>MAX(MIN(Es*G324,fy),-fy)</f>
      </c>
      <c r="J324">
        <f>IF(E324&gt;=u_max-beta_1*D324-blk_tol,1,0)</f>
      </c>
      <c r="K324" s="17">
        <f>J324*sig_blk</f>
      </c>
      <c r="L324" s="17">
        <f>I324-K324</f>
      </c>
      <c r="M324" s="17">
        <f>INDEX(Bar_As,MATCH(C324,Bar_No,0))*L324/1000</f>
      </c>
      <c r="N324" s="17">
        <f>M324*INDEX(Bar_Y,MATCH(C324,Bar_No,0))/1000</f>
      </c>
      <c r="O324" s="17">
        <f>M324*INDEX(Bar_X,MATCH(C324,Bar_No,0))/1000</f>
      </c>
    </row>
    <row r="325" spans="2:15" x14ac:dyDescent="0.25">
      <c r="B325">
        <v>18</v>
      </c>
      <c r="C325">
        <v>14</v>
      </c>
      <c r="D325" s="17">
        <f>INDEX(Blk_c,MATCH(B325,Blk_St,0))</f>
      </c>
      <c r="E325" s="17">
        <f>INDEX(Bar_U,MATCH(C325,Bar_No,0))</f>
      </c>
      <c r="F325" s="17">
        <f>u_max-E325</f>
      </c>
      <c r="G325" s="20">
        <f>IF(AND(ec_pivot&gt;0,D325&gt;d_theta),ec_pivot*D325/(D325-(1-ec_pivot/ecu)*d_theta),ecu)*(1-F325/D325)</f>
      </c>
      <c r="H325" s="20">
        <f>MAX(0,-G325)</f>
      </c>
      <c r="I325" s="17">
        <f>MAX(MIN(Es*G325,fy),-fy)</f>
      </c>
      <c r="J325">
        <f>IF(E325&gt;=u_max-beta_1*D325-blk_tol,1,0)</f>
      </c>
      <c r="K325" s="17">
        <f>J325*sig_blk</f>
      </c>
      <c r="L325" s="17">
        <f>I325-K325</f>
      </c>
      <c r="M325" s="17">
        <f>INDEX(Bar_As,MATCH(C325,Bar_No,0))*L325/1000</f>
      </c>
      <c r="N325" s="17">
        <f>M325*INDEX(Bar_Y,MATCH(C325,Bar_No,0))/1000</f>
      </c>
      <c r="O325" s="17">
        <f>M325*INDEX(Bar_X,MATCH(C325,Bar_No,0))/1000</f>
      </c>
    </row>
    <row r="326" spans="2:15" x14ac:dyDescent="0.25">
      <c r="B326">
        <v>18</v>
      </c>
      <c r="C326">
        <v>15</v>
      </c>
      <c r="D326" s="17">
        <f>INDEX(Blk_c,MATCH(B326,Blk_St,0))</f>
      </c>
      <c r="E326" s="17">
        <f>INDEX(Bar_U,MATCH(C326,Bar_No,0))</f>
      </c>
      <c r="F326" s="17">
        <f>u_max-E326</f>
      </c>
      <c r="G326" s="20">
        <f>IF(AND(ec_pivot&gt;0,D326&gt;d_theta),ec_pivot*D326/(D326-(1-ec_pivot/ecu)*d_theta),ecu)*(1-F326/D326)</f>
      </c>
      <c r="H326" s="20">
        <f>MAX(0,-G326)</f>
      </c>
      <c r="I326" s="17">
        <f>MAX(MIN(Es*G326,fy),-fy)</f>
      </c>
      <c r="J326">
        <f>IF(E326&gt;=u_max-beta_1*D326-blk_tol,1,0)</f>
      </c>
      <c r="K326" s="17">
        <f>J326*sig_blk</f>
      </c>
      <c r="L326" s="17">
        <f>I326-K326</f>
      </c>
      <c r="M326" s="17">
        <f>INDEX(Bar_As,MATCH(C326,Bar_No,0))*L326/1000</f>
      </c>
      <c r="N326" s="17">
        <f>M326*INDEX(Bar_Y,MATCH(C326,Bar_No,0))/1000</f>
      </c>
      <c r="O326" s="17">
        <f>M326*INDEX(Bar_X,MATCH(C326,Bar_No,0))/1000</f>
      </c>
    </row>
    <row r="327" spans="2:15" x14ac:dyDescent="0.25">
      <c r="B327">
        <v>18</v>
      </c>
      <c r="C327">
        <v>16</v>
      </c>
      <c r="D327" s="17">
        <f>INDEX(Blk_c,MATCH(B327,Blk_St,0))</f>
      </c>
      <c r="E327" s="17">
        <f>INDEX(Bar_U,MATCH(C327,Bar_No,0))</f>
      </c>
      <c r="F327" s="17">
        <f>u_max-E327</f>
      </c>
      <c r="G327" s="20">
        <f>IF(AND(ec_pivot&gt;0,D327&gt;d_theta),ec_pivot*D327/(D327-(1-ec_pivot/ecu)*d_theta),ecu)*(1-F327/D327)</f>
      </c>
      <c r="H327" s="20">
        <f>MAX(0,-G327)</f>
      </c>
      <c r="I327" s="17">
        <f>MAX(MIN(Es*G327,fy),-fy)</f>
      </c>
      <c r="J327">
        <f>IF(E327&gt;=u_max-beta_1*D327-blk_tol,1,0)</f>
      </c>
      <c r="K327" s="17">
        <f>J327*sig_blk</f>
      </c>
      <c r="L327" s="17">
        <f>I327-K327</f>
      </c>
      <c r="M327" s="17">
        <f>INDEX(Bar_As,MATCH(C327,Bar_No,0))*L327/1000</f>
      </c>
      <c r="N327" s="17">
        <f>M327*INDEX(Bar_Y,MATCH(C327,Bar_No,0))/1000</f>
      </c>
      <c r="O327" s="17">
        <f>M327*INDEX(Bar_X,MATCH(C327,Bar_No,0))/1000</f>
      </c>
    </row>
    <row r="328" spans="2:15" x14ac:dyDescent="0.25">
      <c r="B328">
        <v>18</v>
      </c>
      <c r="C328">
        <v>17</v>
      </c>
      <c r="D328" s="17">
        <f>INDEX(Blk_c,MATCH(B328,Blk_St,0))</f>
      </c>
      <c r="E328" s="17">
        <f>INDEX(Bar_U,MATCH(C328,Bar_No,0))</f>
      </c>
      <c r="F328" s="17">
        <f>u_max-E328</f>
      </c>
      <c r="G328" s="20">
        <f>IF(AND(ec_pivot&gt;0,D328&gt;d_theta),ec_pivot*D328/(D328-(1-ec_pivot/ecu)*d_theta),ecu)*(1-F328/D328)</f>
      </c>
      <c r="H328" s="20">
        <f>MAX(0,-G328)</f>
      </c>
      <c r="I328" s="17">
        <f>MAX(MIN(Es*G328,fy),-fy)</f>
      </c>
      <c r="J328">
        <f>IF(E328&gt;=u_max-beta_1*D328-blk_tol,1,0)</f>
      </c>
      <c r="K328" s="17">
        <f>J328*sig_blk</f>
      </c>
      <c r="L328" s="17">
        <f>I328-K328</f>
      </c>
      <c r="M328" s="17">
        <f>INDEX(Bar_As,MATCH(C328,Bar_No,0))*L328/1000</f>
      </c>
      <c r="N328" s="17">
        <f>M328*INDEX(Bar_Y,MATCH(C328,Bar_No,0))/1000</f>
      </c>
      <c r="O328" s="17">
        <f>M328*INDEX(Bar_X,MATCH(C328,Bar_No,0))/1000</f>
      </c>
    </row>
    <row r="329" spans="2:15" x14ac:dyDescent="0.25">
      <c r="B329">
        <v>18</v>
      </c>
      <c r="C329">
        <v>18</v>
      </c>
      <c r="D329" s="17">
        <f>INDEX(Blk_c,MATCH(B329,Blk_St,0))</f>
      </c>
      <c r="E329" s="17">
        <f>INDEX(Bar_U,MATCH(C329,Bar_No,0))</f>
      </c>
      <c r="F329" s="17">
        <f>u_max-E329</f>
      </c>
      <c r="G329" s="20">
        <f>IF(AND(ec_pivot&gt;0,D329&gt;d_theta),ec_pivot*D329/(D329-(1-ec_pivot/ecu)*d_theta),ecu)*(1-F329/D329)</f>
      </c>
      <c r="H329" s="20">
        <f>MAX(0,-G329)</f>
      </c>
      <c r="I329" s="17">
        <f>MAX(MIN(Es*G329,fy),-fy)</f>
      </c>
      <c r="J329">
        <f>IF(E329&gt;=u_max-beta_1*D329-blk_tol,1,0)</f>
      </c>
      <c r="K329" s="17">
        <f>J329*sig_blk</f>
      </c>
      <c r="L329" s="17">
        <f>I329-K329</f>
      </c>
      <c r="M329" s="17">
        <f>INDEX(Bar_As,MATCH(C329,Bar_No,0))*L329/1000</f>
      </c>
      <c r="N329" s="17">
        <f>M329*INDEX(Bar_Y,MATCH(C329,Bar_No,0))/1000</f>
      </c>
      <c r="O329" s="17">
        <f>M329*INDEX(Bar_X,MATCH(C329,Bar_No,0))/1000</f>
      </c>
    </row>
    <row r="330" spans="2:15" x14ac:dyDescent="0.25">
      <c r="B330">
        <v>19</v>
      </c>
      <c r="C330">
        <v>1</v>
      </c>
      <c r="D330" s="17">
        <f>INDEX(Blk_c,MATCH(B330,Blk_St,0))</f>
      </c>
      <c r="E330" s="17">
        <f>INDEX(Bar_U,MATCH(C330,Bar_No,0))</f>
      </c>
      <c r="F330" s="17">
        <f>u_max-E330</f>
      </c>
      <c r="G330" s="20">
        <f>IF(AND(ec_pivot&gt;0,D330&gt;d_theta),ec_pivot*D330/(D330-(1-ec_pivot/ecu)*d_theta),ecu)*(1-F330/D330)</f>
      </c>
      <c r="H330" s="20">
        <f>MAX(0,-G330)</f>
      </c>
      <c r="I330" s="17">
        <f>MAX(MIN(Es*G330,fy),-fy)</f>
      </c>
      <c r="J330">
        <f>IF(E330&gt;=u_max-beta_1*D330-blk_tol,1,0)</f>
      </c>
      <c r="K330" s="17">
        <f>J330*sig_blk</f>
      </c>
      <c r="L330" s="17">
        <f>I330-K330</f>
      </c>
      <c r="M330" s="17">
        <f>INDEX(Bar_As,MATCH(C330,Bar_No,0))*L330/1000</f>
      </c>
      <c r="N330" s="17">
        <f>M330*INDEX(Bar_Y,MATCH(C330,Bar_No,0))/1000</f>
      </c>
      <c r="O330" s="17">
        <f>M330*INDEX(Bar_X,MATCH(C330,Bar_No,0))/1000</f>
      </c>
    </row>
    <row r="331" spans="2:15" x14ac:dyDescent="0.25">
      <c r="B331">
        <v>19</v>
      </c>
      <c r="C331">
        <v>2</v>
      </c>
      <c r="D331" s="17">
        <f>INDEX(Blk_c,MATCH(B331,Blk_St,0))</f>
      </c>
      <c r="E331" s="17">
        <f>INDEX(Bar_U,MATCH(C331,Bar_No,0))</f>
      </c>
      <c r="F331" s="17">
        <f>u_max-E331</f>
      </c>
      <c r="G331" s="20">
        <f>IF(AND(ec_pivot&gt;0,D331&gt;d_theta),ec_pivot*D331/(D331-(1-ec_pivot/ecu)*d_theta),ecu)*(1-F331/D331)</f>
      </c>
      <c r="H331" s="20">
        <f>MAX(0,-G331)</f>
      </c>
      <c r="I331" s="17">
        <f>MAX(MIN(Es*G331,fy),-fy)</f>
      </c>
      <c r="J331">
        <f>IF(E331&gt;=u_max-beta_1*D331-blk_tol,1,0)</f>
      </c>
      <c r="K331" s="17">
        <f>J331*sig_blk</f>
      </c>
      <c r="L331" s="17">
        <f>I331-K331</f>
      </c>
      <c r="M331" s="17">
        <f>INDEX(Bar_As,MATCH(C331,Bar_No,0))*L331/1000</f>
      </c>
      <c r="N331" s="17">
        <f>M331*INDEX(Bar_Y,MATCH(C331,Bar_No,0))/1000</f>
      </c>
      <c r="O331" s="17">
        <f>M331*INDEX(Bar_X,MATCH(C331,Bar_No,0))/1000</f>
      </c>
    </row>
    <row r="332" spans="2:15" x14ac:dyDescent="0.25">
      <c r="B332">
        <v>19</v>
      </c>
      <c r="C332">
        <v>3</v>
      </c>
      <c r="D332" s="17">
        <f>INDEX(Blk_c,MATCH(B332,Blk_St,0))</f>
      </c>
      <c r="E332" s="17">
        <f>INDEX(Bar_U,MATCH(C332,Bar_No,0))</f>
      </c>
      <c r="F332" s="17">
        <f>u_max-E332</f>
      </c>
      <c r="G332" s="20">
        <f>IF(AND(ec_pivot&gt;0,D332&gt;d_theta),ec_pivot*D332/(D332-(1-ec_pivot/ecu)*d_theta),ecu)*(1-F332/D332)</f>
      </c>
      <c r="H332" s="20">
        <f>MAX(0,-G332)</f>
      </c>
      <c r="I332" s="17">
        <f>MAX(MIN(Es*G332,fy),-fy)</f>
      </c>
      <c r="J332">
        <f>IF(E332&gt;=u_max-beta_1*D332-blk_tol,1,0)</f>
      </c>
      <c r="K332" s="17">
        <f>J332*sig_blk</f>
      </c>
      <c r="L332" s="17">
        <f>I332-K332</f>
      </c>
      <c r="M332" s="17">
        <f>INDEX(Bar_As,MATCH(C332,Bar_No,0))*L332/1000</f>
      </c>
      <c r="N332" s="17">
        <f>M332*INDEX(Bar_Y,MATCH(C332,Bar_No,0))/1000</f>
      </c>
      <c r="O332" s="17">
        <f>M332*INDEX(Bar_X,MATCH(C332,Bar_No,0))/1000</f>
      </c>
    </row>
    <row r="333" spans="2:15" x14ac:dyDescent="0.25">
      <c r="B333">
        <v>19</v>
      </c>
      <c r="C333">
        <v>4</v>
      </c>
      <c r="D333" s="17">
        <f>INDEX(Blk_c,MATCH(B333,Blk_St,0))</f>
      </c>
      <c r="E333" s="17">
        <f>INDEX(Bar_U,MATCH(C333,Bar_No,0))</f>
      </c>
      <c r="F333" s="17">
        <f>u_max-E333</f>
      </c>
      <c r="G333" s="20">
        <f>IF(AND(ec_pivot&gt;0,D333&gt;d_theta),ec_pivot*D333/(D333-(1-ec_pivot/ecu)*d_theta),ecu)*(1-F333/D333)</f>
      </c>
      <c r="H333" s="20">
        <f>MAX(0,-G333)</f>
      </c>
      <c r="I333" s="17">
        <f>MAX(MIN(Es*G333,fy),-fy)</f>
      </c>
      <c r="J333">
        <f>IF(E333&gt;=u_max-beta_1*D333-blk_tol,1,0)</f>
      </c>
      <c r="K333" s="17">
        <f>J333*sig_blk</f>
      </c>
      <c r="L333" s="17">
        <f>I333-K333</f>
      </c>
      <c r="M333" s="17">
        <f>INDEX(Bar_As,MATCH(C333,Bar_No,0))*L333/1000</f>
      </c>
      <c r="N333" s="17">
        <f>M333*INDEX(Bar_Y,MATCH(C333,Bar_No,0))/1000</f>
      </c>
      <c r="O333" s="17">
        <f>M333*INDEX(Bar_X,MATCH(C333,Bar_No,0))/1000</f>
      </c>
    </row>
    <row r="334" spans="2:15" x14ac:dyDescent="0.25">
      <c r="B334">
        <v>19</v>
      </c>
      <c r="C334">
        <v>5</v>
      </c>
      <c r="D334" s="17">
        <f>INDEX(Blk_c,MATCH(B334,Blk_St,0))</f>
      </c>
      <c r="E334" s="17">
        <f>INDEX(Bar_U,MATCH(C334,Bar_No,0))</f>
      </c>
      <c r="F334" s="17">
        <f>u_max-E334</f>
      </c>
      <c r="G334" s="20">
        <f>IF(AND(ec_pivot&gt;0,D334&gt;d_theta),ec_pivot*D334/(D334-(1-ec_pivot/ecu)*d_theta),ecu)*(1-F334/D334)</f>
      </c>
      <c r="H334" s="20">
        <f>MAX(0,-G334)</f>
      </c>
      <c r="I334" s="17">
        <f>MAX(MIN(Es*G334,fy),-fy)</f>
      </c>
      <c r="J334">
        <f>IF(E334&gt;=u_max-beta_1*D334-blk_tol,1,0)</f>
      </c>
      <c r="K334" s="17">
        <f>J334*sig_blk</f>
      </c>
      <c r="L334" s="17">
        <f>I334-K334</f>
      </c>
      <c r="M334" s="17">
        <f>INDEX(Bar_As,MATCH(C334,Bar_No,0))*L334/1000</f>
      </c>
      <c r="N334" s="17">
        <f>M334*INDEX(Bar_Y,MATCH(C334,Bar_No,0))/1000</f>
      </c>
      <c r="O334" s="17">
        <f>M334*INDEX(Bar_X,MATCH(C334,Bar_No,0))/1000</f>
      </c>
    </row>
    <row r="335" spans="2:15" x14ac:dyDescent="0.25">
      <c r="B335">
        <v>19</v>
      </c>
      <c r="C335">
        <v>6</v>
      </c>
      <c r="D335" s="17">
        <f>INDEX(Blk_c,MATCH(B335,Blk_St,0))</f>
      </c>
      <c r="E335" s="17">
        <f>INDEX(Bar_U,MATCH(C335,Bar_No,0))</f>
      </c>
      <c r="F335" s="17">
        <f>u_max-E335</f>
      </c>
      <c r="G335" s="20">
        <f>IF(AND(ec_pivot&gt;0,D335&gt;d_theta),ec_pivot*D335/(D335-(1-ec_pivot/ecu)*d_theta),ecu)*(1-F335/D335)</f>
      </c>
      <c r="H335" s="20">
        <f>MAX(0,-G335)</f>
      </c>
      <c r="I335" s="17">
        <f>MAX(MIN(Es*G335,fy),-fy)</f>
      </c>
      <c r="J335">
        <f>IF(E335&gt;=u_max-beta_1*D335-blk_tol,1,0)</f>
      </c>
      <c r="K335" s="17">
        <f>J335*sig_blk</f>
      </c>
      <c r="L335" s="17">
        <f>I335-K335</f>
      </c>
      <c r="M335" s="17">
        <f>INDEX(Bar_As,MATCH(C335,Bar_No,0))*L335/1000</f>
      </c>
      <c r="N335" s="17">
        <f>M335*INDEX(Bar_Y,MATCH(C335,Bar_No,0))/1000</f>
      </c>
      <c r="O335" s="17">
        <f>M335*INDEX(Bar_X,MATCH(C335,Bar_No,0))/1000</f>
      </c>
    </row>
    <row r="336" spans="2:15" x14ac:dyDescent="0.25">
      <c r="B336">
        <v>19</v>
      </c>
      <c r="C336">
        <v>7</v>
      </c>
      <c r="D336" s="17">
        <f>INDEX(Blk_c,MATCH(B336,Blk_St,0))</f>
      </c>
      <c r="E336" s="17">
        <f>INDEX(Bar_U,MATCH(C336,Bar_No,0))</f>
      </c>
      <c r="F336" s="17">
        <f>u_max-E336</f>
      </c>
      <c r="G336" s="20">
        <f>IF(AND(ec_pivot&gt;0,D336&gt;d_theta),ec_pivot*D336/(D336-(1-ec_pivot/ecu)*d_theta),ecu)*(1-F336/D336)</f>
      </c>
      <c r="H336" s="20">
        <f>MAX(0,-G336)</f>
      </c>
      <c r="I336" s="17">
        <f>MAX(MIN(Es*G336,fy),-fy)</f>
      </c>
      <c r="J336">
        <f>IF(E336&gt;=u_max-beta_1*D336-blk_tol,1,0)</f>
      </c>
      <c r="K336" s="17">
        <f>J336*sig_blk</f>
      </c>
      <c r="L336" s="17">
        <f>I336-K336</f>
      </c>
      <c r="M336" s="17">
        <f>INDEX(Bar_As,MATCH(C336,Bar_No,0))*L336/1000</f>
      </c>
      <c r="N336" s="17">
        <f>M336*INDEX(Bar_Y,MATCH(C336,Bar_No,0))/1000</f>
      </c>
      <c r="O336" s="17">
        <f>M336*INDEX(Bar_X,MATCH(C336,Bar_No,0))/1000</f>
      </c>
    </row>
    <row r="337" spans="2:15" x14ac:dyDescent="0.25">
      <c r="B337">
        <v>19</v>
      </c>
      <c r="C337">
        <v>8</v>
      </c>
      <c r="D337" s="17">
        <f>INDEX(Blk_c,MATCH(B337,Blk_St,0))</f>
      </c>
      <c r="E337" s="17">
        <f>INDEX(Bar_U,MATCH(C337,Bar_No,0))</f>
      </c>
      <c r="F337" s="17">
        <f>u_max-E337</f>
      </c>
      <c r="G337" s="20">
        <f>IF(AND(ec_pivot&gt;0,D337&gt;d_theta),ec_pivot*D337/(D337-(1-ec_pivot/ecu)*d_theta),ecu)*(1-F337/D337)</f>
      </c>
      <c r="H337" s="20">
        <f>MAX(0,-G337)</f>
      </c>
      <c r="I337" s="17">
        <f>MAX(MIN(Es*G337,fy),-fy)</f>
      </c>
      <c r="J337">
        <f>IF(E337&gt;=u_max-beta_1*D337-blk_tol,1,0)</f>
      </c>
      <c r="K337" s="17">
        <f>J337*sig_blk</f>
      </c>
      <c r="L337" s="17">
        <f>I337-K337</f>
      </c>
      <c r="M337" s="17">
        <f>INDEX(Bar_As,MATCH(C337,Bar_No,0))*L337/1000</f>
      </c>
      <c r="N337" s="17">
        <f>M337*INDEX(Bar_Y,MATCH(C337,Bar_No,0))/1000</f>
      </c>
      <c r="O337" s="17">
        <f>M337*INDEX(Bar_X,MATCH(C337,Bar_No,0))/1000</f>
      </c>
    </row>
    <row r="338" spans="2:15" x14ac:dyDescent="0.25">
      <c r="B338">
        <v>19</v>
      </c>
      <c r="C338">
        <v>9</v>
      </c>
      <c r="D338" s="17">
        <f>INDEX(Blk_c,MATCH(B338,Blk_St,0))</f>
      </c>
      <c r="E338" s="17">
        <f>INDEX(Bar_U,MATCH(C338,Bar_No,0))</f>
      </c>
      <c r="F338" s="17">
        <f>u_max-E338</f>
      </c>
      <c r="G338" s="20">
        <f>IF(AND(ec_pivot&gt;0,D338&gt;d_theta),ec_pivot*D338/(D338-(1-ec_pivot/ecu)*d_theta),ecu)*(1-F338/D338)</f>
      </c>
      <c r="H338" s="20">
        <f>MAX(0,-G338)</f>
      </c>
      <c r="I338" s="17">
        <f>MAX(MIN(Es*G338,fy),-fy)</f>
      </c>
      <c r="J338">
        <f>IF(E338&gt;=u_max-beta_1*D338-blk_tol,1,0)</f>
      </c>
      <c r="K338" s="17">
        <f>J338*sig_blk</f>
      </c>
      <c r="L338" s="17">
        <f>I338-K338</f>
      </c>
      <c r="M338" s="17">
        <f>INDEX(Bar_As,MATCH(C338,Bar_No,0))*L338/1000</f>
      </c>
      <c r="N338" s="17">
        <f>M338*INDEX(Bar_Y,MATCH(C338,Bar_No,0))/1000</f>
      </c>
      <c r="O338" s="17">
        <f>M338*INDEX(Bar_X,MATCH(C338,Bar_No,0))/1000</f>
      </c>
    </row>
    <row r="339" spans="2:15" x14ac:dyDescent="0.25">
      <c r="B339">
        <v>19</v>
      </c>
      <c r="C339">
        <v>10</v>
      </c>
      <c r="D339" s="17">
        <f>INDEX(Blk_c,MATCH(B339,Blk_St,0))</f>
      </c>
      <c r="E339" s="17">
        <f>INDEX(Bar_U,MATCH(C339,Bar_No,0))</f>
      </c>
      <c r="F339" s="17">
        <f>u_max-E339</f>
      </c>
      <c r="G339" s="20">
        <f>IF(AND(ec_pivot&gt;0,D339&gt;d_theta),ec_pivot*D339/(D339-(1-ec_pivot/ecu)*d_theta),ecu)*(1-F339/D339)</f>
      </c>
      <c r="H339" s="20">
        <f>MAX(0,-G339)</f>
      </c>
      <c r="I339" s="17">
        <f>MAX(MIN(Es*G339,fy),-fy)</f>
      </c>
      <c r="J339">
        <f>IF(E339&gt;=u_max-beta_1*D339-blk_tol,1,0)</f>
      </c>
      <c r="K339" s="17">
        <f>J339*sig_blk</f>
      </c>
      <c r="L339" s="17">
        <f>I339-K339</f>
      </c>
      <c r="M339" s="17">
        <f>INDEX(Bar_As,MATCH(C339,Bar_No,0))*L339/1000</f>
      </c>
      <c r="N339" s="17">
        <f>M339*INDEX(Bar_Y,MATCH(C339,Bar_No,0))/1000</f>
      </c>
      <c r="O339" s="17">
        <f>M339*INDEX(Bar_X,MATCH(C339,Bar_No,0))/1000</f>
      </c>
    </row>
    <row r="340" spans="2:15" x14ac:dyDescent="0.25">
      <c r="B340">
        <v>19</v>
      </c>
      <c r="C340">
        <v>11</v>
      </c>
      <c r="D340" s="17">
        <f>INDEX(Blk_c,MATCH(B340,Blk_St,0))</f>
      </c>
      <c r="E340" s="17">
        <f>INDEX(Bar_U,MATCH(C340,Bar_No,0))</f>
      </c>
      <c r="F340" s="17">
        <f>u_max-E340</f>
      </c>
      <c r="G340" s="20">
        <f>IF(AND(ec_pivot&gt;0,D340&gt;d_theta),ec_pivot*D340/(D340-(1-ec_pivot/ecu)*d_theta),ecu)*(1-F340/D340)</f>
      </c>
      <c r="H340" s="20">
        <f>MAX(0,-G340)</f>
      </c>
      <c r="I340" s="17">
        <f>MAX(MIN(Es*G340,fy),-fy)</f>
      </c>
      <c r="J340">
        <f>IF(E340&gt;=u_max-beta_1*D340-blk_tol,1,0)</f>
      </c>
      <c r="K340" s="17">
        <f>J340*sig_blk</f>
      </c>
      <c r="L340" s="17">
        <f>I340-K340</f>
      </c>
      <c r="M340" s="17">
        <f>INDEX(Bar_As,MATCH(C340,Bar_No,0))*L340/1000</f>
      </c>
      <c r="N340" s="17">
        <f>M340*INDEX(Bar_Y,MATCH(C340,Bar_No,0))/1000</f>
      </c>
      <c r="O340" s="17">
        <f>M340*INDEX(Bar_X,MATCH(C340,Bar_No,0))/1000</f>
      </c>
    </row>
    <row r="341" spans="2:15" x14ac:dyDescent="0.25">
      <c r="B341">
        <v>19</v>
      </c>
      <c r="C341">
        <v>12</v>
      </c>
      <c r="D341" s="17">
        <f>INDEX(Blk_c,MATCH(B341,Blk_St,0))</f>
      </c>
      <c r="E341" s="17">
        <f>INDEX(Bar_U,MATCH(C341,Bar_No,0))</f>
      </c>
      <c r="F341" s="17">
        <f>u_max-E341</f>
      </c>
      <c r="G341" s="20">
        <f>IF(AND(ec_pivot&gt;0,D341&gt;d_theta),ec_pivot*D341/(D341-(1-ec_pivot/ecu)*d_theta),ecu)*(1-F341/D341)</f>
      </c>
      <c r="H341" s="20">
        <f>MAX(0,-G341)</f>
      </c>
      <c r="I341" s="17">
        <f>MAX(MIN(Es*G341,fy),-fy)</f>
      </c>
      <c r="J341">
        <f>IF(E341&gt;=u_max-beta_1*D341-blk_tol,1,0)</f>
      </c>
      <c r="K341" s="17">
        <f>J341*sig_blk</f>
      </c>
      <c r="L341" s="17">
        <f>I341-K341</f>
      </c>
      <c r="M341" s="17">
        <f>INDEX(Bar_As,MATCH(C341,Bar_No,0))*L341/1000</f>
      </c>
      <c r="N341" s="17">
        <f>M341*INDEX(Bar_Y,MATCH(C341,Bar_No,0))/1000</f>
      </c>
      <c r="O341" s="17">
        <f>M341*INDEX(Bar_X,MATCH(C341,Bar_No,0))/1000</f>
      </c>
    </row>
    <row r="342" spans="2:15" x14ac:dyDescent="0.25">
      <c r="B342">
        <v>19</v>
      </c>
      <c r="C342">
        <v>13</v>
      </c>
      <c r="D342" s="17">
        <f>INDEX(Blk_c,MATCH(B342,Blk_St,0))</f>
      </c>
      <c r="E342" s="17">
        <f>INDEX(Bar_U,MATCH(C342,Bar_No,0))</f>
      </c>
      <c r="F342" s="17">
        <f>u_max-E342</f>
      </c>
      <c r="G342" s="20">
        <f>IF(AND(ec_pivot&gt;0,D342&gt;d_theta),ec_pivot*D342/(D342-(1-ec_pivot/ecu)*d_theta),ecu)*(1-F342/D342)</f>
      </c>
      <c r="H342" s="20">
        <f>MAX(0,-G342)</f>
      </c>
      <c r="I342" s="17">
        <f>MAX(MIN(Es*G342,fy),-fy)</f>
      </c>
      <c r="J342">
        <f>IF(E342&gt;=u_max-beta_1*D342-blk_tol,1,0)</f>
      </c>
      <c r="K342" s="17">
        <f>J342*sig_blk</f>
      </c>
      <c r="L342" s="17">
        <f>I342-K342</f>
      </c>
      <c r="M342" s="17">
        <f>INDEX(Bar_As,MATCH(C342,Bar_No,0))*L342/1000</f>
      </c>
      <c r="N342" s="17">
        <f>M342*INDEX(Bar_Y,MATCH(C342,Bar_No,0))/1000</f>
      </c>
      <c r="O342" s="17">
        <f>M342*INDEX(Bar_X,MATCH(C342,Bar_No,0))/1000</f>
      </c>
    </row>
    <row r="343" spans="2:15" x14ac:dyDescent="0.25">
      <c r="B343">
        <v>19</v>
      </c>
      <c r="C343">
        <v>14</v>
      </c>
      <c r="D343" s="17">
        <f>INDEX(Blk_c,MATCH(B343,Blk_St,0))</f>
      </c>
      <c r="E343" s="17">
        <f>INDEX(Bar_U,MATCH(C343,Bar_No,0))</f>
      </c>
      <c r="F343" s="17">
        <f>u_max-E343</f>
      </c>
      <c r="G343" s="20">
        <f>IF(AND(ec_pivot&gt;0,D343&gt;d_theta),ec_pivot*D343/(D343-(1-ec_pivot/ecu)*d_theta),ecu)*(1-F343/D343)</f>
      </c>
      <c r="H343" s="20">
        <f>MAX(0,-G343)</f>
      </c>
      <c r="I343" s="17">
        <f>MAX(MIN(Es*G343,fy),-fy)</f>
      </c>
      <c r="J343">
        <f>IF(E343&gt;=u_max-beta_1*D343-blk_tol,1,0)</f>
      </c>
      <c r="K343" s="17">
        <f>J343*sig_blk</f>
      </c>
      <c r="L343" s="17">
        <f>I343-K343</f>
      </c>
      <c r="M343" s="17">
        <f>INDEX(Bar_As,MATCH(C343,Bar_No,0))*L343/1000</f>
      </c>
      <c r="N343" s="17">
        <f>M343*INDEX(Bar_Y,MATCH(C343,Bar_No,0))/1000</f>
      </c>
      <c r="O343" s="17">
        <f>M343*INDEX(Bar_X,MATCH(C343,Bar_No,0))/1000</f>
      </c>
    </row>
    <row r="344" spans="2:15" x14ac:dyDescent="0.25">
      <c r="B344">
        <v>19</v>
      </c>
      <c r="C344">
        <v>15</v>
      </c>
      <c r="D344" s="17">
        <f>INDEX(Blk_c,MATCH(B344,Blk_St,0))</f>
      </c>
      <c r="E344" s="17">
        <f>INDEX(Bar_U,MATCH(C344,Bar_No,0))</f>
      </c>
      <c r="F344" s="17">
        <f>u_max-E344</f>
      </c>
      <c r="G344" s="20">
        <f>IF(AND(ec_pivot&gt;0,D344&gt;d_theta),ec_pivot*D344/(D344-(1-ec_pivot/ecu)*d_theta),ecu)*(1-F344/D344)</f>
      </c>
      <c r="H344" s="20">
        <f>MAX(0,-G344)</f>
      </c>
      <c r="I344" s="17">
        <f>MAX(MIN(Es*G344,fy),-fy)</f>
      </c>
      <c r="J344">
        <f>IF(E344&gt;=u_max-beta_1*D344-blk_tol,1,0)</f>
      </c>
      <c r="K344" s="17">
        <f>J344*sig_blk</f>
      </c>
      <c r="L344" s="17">
        <f>I344-K344</f>
      </c>
      <c r="M344" s="17">
        <f>INDEX(Bar_As,MATCH(C344,Bar_No,0))*L344/1000</f>
      </c>
      <c r="N344" s="17">
        <f>M344*INDEX(Bar_Y,MATCH(C344,Bar_No,0))/1000</f>
      </c>
      <c r="O344" s="17">
        <f>M344*INDEX(Bar_X,MATCH(C344,Bar_No,0))/1000</f>
      </c>
    </row>
    <row r="345" spans="2:15" x14ac:dyDescent="0.25">
      <c r="B345">
        <v>19</v>
      </c>
      <c r="C345">
        <v>16</v>
      </c>
      <c r="D345" s="17">
        <f>INDEX(Blk_c,MATCH(B345,Blk_St,0))</f>
      </c>
      <c r="E345" s="17">
        <f>INDEX(Bar_U,MATCH(C345,Bar_No,0))</f>
      </c>
      <c r="F345" s="17">
        <f>u_max-E345</f>
      </c>
      <c r="G345" s="20">
        <f>IF(AND(ec_pivot&gt;0,D345&gt;d_theta),ec_pivot*D345/(D345-(1-ec_pivot/ecu)*d_theta),ecu)*(1-F345/D345)</f>
      </c>
      <c r="H345" s="20">
        <f>MAX(0,-G345)</f>
      </c>
      <c r="I345" s="17">
        <f>MAX(MIN(Es*G345,fy),-fy)</f>
      </c>
      <c r="J345">
        <f>IF(E345&gt;=u_max-beta_1*D345-blk_tol,1,0)</f>
      </c>
      <c r="K345" s="17">
        <f>J345*sig_blk</f>
      </c>
      <c r="L345" s="17">
        <f>I345-K345</f>
      </c>
      <c r="M345" s="17">
        <f>INDEX(Bar_As,MATCH(C345,Bar_No,0))*L345/1000</f>
      </c>
      <c r="N345" s="17">
        <f>M345*INDEX(Bar_Y,MATCH(C345,Bar_No,0))/1000</f>
      </c>
      <c r="O345" s="17">
        <f>M345*INDEX(Bar_X,MATCH(C345,Bar_No,0))/1000</f>
      </c>
    </row>
    <row r="346" spans="2:15" x14ac:dyDescent="0.25">
      <c r="B346">
        <v>19</v>
      </c>
      <c r="C346">
        <v>17</v>
      </c>
      <c r="D346" s="17">
        <f>INDEX(Blk_c,MATCH(B346,Blk_St,0))</f>
      </c>
      <c r="E346" s="17">
        <f>INDEX(Bar_U,MATCH(C346,Bar_No,0))</f>
      </c>
      <c r="F346" s="17">
        <f>u_max-E346</f>
      </c>
      <c r="G346" s="20">
        <f>IF(AND(ec_pivot&gt;0,D346&gt;d_theta),ec_pivot*D346/(D346-(1-ec_pivot/ecu)*d_theta),ecu)*(1-F346/D346)</f>
      </c>
      <c r="H346" s="20">
        <f>MAX(0,-G346)</f>
      </c>
      <c r="I346" s="17">
        <f>MAX(MIN(Es*G346,fy),-fy)</f>
      </c>
      <c r="J346">
        <f>IF(E346&gt;=u_max-beta_1*D346-blk_tol,1,0)</f>
      </c>
      <c r="K346" s="17">
        <f>J346*sig_blk</f>
      </c>
      <c r="L346" s="17">
        <f>I346-K346</f>
      </c>
      <c r="M346" s="17">
        <f>INDEX(Bar_As,MATCH(C346,Bar_No,0))*L346/1000</f>
      </c>
      <c r="N346" s="17">
        <f>M346*INDEX(Bar_Y,MATCH(C346,Bar_No,0))/1000</f>
      </c>
      <c r="O346" s="17">
        <f>M346*INDEX(Bar_X,MATCH(C346,Bar_No,0))/1000</f>
      </c>
    </row>
    <row r="347" spans="2:15" x14ac:dyDescent="0.25">
      <c r="B347">
        <v>19</v>
      </c>
      <c r="C347">
        <v>18</v>
      </c>
      <c r="D347" s="17">
        <f>INDEX(Blk_c,MATCH(B347,Blk_St,0))</f>
      </c>
      <c r="E347" s="17">
        <f>INDEX(Bar_U,MATCH(C347,Bar_No,0))</f>
      </c>
      <c r="F347" s="17">
        <f>u_max-E347</f>
      </c>
      <c r="G347" s="20">
        <f>IF(AND(ec_pivot&gt;0,D347&gt;d_theta),ec_pivot*D347/(D347-(1-ec_pivot/ecu)*d_theta),ecu)*(1-F347/D347)</f>
      </c>
      <c r="H347" s="20">
        <f>MAX(0,-G347)</f>
      </c>
      <c r="I347" s="17">
        <f>MAX(MIN(Es*G347,fy),-fy)</f>
      </c>
      <c r="J347">
        <f>IF(E347&gt;=u_max-beta_1*D347-blk_tol,1,0)</f>
      </c>
      <c r="K347" s="17">
        <f>J347*sig_blk</f>
      </c>
      <c r="L347" s="17">
        <f>I347-K347</f>
      </c>
      <c r="M347" s="17">
        <f>INDEX(Bar_As,MATCH(C347,Bar_No,0))*L347/1000</f>
      </c>
      <c r="N347" s="17">
        <f>M347*INDEX(Bar_Y,MATCH(C347,Bar_No,0))/1000</f>
      </c>
      <c r="O347" s="17">
        <f>M347*INDEX(Bar_X,MATCH(C347,Bar_No,0))/1000</f>
      </c>
    </row>
    <row r="348" spans="2:15" x14ac:dyDescent="0.25">
      <c r="B348">
        <v>20</v>
      </c>
      <c r="C348">
        <v>1</v>
      </c>
      <c r="D348" s="17">
        <f>INDEX(Blk_c,MATCH(B348,Blk_St,0))</f>
      </c>
      <c r="E348" s="17">
        <f>INDEX(Bar_U,MATCH(C348,Bar_No,0))</f>
      </c>
      <c r="F348" s="17">
        <f>u_max-E348</f>
      </c>
      <c r="G348" s="20">
        <f>IF(AND(ec_pivot&gt;0,D348&gt;d_theta),ec_pivot*D348/(D348-(1-ec_pivot/ecu)*d_theta),ecu)*(1-F348/D348)</f>
      </c>
      <c r="H348" s="20">
        <f>MAX(0,-G348)</f>
      </c>
      <c r="I348" s="17">
        <f>MAX(MIN(Es*G348,fy),-fy)</f>
      </c>
      <c r="J348">
        <f>IF(E348&gt;=u_max-beta_1*D348-blk_tol,1,0)</f>
      </c>
      <c r="K348" s="17">
        <f>J348*sig_blk</f>
      </c>
      <c r="L348" s="17">
        <f>I348-K348</f>
      </c>
      <c r="M348" s="17">
        <f>INDEX(Bar_As,MATCH(C348,Bar_No,0))*L348/1000</f>
      </c>
      <c r="N348" s="17">
        <f>M348*INDEX(Bar_Y,MATCH(C348,Bar_No,0))/1000</f>
      </c>
      <c r="O348" s="17">
        <f>M348*INDEX(Bar_X,MATCH(C348,Bar_No,0))/1000</f>
      </c>
    </row>
    <row r="349" spans="2:15" x14ac:dyDescent="0.25">
      <c r="B349">
        <v>20</v>
      </c>
      <c r="C349">
        <v>2</v>
      </c>
      <c r="D349" s="17">
        <f>INDEX(Blk_c,MATCH(B349,Blk_St,0))</f>
      </c>
      <c r="E349" s="17">
        <f>INDEX(Bar_U,MATCH(C349,Bar_No,0))</f>
      </c>
      <c r="F349" s="17">
        <f>u_max-E349</f>
      </c>
      <c r="G349" s="20">
        <f>IF(AND(ec_pivot&gt;0,D349&gt;d_theta),ec_pivot*D349/(D349-(1-ec_pivot/ecu)*d_theta),ecu)*(1-F349/D349)</f>
      </c>
      <c r="H349" s="20">
        <f>MAX(0,-G349)</f>
      </c>
      <c r="I349" s="17">
        <f>MAX(MIN(Es*G349,fy),-fy)</f>
      </c>
      <c r="J349">
        <f>IF(E349&gt;=u_max-beta_1*D349-blk_tol,1,0)</f>
      </c>
      <c r="K349" s="17">
        <f>J349*sig_blk</f>
      </c>
      <c r="L349" s="17">
        <f>I349-K349</f>
      </c>
      <c r="M349" s="17">
        <f>INDEX(Bar_As,MATCH(C349,Bar_No,0))*L349/1000</f>
      </c>
      <c r="N349" s="17">
        <f>M349*INDEX(Bar_Y,MATCH(C349,Bar_No,0))/1000</f>
      </c>
      <c r="O349" s="17">
        <f>M349*INDEX(Bar_X,MATCH(C349,Bar_No,0))/1000</f>
      </c>
    </row>
    <row r="350" spans="2:15" x14ac:dyDescent="0.25">
      <c r="B350">
        <v>20</v>
      </c>
      <c r="C350">
        <v>3</v>
      </c>
      <c r="D350" s="17">
        <f>INDEX(Blk_c,MATCH(B350,Blk_St,0))</f>
      </c>
      <c r="E350" s="17">
        <f>INDEX(Bar_U,MATCH(C350,Bar_No,0))</f>
      </c>
      <c r="F350" s="17">
        <f>u_max-E350</f>
      </c>
      <c r="G350" s="20">
        <f>IF(AND(ec_pivot&gt;0,D350&gt;d_theta),ec_pivot*D350/(D350-(1-ec_pivot/ecu)*d_theta),ecu)*(1-F350/D350)</f>
      </c>
      <c r="H350" s="20">
        <f>MAX(0,-G350)</f>
      </c>
      <c r="I350" s="17">
        <f>MAX(MIN(Es*G350,fy),-fy)</f>
      </c>
      <c r="J350">
        <f>IF(E350&gt;=u_max-beta_1*D350-blk_tol,1,0)</f>
      </c>
      <c r="K350" s="17">
        <f>J350*sig_blk</f>
      </c>
      <c r="L350" s="17">
        <f>I350-K350</f>
      </c>
      <c r="M350" s="17">
        <f>INDEX(Bar_As,MATCH(C350,Bar_No,0))*L350/1000</f>
      </c>
      <c r="N350" s="17">
        <f>M350*INDEX(Bar_Y,MATCH(C350,Bar_No,0))/1000</f>
      </c>
      <c r="O350" s="17">
        <f>M350*INDEX(Bar_X,MATCH(C350,Bar_No,0))/1000</f>
      </c>
    </row>
    <row r="351" spans="2:15" x14ac:dyDescent="0.25">
      <c r="B351">
        <v>20</v>
      </c>
      <c r="C351">
        <v>4</v>
      </c>
      <c r="D351" s="17">
        <f>INDEX(Blk_c,MATCH(B351,Blk_St,0))</f>
      </c>
      <c r="E351" s="17">
        <f>INDEX(Bar_U,MATCH(C351,Bar_No,0))</f>
      </c>
      <c r="F351" s="17">
        <f>u_max-E351</f>
      </c>
      <c r="G351" s="20">
        <f>IF(AND(ec_pivot&gt;0,D351&gt;d_theta),ec_pivot*D351/(D351-(1-ec_pivot/ecu)*d_theta),ecu)*(1-F351/D351)</f>
      </c>
      <c r="H351" s="20">
        <f>MAX(0,-G351)</f>
      </c>
      <c r="I351" s="17">
        <f>MAX(MIN(Es*G351,fy),-fy)</f>
      </c>
      <c r="J351">
        <f>IF(E351&gt;=u_max-beta_1*D351-blk_tol,1,0)</f>
      </c>
      <c r="K351" s="17">
        <f>J351*sig_blk</f>
      </c>
      <c r="L351" s="17">
        <f>I351-K351</f>
      </c>
      <c r="M351" s="17">
        <f>INDEX(Bar_As,MATCH(C351,Bar_No,0))*L351/1000</f>
      </c>
      <c r="N351" s="17">
        <f>M351*INDEX(Bar_Y,MATCH(C351,Bar_No,0))/1000</f>
      </c>
      <c r="O351" s="17">
        <f>M351*INDEX(Bar_X,MATCH(C351,Bar_No,0))/1000</f>
      </c>
    </row>
    <row r="352" spans="2:15" x14ac:dyDescent="0.25">
      <c r="B352">
        <v>20</v>
      </c>
      <c r="C352">
        <v>5</v>
      </c>
      <c r="D352" s="17">
        <f>INDEX(Blk_c,MATCH(B352,Blk_St,0))</f>
      </c>
      <c r="E352" s="17">
        <f>INDEX(Bar_U,MATCH(C352,Bar_No,0))</f>
      </c>
      <c r="F352" s="17">
        <f>u_max-E352</f>
      </c>
      <c r="G352" s="20">
        <f>IF(AND(ec_pivot&gt;0,D352&gt;d_theta),ec_pivot*D352/(D352-(1-ec_pivot/ecu)*d_theta),ecu)*(1-F352/D352)</f>
      </c>
      <c r="H352" s="20">
        <f>MAX(0,-G352)</f>
      </c>
      <c r="I352" s="17">
        <f>MAX(MIN(Es*G352,fy),-fy)</f>
      </c>
      <c r="J352">
        <f>IF(E352&gt;=u_max-beta_1*D352-blk_tol,1,0)</f>
      </c>
      <c r="K352" s="17">
        <f>J352*sig_blk</f>
      </c>
      <c r="L352" s="17">
        <f>I352-K352</f>
      </c>
      <c r="M352" s="17">
        <f>INDEX(Bar_As,MATCH(C352,Bar_No,0))*L352/1000</f>
      </c>
      <c r="N352" s="17">
        <f>M352*INDEX(Bar_Y,MATCH(C352,Bar_No,0))/1000</f>
      </c>
      <c r="O352" s="17">
        <f>M352*INDEX(Bar_X,MATCH(C352,Bar_No,0))/1000</f>
      </c>
    </row>
    <row r="353" spans="2:15" x14ac:dyDescent="0.25">
      <c r="B353">
        <v>20</v>
      </c>
      <c r="C353">
        <v>6</v>
      </c>
      <c r="D353" s="17">
        <f>INDEX(Blk_c,MATCH(B353,Blk_St,0))</f>
      </c>
      <c r="E353" s="17">
        <f>INDEX(Bar_U,MATCH(C353,Bar_No,0))</f>
      </c>
      <c r="F353" s="17">
        <f>u_max-E353</f>
      </c>
      <c r="G353" s="20">
        <f>IF(AND(ec_pivot&gt;0,D353&gt;d_theta),ec_pivot*D353/(D353-(1-ec_pivot/ecu)*d_theta),ecu)*(1-F353/D353)</f>
      </c>
      <c r="H353" s="20">
        <f>MAX(0,-G353)</f>
      </c>
      <c r="I353" s="17">
        <f>MAX(MIN(Es*G353,fy),-fy)</f>
      </c>
      <c r="J353">
        <f>IF(E353&gt;=u_max-beta_1*D353-blk_tol,1,0)</f>
      </c>
      <c r="K353" s="17">
        <f>J353*sig_blk</f>
      </c>
      <c r="L353" s="17">
        <f>I353-K353</f>
      </c>
      <c r="M353" s="17">
        <f>INDEX(Bar_As,MATCH(C353,Bar_No,0))*L353/1000</f>
      </c>
      <c r="N353" s="17">
        <f>M353*INDEX(Bar_Y,MATCH(C353,Bar_No,0))/1000</f>
      </c>
      <c r="O353" s="17">
        <f>M353*INDEX(Bar_X,MATCH(C353,Bar_No,0))/1000</f>
      </c>
    </row>
    <row r="354" spans="2:15" x14ac:dyDescent="0.25">
      <c r="B354">
        <v>20</v>
      </c>
      <c r="C354">
        <v>7</v>
      </c>
      <c r="D354" s="17">
        <f>INDEX(Blk_c,MATCH(B354,Blk_St,0))</f>
      </c>
      <c r="E354" s="17">
        <f>INDEX(Bar_U,MATCH(C354,Bar_No,0))</f>
      </c>
      <c r="F354" s="17">
        <f>u_max-E354</f>
      </c>
      <c r="G354" s="20">
        <f>IF(AND(ec_pivot&gt;0,D354&gt;d_theta),ec_pivot*D354/(D354-(1-ec_pivot/ecu)*d_theta),ecu)*(1-F354/D354)</f>
      </c>
      <c r="H354" s="20">
        <f>MAX(0,-G354)</f>
      </c>
      <c r="I354" s="17">
        <f>MAX(MIN(Es*G354,fy),-fy)</f>
      </c>
      <c r="J354">
        <f>IF(E354&gt;=u_max-beta_1*D354-blk_tol,1,0)</f>
      </c>
      <c r="K354" s="17">
        <f>J354*sig_blk</f>
      </c>
      <c r="L354" s="17">
        <f>I354-K354</f>
      </c>
      <c r="M354" s="17">
        <f>INDEX(Bar_As,MATCH(C354,Bar_No,0))*L354/1000</f>
      </c>
      <c r="N354" s="17">
        <f>M354*INDEX(Bar_Y,MATCH(C354,Bar_No,0))/1000</f>
      </c>
      <c r="O354" s="17">
        <f>M354*INDEX(Bar_X,MATCH(C354,Bar_No,0))/1000</f>
      </c>
    </row>
    <row r="355" spans="2:15" x14ac:dyDescent="0.25">
      <c r="B355">
        <v>20</v>
      </c>
      <c r="C355">
        <v>8</v>
      </c>
      <c r="D355" s="17">
        <f>INDEX(Blk_c,MATCH(B355,Blk_St,0))</f>
      </c>
      <c r="E355" s="17">
        <f>INDEX(Bar_U,MATCH(C355,Bar_No,0))</f>
      </c>
      <c r="F355" s="17">
        <f>u_max-E355</f>
      </c>
      <c r="G355" s="20">
        <f>IF(AND(ec_pivot&gt;0,D355&gt;d_theta),ec_pivot*D355/(D355-(1-ec_pivot/ecu)*d_theta),ecu)*(1-F355/D355)</f>
      </c>
      <c r="H355" s="20">
        <f>MAX(0,-G355)</f>
      </c>
      <c r="I355" s="17">
        <f>MAX(MIN(Es*G355,fy),-fy)</f>
      </c>
      <c r="J355">
        <f>IF(E355&gt;=u_max-beta_1*D355-blk_tol,1,0)</f>
      </c>
      <c r="K355" s="17">
        <f>J355*sig_blk</f>
      </c>
      <c r="L355" s="17">
        <f>I355-K355</f>
      </c>
      <c r="M355" s="17">
        <f>INDEX(Bar_As,MATCH(C355,Bar_No,0))*L355/1000</f>
      </c>
      <c r="N355" s="17">
        <f>M355*INDEX(Bar_Y,MATCH(C355,Bar_No,0))/1000</f>
      </c>
      <c r="O355" s="17">
        <f>M355*INDEX(Bar_X,MATCH(C355,Bar_No,0))/1000</f>
      </c>
    </row>
    <row r="356" spans="2:15" x14ac:dyDescent="0.25">
      <c r="B356">
        <v>20</v>
      </c>
      <c r="C356">
        <v>9</v>
      </c>
      <c r="D356" s="17">
        <f>INDEX(Blk_c,MATCH(B356,Blk_St,0))</f>
      </c>
      <c r="E356" s="17">
        <f>INDEX(Bar_U,MATCH(C356,Bar_No,0))</f>
      </c>
      <c r="F356" s="17">
        <f>u_max-E356</f>
      </c>
      <c r="G356" s="20">
        <f>IF(AND(ec_pivot&gt;0,D356&gt;d_theta),ec_pivot*D356/(D356-(1-ec_pivot/ecu)*d_theta),ecu)*(1-F356/D356)</f>
      </c>
      <c r="H356" s="20">
        <f>MAX(0,-G356)</f>
      </c>
      <c r="I356" s="17">
        <f>MAX(MIN(Es*G356,fy),-fy)</f>
      </c>
      <c r="J356">
        <f>IF(E356&gt;=u_max-beta_1*D356-blk_tol,1,0)</f>
      </c>
      <c r="K356" s="17">
        <f>J356*sig_blk</f>
      </c>
      <c r="L356" s="17">
        <f>I356-K356</f>
      </c>
      <c r="M356" s="17">
        <f>INDEX(Bar_As,MATCH(C356,Bar_No,0))*L356/1000</f>
      </c>
      <c r="N356" s="17">
        <f>M356*INDEX(Bar_Y,MATCH(C356,Bar_No,0))/1000</f>
      </c>
      <c r="O356" s="17">
        <f>M356*INDEX(Bar_X,MATCH(C356,Bar_No,0))/1000</f>
      </c>
    </row>
    <row r="357" spans="2:15" x14ac:dyDescent="0.25">
      <c r="B357">
        <v>20</v>
      </c>
      <c r="C357">
        <v>10</v>
      </c>
      <c r="D357" s="17">
        <f>INDEX(Blk_c,MATCH(B357,Blk_St,0))</f>
      </c>
      <c r="E357" s="17">
        <f>INDEX(Bar_U,MATCH(C357,Bar_No,0))</f>
      </c>
      <c r="F357" s="17">
        <f>u_max-E357</f>
      </c>
      <c r="G357" s="20">
        <f>IF(AND(ec_pivot&gt;0,D357&gt;d_theta),ec_pivot*D357/(D357-(1-ec_pivot/ecu)*d_theta),ecu)*(1-F357/D357)</f>
      </c>
      <c r="H357" s="20">
        <f>MAX(0,-G357)</f>
      </c>
      <c r="I357" s="17">
        <f>MAX(MIN(Es*G357,fy),-fy)</f>
      </c>
      <c r="J357">
        <f>IF(E357&gt;=u_max-beta_1*D357-blk_tol,1,0)</f>
      </c>
      <c r="K357" s="17">
        <f>J357*sig_blk</f>
      </c>
      <c r="L357" s="17">
        <f>I357-K357</f>
      </c>
      <c r="M357" s="17">
        <f>INDEX(Bar_As,MATCH(C357,Bar_No,0))*L357/1000</f>
      </c>
      <c r="N357" s="17">
        <f>M357*INDEX(Bar_Y,MATCH(C357,Bar_No,0))/1000</f>
      </c>
      <c r="O357" s="17">
        <f>M357*INDEX(Bar_X,MATCH(C357,Bar_No,0))/1000</f>
      </c>
    </row>
    <row r="358" spans="2:15" x14ac:dyDescent="0.25">
      <c r="B358">
        <v>20</v>
      </c>
      <c r="C358">
        <v>11</v>
      </c>
      <c r="D358" s="17">
        <f>INDEX(Blk_c,MATCH(B358,Blk_St,0))</f>
      </c>
      <c r="E358" s="17">
        <f>INDEX(Bar_U,MATCH(C358,Bar_No,0))</f>
      </c>
      <c r="F358" s="17">
        <f>u_max-E358</f>
      </c>
      <c r="G358" s="20">
        <f>IF(AND(ec_pivot&gt;0,D358&gt;d_theta),ec_pivot*D358/(D358-(1-ec_pivot/ecu)*d_theta),ecu)*(1-F358/D358)</f>
      </c>
      <c r="H358" s="20">
        <f>MAX(0,-G358)</f>
      </c>
      <c r="I358" s="17">
        <f>MAX(MIN(Es*G358,fy),-fy)</f>
      </c>
      <c r="J358">
        <f>IF(E358&gt;=u_max-beta_1*D358-blk_tol,1,0)</f>
      </c>
      <c r="K358" s="17">
        <f>J358*sig_blk</f>
      </c>
      <c r="L358" s="17">
        <f>I358-K358</f>
      </c>
      <c r="M358" s="17">
        <f>INDEX(Bar_As,MATCH(C358,Bar_No,0))*L358/1000</f>
      </c>
      <c r="N358" s="17">
        <f>M358*INDEX(Bar_Y,MATCH(C358,Bar_No,0))/1000</f>
      </c>
      <c r="O358" s="17">
        <f>M358*INDEX(Bar_X,MATCH(C358,Bar_No,0))/1000</f>
      </c>
    </row>
    <row r="359" spans="2:15" x14ac:dyDescent="0.25">
      <c r="B359">
        <v>20</v>
      </c>
      <c r="C359">
        <v>12</v>
      </c>
      <c r="D359" s="17">
        <f>INDEX(Blk_c,MATCH(B359,Blk_St,0))</f>
      </c>
      <c r="E359" s="17">
        <f>INDEX(Bar_U,MATCH(C359,Bar_No,0))</f>
      </c>
      <c r="F359" s="17">
        <f>u_max-E359</f>
      </c>
      <c r="G359" s="20">
        <f>IF(AND(ec_pivot&gt;0,D359&gt;d_theta),ec_pivot*D359/(D359-(1-ec_pivot/ecu)*d_theta),ecu)*(1-F359/D359)</f>
      </c>
      <c r="H359" s="20">
        <f>MAX(0,-G359)</f>
      </c>
      <c r="I359" s="17">
        <f>MAX(MIN(Es*G359,fy),-fy)</f>
      </c>
      <c r="J359">
        <f>IF(E359&gt;=u_max-beta_1*D359-blk_tol,1,0)</f>
      </c>
      <c r="K359" s="17">
        <f>J359*sig_blk</f>
      </c>
      <c r="L359" s="17">
        <f>I359-K359</f>
      </c>
      <c r="M359" s="17">
        <f>INDEX(Bar_As,MATCH(C359,Bar_No,0))*L359/1000</f>
      </c>
      <c r="N359" s="17">
        <f>M359*INDEX(Bar_Y,MATCH(C359,Bar_No,0))/1000</f>
      </c>
      <c r="O359" s="17">
        <f>M359*INDEX(Bar_X,MATCH(C359,Bar_No,0))/1000</f>
      </c>
    </row>
    <row r="360" spans="2:15" x14ac:dyDescent="0.25">
      <c r="B360">
        <v>20</v>
      </c>
      <c r="C360">
        <v>13</v>
      </c>
      <c r="D360" s="17">
        <f>INDEX(Blk_c,MATCH(B360,Blk_St,0))</f>
      </c>
      <c r="E360" s="17">
        <f>INDEX(Bar_U,MATCH(C360,Bar_No,0))</f>
      </c>
      <c r="F360" s="17">
        <f>u_max-E360</f>
      </c>
      <c r="G360" s="20">
        <f>IF(AND(ec_pivot&gt;0,D360&gt;d_theta),ec_pivot*D360/(D360-(1-ec_pivot/ecu)*d_theta),ecu)*(1-F360/D360)</f>
      </c>
      <c r="H360" s="20">
        <f>MAX(0,-G360)</f>
      </c>
      <c r="I360" s="17">
        <f>MAX(MIN(Es*G360,fy),-fy)</f>
      </c>
      <c r="J360">
        <f>IF(E360&gt;=u_max-beta_1*D360-blk_tol,1,0)</f>
      </c>
      <c r="K360" s="17">
        <f>J360*sig_blk</f>
      </c>
      <c r="L360" s="17">
        <f>I360-K360</f>
      </c>
      <c r="M360" s="17">
        <f>INDEX(Bar_As,MATCH(C360,Bar_No,0))*L360/1000</f>
      </c>
      <c r="N360" s="17">
        <f>M360*INDEX(Bar_Y,MATCH(C360,Bar_No,0))/1000</f>
      </c>
      <c r="O360" s="17">
        <f>M360*INDEX(Bar_X,MATCH(C360,Bar_No,0))/1000</f>
      </c>
    </row>
    <row r="361" spans="2:15" x14ac:dyDescent="0.25">
      <c r="B361">
        <v>20</v>
      </c>
      <c r="C361">
        <v>14</v>
      </c>
      <c r="D361" s="17">
        <f>INDEX(Blk_c,MATCH(B361,Blk_St,0))</f>
      </c>
      <c r="E361" s="17">
        <f>INDEX(Bar_U,MATCH(C361,Bar_No,0))</f>
      </c>
      <c r="F361" s="17">
        <f>u_max-E361</f>
      </c>
      <c r="G361" s="20">
        <f>IF(AND(ec_pivot&gt;0,D361&gt;d_theta),ec_pivot*D361/(D361-(1-ec_pivot/ecu)*d_theta),ecu)*(1-F361/D361)</f>
      </c>
      <c r="H361" s="20">
        <f>MAX(0,-G361)</f>
      </c>
      <c r="I361" s="17">
        <f>MAX(MIN(Es*G361,fy),-fy)</f>
      </c>
      <c r="J361">
        <f>IF(E361&gt;=u_max-beta_1*D361-blk_tol,1,0)</f>
      </c>
      <c r="K361" s="17">
        <f>J361*sig_blk</f>
      </c>
      <c r="L361" s="17">
        <f>I361-K361</f>
      </c>
      <c r="M361" s="17">
        <f>INDEX(Bar_As,MATCH(C361,Bar_No,0))*L361/1000</f>
      </c>
      <c r="N361" s="17">
        <f>M361*INDEX(Bar_Y,MATCH(C361,Bar_No,0))/1000</f>
      </c>
      <c r="O361" s="17">
        <f>M361*INDEX(Bar_X,MATCH(C361,Bar_No,0))/1000</f>
      </c>
    </row>
    <row r="362" spans="2:15" x14ac:dyDescent="0.25">
      <c r="B362">
        <v>20</v>
      </c>
      <c r="C362">
        <v>15</v>
      </c>
      <c r="D362" s="17">
        <f>INDEX(Blk_c,MATCH(B362,Blk_St,0))</f>
      </c>
      <c r="E362" s="17">
        <f>INDEX(Bar_U,MATCH(C362,Bar_No,0))</f>
      </c>
      <c r="F362" s="17">
        <f>u_max-E362</f>
      </c>
      <c r="G362" s="20">
        <f>IF(AND(ec_pivot&gt;0,D362&gt;d_theta),ec_pivot*D362/(D362-(1-ec_pivot/ecu)*d_theta),ecu)*(1-F362/D362)</f>
      </c>
      <c r="H362" s="20">
        <f>MAX(0,-G362)</f>
      </c>
      <c r="I362" s="17">
        <f>MAX(MIN(Es*G362,fy),-fy)</f>
      </c>
      <c r="J362">
        <f>IF(E362&gt;=u_max-beta_1*D362-blk_tol,1,0)</f>
      </c>
      <c r="K362" s="17">
        <f>J362*sig_blk</f>
      </c>
      <c r="L362" s="17">
        <f>I362-K362</f>
      </c>
      <c r="M362" s="17">
        <f>INDEX(Bar_As,MATCH(C362,Bar_No,0))*L362/1000</f>
      </c>
      <c r="N362" s="17">
        <f>M362*INDEX(Bar_Y,MATCH(C362,Bar_No,0))/1000</f>
      </c>
      <c r="O362" s="17">
        <f>M362*INDEX(Bar_X,MATCH(C362,Bar_No,0))/1000</f>
      </c>
    </row>
    <row r="363" spans="2:15" x14ac:dyDescent="0.25">
      <c r="B363">
        <v>20</v>
      </c>
      <c r="C363">
        <v>16</v>
      </c>
      <c r="D363" s="17">
        <f>INDEX(Blk_c,MATCH(B363,Blk_St,0))</f>
      </c>
      <c r="E363" s="17">
        <f>INDEX(Bar_U,MATCH(C363,Bar_No,0))</f>
      </c>
      <c r="F363" s="17">
        <f>u_max-E363</f>
      </c>
      <c r="G363" s="20">
        <f>IF(AND(ec_pivot&gt;0,D363&gt;d_theta),ec_pivot*D363/(D363-(1-ec_pivot/ecu)*d_theta),ecu)*(1-F363/D363)</f>
      </c>
      <c r="H363" s="20">
        <f>MAX(0,-G363)</f>
      </c>
      <c r="I363" s="17">
        <f>MAX(MIN(Es*G363,fy),-fy)</f>
      </c>
      <c r="J363">
        <f>IF(E363&gt;=u_max-beta_1*D363-blk_tol,1,0)</f>
      </c>
      <c r="K363" s="17">
        <f>J363*sig_blk</f>
      </c>
      <c r="L363" s="17">
        <f>I363-K363</f>
      </c>
      <c r="M363" s="17">
        <f>INDEX(Bar_As,MATCH(C363,Bar_No,0))*L363/1000</f>
      </c>
      <c r="N363" s="17">
        <f>M363*INDEX(Bar_Y,MATCH(C363,Bar_No,0))/1000</f>
      </c>
      <c r="O363" s="17">
        <f>M363*INDEX(Bar_X,MATCH(C363,Bar_No,0))/1000</f>
      </c>
    </row>
    <row r="364" spans="2:15" x14ac:dyDescent="0.25">
      <c r="B364">
        <v>20</v>
      </c>
      <c r="C364">
        <v>17</v>
      </c>
      <c r="D364" s="17">
        <f>INDEX(Blk_c,MATCH(B364,Blk_St,0))</f>
      </c>
      <c r="E364" s="17">
        <f>INDEX(Bar_U,MATCH(C364,Bar_No,0))</f>
      </c>
      <c r="F364" s="17">
        <f>u_max-E364</f>
      </c>
      <c r="G364" s="20">
        <f>IF(AND(ec_pivot&gt;0,D364&gt;d_theta),ec_pivot*D364/(D364-(1-ec_pivot/ecu)*d_theta),ecu)*(1-F364/D364)</f>
      </c>
      <c r="H364" s="20">
        <f>MAX(0,-G364)</f>
      </c>
      <c r="I364" s="17">
        <f>MAX(MIN(Es*G364,fy),-fy)</f>
      </c>
      <c r="J364">
        <f>IF(E364&gt;=u_max-beta_1*D364-blk_tol,1,0)</f>
      </c>
      <c r="K364" s="17">
        <f>J364*sig_blk</f>
      </c>
      <c r="L364" s="17">
        <f>I364-K364</f>
      </c>
      <c r="M364" s="17">
        <f>INDEX(Bar_As,MATCH(C364,Bar_No,0))*L364/1000</f>
      </c>
      <c r="N364" s="17">
        <f>M364*INDEX(Bar_Y,MATCH(C364,Bar_No,0))/1000</f>
      </c>
      <c r="O364" s="17">
        <f>M364*INDEX(Bar_X,MATCH(C364,Bar_No,0))/1000</f>
      </c>
    </row>
    <row r="365" spans="2:15" x14ac:dyDescent="0.25">
      <c r="B365">
        <v>20</v>
      </c>
      <c r="C365">
        <v>18</v>
      </c>
      <c r="D365" s="17">
        <f>INDEX(Blk_c,MATCH(B365,Blk_St,0))</f>
      </c>
      <c r="E365" s="17">
        <f>INDEX(Bar_U,MATCH(C365,Bar_No,0))</f>
      </c>
      <c r="F365" s="17">
        <f>u_max-E365</f>
      </c>
      <c r="G365" s="20">
        <f>IF(AND(ec_pivot&gt;0,D365&gt;d_theta),ec_pivot*D365/(D365-(1-ec_pivot/ecu)*d_theta),ecu)*(1-F365/D365)</f>
      </c>
      <c r="H365" s="20">
        <f>MAX(0,-G365)</f>
      </c>
      <c r="I365" s="17">
        <f>MAX(MIN(Es*G365,fy),-fy)</f>
      </c>
      <c r="J365">
        <f>IF(E365&gt;=u_max-beta_1*D365-blk_tol,1,0)</f>
      </c>
      <c r="K365" s="17">
        <f>J365*sig_blk</f>
      </c>
      <c r="L365" s="17">
        <f>I365-K365</f>
      </c>
      <c r="M365" s="17">
        <f>INDEX(Bar_As,MATCH(C365,Bar_No,0))*L365/1000</f>
      </c>
      <c r="N365" s="17">
        <f>M365*INDEX(Bar_Y,MATCH(C365,Bar_No,0))/1000</f>
      </c>
      <c r="O365" s="17">
        <f>M365*INDEX(Bar_X,MATCH(C365,Bar_No,0))/1000</f>
      </c>
    </row>
  </sheetData>
  <mergeCells count="2">
    <mergeCell ref="B1:N1"/>
    <mergeCell ref="B2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8" customWidth="1"/>
    <col min="3" max="9" width="14" customWidth="1"/>
    <col min="10" max="11" width="12" customWidth="1"/>
    <col min="12" max="15" width="14" customWidth="1"/>
    <col min="16" max="16" width="24" customWidth="1"/>
  </cols>
  <sheetData>
    <row r="1" ht="22" customHeight="1" spans="2:15" x14ac:dyDescent="0.25">
      <c r="B1" s="1" t="s">
        <v>220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4" customHeight="1" spans="2:17" x14ac:dyDescent="0.25">
      <c r="B2" s="2" t="s">
        <v>221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6" ht="28" customHeight="1" spans="2:16" x14ac:dyDescent="0.25">
      <c r="B6" s="11" t="s">
        <v>192</v>
      </c>
      <c r="C6" s="11" t="s">
        <v>193</v>
      </c>
      <c r="D6" s="11" t="s">
        <v>200</v>
      </c>
      <c r="E6" s="11" t="s">
        <v>222</v>
      </c>
      <c r="F6" s="11" t="s">
        <v>223</v>
      </c>
      <c r="G6" s="11" t="s">
        <v>224</v>
      </c>
      <c r="H6" s="11" t="s">
        <v>225</v>
      </c>
      <c r="I6" s="11" t="s">
        <v>226</v>
      </c>
      <c r="J6" s="11" t="s">
        <v>227</v>
      </c>
      <c r="K6" s="11" t="s">
        <v>228</v>
      </c>
      <c r="L6" s="11" t="s">
        <v>229</v>
      </c>
      <c r="M6" s="11" t="s">
        <v>230</v>
      </c>
      <c r="N6" s="11" t="s">
        <v>231</v>
      </c>
      <c r="O6" s="11" t="s">
        <v>232</v>
      </c>
      <c r="P6" s="11" t="s">
        <v>233</v>
      </c>
    </row>
    <row r="7" spans="2:16" x14ac:dyDescent="0.25">
      <c r="B7">
        <v>1</v>
      </c>
      <c r="C7" s="12">
        <f>Block!C6</f>
      </c>
      <c r="D7" s="12">
        <f>Block!J6</f>
      </c>
      <c r="E7" s="12">
        <f>SUM(Steel!M6:M23)</f>
      </c>
      <c r="F7" s="12">
        <f>D7+E7</f>
      </c>
      <c r="G7" s="12">
        <f>Block!K6+SUM(Steel!N6:N23)</f>
      </c>
      <c r="H7" s="12">
        <f>Block!L6+SUM(Steel!O6:O23)</f>
      </c>
      <c r="I7" s="20">
        <f>MAX(Steel!H6:H23)</f>
      </c>
      <c r="J7" s="21">
        <f>IF(I7&lt;=epsy,phi_c,IF(I7&gt;=ept_lim,phi_t,phi_c+(phi_t-phi_c)*(I7-epsy)/(ept_lim-epsy)))</f>
      </c>
      <c r="K7">
        <f>IF(I7&lt;=epsy,"compression",IF(I7&gt;=ept_lim,"tension","transition"))</f>
      </c>
      <c r="L7" s="12">
        <f>J7*F7</f>
      </c>
      <c r="M7" s="12">
        <f>J7*G7</f>
      </c>
      <c r="N7" s="12">
        <f>J7*H7</f>
      </c>
      <c r="O7" s="18">
        <v>17396.10657075295</v>
      </c>
      <c r="P7" s="19">
        <f>L7-O7</f>
      </c>
    </row>
    <row r="8" spans="2:16" x14ac:dyDescent="0.25">
      <c r="B8">
        <v>2</v>
      </c>
      <c r="C8" s="12">
        <f>Block!C7</f>
      </c>
      <c r="D8" s="12">
        <f>Block!J7</f>
      </c>
      <c r="E8" s="12">
        <f>SUM(Steel!M24:M41)</f>
      </c>
      <c r="F8" s="12">
        <f>D8+E8</f>
      </c>
      <c r="G8" s="12">
        <f>Block!K7+SUM(Steel!N24:N41)</f>
      </c>
      <c r="H8" s="12">
        <f>Block!L7+SUM(Steel!O24:O41)</f>
      </c>
      <c r="I8" s="20">
        <f>MAX(Steel!H24:H41)</f>
      </c>
      <c r="J8" s="21">
        <f>IF(I8&lt;=epsy,phi_c,IF(I8&gt;=ept_lim,phi_t,phi_c+(phi_t-phi_c)*(I8-epsy)/(ept_lim-epsy)))</f>
      </c>
      <c r="K8">
        <f>IF(I8&lt;=epsy,"compression",IF(I8&gt;=ept_lim,"tension","transition"))</f>
      </c>
      <c r="L8" s="12">
        <f>J8*F8</f>
      </c>
      <c r="M8" s="12">
        <f>J8*G8</f>
      </c>
      <c r="N8" s="12">
        <f>J8*H8</f>
      </c>
      <c r="O8" s="18">
        <v>16626.939329909957</v>
      </c>
      <c r="P8" s="19">
        <f>L8-O8</f>
      </c>
    </row>
    <row r="9" spans="2:16" x14ac:dyDescent="0.25">
      <c r="B9">
        <v>3</v>
      </c>
      <c r="C9" s="12">
        <f>Block!C8</f>
      </c>
      <c r="D9" s="12">
        <f>Block!J8</f>
      </c>
      <c r="E9" s="12">
        <f>SUM(Steel!M42:M59)</f>
      </c>
      <c r="F9" s="12">
        <f>D9+E9</f>
      </c>
      <c r="G9" s="12">
        <f>Block!K8+SUM(Steel!N42:N59)</f>
      </c>
      <c r="H9" s="12">
        <f>Block!L8+SUM(Steel!O42:O59)</f>
      </c>
      <c r="I9" s="20">
        <f>MAX(Steel!H42:H59)</f>
      </c>
      <c r="J9" s="21">
        <f>IF(I9&lt;=epsy,phi_c,IF(I9&gt;=ept_lim,phi_t,phi_c+(phi_t-phi_c)*(I9-epsy)/(ept_lim-epsy)))</f>
      </c>
      <c r="K9">
        <f>IF(I9&lt;=epsy,"compression",IF(I9&gt;=ept_lim,"tension","transition"))</f>
      </c>
      <c r="L9" s="12">
        <f>J9*F9</f>
      </c>
      <c r="M9" s="12">
        <f>J9*G9</f>
      </c>
      <c r="N9" s="12">
        <f>J9*H9</f>
      </c>
      <c r="O9" s="18">
        <v>14973.985384972373</v>
      </c>
      <c r="P9" s="19">
        <f>L9-O9</f>
      </c>
    </row>
    <row r="10" spans="2:16" x14ac:dyDescent="0.25">
      <c r="B10">
        <v>4</v>
      </c>
      <c r="C10" s="12">
        <f>Block!C9</f>
      </c>
      <c r="D10" s="12">
        <f>Block!J9</f>
      </c>
      <c r="E10" s="12">
        <f>SUM(Steel!M60:M77)</f>
      </c>
      <c r="F10" s="12">
        <f>D10+E10</f>
      </c>
      <c r="G10" s="12">
        <f>Block!K9+SUM(Steel!N60:N77)</f>
      </c>
      <c r="H10" s="12">
        <f>Block!L9+SUM(Steel!O60:O77)</f>
      </c>
      <c r="I10" s="20">
        <f>MAX(Steel!H60:H77)</f>
      </c>
      <c r="J10" s="21">
        <f>IF(I10&lt;=epsy,phi_c,IF(I10&gt;=ept_lim,phi_t,phi_c+(phi_t-phi_c)*(I10-epsy)/(ept_lim-epsy)))</f>
      </c>
      <c r="K10">
        <f>IF(I10&lt;=epsy,"compression",IF(I10&gt;=ept_lim,"tension","transition"))</f>
      </c>
      <c r="L10" s="12">
        <f>J10*F10</f>
      </c>
      <c r="M10" s="12">
        <f>J10*G10</f>
      </c>
      <c r="N10" s="12">
        <f>J10*H10</f>
      </c>
      <c r="O10" s="18">
        <v>14162.54842765627</v>
      </c>
      <c r="P10" s="19">
        <f>L10-O10</f>
      </c>
    </row>
    <row r="11" spans="2:16" x14ac:dyDescent="0.25">
      <c r="B11">
        <v>5</v>
      </c>
      <c r="C11" s="12">
        <f>Block!C10</f>
      </c>
      <c r="D11" s="12">
        <f>Block!J10</f>
      </c>
      <c r="E11" s="12">
        <f>SUM(Steel!M78:M95)</f>
      </c>
      <c r="F11" s="12">
        <f>D11+E11</f>
      </c>
      <c r="G11" s="12">
        <f>Block!K10+SUM(Steel!N78:N95)</f>
      </c>
      <c r="H11" s="12">
        <f>Block!L10+SUM(Steel!O78:O95)</f>
      </c>
      <c r="I11" s="20">
        <f>MAX(Steel!H78:H95)</f>
      </c>
      <c r="J11" s="21">
        <f>IF(I11&lt;=epsy,phi_c,IF(I11&gt;=ept_lim,phi_t,phi_c+(phi_t-phi_c)*(I11-epsy)/(ept_lim-epsy)))</f>
      </c>
      <c r="K11">
        <f>IF(I11&lt;=epsy,"compression",IF(I11&gt;=ept_lim,"tension","transition"))</f>
      </c>
      <c r="L11" s="12">
        <f>J11*F11</f>
      </c>
      <c r="M11" s="12">
        <f>J11*G11</f>
      </c>
      <c r="N11" s="12">
        <f>J11*H11</f>
      </c>
      <c r="O11" s="18">
        <v>13193.626987880902</v>
      </c>
      <c r="P11" s="19">
        <f>L11-O11</f>
      </c>
    </row>
    <row r="12" spans="2:16" x14ac:dyDescent="0.25">
      <c r="B12">
        <v>6</v>
      </c>
      <c r="C12" s="12">
        <f>Block!C11</f>
      </c>
      <c r="D12" s="12">
        <f>Block!J11</f>
      </c>
      <c r="E12" s="12">
        <f>SUM(Steel!M96:M113)</f>
      </c>
      <c r="F12" s="12">
        <f>D12+E12</f>
      </c>
      <c r="G12" s="12">
        <f>Block!K11+SUM(Steel!N96:N113)</f>
      </c>
      <c r="H12" s="12">
        <f>Block!L11+SUM(Steel!O96:O113)</f>
      </c>
      <c r="I12" s="20">
        <f>MAX(Steel!H96:H113)</f>
      </c>
      <c r="J12" s="21">
        <f>IF(I12&lt;=epsy,phi_c,IF(I12&gt;=ept_lim,phi_t,phi_c+(phi_t-phi_c)*(I12-epsy)/(ept_lim-epsy)))</f>
      </c>
      <c r="K12">
        <f>IF(I12&lt;=epsy,"compression",IF(I12&gt;=ept_lim,"tension","transition"))</f>
      </c>
      <c r="L12" s="12">
        <f>J12*F12</f>
      </c>
      <c r="M12" s="12">
        <f>J12*G12</f>
      </c>
      <c r="N12" s="12">
        <f>J12*H12</f>
      </c>
      <c r="O12" s="18">
        <v>12055.494692156943</v>
      </c>
      <c r="P12" s="19">
        <f>L12-O12</f>
      </c>
    </row>
    <row r="13" spans="2:16" x14ac:dyDescent="0.25">
      <c r="B13">
        <v>7</v>
      </c>
      <c r="C13" s="12">
        <f>Block!C12</f>
      </c>
      <c r="D13" s="12">
        <f>Block!J12</f>
      </c>
      <c r="E13" s="12">
        <f>SUM(Steel!M114:M131)</f>
      </c>
      <c r="F13" s="12">
        <f>D13+E13</f>
      </c>
      <c r="G13" s="12">
        <f>Block!K12+SUM(Steel!N114:N131)</f>
      </c>
      <c r="H13" s="12">
        <f>Block!L12+SUM(Steel!O114:O131)</f>
      </c>
      <c r="I13" s="20">
        <f>MAX(Steel!H114:H131)</f>
      </c>
      <c r="J13" s="21">
        <f>IF(I13&lt;=epsy,phi_c,IF(I13&gt;=ept_lim,phi_t,phi_c+(phi_t-phi_c)*(I13-epsy)/(ept_lim-epsy)))</f>
      </c>
      <c r="K13">
        <f>IF(I13&lt;=epsy,"compression",IF(I13&gt;=ept_lim,"tension","transition"))</f>
      </c>
      <c r="L13" s="12">
        <f>J13*F13</f>
      </c>
      <c r="M13" s="12">
        <f>J13*G13</f>
      </c>
      <c r="N13" s="12">
        <f>J13*H13</f>
      </c>
      <c r="O13" s="18">
        <v>10869.609998374528</v>
      </c>
      <c r="P13" s="19">
        <f>L13-O13</f>
      </c>
    </row>
    <row r="14" spans="2:16" x14ac:dyDescent="0.25">
      <c r="B14">
        <v>8</v>
      </c>
      <c r="C14" s="12">
        <f>Block!C13</f>
      </c>
      <c r="D14" s="12">
        <f>Block!J13</f>
      </c>
      <c r="E14" s="12">
        <f>SUM(Steel!M132:M149)</f>
      </c>
      <c r="F14" s="12">
        <f>D14+E14</f>
      </c>
      <c r="G14" s="12">
        <f>Block!K13+SUM(Steel!N132:N149)</f>
      </c>
      <c r="H14" s="12">
        <f>Block!L13+SUM(Steel!O132:O149)</f>
      </c>
      <c r="I14" s="20">
        <f>MAX(Steel!H132:H149)</f>
      </c>
      <c r="J14" s="21">
        <f>IF(I14&lt;=epsy,phi_c,IF(I14&gt;=ept_lim,phi_t,phi_c+(phi_t-phi_c)*(I14-epsy)/(ept_lim-epsy)))</f>
      </c>
      <c r="K14">
        <f>IF(I14&lt;=epsy,"compression",IF(I14&gt;=ept_lim,"tension","transition"))</f>
      </c>
      <c r="L14" s="12">
        <f>J14*F14</f>
      </c>
      <c r="M14" s="12">
        <f>J14*G14</f>
      </c>
      <c r="N14" s="12">
        <f>J14*H14</f>
      </c>
      <c r="O14" s="18">
        <v>9760.82827069831</v>
      </c>
      <c r="P14" s="19">
        <f>L14-O14</f>
      </c>
    </row>
    <row r="15" spans="2:16" x14ac:dyDescent="0.25">
      <c r="B15">
        <v>9</v>
      </c>
      <c r="C15" s="12">
        <f>Block!C14</f>
      </c>
      <c r="D15" s="12">
        <f>Block!J14</f>
      </c>
      <c r="E15" s="12">
        <f>SUM(Steel!M150:M167)</f>
      </c>
      <c r="F15" s="12">
        <f>D15+E15</f>
      </c>
      <c r="G15" s="12">
        <f>Block!K14+SUM(Steel!N150:N167)</f>
      </c>
      <c r="H15" s="12">
        <f>Block!L14+SUM(Steel!O150:O167)</f>
      </c>
      <c r="I15" s="20">
        <f>MAX(Steel!H150:H167)</f>
      </c>
      <c r="J15" s="21">
        <f>IF(I15&lt;=epsy,phi_c,IF(I15&gt;=ept_lim,phi_t,phi_c+(phi_t-phi_c)*(I15-epsy)/(ept_lim-epsy)))</f>
      </c>
      <c r="K15">
        <f>IF(I15&lt;=epsy,"compression",IF(I15&gt;=ept_lim,"tension","transition"))</f>
      </c>
      <c r="L15" s="12">
        <f>J15*F15</f>
      </c>
      <c r="M15" s="12">
        <f>J15*G15</f>
      </c>
      <c r="N15" s="12">
        <f>J15*H15</f>
      </c>
      <c r="O15" s="18">
        <v>8734.688734939808</v>
      </c>
      <c r="P15" s="19">
        <f>L15-O15</f>
      </c>
    </row>
    <row r="16" spans="2:16" x14ac:dyDescent="0.25">
      <c r="B16">
        <v>10</v>
      </c>
      <c r="C16" s="12">
        <f>Block!C15</f>
      </c>
      <c r="D16" s="12">
        <f>Block!J15</f>
      </c>
      <c r="E16" s="12">
        <f>SUM(Steel!M168:M185)</f>
      </c>
      <c r="F16" s="12">
        <f>D16+E16</f>
      </c>
      <c r="G16" s="12">
        <f>Block!K15+SUM(Steel!N168:N185)</f>
      </c>
      <c r="H16" s="12">
        <f>Block!L15+SUM(Steel!O168:O185)</f>
      </c>
      <c r="I16" s="20">
        <f>MAX(Steel!H168:H185)</f>
      </c>
      <c r="J16" s="21">
        <f>IF(I16&lt;=epsy,phi_c,IF(I16&gt;=ept_lim,phi_t,phi_c+(phi_t-phi_c)*(I16-epsy)/(ept_lim-epsy)))</f>
      </c>
      <c r="K16">
        <f>IF(I16&lt;=epsy,"compression",IF(I16&gt;=ept_lim,"tension","transition"))</f>
      </c>
      <c r="L16" s="12">
        <f>J16*F16</f>
      </c>
      <c r="M16" s="12">
        <f>J16*G16</f>
      </c>
      <c r="N16" s="12">
        <f>J16*H16</f>
      </c>
      <c r="O16" s="18">
        <v>7473.186916190551</v>
      </c>
      <c r="P16" s="19">
        <f>L16-O16</f>
      </c>
    </row>
    <row r="17" spans="2:16" x14ac:dyDescent="0.25">
      <c r="B17">
        <v>11</v>
      </c>
      <c r="C17" s="12">
        <f>Block!C16</f>
      </c>
      <c r="D17" s="12">
        <f>Block!J16</f>
      </c>
      <c r="E17" s="12">
        <f>SUM(Steel!M186:M203)</f>
      </c>
      <c r="F17" s="12">
        <f>D17+E17</f>
      </c>
      <c r="G17" s="12">
        <f>Block!K16+SUM(Steel!N186:N203)</f>
      </c>
      <c r="H17" s="12">
        <f>Block!L16+SUM(Steel!O186:O203)</f>
      </c>
      <c r="I17" s="20">
        <f>MAX(Steel!H186:H203)</f>
      </c>
      <c r="J17" s="21">
        <f>IF(I17&lt;=epsy,phi_c,IF(I17&gt;=ept_lim,phi_t,phi_c+(phi_t-phi_c)*(I17-epsy)/(ept_lim-epsy)))</f>
      </c>
      <c r="K17">
        <f>IF(I17&lt;=epsy,"compression",IF(I17&gt;=ept_lim,"tension","transition"))</f>
      </c>
      <c r="L17" s="12">
        <f>J17*F17</f>
      </c>
      <c r="M17" s="12">
        <f>J17*G17</f>
      </c>
      <c r="N17" s="12">
        <f>J17*H17</f>
      </c>
      <c r="O17" s="18">
        <v>6706.847717516592</v>
      </c>
      <c r="P17" s="19">
        <f>L17-O17</f>
      </c>
    </row>
    <row r="18" spans="2:16" x14ac:dyDescent="0.25">
      <c r="B18">
        <v>12</v>
      </c>
      <c r="C18" s="12">
        <f>Block!C17</f>
      </c>
      <c r="D18" s="12">
        <f>Block!J17</f>
      </c>
      <c r="E18" s="12">
        <f>SUM(Steel!M204:M221)</f>
      </c>
      <c r="F18" s="12">
        <f>D18+E18</f>
      </c>
      <c r="G18" s="12">
        <f>Block!K17+SUM(Steel!N204:N221)</f>
      </c>
      <c r="H18" s="12">
        <f>Block!L17+SUM(Steel!O204:O221)</f>
      </c>
      <c r="I18" s="20">
        <f>MAX(Steel!H204:H221)</f>
      </c>
      <c r="J18" s="21">
        <f>IF(I18&lt;=epsy,phi_c,IF(I18&gt;=ept_lim,phi_t,phi_c+(phi_t-phi_c)*(I18-epsy)/(ept_lim-epsy)))</f>
      </c>
      <c r="K18">
        <f>IF(I18&lt;=epsy,"compression",IF(I18&gt;=ept_lim,"tension","transition"))</f>
      </c>
      <c r="L18" s="12">
        <f>J18*F18</f>
      </c>
      <c r="M18" s="12">
        <f>J18*G18</f>
      </c>
      <c r="N18" s="12">
        <f>J18*H18</f>
      </c>
      <c r="O18" s="18">
        <v>6190.548810270714</v>
      </c>
      <c r="P18" s="19">
        <f>L18-O18</f>
      </c>
    </row>
    <row r="19" spans="2:16" x14ac:dyDescent="0.25">
      <c r="B19">
        <v>13</v>
      </c>
      <c r="C19" s="12">
        <f>Block!C18</f>
      </c>
      <c r="D19" s="12">
        <f>Block!J18</f>
      </c>
      <c r="E19" s="12">
        <f>SUM(Steel!M222:M239)</f>
      </c>
      <c r="F19" s="12">
        <f>D19+E19</f>
      </c>
      <c r="G19" s="12">
        <f>Block!K18+SUM(Steel!N222:N239)</f>
      </c>
      <c r="H19" s="12">
        <f>Block!L18+SUM(Steel!O222:O239)</f>
      </c>
      <c r="I19" s="20">
        <f>MAX(Steel!H222:H239)</f>
      </c>
      <c r="J19" s="21">
        <f>IF(I19&lt;=epsy,phi_c,IF(I19&gt;=ept_lim,phi_t,phi_c+(phi_t-phi_c)*(I19-epsy)/(ept_lim-epsy)))</f>
      </c>
      <c r="K19">
        <f>IF(I19&lt;=epsy,"compression",IF(I19&gt;=ept_lim,"tension","transition"))</f>
      </c>
      <c r="L19" s="12">
        <f>J19*F19</f>
      </c>
      <c r="M19" s="12">
        <f>J19*G19</f>
      </c>
      <c r="N19" s="12">
        <f>J19*H19</f>
      </c>
      <c r="O19" s="18">
        <v>5800.618413798187</v>
      </c>
      <c r="P19" s="19">
        <f>L19-O19</f>
      </c>
    </row>
    <row r="20" spans="2:16" x14ac:dyDescent="0.25">
      <c r="B20">
        <v>14</v>
      </c>
      <c r="C20" s="12">
        <f>Block!C19</f>
      </c>
      <c r="D20" s="12">
        <f>Block!J19</f>
      </c>
      <c r="E20" s="12">
        <f>SUM(Steel!M240:M257)</f>
      </c>
      <c r="F20" s="12">
        <f>D20+E20</f>
      </c>
      <c r="G20" s="12">
        <f>Block!K19+SUM(Steel!N240:N257)</f>
      </c>
      <c r="H20" s="12">
        <f>Block!L19+SUM(Steel!O240:O257)</f>
      </c>
      <c r="I20" s="20">
        <f>MAX(Steel!H240:H257)</f>
      </c>
      <c r="J20" s="21">
        <f>IF(I20&lt;=epsy,phi_c,IF(I20&gt;=ept_lim,phi_t,phi_c+(phi_t-phi_c)*(I20-epsy)/(ept_lim-epsy)))</f>
      </c>
      <c r="K20">
        <f>IF(I20&lt;=epsy,"compression",IF(I20&gt;=ept_lim,"tension","transition"))</f>
      </c>
      <c r="L20" s="12">
        <f>J20*F20</f>
      </c>
      <c r="M20" s="12">
        <f>J20*G20</f>
      </c>
      <c r="N20" s="12">
        <f>J20*H20</f>
      </c>
      <c r="O20" s="18">
        <v>5190.594334869807</v>
      </c>
      <c r="P20" s="19">
        <f>L20-O20</f>
      </c>
    </row>
    <row r="21" spans="2:16" x14ac:dyDescent="0.25">
      <c r="B21">
        <v>15</v>
      </c>
      <c r="C21" s="12">
        <f>Block!C20</f>
      </c>
      <c r="D21" s="12">
        <f>Block!J20</f>
      </c>
      <c r="E21" s="12">
        <f>SUM(Steel!M258:M275)</f>
      </c>
      <c r="F21" s="12">
        <f>D21+E21</f>
      </c>
      <c r="G21" s="12">
        <f>Block!K20+SUM(Steel!N258:N275)</f>
      </c>
      <c r="H21" s="12">
        <f>Block!L20+SUM(Steel!O258:O275)</f>
      </c>
      <c r="I21" s="20">
        <f>MAX(Steel!H258:H275)</f>
      </c>
      <c r="J21" s="21">
        <f>IF(I21&lt;=epsy,phi_c,IF(I21&gt;=ept_lim,phi_t,phi_c+(phi_t-phi_c)*(I21-epsy)/(ept_lim-epsy)))</f>
      </c>
      <c r="K21">
        <f>IF(I21&lt;=epsy,"compression",IF(I21&gt;=ept_lim,"tension","transition"))</f>
      </c>
      <c r="L21" s="12">
        <f>J21*F21</f>
      </c>
      <c r="M21" s="12">
        <f>J21*G21</f>
      </c>
      <c r="N21" s="12">
        <f>J21*H21</f>
      </c>
      <c r="O21" s="18">
        <v>4312.180659173067</v>
      </c>
      <c r="P21" s="19">
        <f>L21-O21</f>
      </c>
    </row>
    <row r="22" spans="2:16" x14ac:dyDescent="0.25">
      <c r="B22">
        <v>16</v>
      </c>
      <c r="C22" s="12">
        <f>Block!C21</f>
      </c>
      <c r="D22" s="12">
        <f>Block!J21</f>
      </c>
      <c r="E22" s="12">
        <f>SUM(Steel!M276:M293)</f>
      </c>
      <c r="F22" s="12">
        <f>D22+E22</f>
      </c>
      <c r="G22" s="12">
        <f>Block!K21+SUM(Steel!N276:N293)</f>
      </c>
      <c r="H22" s="12">
        <f>Block!L21+SUM(Steel!O276:O293)</f>
      </c>
      <c r="I22" s="20">
        <f>MAX(Steel!H276:H293)</f>
      </c>
      <c r="J22" s="21">
        <f>IF(I22&lt;=epsy,phi_c,IF(I22&gt;=ept_lim,phi_t,phi_c+(phi_t-phi_c)*(I22-epsy)/(ept_lim-epsy)))</f>
      </c>
      <c r="K22">
        <f>IF(I22&lt;=epsy,"compression",IF(I22&gt;=ept_lim,"tension","transition"))</f>
      </c>
      <c r="L22" s="12">
        <f>J22*F22</f>
      </c>
      <c r="M22" s="12">
        <f>J22*G22</f>
      </c>
      <c r="N22" s="12">
        <f>J22*H22</f>
      </c>
      <c r="O22" s="18">
        <v>3015.2867777491033</v>
      </c>
      <c r="P22" s="19">
        <f>L22-O22</f>
      </c>
    </row>
    <row r="23" spans="2:16" x14ac:dyDescent="0.25">
      <c r="B23">
        <v>17</v>
      </c>
      <c r="C23" s="12">
        <f>Block!C22</f>
      </c>
      <c r="D23" s="12">
        <f>Block!J22</f>
      </c>
      <c r="E23" s="12">
        <f>SUM(Steel!M294:M311)</f>
      </c>
      <c r="F23" s="12">
        <f>D23+E23</f>
      </c>
      <c r="G23" s="12">
        <f>Block!K22+SUM(Steel!N294:N311)</f>
      </c>
      <c r="H23" s="12">
        <f>Block!L22+SUM(Steel!O294:O311)</f>
      </c>
      <c r="I23" s="20">
        <f>MAX(Steel!H294:H311)</f>
      </c>
      <c r="J23" s="21">
        <f>IF(I23&lt;=epsy,phi_c,IF(I23&gt;=ept_lim,phi_t,phi_c+(phi_t-phi_c)*(I23-epsy)/(ept_lim-epsy)))</f>
      </c>
      <c r="K23">
        <f>IF(I23&lt;=epsy,"compression",IF(I23&gt;=ept_lim,"tension","transition"))</f>
      </c>
      <c r="L23" s="12">
        <f>J23*F23</f>
      </c>
      <c r="M23" s="12">
        <f>J23*G23</f>
      </c>
      <c r="N23" s="12">
        <f>J23*H23</f>
      </c>
      <c r="O23" s="18">
        <v>1978.236893113481</v>
      </c>
      <c r="P23" s="19">
        <f>L23-O23</f>
      </c>
    </row>
    <row r="24" spans="2:16" x14ac:dyDescent="0.25">
      <c r="B24">
        <v>18</v>
      </c>
      <c r="C24" s="12">
        <f>Block!C23</f>
      </c>
      <c r="D24" s="12">
        <f>Block!J23</f>
      </c>
      <c r="E24" s="12">
        <f>SUM(Steel!M312:M329)</f>
      </c>
      <c r="F24" s="12">
        <f>D24+E24</f>
      </c>
      <c r="G24" s="12">
        <f>Block!K23+SUM(Steel!N312:N329)</f>
      </c>
      <c r="H24" s="12">
        <f>Block!L23+SUM(Steel!O312:O329)</f>
      </c>
      <c r="I24" s="20">
        <f>MAX(Steel!H312:H329)</f>
      </c>
      <c r="J24" s="21">
        <f>IF(I24&lt;=epsy,phi_c,IF(I24&gt;=ept_lim,phi_t,phi_c+(phi_t-phi_c)*(I24-epsy)/(ept_lim-epsy)))</f>
      </c>
      <c r="K24">
        <f>IF(I24&lt;=epsy,"compression",IF(I24&gt;=ept_lim,"tension","transition"))</f>
      </c>
      <c r="L24" s="12">
        <f>J24*F24</f>
      </c>
      <c r="M24" s="12">
        <f>J24*G24</f>
      </c>
      <c r="N24" s="12">
        <f>J24*H24</f>
      </c>
      <c r="O24" s="18">
        <v>-80.09316185950794</v>
      </c>
      <c r="P24" s="19">
        <f>L24-O24</f>
      </c>
    </row>
    <row r="25" spans="2:16" x14ac:dyDescent="0.25">
      <c r="B25">
        <v>19</v>
      </c>
      <c r="C25" s="12">
        <f>Block!C24</f>
      </c>
      <c r="D25" s="12">
        <f>Block!J24</f>
      </c>
      <c r="E25" s="12">
        <f>SUM(Steel!M330:M347)</f>
      </c>
      <c r="F25" s="12">
        <f>D25+E25</f>
      </c>
      <c r="G25" s="12">
        <f>Block!K24+SUM(Steel!N330:N347)</f>
      </c>
      <c r="H25" s="12">
        <f>Block!L24+SUM(Steel!O330:O347)</f>
      </c>
      <c r="I25" s="20">
        <f>MAX(Steel!H330:H347)</f>
      </c>
      <c r="J25" s="21">
        <f>IF(I25&lt;=epsy,phi_c,IF(I25&gt;=ept_lim,phi_t,phi_c+(phi_t-phi_c)*(I25-epsy)/(ept_lim-epsy)))</f>
      </c>
      <c r="K25">
        <f>IF(I25&lt;=epsy,"compression",IF(I25&gt;=ept_lim,"tension","transition"))</f>
      </c>
      <c r="L25" s="12">
        <f>J25*F25</f>
      </c>
      <c r="M25" s="12">
        <f>J25*G25</f>
      </c>
      <c r="N25" s="12">
        <f>J25*H25</f>
      </c>
      <c r="O25" s="18">
        <v>-1514.3820201479796</v>
      </c>
      <c r="P25" s="19">
        <f>L25-O25</f>
      </c>
    </row>
    <row r="26" spans="2:16" x14ac:dyDescent="0.25">
      <c r="B26">
        <v>20</v>
      </c>
      <c r="C26" s="12">
        <f>Block!C25</f>
      </c>
      <c r="D26" s="12">
        <f>Block!J25</f>
      </c>
      <c r="E26" s="12">
        <f>SUM(Steel!M348:M365)</f>
      </c>
      <c r="F26" s="12">
        <f>D26+E26</f>
      </c>
      <c r="G26" s="12">
        <f>Block!K25+SUM(Steel!N348:N365)</f>
      </c>
      <c r="H26" s="12">
        <f>Block!L25+SUM(Steel!O348:O365)</f>
      </c>
      <c r="I26" s="20">
        <f>MAX(Steel!H348:H365)</f>
      </c>
      <c r="J26" s="21">
        <f>IF(I26&lt;=epsy,phi_c,IF(I26&gt;=ept_lim,phi_t,phi_c+(phi_t-phi_c)*(I26-epsy)/(ept_lim-epsy)))</f>
      </c>
      <c r="K26">
        <f>IF(I26&lt;=epsy,"compression",IF(I26&gt;=ept_lim,"tension","transition"))</f>
      </c>
      <c r="L26" s="12">
        <f>J26*F26</f>
      </c>
      <c r="M26" s="12">
        <f>J26*G26</f>
      </c>
      <c r="N26" s="12">
        <f>J26*H26</f>
      </c>
      <c r="O26" s="18">
        <v>-3857.426617095661</v>
      </c>
      <c r="P26" s="19">
        <f>L26-O26</f>
      </c>
    </row>
    <row r="28" spans="2:16" x14ac:dyDescent="0.25">
      <c r="B28" s="13" t="s">
        <v>234</v>
      </c>
      <c r="L28">
        <f>IF(P28&lt;=0.000001*MAX(ABS(O7:O26)),"OK - the sheet reproduces the design resultants","CHECK - the sheet and the solver disagree")</f>
      </c>
      <c r="P28" s="19">
        <f>MAX(ABS(P7:P26))</f>
      </c>
    </row>
  </sheetData>
  <mergeCells count="2">
    <mergeCell ref="B1:O1"/>
    <mergeCell ref="B2:Q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51"/>
  <sheetViews>
    <sheetView workbookViewId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0" customWidth="1"/>
    <col min="3" max="3" width="12" customWidth="1"/>
    <col min="4" max="15" width="14" customWidth="1"/>
  </cols>
  <sheetData>
    <row r="1" ht="22" customHeight="1" spans="2:14" x14ac:dyDescent="0.25">
      <c r="B1" s="1" t="s">
        <v>235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2:14" x14ac:dyDescent="0.25">
      <c r="B2" s="2" t="s">
        <v>236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7" ht="28" customHeight="1" spans="2:14" x14ac:dyDescent="0.25">
      <c r="B7" s="11" t="s">
        <v>237</v>
      </c>
      <c r="C7" s="11" t="s">
        <v>238</v>
      </c>
      <c r="D7" s="11" t="s">
        <v>239</v>
      </c>
      <c r="E7" s="11" t="s">
        <v>240</v>
      </c>
      <c r="F7" s="11" t="s">
        <v>218</v>
      </c>
      <c r="G7" s="11" t="s">
        <v>219</v>
      </c>
      <c r="H7" s="11" t="s">
        <v>241</v>
      </c>
      <c r="I7" s="11" t="s">
        <v>242</v>
      </c>
      <c r="J7" s="11" t="s">
        <v>243</v>
      </c>
      <c r="K7" s="11" t="s">
        <v>244</v>
      </c>
      <c r="L7" s="11" t="s">
        <v>245</v>
      </c>
      <c r="M7" s="11" t="s">
        <v>246</v>
      </c>
      <c r="N7" s="11" t="s">
        <v>247</v>
      </c>
    </row>
    <row r="8" spans="2:14" x14ac:dyDescent="0.25">
      <c r="B8">
        <v>1</v>
      </c>
      <c r="C8">
        <v>0</v>
      </c>
      <c r="D8">
        <v>1</v>
      </c>
      <c r="E8" s="18">
        <v>16729.912727771847</v>
      </c>
      <c r="F8" s="18">
        <v>4.842877388000488e-14</v>
      </c>
      <c r="G8" s="18">
        <v>3174.4158204826354</v>
      </c>
      <c r="H8" s="12">
        <f>E9</f>
      </c>
      <c r="I8" s="12">
        <f>F9</f>
      </c>
      <c r="J8" s="12">
        <f>G9</f>
      </c>
      <c r="K8">
        <f>IF(AND(Pu&gt;=MIN(E8,H8),Pu&lt;=MAX(E8,H8),E8&lt;&gt;H8),1,0)</f>
      </c>
      <c r="L8">
        <f>IF(K8=1,(Pu-E8)/(H8-E8),"")</f>
      </c>
      <c r="M8" s="12">
        <f>IF(K8=1,F8+L8*(I8-F8),"")</f>
      </c>
      <c r="N8" s="12">
        <f>IF(K8=1,G8+L8*(J8-G8),"")</f>
      </c>
    </row>
    <row r="9" spans="2:14" x14ac:dyDescent="0.25">
      <c r="B9">
        <v>1</v>
      </c>
      <c r="C9">
        <v>0</v>
      </c>
      <c r="D9">
        <v>2</v>
      </c>
      <c r="E9" s="18">
        <v>16256.710414302552</v>
      </c>
      <c r="F9" s="18">
        <v>-2.9057264328002935e-14</v>
      </c>
      <c r="G9" s="18">
        <v>3378.863791222955</v>
      </c>
      <c r="H9" s="12">
        <f>E10</f>
      </c>
      <c r="I9" s="12">
        <f>F10</f>
      </c>
      <c r="J9" s="12">
        <f>G10</f>
      </c>
      <c r="K9">
        <f>IF(AND(Pu&gt;=MIN(E9,H9),Pu&lt;=MAX(E9,H9),E9&lt;&gt;H9),1,0)</f>
      </c>
      <c r="L9">
        <f>IF(K9=1,(Pu-E9)/(H9-E9),"")</f>
      </c>
      <c r="M9" s="12">
        <f>IF(K9=1,F9+L9*(I9-F9),"")</f>
      </c>
      <c r="N9" s="12">
        <f>IF(K9=1,G9+L9*(J9-G9),"")</f>
      </c>
    </row>
    <row r="10" spans="2:14" x14ac:dyDescent="0.25">
      <c r="B10">
        <v>1</v>
      </c>
      <c r="C10">
        <v>0</v>
      </c>
      <c r="D10">
        <v>3</v>
      </c>
      <c r="E10" s="18">
        <v>14806.758881028089</v>
      </c>
      <c r="F10" s="18">
        <v>-3.002583980560303e-13</v>
      </c>
      <c r="G10" s="18">
        <v>3880.0922716141</v>
      </c>
      <c r="H10" s="12">
        <f>E11</f>
      </c>
      <c r="I10" s="12">
        <f>F11</f>
      </c>
      <c r="J10" s="12">
        <f>G11</f>
      </c>
      <c r="K10">
        <f>IF(AND(Pu&gt;=MIN(E10,H10),Pu&lt;=MAX(E10,H10),E10&lt;&gt;H10),1,0)</f>
      </c>
      <c r="L10">
        <f>IF(K10=1,(Pu-E10)/(H10-E10),"")</f>
      </c>
      <c r="M10" s="12">
        <f>IF(K10=1,F10+L10*(I10-F10),"")</f>
      </c>
      <c r="N10" s="12">
        <f>IF(K10=1,G10+L10*(J10-G10),"")</f>
      </c>
    </row>
    <row r="11" spans="2:14" x14ac:dyDescent="0.25">
      <c r="B11">
        <v>1</v>
      </c>
      <c r="C11">
        <v>0</v>
      </c>
      <c r="D11">
        <v>4</v>
      </c>
      <c r="E11" s="18">
        <v>14122.383123361997</v>
      </c>
      <c r="F11" s="18">
        <v>1.743435859680176e-13</v>
      </c>
      <c r="G11" s="18">
        <v>4067.5747286664414</v>
      </c>
      <c r="H11" s="12">
        <f>E12</f>
      </c>
      <c r="I11" s="12">
        <f>F12</f>
      </c>
      <c r="J11" s="12">
        <f>G12</f>
      </c>
      <c r="K11">
        <f>IF(AND(Pu&gt;=MIN(E11,H11),Pu&lt;=MAX(E11,H11),E11&lt;&gt;H11),1,0)</f>
      </c>
      <c r="L11">
        <f>IF(K11=1,(Pu-E11)/(H11-E11),"")</f>
      </c>
      <c r="M11" s="12">
        <f>IF(K11=1,F11+L11*(I11-F11),"")</f>
      </c>
      <c r="N11" s="12">
        <f>IF(K11=1,G11+L11*(J11-G11),"")</f>
      </c>
    </row>
    <row r="12" spans="2:14" x14ac:dyDescent="0.25">
      <c r="B12">
        <v>1</v>
      </c>
      <c r="C12">
        <v>0</v>
      </c>
      <c r="D12">
        <v>5</v>
      </c>
      <c r="E12" s="18">
        <v>13152.449960230397</v>
      </c>
      <c r="F12" s="18">
        <v>-9.685754776000977e-15</v>
      </c>
      <c r="G12" s="18">
        <v>4269.512275466682</v>
      </c>
      <c r="H12" s="12">
        <f>E13</f>
      </c>
      <c r="I12" s="12">
        <f>F13</f>
      </c>
      <c r="J12" s="12">
        <f>G13</f>
      </c>
      <c r="K12">
        <f>IF(AND(Pu&gt;=MIN(E12,H12),Pu&lt;=MAX(E12,H12),E12&lt;&gt;H12),1,0)</f>
      </c>
      <c r="L12">
        <f>IF(K12=1,(Pu-E12)/(H12-E12),"")</f>
      </c>
      <c r="M12" s="12">
        <f>IF(K12=1,F12+L12*(I12-F12),"")</f>
      </c>
      <c r="N12" s="12">
        <f>IF(K12=1,G12+L12*(J12-G12),"")</f>
      </c>
    </row>
    <row r="13" spans="2:14" x14ac:dyDescent="0.25">
      <c r="B13">
        <v>1</v>
      </c>
      <c r="C13">
        <v>0</v>
      </c>
      <c r="D13">
        <v>6</v>
      </c>
      <c r="E13" s="18">
        <v>11964.127186505839</v>
      </c>
      <c r="F13" s="18">
        <v>-1.3560056686401366e-13</v>
      </c>
      <c r="G13" s="18">
        <v>4459.9747030576145</v>
      </c>
      <c r="H13" s="12">
        <f>E14</f>
      </c>
      <c r="I13" s="12">
        <f>F14</f>
      </c>
      <c r="J13" s="12">
        <f>G14</f>
      </c>
      <c r="K13">
        <f>IF(AND(Pu&gt;=MIN(E13,H13),Pu&lt;=MAX(E13,H13),E13&lt;&gt;H13),1,0)</f>
      </c>
      <c r="L13">
        <f>IF(K13=1,(Pu-E13)/(H13-E13),"")</f>
      </c>
      <c r="M13" s="12">
        <f>IF(K13=1,F13+L13*(I13-F13),"")</f>
      </c>
      <c r="N13" s="12">
        <f>IF(K13=1,G13+L13*(J13-G13),"")</f>
      </c>
    </row>
    <row r="14" spans="2:14" x14ac:dyDescent="0.25">
      <c r="B14">
        <v>1</v>
      </c>
      <c r="C14">
        <v>0</v>
      </c>
      <c r="D14">
        <v>7</v>
      </c>
      <c r="E14" s="18">
        <v>10875.75001078793</v>
      </c>
      <c r="F14" s="18">
        <v>-9.685754776000977e-15</v>
      </c>
      <c r="G14" s="18">
        <v>4600.75578429855</v>
      </c>
      <c r="H14" s="12">
        <f>E15</f>
      </c>
      <c r="I14" s="12">
        <f>F15</f>
      </c>
      <c r="J14" s="12">
        <f>G15</f>
      </c>
      <c r="K14">
        <f>IF(AND(Pu&gt;=MIN(E14,H14),Pu&lt;=MAX(E14,H14),E14&lt;&gt;H14),1,0)</f>
      </c>
      <c r="L14">
        <f>IF(K14=1,(Pu-E14)/(H14-E14),"")</f>
      </c>
      <c r="M14" s="12">
        <f>IF(K14=1,F14+L14*(I14-F14),"")</f>
      </c>
      <c r="N14" s="12">
        <f>IF(K14=1,G14+L14*(J14-G14),"")</f>
      </c>
    </row>
    <row r="15" spans="2:14" x14ac:dyDescent="0.25">
      <c r="B15">
        <v>1</v>
      </c>
      <c r="C15">
        <v>0</v>
      </c>
      <c r="D15">
        <v>8</v>
      </c>
      <c r="E15" s="18">
        <v>9899.135839327542</v>
      </c>
      <c r="F15" s="18">
        <v>-9.685754776000977e-15</v>
      </c>
      <c r="G15" s="18">
        <v>4704.782137458227</v>
      </c>
      <c r="H15" s="12">
        <f>E16</f>
      </c>
      <c r="I15" s="12">
        <f>F16</f>
      </c>
      <c r="J15" s="12">
        <f>G16</f>
      </c>
      <c r="K15">
        <f>IF(AND(Pu&gt;=MIN(E15,H15),Pu&lt;=MAX(E15,H15),E15&lt;&gt;H15),1,0)</f>
      </c>
      <c r="L15">
        <f>IF(K15=1,(Pu-E15)/(H15-E15),"")</f>
      </c>
      <c r="M15" s="12">
        <f>IF(K15=1,F15+L15*(I15-F15),"")</f>
      </c>
      <c r="N15" s="12">
        <f>IF(K15=1,G15+L15*(J15-G15),"")</f>
      </c>
    </row>
    <row r="16" spans="2:14" x14ac:dyDescent="0.25">
      <c r="B16">
        <v>1</v>
      </c>
      <c r="C16">
        <v>0</v>
      </c>
      <c r="D16">
        <v>9</v>
      </c>
      <c r="E16" s="18">
        <v>8968.920285263712</v>
      </c>
      <c r="F16" s="18">
        <v>1.743435859680176e-13</v>
      </c>
      <c r="G16" s="18">
        <v>4781.543944731383</v>
      </c>
      <c r="H16" s="12">
        <f>E17</f>
      </c>
      <c r="I16" s="12">
        <f>F17</f>
      </c>
      <c r="J16" s="12">
        <f>G17</f>
      </c>
      <c r="K16">
        <f>IF(AND(Pu&gt;=MIN(E16,H16),Pu&lt;=MAX(E16,H16),E16&lt;&gt;H16),1,0)</f>
      </c>
      <c r="L16">
        <f>IF(K16=1,(Pu-E16)/(H16-E16),"")</f>
      </c>
      <c r="M16" s="12">
        <f>IF(K16=1,F16+L16*(I16-F16),"")</f>
      </c>
      <c r="N16" s="12">
        <f>IF(K16=1,G16+L16*(J16-G16),"")</f>
      </c>
    </row>
    <row r="17" spans="2:14" x14ac:dyDescent="0.25">
      <c r="B17">
        <v>1</v>
      </c>
      <c r="C17">
        <v>0</v>
      </c>
      <c r="D17">
        <v>10</v>
      </c>
      <c r="E17" s="18">
        <v>7857.25862801192</v>
      </c>
      <c r="F17" s="18">
        <v>1.8328428268432618e-13</v>
      </c>
      <c r="G17" s="18">
        <v>4969.916807334376</v>
      </c>
      <c r="H17" s="12">
        <f>E18</f>
      </c>
      <c r="I17" s="12">
        <f>F18</f>
      </c>
      <c r="J17" s="12">
        <f>G18</f>
      </c>
      <c r="K17">
        <f>IF(AND(Pu&gt;=MIN(E17,H17),Pu&lt;=MAX(E17,H17),E17&lt;&gt;H17),1,0)</f>
      </c>
      <c r="L17">
        <f>IF(K17=1,(Pu-E17)/(H17-E17),"")</f>
      </c>
      <c r="M17" s="12">
        <f>IF(K17=1,F17+L17*(I17-F17),"")</f>
      </c>
      <c r="N17" s="12">
        <f>IF(K17=1,G17+L17*(J17-G17),"")</f>
      </c>
    </row>
    <row r="18" spans="2:14" x14ac:dyDescent="0.25">
      <c r="B18">
        <v>1</v>
      </c>
      <c r="C18">
        <v>0</v>
      </c>
      <c r="D18">
        <v>11</v>
      </c>
      <c r="E18" s="18">
        <v>6813.738571802294</v>
      </c>
      <c r="F18" s="18">
        <v>3.203749656677246e-14</v>
      </c>
      <c r="G18" s="18">
        <v>5104.322117480474</v>
      </c>
      <c r="H18" s="12">
        <f>E19</f>
      </c>
      <c r="I18" s="12">
        <f>F19</f>
      </c>
      <c r="J18" s="12">
        <f>G19</f>
      </c>
      <c r="K18">
        <f>IF(AND(Pu&gt;=MIN(E18,H18),Pu&lt;=MAX(E18,H18),E18&lt;&gt;H18),1,0)</f>
      </c>
      <c r="L18">
        <f>IF(K18=1,(Pu-E18)/(H18-E18),"")</f>
      </c>
      <c r="M18" s="12">
        <f>IF(K18=1,F18+L18*(I18-F18),"")</f>
      </c>
      <c r="N18" s="12">
        <f>IF(K18=1,G18+L18*(J18-G18),"")</f>
      </c>
    </row>
    <row r="19" spans="2:14" x14ac:dyDescent="0.25">
      <c r="B19">
        <v>1</v>
      </c>
      <c r="C19">
        <v>0</v>
      </c>
      <c r="D19">
        <v>12</v>
      </c>
      <c r="E19" s="18">
        <v>6387.769502061074</v>
      </c>
      <c r="F19" s="18">
        <v>-8.381903171539307e-14</v>
      </c>
      <c r="G19" s="18">
        <v>5278.757253356991</v>
      </c>
      <c r="H19" s="12">
        <f>E20</f>
      </c>
      <c r="I19" s="12">
        <f>F20</f>
      </c>
      <c r="J19" s="12">
        <f>G20</f>
      </c>
      <c r="K19">
        <f>IF(AND(Pu&gt;=MIN(E19,H19),Pu&lt;=MAX(E19,H19),E19&lt;&gt;H19),1,0)</f>
      </c>
      <c r="L19">
        <f>IF(K19=1,(Pu-E19)/(H19-E19),"")</f>
      </c>
      <c r="M19" s="12">
        <f>IF(K19=1,F19+L19*(I19-F19),"")</f>
      </c>
      <c r="N19" s="12">
        <f>IF(K19=1,G19+L19*(J19-G19),"")</f>
      </c>
    </row>
    <row r="20" spans="2:14" x14ac:dyDescent="0.25">
      <c r="B20">
        <v>1</v>
      </c>
      <c r="C20">
        <v>0</v>
      </c>
      <c r="D20">
        <v>13</v>
      </c>
      <c r="E20" s="18">
        <v>6115.948112681747</v>
      </c>
      <c r="F20" s="18">
        <v>8.754432201385496e-14</v>
      </c>
      <c r="G20" s="18">
        <v>5437.974372072232</v>
      </c>
      <c r="H20" s="12">
        <f>E21</f>
      </c>
      <c r="I20" s="12">
        <f>F21</f>
      </c>
      <c r="J20" s="12">
        <f>G21</f>
      </c>
      <c r="K20">
        <f>IF(AND(Pu&gt;=MIN(E20,H20),Pu&lt;=MAX(E20,H20),E20&lt;&gt;H20),1,0)</f>
      </c>
      <c r="L20">
        <f>IF(K20=1,(Pu-E20)/(H20-E20),"")</f>
      </c>
      <c r="M20" s="12">
        <f>IF(K20=1,F20+L20*(I20-F20),"")</f>
      </c>
      <c r="N20" s="12">
        <f>IF(K20=1,G20+L20*(J20-G20),"")</f>
      </c>
    </row>
    <row r="21" spans="2:14" x14ac:dyDescent="0.25">
      <c r="B21">
        <v>1</v>
      </c>
      <c r="C21">
        <v>0</v>
      </c>
      <c r="D21">
        <v>14</v>
      </c>
      <c r="E21" s="18">
        <v>5651.216252728246</v>
      </c>
      <c r="F21" s="18">
        <v>-3.799796104431152e-14</v>
      </c>
      <c r="G21" s="18">
        <v>5733.468299427717</v>
      </c>
      <c r="H21" s="12">
        <f>E22</f>
      </c>
      <c r="I21" s="12">
        <f>F22</f>
      </c>
      <c r="J21" s="12">
        <f>G22</f>
      </c>
      <c r="K21">
        <f>IF(AND(Pu&gt;=MIN(E21,H21),Pu&lt;=MAX(E21,H21),E21&lt;&gt;H21),1,0)</f>
      </c>
      <c r="L21">
        <f>IF(K21=1,(Pu-E21)/(H21-E21),"")</f>
      </c>
      <c r="M21" s="12">
        <f>IF(K21=1,F21+L21*(I21-F21),"")</f>
      </c>
      <c r="N21" s="12">
        <f>IF(K21=1,G21+L21*(J21-G21),"")</f>
      </c>
    </row>
    <row r="22" spans="2:14" x14ac:dyDescent="0.25">
      <c r="B22">
        <v>1</v>
      </c>
      <c r="C22">
        <v>0</v>
      </c>
      <c r="D22">
        <v>15</v>
      </c>
      <c r="E22" s="18">
        <v>4911.672282887007</v>
      </c>
      <c r="F22" s="18">
        <v>-1.424923539161682e-14</v>
      </c>
      <c r="G22" s="18">
        <v>5550.13844608314</v>
      </c>
      <c r="H22" s="12">
        <f>E23</f>
      </c>
      <c r="I22" s="12">
        <f>F23</f>
      </c>
      <c r="J22" s="12">
        <f>G23</f>
      </c>
      <c r="K22">
        <f>IF(AND(Pu&gt;=MIN(E22,H22),Pu&lt;=MAX(E22,H22),E22&lt;&gt;H22),1,0)</f>
      </c>
      <c r="L22">
        <f>IF(K22=1,(Pu-E22)/(H22-E22),"")</f>
      </c>
      <c r="M22" s="12">
        <f>IF(K22=1,F22+L22*(I22-F22),"")</f>
      </c>
      <c r="N22" s="12">
        <f>IF(K22=1,G22+L22*(J22-G22),"")</f>
      </c>
    </row>
    <row r="23" spans="2:14" x14ac:dyDescent="0.25">
      <c r="B23">
        <v>1</v>
      </c>
      <c r="C23">
        <v>0</v>
      </c>
      <c r="D23">
        <v>16</v>
      </c>
      <c r="E23" s="18">
        <v>3863.9307841404243</v>
      </c>
      <c r="F23" s="18">
        <v>1.0686926543712616e-13</v>
      </c>
      <c r="G23" s="18">
        <v>5231.774613725775</v>
      </c>
      <c r="H23" s="12">
        <f>E24</f>
      </c>
      <c r="I23" s="12">
        <f>F24</f>
      </c>
      <c r="J23" s="12">
        <f>G24</f>
      </c>
      <c r="K23">
        <f>IF(AND(Pu&gt;=MIN(E23,H23),Pu&lt;=MAX(E23,H23),E23&lt;&gt;H23),1,0)</f>
      </c>
      <c r="L23">
        <f>IF(K23=1,(Pu-E23)/(H23-E23),"")</f>
      </c>
      <c r="M23" s="12">
        <f>IF(K23=1,F23+L23*(I23-F23),"")</f>
      </c>
      <c r="N23" s="12">
        <f>IF(K23=1,G23+L23*(J23-G23),"")</f>
      </c>
    </row>
    <row r="24" spans="2:14" x14ac:dyDescent="0.25">
      <c r="B24">
        <v>1</v>
      </c>
      <c r="C24">
        <v>0</v>
      </c>
      <c r="D24">
        <v>17</v>
      </c>
      <c r="E24" s="18">
        <v>3078.510649788941</v>
      </c>
      <c r="F24" s="18">
        <v>9.34116542339325e-14</v>
      </c>
      <c r="G24" s="18">
        <v>4941.459462632535</v>
      </c>
      <c r="H24" s="12">
        <f>E25</f>
      </c>
      <c r="I24" s="12">
        <f>F25</f>
      </c>
      <c r="J24" s="12">
        <f>G25</f>
      </c>
      <c r="K24">
        <f>IF(AND(Pu&gt;=MIN(E24,H24),Pu&lt;=MAX(E24,H24),E24&lt;&gt;H24),1,0)</f>
      </c>
      <c r="L24">
        <f>IF(K24=1,(Pu-E24)/(H24-E24),"")</f>
      </c>
      <c r="M24" s="12">
        <f>IF(K24=1,F24+L24*(I24-F24),"")</f>
      </c>
      <c r="N24" s="12">
        <f>IF(K24=1,G24+L24*(J24-G24),"")</f>
      </c>
    </row>
    <row r="25" spans="2:14" x14ac:dyDescent="0.25">
      <c r="B25">
        <v>1</v>
      </c>
      <c r="C25">
        <v>0</v>
      </c>
      <c r="D25">
        <v>18</v>
      </c>
      <c r="E25" s="18">
        <v>1836.3300516777654</v>
      </c>
      <c r="F25" s="18">
        <v>-2.818182110786438e-13</v>
      </c>
      <c r="G25" s="18">
        <v>4363.068796673947</v>
      </c>
      <c r="H25" s="12">
        <f>E26</f>
      </c>
      <c r="I25" s="12">
        <f>F26</f>
      </c>
      <c r="J25" s="12">
        <f>G26</f>
      </c>
      <c r="K25">
        <f>IF(AND(Pu&gt;=MIN(E25,H25),Pu&lt;=MAX(E25,H25),E25&lt;&gt;H25),1,0)</f>
      </c>
      <c r="L25">
        <f>IF(K25=1,(Pu-E25)/(H25-E25),"")</f>
      </c>
      <c r="M25" s="12">
        <f>IF(K25=1,F25+L25*(I25-F25),"")</f>
      </c>
      <c r="N25" s="12">
        <f>IF(K25=1,G25+L25*(J25-G25),"")</f>
      </c>
    </row>
    <row r="26" spans="2:14" x14ac:dyDescent="0.25">
      <c r="B26">
        <v>1</v>
      </c>
      <c r="C26">
        <v>0</v>
      </c>
      <c r="D26">
        <v>19</v>
      </c>
      <c r="E26" s="18">
        <v>574.3755570888032</v>
      </c>
      <c r="F26" s="18">
        <v>1.2665987014770508e-14</v>
      </c>
      <c r="G26" s="18">
        <v>3684.9592098968396</v>
      </c>
      <c r="H26" s="12">
        <f>E27</f>
      </c>
      <c r="I26" s="12">
        <f>F27</f>
      </c>
      <c r="J26" s="12">
        <f>G27</f>
      </c>
      <c r="K26">
        <f>IF(AND(Pu&gt;=MIN(E26,H26),Pu&lt;=MAX(E26,H26),E26&lt;&gt;H26),1,0)</f>
      </c>
      <c r="L26">
        <f>IF(K26=1,(Pu-E26)/(H26-E26),"")</f>
      </c>
      <c r="M26" s="12">
        <f>IF(K26=1,F26+L26*(I26-F26),"")</f>
      </c>
      <c r="N26" s="12">
        <f>IF(K26=1,G26+L26*(J26-G26),"")</f>
      </c>
    </row>
    <row r="27" spans="2:7" x14ac:dyDescent="0.25">
      <c r="B27">
        <v>1</v>
      </c>
      <c r="C27">
        <v>0</v>
      </c>
      <c r="D27">
        <v>20</v>
      </c>
      <c r="E27" s="18">
        <v>-1575.8014989798983</v>
      </c>
      <c r="F27" s="18">
        <v>0</v>
      </c>
      <c r="G27" s="18">
        <v>2317.290836598565</v>
      </c>
    </row>
    <row r="29" spans="2:14" x14ac:dyDescent="0.25">
      <c r="B29">
        <v>2</v>
      </c>
      <c r="C29">
        <v>9.99999999999999</v>
      </c>
      <c r="D29">
        <v>1</v>
      </c>
      <c r="E29" s="18">
        <v>17160.5372918961</v>
      </c>
      <c r="F29" s="18">
        <v>389.96615088474664</v>
      </c>
      <c r="G29" s="18">
        <v>2926.2989089935727</v>
      </c>
      <c r="H29" s="12">
        <f>E30</f>
      </c>
      <c r="I29" s="12">
        <f>F30</f>
      </c>
      <c r="J29" s="12">
        <f>G30</f>
      </c>
      <c r="K29">
        <f>IF(AND(Pu&gt;=MIN(E29,H29),Pu&lt;=MAX(E29,H29),E29&lt;&gt;H29),1,0)</f>
      </c>
      <c r="L29">
        <f>IF(K29=1,(Pu-E29)/(H29-E29),"")</f>
      </c>
      <c r="M29" s="12">
        <f>IF(K29=1,F29+L29*(I29-F29),"")</f>
      </c>
      <c r="N29" s="12">
        <f>IF(K29=1,G29+L29*(J29-G29),"")</f>
      </c>
    </row>
    <row r="30" spans="2:14" x14ac:dyDescent="0.25">
      <c r="B30">
        <v>2</v>
      </c>
      <c r="C30">
        <v>9.99999999999999</v>
      </c>
      <c r="D30">
        <v>2</v>
      </c>
      <c r="E30" s="18">
        <v>16482.915678103578</v>
      </c>
      <c r="F30" s="18">
        <v>379.93417592649007</v>
      </c>
      <c r="G30" s="18">
        <v>3233.006136517534</v>
      </c>
      <c r="H30" s="12">
        <f>E31</f>
      </c>
      <c r="I30" s="12">
        <f>F31</f>
      </c>
      <c r="J30" s="12">
        <f>G31</f>
      </c>
      <c r="K30">
        <f>IF(AND(Pu&gt;=MIN(E30,H30),Pu&lt;=MAX(E30,H30),E30&lt;&gt;H30),1,0)</f>
      </c>
      <c r="L30">
        <f>IF(K30=1,(Pu-E30)/(H30-E30),"")</f>
      </c>
      <c r="M30" s="12">
        <f>IF(K30=1,F30+L30*(I30-F30),"")</f>
      </c>
      <c r="N30" s="12">
        <f>IF(K30=1,G30+L30*(J30-G30),"")</f>
      </c>
    </row>
    <row r="31" spans="2:14" x14ac:dyDescent="0.25">
      <c r="B31">
        <v>2</v>
      </c>
      <c r="C31">
        <v>9.99999999999999</v>
      </c>
      <c r="D31">
        <v>3</v>
      </c>
      <c r="E31" s="18">
        <v>14953.5664631096</v>
      </c>
      <c r="F31" s="18">
        <v>409.1672677716054</v>
      </c>
      <c r="G31" s="18">
        <v>3785.0816502798584</v>
      </c>
      <c r="H31" s="12">
        <f>E32</f>
      </c>
      <c r="I31" s="12">
        <f>F32</f>
      </c>
      <c r="J31" s="12">
        <f>G32</f>
      </c>
      <c r="K31">
        <f>IF(AND(Pu&gt;=MIN(E31,H31),Pu&lt;=MAX(E31,H31),E31&lt;&gt;H31),1,0)</f>
      </c>
      <c r="L31">
        <f>IF(K31=1,(Pu-E31)/(H31-E31),"")</f>
      </c>
      <c r="M31" s="12">
        <f>IF(K31=1,F31+L31*(I31-F31),"")</f>
      </c>
      <c r="N31" s="12">
        <f>IF(K31=1,G31+L31*(J31-G31),"")</f>
      </c>
    </row>
    <row r="32" spans="2:14" x14ac:dyDescent="0.25">
      <c r="B32">
        <v>2</v>
      </c>
      <c r="C32">
        <v>9.99999999999999</v>
      </c>
      <c r="D32">
        <v>4</v>
      </c>
      <c r="E32" s="18">
        <v>14189.9169724325</v>
      </c>
      <c r="F32" s="18">
        <v>452.49638234268974</v>
      </c>
      <c r="G32" s="18">
        <v>3985.8088712490326</v>
      </c>
      <c r="H32" s="12">
        <f>E33</f>
      </c>
      <c r="I32" s="12">
        <f>F33</f>
      </c>
      <c r="J32" s="12">
        <f>G33</f>
      </c>
      <c r="K32">
        <f>IF(AND(Pu&gt;=MIN(E32,H32),Pu&lt;=MAX(E32,H32),E32&lt;&gt;H32),1,0)</f>
      </c>
      <c r="L32">
        <f>IF(K32=1,(Pu-E32)/(H32-E32),"")</f>
      </c>
      <c r="M32" s="12">
        <f>IF(K32=1,F32+L32*(I32-F32),"")</f>
      </c>
      <c r="N32" s="12">
        <f>IF(K32=1,G32+L32*(J32-G32),"")</f>
      </c>
    </row>
    <row r="33" spans="2:14" x14ac:dyDescent="0.25">
      <c r="B33">
        <v>2</v>
      </c>
      <c r="C33">
        <v>9.99999999999999</v>
      </c>
      <c r="D33">
        <v>5</v>
      </c>
      <c r="E33" s="18">
        <v>13224.12187353447</v>
      </c>
      <c r="F33" s="18">
        <v>527.1542102059894</v>
      </c>
      <c r="G33" s="18">
        <v>4176.260623380165</v>
      </c>
      <c r="H33" s="12">
        <f>E34</f>
      </c>
      <c r="I33" s="12">
        <f>F34</f>
      </c>
      <c r="J33" s="12">
        <f>G34</f>
      </c>
      <c r="K33">
        <f>IF(AND(Pu&gt;=MIN(E33,H33),Pu&lt;=MAX(E33,H33),E33&lt;&gt;H33),1,0)</f>
      </c>
      <c r="L33">
        <f>IF(K33=1,(Pu-E33)/(H33-E33),"")</f>
      </c>
      <c r="M33" s="12">
        <f>IF(K33=1,F33+L33*(I33-F33),"")</f>
      </c>
      <c r="N33" s="12">
        <f>IF(K33=1,G33+L33*(J33-G33),"")</f>
      </c>
    </row>
    <row r="34" spans="2:14" x14ac:dyDescent="0.25">
      <c r="B34">
        <v>2</v>
      </c>
      <c r="C34">
        <v>9.99999999999999</v>
      </c>
      <c r="D34">
        <v>6</v>
      </c>
      <c r="E34" s="18">
        <v>12049.303200243863</v>
      </c>
      <c r="F34" s="18">
        <v>557.3194740297524</v>
      </c>
      <c r="G34" s="18">
        <v>4357.216258753513</v>
      </c>
      <c r="H34" s="12">
        <f>E35</f>
      </c>
      <c r="I34" s="12">
        <f>F35</f>
      </c>
      <c r="J34" s="12">
        <f>G35</f>
      </c>
      <c r="K34">
        <f>IF(AND(Pu&gt;=MIN(E34,H34),Pu&lt;=MAX(E34,H34),E34&lt;&gt;H34),1,0)</f>
      </c>
      <c r="L34">
        <f>IF(K34=1,(Pu-E34)/(H34-E34),"")</f>
      </c>
      <c r="M34" s="12">
        <f>IF(K34=1,F34+L34*(I34-F34),"")</f>
      </c>
      <c r="N34" s="12">
        <f>IF(K34=1,G34+L34*(J34-G34),"")</f>
      </c>
    </row>
    <row r="35" spans="2:14" x14ac:dyDescent="0.25">
      <c r="B35">
        <v>2</v>
      </c>
      <c r="C35">
        <v>9.99999999999999</v>
      </c>
      <c r="D35">
        <v>7</v>
      </c>
      <c r="E35" s="18">
        <v>10882.03014633719</v>
      </c>
      <c r="F35" s="18">
        <v>569.1636399553829</v>
      </c>
      <c r="G35" s="18">
        <v>4495.080660339652</v>
      </c>
      <c r="H35" s="12">
        <f>E36</f>
      </c>
      <c r="I35" s="12">
        <f>F36</f>
      </c>
      <c r="J35" s="12">
        <f>G36</f>
      </c>
      <c r="K35">
        <f>IF(AND(Pu&gt;=MIN(E35,H35),Pu&lt;=MAX(E35,H35),E35&lt;&gt;H35),1,0)</f>
      </c>
      <c r="L35">
        <f>IF(K35=1,(Pu-E35)/(H35-E35),"")</f>
      </c>
      <c r="M35" s="12">
        <f>IF(K35=1,F35+L35*(I35-F35),"")</f>
      </c>
      <c r="N35" s="12">
        <f>IF(K35=1,G35+L35*(J35-G35),"")</f>
      </c>
    </row>
    <row r="36" spans="2:14" x14ac:dyDescent="0.25">
      <c r="B36">
        <v>2</v>
      </c>
      <c r="C36">
        <v>9.99999999999999</v>
      </c>
      <c r="D36">
        <v>8</v>
      </c>
      <c r="E36" s="18">
        <v>9807.204787479057</v>
      </c>
      <c r="F36" s="18">
        <v>581.0078058810136</v>
      </c>
      <c r="G36" s="18">
        <v>4590.107387345258</v>
      </c>
      <c r="H36" s="12">
        <f>E37</f>
      </c>
      <c r="I36" s="12">
        <f>F37</f>
      </c>
      <c r="J36" s="12">
        <f>G37</f>
      </c>
      <c r="K36">
        <f>IF(AND(Pu&gt;=MIN(E36,H36),Pu&lt;=MAX(E36,H36),E36&lt;&gt;H36),1,0)</f>
      </c>
      <c r="L36">
        <f>IF(K36=1,(Pu-E36)/(H36-E36),"")</f>
      </c>
      <c r="M36" s="12">
        <f>IF(K36=1,F36+L36*(I36-F36),"")</f>
      </c>
      <c r="N36" s="12">
        <f>IF(K36=1,G36+L36*(J36-G36),"")</f>
      </c>
    </row>
    <row r="37" spans="2:14" x14ac:dyDescent="0.25">
      <c r="B37">
        <v>2</v>
      </c>
      <c r="C37">
        <v>9.99999999999999</v>
      </c>
      <c r="D37">
        <v>9</v>
      </c>
      <c r="E37" s="18">
        <v>8811.744902672026</v>
      </c>
      <c r="F37" s="18">
        <v>592.851971806644</v>
      </c>
      <c r="G37" s="18">
        <v>4653.419777870587</v>
      </c>
      <c r="H37" s="12">
        <f>E38</f>
      </c>
      <c r="I37" s="12">
        <f>F38</f>
      </c>
      <c r="J37" s="12">
        <f>G38</f>
      </c>
      <c r="K37">
        <f>IF(AND(Pu&gt;=MIN(E37,H37),Pu&lt;=MAX(E37,H37),E37&lt;&gt;H37),1,0)</f>
      </c>
      <c r="L37">
        <f>IF(K37=1,(Pu-E37)/(H37-E37),"")</f>
      </c>
      <c r="M37" s="12">
        <f>IF(K37=1,F37+L37*(I37-F37),"")</f>
      </c>
      <c r="N37" s="12">
        <f>IF(K37=1,G37+L37*(J37-G37),"")</f>
      </c>
    </row>
    <row r="38" spans="2:14" x14ac:dyDescent="0.25">
      <c r="B38">
        <v>2</v>
      </c>
      <c r="C38">
        <v>9.99999999999999</v>
      </c>
      <c r="D38">
        <v>10</v>
      </c>
      <c r="E38" s="18">
        <v>7554.8212352455475</v>
      </c>
      <c r="F38" s="18">
        <v>629.2636304450849</v>
      </c>
      <c r="G38" s="18">
        <v>4872.53436107189</v>
      </c>
      <c r="H38" s="12">
        <f>E39</f>
      </c>
      <c r="I38" s="12">
        <f>F39</f>
      </c>
      <c r="J38" s="12">
        <f>G39</f>
      </c>
      <c r="K38">
        <f>IF(AND(Pu&gt;=MIN(E38,H38),Pu&lt;=MAX(E38,H38),E38&lt;&gt;H38),1,0)</f>
      </c>
      <c r="L38">
        <f>IF(K38=1,(Pu-E38)/(H38-E38),"")</f>
      </c>
      <c r="M38" s="12">
        <f>IF(K38=1,F38+L38*(I38-F38),"")</f>
      </c>
      <c r="N38" s="12">
        <f>IF(K38=1,G38+L38*(J38-G38),"")</f>
      </c>
    </row>
    <row r="39" spans="2:14" x14ac:dyDescent="0.25">
      <c r="B39">
        <v>2</v>
      </c>
      <c r="C39">
        <v>9.99999999999999</v>
      </c>
      <c r="D39">
        <v>11</v>
      </c>
      <c r="E39" s="18">
        <v>6714.254209604634</v>
      </c>
      <c r="F39" s="18">
        <v>622.4741719124372</v>
      </c>
      <c r="G39" s="18">
        <v>5024.666822220722</v>
      </c>
      <c r="H39" s="12">
        <f>E40</f>
      </c>
      <c r="I39" s="12">
        <f>F40</f>
      </c>
      <c r="J39" s="12">
        <f>G40</f>
      </c>
      <c r="K39">
        <f>IF(AND(Pu&gt;=MIN(E39,H39),Pu&lt;=MAX(E39,H39),E39&lt;&gt;H39),1,0)</f>
      </c>
      <c r="L39">
        <f>IF(K39=1,(Pu-E39)/(H39-E39),"")</f>
      </c>
      <c r="M39" s="12">
        <f>IF(K39=1,F39+L39*(I39-F39),"")</f>
      </c>
      <c r="N39" s="12">
        <f>IF(K39=1,G39+L39*(J39-G39),"")</f>
      </c>
    </row>
    <row r="40" spans="2:14" x14ac:dyDescent="0.25">
      <c r="B40">
        <v>2</v>
      </c>
      <c r="C40">
        <v>9.99999999999999</v>
      </c>
      <c r="D40">
        <v>12</v>
      </c>
      <c r="E40" s="18">
        <v>6241.595168470391</v>
      </c>
      <c r="F40" s="18">
        <v>598.2748259247434</v>
      </c>
      <c r="G40" s="18">
        <v>5177.739773431791</v>
      </c>
      <c r="H40" s="12">
        <f>E41</f>
      </c>
      <c r="I40" s="12">
        <f>F41</f>
      </c>
      <c r="J40" s="12">
        <f>G41</f>
      </c>
      <c r="K40">
        <f>IF(AND(Pu&gt;=MIN(E40,H40),Pu&lt;=MAX(E40,H40),E40&lt;&gt;H40),1,0)</f>
      </c>
      <c r="L40">
        <f>IF(K40=1,(Pu-E40)/(H40-E40),"")</f>
      </c>
      <c r="M40" s="12">
        <f>IF(K40=1,F40+L40*(I40-F40),"")</f>
      </c>
      <c r="N40" s="12">
        <f>IF(K40=1,G40+L40*(J40-G40),"")</f>
      </c>
    </row>
    <row r="41" spans="2:14" x14ac:dyDescent="0.25">
      <c r="B41">
        <v>2</v>
      </c>
      <c r="C41">
        <v>9.99999999999999</v>
      </c>
      <c r="D41">
        <v>13</v>
      </c>
      <c r="E41" s="18">
        <v>5851.642581568081</v>
      </c>
      <c r="F41" s="18">
        <v>595.6463231611663</v>
      </c>
      <c r="G41" s="18">
        <v>5330.454135196836</v>
      </c>
      <c r="H41" s="12">
        <f>E42</f>
      </c>
      <c r="I41" s="12">
        <f>F42</f>
      </c>
      <c r="J41" s="12">
        <f>G42</f>
      </c>
      <c r="K41">
        <f>IF(AND(Pu&gt;=MIN(E41,H41),Pu&lt;=MAX(E41,H41),E41&lt;&gt;H41),1,0)</f>
      </c>
      <c r="L41">
        <f>IF(K41=1,(Pu-E41)/(H41-E41),"")</f>
      </c>
      <c r="M41" s="12">
        <f>IF(K41=1,F41+L41*(I41-F41),"")</f>
      </c>
      <c r="N41" s="12">
        <f>IF(K41=1,G41+L41*(J41-G41),"")</f>
      </c>
    </row>
    <row r="42" spans="2:14" x14ac:dyDescent="0.25">
      <c r="B42">
        <v>2</v>
      </c>
      <c r="C42">
        <v>9.99999999999999</v>
      </c>
      <c r="D42">
        <v>14</v>
      </c>
      <c r="E42" s="18">
        <v>5343.848383686968</v>
      </c>
      <c r="F42" s="18">
        <v>620.2554043386117</v>
      </c>
      <c r="G42" s="18">
        <v>5582.254286576713</v>
      </c>
      <c r="H42" s="12">
        <f>E43</f>
      </c>
      <c r="I42" s="12">
        <f>F43</f>
      </c>
      <c r="J42" s="12">
        <f>G43</f>
      </c>
      <c r="K42">
        <f>IF(AND(Pu&gt;=MIN(E42,H42),Pu&lt;=MAX(E42,H42),E42&lt;&gt;H42),1,0)</f>
      </c>
      <c r="L42">
        <f>IF(K42=1,(Pu-E42)/(H42-E42),"")</f>
      </c>
      <c r="M42" s="12">
        <f>IF(K42=1,F42+L42*(I42-F42),"")</f>
      </c>
      <c r="N42" s="12">
        <f>IF(K42=1,G42+L42*(J42-G42),"")</f>
      </c>
    </row>
    <row r="43" spans="2:14" x14ac:dyDescent="0.25">
      <c r="B43">
        <v>2</v>
      </c>
      <c r="C43">
        <v>9.99999999999999</v>
      </c>
      <c r="D43">
        <v>15</v>
      </c>
      <c r="E43" s="18">
        <v>4531.627976453666</v>
      </c>
      <c r="F43" s="18">
        <v>608.8460989297046</v>
      </c>
      <c r="G43" s="18">
        <v>5377.676827712433</v>
      </c>
      <c r="H43" s="12">
        <f>E44</f>
      </c>
      <c r="I43" s="12">
        <f>F44</f>
      </c>
      <c r="J43" s="12">
        <f>G44</f>
      </c>
      <c r="K43">
        <f>IF(AND(Pu&gt;=MIN(E43,H43),Pu&lt;=MAX(E43,H43),E43&lt;&gt;H43),1,0)</f>
      </c>
      <c r="L43">
        <f>IF(K43=1,(Pu-E43)/(H43-E43),"")</f>
      </c>
      <c r="M43" s="12">
        <f>IF(K43=1,F43+L43*(I43-F43),"")</f>
      </c>
      <c r="N43" s="12">
        <f>IF(K43=1,G43+L43*(J43-G43),"")</f>
      </c>
    </row>
    <row r="44" spans="2:14" x14ac:dyDescent="0.25">
      <c r="B44">
        <v>2</v>
      </c>
      <c r="C44">
        <v>9.99999999999999</v>
      </c>
      <c r="D44">
        <v>16</v>
      </c>
      <c r="E44" s="18">
        <v>3291.226365194617</v>
      </c>
      <c r="F44" s="18">
        <v>600.5467022609339</v>
      </c>
      <c r="G44" s="18">
        <v>4954.469212448919</v>
      </c>
      <c r="H44" s="12">
        <f>E45</f>
      </c>
      <c r="I44" s="12">
        <f>F45</f>
      </c>
      <c r="J44" s="12">
        <f>G45</f>
      </c>
      <c r="K44">
        <f>IF(AND(Pu&gt;=MIN(E44,H44),Pu&lt;=MAX(E44,H44),E44&lt;&gt;H44),1,0)</f>
      </c>
      <c r="L44">
        <f>IF(K44=1,(Pu-E44)/(H44-E44),"")</f>
      </c>
      <c r="M44" s="12">
        <f>IF(K44=1,F44+L44*(I44-F44),"")</f>
      </c>
      <c r="N44" s="12">
        <f>IF(K44=1,G44+L44*(J44-G44),"")</f>
      </c>
    </row>
    <row r="45" spans="2:14" x14ac:dyDescent="0.25">
      <c r="B45">
        <v>2</v>
      </c>
      <c r="C45">
        <v>9.99999999999999</v>
      </c>
      <c r="D45">
        <v>17</v>
      </c>
      <c r="E45" s="18">
        <v>2460.184350772154</v>
      </c>
      <c r="F45" s="18">
        <v>612.89358057199</v>
      </c>
      <c r="G45" s="18">
        <v>4582.550901470423</v>
      </c>
      <c r="H45" s="12">
        <f>E46</f>
      </c>
      <c r="I45" s="12">
        <f>F46</f>
      </c>
      <c r="J45" s="12">
        <f>G46</f>
      </c>
      <c r="K45">
        <f>IF(AND(Pu&gt;=MIN(E45,H45),Pu&lt;=MAX(E45,H45),E45&lt;&gt;H45),1,0)</f>
      </c>
      <c r="L45">
        <f>IF(K45=1,(Pu-E45)/(H45-E45),"")</f>
      </c>
      <c r="M45" s="12">
        <f>IF(K45=1,F45+L45*(I45-F45),"")</f>
      </c>
      <c r="N45" s="12">
        <f>IF(K45=1,G45+L45*(J45-G45),"")</f>
      </c>
    </row>
    <row r="46" spans="2:14" x14ac:dyDescent="0.25">
      <c r="B46">
        <v>2</v>
      </c>
      <c r="C46">
        <v>9.99999999999999</v>
      </c>
      <c r="D46">
        <v>18</v>
      </c>
      <c r="E46" s="18">
        <v>500.36993141701095</v>
      </c>
      <c r="F46" s="18">
        <v>581.228135565448</v>
      </c>
      <c r="G46" s="18">
        <v>3546.007174075762</v>
      </c>
      <c r="H46" s="12">
        <f>E47</f>
      </c>
      <c r="I46" s="12">
        <f>F47</f>
      </c>
      <c r="J46" s="12">
        <f>G47</f>
      </c>
      <c r="K46">
        <f>IF(AND(Pu&gt;=MIN(E46,H46),Pu&lt;=MAX(E46,H46),E46&lt;&gt;H46),1,0)</f>
      </c>
      <c r="L46">
        <f>IF(K46=1,(Pu-E46)/(H46-E46),"")</f>
      </c>
      <c r="M46" s="12">
        <f>IF(K46=1,F46+L46*(I46-F46),"")</f>
      </c>
      <c r="N46" s="12">
        <f>IF(K46=1,G46+L46*(J46-G46),"")</f>
      </c>
    </row>
    <row r="47" spans="2:14" x14ac:dyDescent="0.25">
      <c r="B47">
        <v>2</v>
      </c>
      <c r="C47">
        <v>9.99999999999999</v>
      </c>
      <c r="D47">
        <v>19</v>
      </c>
      <c r="E47" s="18">
        <v>-928.4233044960959</v>
      </c>
      <c r="F47" s="18">
        <v>445.1744594681312</v>
      </c>
      <c r="G47" s="18">
        <v>2694.0934504567213</v>
      </c>
      <c r="H47" s="12">
        <f>E48</f>
      </c>
      <c r="I47" s="12">
        <f>F48</f>
      </c>
      <c r="J47" s="12">
        <f>G48</f>
      </c>
      <c r="K47">
        <f>IF(AND(Pu&gt;=MIN(E47,H47),Pu&lt;=MAX(E47,H47),E47&lt;&gt;H47),1,0)</f>
      </c>
      <c r="L47">
        <f>IF(K47=1,(Pu-E47)/(H47-E47),"")</f>
      </c>
      <c r="M47" s="12">
        <f>IF(K47=1,F47+L47*(I47-F47),"")</f>
      </c>
      <c r="N47" s="12">
        <f>IF(K47=1,G47+L47*(J47-G47),"")</f>
      </c>
    </row>
    <row r="48" spans="2:7" x14ac:dyDescent="0.25">
      <c r="B48">
        <v>2</v>
      </c>
      <c r="C48">
        <v>9.99999999999999</v>
      </c>
      <c r="D48">
        <v>20</v>
      </c>
      <c r="E48" s="18">
        <v>-3501.2522920059077</v>
      </c>
      <c r="F48" s="18">
        <v>298.9658022375396</v>
      </c>
      <c r="G48" s="18">
        <v>987.3053401915681</v>
      </c>
    </row>
    <row r="50" spans="2:14" x14ac:dyDescent="0.25">
      <c r="B50">
        <v>3</v>
      </c>
      <c r="C50">
        <v>19.99999999999998</v>
      </c>
      <c r="D50">
        <v>1</v>
      </c>
      <c r="E50" s="18">
        <v>17661.28868259639</v>
      </c>
      <c r="F50" s="18">
        <v>755.7966530112396</v>
      </c>
      <c r="G50" s="18">
        <v>2570.7936325713385</v>
      </c>
      <c r="H50" s="12">
        <f>E51</f>
      </c>
      <c r="I50" s="12">
        <f>F51</f>
      </c>
      <c r="J50" s="12">
        <f>G51</f>
      </c>
      <c r="K50">
        <f>IF(AND(Pu&gt;=MIN(E50,H50),Pu&lt;=MAX(E50,H50),E50&lt;&gt;H50),1,0)</f>
      </c>
      <c r="L50">
        <f>IF(K50=1,(Pu-E50)/(H50-E50),"")</f>
      </c>
      <c r="M50" s="12">
        <f>IF(K50=1,F50+L50*(I50-F50),"")</f>
      </c>
      <c r="N50" s="12">
        <f>IF(K50=1,G50+L50*(J50-G50),"")</f>
      </c>
    </row>
    <row r="51" spans="2:14" x14ac:dyDescent="0.25">
      <c r="B51">
        <v>3</v>
      </c>
      <c r="C51">
        <v>19.99999999999998</v>
      </c>
      <c r="D51">
        <v>2</v>
      </c>
      <c r="E51" s="18">
        <v>16743.450831778508</v>
      </c>
      <c r="F51" s="18">
        <v>770.3842995786214</v>
      </c>
      <c r="G51" s="18">
        <v>3008.3515358189384</v>
      </c>
      <c r="H51" s="12">
        <f>E52</f>
      </c>
      <c r="I51" s="12">
        <f>F52</f>
      </c>
      <c r="J51" s="12">
        <f>G52</f>
      </c>
      <c r="K51">
        <f>IF(AND(Pu&gt;=MIN(E51,H51),Pu&lt;=MAX(E51,H51),E51&lt;&gt;H51),1,0)</f>
      </c>
      <c r="L51">
        <f>IF(K51=1,(Pu-E51)/(H51-E51),"")</f>
      </c>
      <c r="M51" s="12">
        <f>IF(K51=1,F51+L51*(I51-F51),"")</f>
      </c>
      <c r="N51" s="12">
        <f>IF(K51=1,G51+L51*(J51-G51),"")</f>
      </c>
    </row>
    <row r="52" spans="2:14" x14ac:dyDescent="0.25">
      <c r="B52">
        <v>3</v>
      </c>
      <c r="C52">
        <v>19.99999999999998</v>
      </c>
      <c r="D52">
        <v>3</v>
      </c>
      <c r="E52" s="18">
        <v>14997.463353751455</v>
      </c>
      <c r="F52" s="18">
        <v>844.8362812468907</v>
      </c>
      <c r="G52" s="18">
        <v>3631.3056186022504</v>
      </c>
      <c r="H52" s="12">
        <f>E53</f>
      </c>
      <c r="I52" s="12">
        <f>F53</f>
      </c>
      <c r="J52" s="12">
        <f>G53</f>
      </c>
      <c r="K52">
        <f>IF(AND(Pu&gt;=MIN(E52,H52),Pu&lt;=MAX(E52,H52),E52&lt;&gt;H52),1,0)</f>
      </c>
      <c r="L52">
        <f>IF(K52=1,(Pu-E52)/(H52-E52),"")</f>
      </c>
      <c r="M52" s="12">
        <f>IF(K52=1,F52+L52*(I52-F52),"")</f>
      </c>
      <c r="N52" s="12">
        <f>IF(K52=1,G52+L52*(J52-G52),"")</f>
      </c>
    </row>
    <row r="53" spans="2:14" x14ac:dyDescent="0.25">
      <c r="B53">
        <v>3</v>
      </c>
      <c r="C53">
        <v>19.99999999999998</v>
      </c>
      <c r="D53">
        <v>4</v>
      </c>
      <c r="E53" s="18">
        <v>14116.457475587224</v>
      </c>
      <c r="F53" s="18">
        <v>935.0496609914562</v>
      </c>
      <c r="G53" s="18">
        <v>3845.3360148356064</v>
      </c>
      <c r="H53" s="12">
        <f>E54</f>
      </c>
      <c r="I53" s="12">
        <f>F54</f>
      </c>
      <c r="J53" s="12">
        <f>G54</f>
      </c>
      <c r="K53">
        <f>IF(AND(Pu&gt;=MIN(E53,H53),Pu&lt;=MAX(E53,H53),E53&lt;&gt;H53),1,0)</f>
      </c>
      <c r="L53">
        <f>IF(K53=1,(Pu-E53)/(H53-E53),"")</f>
      </c>
      <c r="M53" s="12">
        <f>IF(K53=1,F53+L53*(I53-F53),"")</f>
      </c>
      <c r="N53" s="12">
        <f>IF(K53=1,G53+L53*(J53-G53),"")</f>
      </c>
    </row>
    <row r="54" spans="2:14" x14ac:dyDescent="0.25">
      <c r="B54">
        <v>3</v>
      </c>
      <c r="C54">
        <v>19.99999999999998</v>
      </c>
      <c r="D54">
        <v>5</v>
      </c>
      <c r="E54" s="18">
        <v>13119.134658210109</v>
      </c>
      <c r="F54" s="18">
        <v>1033.1924703428474</v>
      </c>
      <c r="G54" s="18">
        <v>4031.2409707891575</v>
      </c>
      <c r="H54" s="12">
        <f>E55</f>
      </c>
      <c r="I54" s="12">
        <f>F55</f>
      </c>
      <c r="J54" s="12">
        <f>G55</f>
      </c>
      <c r="K54">
        <f>IF(AND(Pu&gt;=MIN(E54,H54),Pu&lt;=MAX(E54,H54),E54&lt;&gt;H54),1,0)</f>
      </c>
      <c r="L54">
        <f>IF(K54=1,(Pu-E54)/(H54-E54),"")</f>
      </c>
      <c r="M54" s="12">
        <f>IF(K54=1,F54+L54*(I54-F54),"")</f>
      </c>
      <c r="N54" s="12">
        <f>IF(K54=1,G54+L54*(J54-G54),"")</f>
      </c>
    </row>
    <row r="55" spans="2:14" x14ac:dyDescent="0.25">
      <c r="B55">
        <v>3</v>
      </c>
      <c r="C55">
        <v>19.99999999999998</v>
      </c>
      <c r="D55">
        <v>6</v>
      </c>
      <c r="E55" s="18">
        <v>12026.13458863319</v>
      </c>
      <c r="F55" s="18">
        <v>1119.884869412357</v>
      </c>
      <c r="G55" s="18">
        <v>4182.643202301281</v>
      </c>
      <c r="H55" s="12">
        <f>E56</f>
      </c>
      <c r="I55" s="12">
        <f>F56</f>
      </c>
      <c r="J55" s="12">
        <f>G56</f>
      </c>
      <c r="K55">
        <f>IF(AND(Pu&gt;=MIN(E55,H55),Pu&lt;=MAX(E55,H55),E55&lt;&gt;H55),1,0)</f>
      </c>
      <c r="L55">
        <f>IF(K55=1,(Pu-E55)/(H55-E55),"")</f>
      </c>
      <c r="M55" s="12">
        <f>IF(K55=1,F55+L55*(I55-F55),"")</f>
      </c>
      <c r="N55" s="12">
        <f>IF(K55=1,G55+L55*(J55-G55),"")</f>
      </c>
    </row>
    <row r="56" spans="2:14" x14ac:dyDescent="0.25">
      <c r="B56">
        <v>3</v>
      </c>
      <c r="C56">
        <v>19.99999999999998</v>
      </c>
      <c r="D56">
        <v>7</v>
      </c>
      <c r="E56" s="18">
        <v>10842.044474839004</v>
      </c>
      <c r="F56" s="18">
        <v>1156.5697052873288</v>
      </c>
      <c r="G56" s="18">
        <v>4310.236130861473</v>
      </c>
      <c r="H56" s="12">
        <f>E57</f>
      </c>
      <c r="I56" s="12">
        <f>F57</f>
      </c>
      <c r="J56" s="12">
        <f>G57</f>
      </c>
      <c r="K56">
        <f>IF(AND(Pu&gt;=MIN(E56,H56),Pu&lt;=MAX(E56,H56),E56&lt;&gt;H56),1,0)</f>
      </c>
      <c r="L56">
        <f>IF(K56=1,(Pu-E56)/(H56-E56),"")</f>
      </c>
      <c r="M56" s="12">
        <f>IF(K56=1,F56+L56*(I56-F56),"")</f>
      </c>
      <c r="N56" s="12">
        <f>IF(K56=1,G56+L56*(J56-G56),"")</f>
      </c>
    </row>
    <row r="57" spans="2:14" x14ac:dyDescent="0.25">
      <c r="B57">
        <v>3</v>
      </c>
      <c r="C57">
        <v>19.99999999999998</v>
      </c>
      <c r="D57">
        <v>8</v>
      </c>
      <c r="E57" s="18">
        <v>9724.273454792436</v>
      </c>
      <c r="F57" s="18">
        <v>1176.0495099052837</v>
      </c>
      <c r="G57" s="18">
        <v>4398.407896564589</v>
      </c>
      <c r="H57" s="12">
        <f>E58</f>
      </c>
      <c r="I57" s="12">
        <f>F58</f>
      </c>
      <c r="J57" s="12">
        <f>G58</f>
      </c>
      <c r="K57">
        <f>IF(AND(Pu&gt;=MIN(E57,H57),Pu&lt;=MAX(E57,H57),E57&lt;&gt;H57),1,0)</f>
      </c>
      <c r="L57">
        <f>IF(K57=1,(Pu-E57)/(H57-E57),"")</f>
      </c>
      <c r="M57" s="12">
        <f>IF(K57=1,F57+L57*(I57-F57),"")</f>
      </c>
      <c r="N57" s="12">
        <f>IF(K57=1,G57+L57*(J57-G57),"")</f>
      </c>
    </row>
    <row r="58" spans="2:14" x14ac:dyDescent="0.25">
      <c r="B58">
        <v>3</v>
      </c>
      <c r="C58">
        <v>19.99999999999998</v>
      </c>
      <c r="D58">
        <v>9</v>
      </c>
      <c r="E58" s="18">
        <v>8674.594833372263</v>
      </c>
      <c r="F58" s="18">
        <v>1192.9791384810949</v>
      </c>
      <c r="G58" s="18">
        <v>4451.136389177951</v>
      </c>
      <c r="H58" s="12">
        <f>E59</f>
      </c>
      <c r="I58" s="12">
        <f>F59</f>
      </c>
      <c r="J58" s="12">
        <f>G59</f>
      </c>
      <c r="K58">
        <f>IF(AND(Pu&gt;=MIN(E58,H58),Pu&lt;=MAX(E58,H58),E58&lt;&gt;H58),1,0)</f>
      </c>
      <c r="L58">
        <f>IF(K58=1,(Pu-E58)/(H58-E58),"")</f>
      </c>
      <c r="M58" s="12">
        <f>IF(K58=1,F58+L58*(I58-F58),"")</f>
      </c>
      <c r="N58" s="12">
        <f>IF(K58=1,G58+L58*(J58-G58),"")</f>
      </c>
    </row>
    <row r="59" spans="2:14" x14ac:dyDescent="0.25">
      <c r="B59">
        <v>3</v>
      </c>
      <c r="C59">
        <v>19.99999999999998</v>
      </c>
      <c r="D59">
        <v>10</v>
      </c>
      <c r="E59" s="18">
        <v>7474.884744198228</v>
      </c>
      <c r="F59" s="18">
        <v>1204.6625259261407</v>
      </c>
      <c r="G59" s="18">
        <v>4706.622224603461</v>
      </c>
      <c r="H59" s="12">
        <f>E60</f>
      </c>
      <c r="I59" s="12">
        <f>F60</f>
      </c>
      <c r="J59" s="12">
        <f>G60</f>
      </c>
      <c r="K59">
        <f>IF(AND(Pu&gt;=MIN(E59,H59),Pu&lt;=MAX(E59,H59),E59&lt;&gt;H59),1,0)</f>
      </c>
      <c r="L59">
        <f>IF(K59=1,(Pu-E59)/(H59-E59),"")</f>
      </c>
      <c r="M59" s="12">
        <f>IF(K59=1,F59+L59*(I59-F59),"")</f>
      </c>
      <c r="N59" s="12">
        <f>IF(K59=1,G59+L59*(J59-G59),"")</f>
      </c>
    </row>
    <row r="60" spans="2:14" x14ac:dyDescent="0.25">
      <c r="B60">
        <v>3</v>
      </c>
      <c r="C60">
        <v>19.99999999999998</v>
      </c>
      <c r="D60">
        <v>11</v>
      </c>
      <c r="E60" s="18">
        <v>6683.147634954878</v>
      </c>
      <c r="F60" s="18">
        <v>1191.5846198642264</v>
      </c>
      <c r="G60" s="18">
        <v>4870.856005963086</v>
      </c>
      <c r="H60" s="12">
        <f>E61</f>
      </c>
      <c r="I60" s="12">
        <f>F61</f>
      </c>
      <c r="J60" s="12">
        <f>G61</f>
      </c>
      <c r="K60">
        <f>IF(AND(Pu&gt;=MIN(E60,H60),Pu&lt;=MAX(E60,H60),E60&lt;&gt;H60),1,0)</f>
      </c>
      <c r="L60">
        <f>IF(K60=1,(Pu-E60)/(H60-E60),"")</f>
      </c>
      <c r="M60" s="12">
        <f>IF(K60=1,F60+L60*(I60-F60),"")</f>
      </c>
      <c r="N60" s="12">
        <f>IF(K60=1,G60+L60*(J60-G60),"")</f>
      </c>
    </row>
    <row r="61" spans="2:14" x14ac:dyDescent="0.25">
      <c r="B61">
        <v>3</v>
      </c>
      <c r="C61">
        <v>19.99999999999998</v>
      </c>
      <c r="D61">
        <v>12</v>
      </c>
      <c r="E61" s="18">
        <v>6151.460452514533</v>
      </c>
      <c r="F61" s="18">
        <v>1199.0158494810696</v>
      </c>
      <c r="G61" s="18">
        <v>5005.025565601778</v>
      </c>
      <c r="H61" s="12">
        <f>E62</f>
      </c>
      <c r="I61" s="12">
        <f>F62</f>
      </c>
      <c r="J61" s="12">
        <f>G62</f>
      </c>
      <c r="K61">
        <f>IF(AND(Pu&gt;=MIN(E61,H61),Pu&lt;=MAX(E61,H61),E61&lt;&gt;H61),1,0)</f>
      </c>
      <c r="L61">
        <f>IF(K61=1,(Pu-E61)/(H61-E61),"")</f>
      </c>
      <c r="M61" s="12">
        <f>IF(K61=1,F61+L61*(I61-F61),"")</f>
      </c>
      <c r="N61" s="12">
        <f>IF(K61=1,G61+L61*(J61-G61),"")</f>
      </c>
    </row>
    <row r="62" spans="2:14" x14ac:dyDescent="0.25">
      <c r="B62">
        <v>3</v>
      </c>
      <c r="C62">
        <v>19.99999999999998</v>
      </c>
      <c r="D62">
        <v>13</v>
      </c>
      <c r="E62" s="18">
        <v>5728.343520434134</v>
      </c>
      <c r="F62" s="18">
        <v>1218.9073693314704</v>
      </c>
      <c r="G62" s="18">
        <v>5116.654692717469</v>
      </c>
      <c r="H62" s="12">
        <f>E63</f>
      </c>
      <c r="I62" s="12">
        <f>F63</f>
      </c>
      <c r="J62" s="12">
        <f>G63</f>
      </c>
      <c r="K62">
        <f>IF(AND(Pu&gt;=MIN(E62,H62),Pu&lt;=MAX(E62,H62),E62&lt;&gt;H62),1,0)</f>
      </c>
      <c r="L62">
        <f>IF(K62=1,(Pu-E62)/(H62-E62),"")</f>
      </c>
      <c r="M62" s="12">
        <f>IF(K62=1,F62+L62*(I62-F62),"")</f>
      </c>
      <c r="N62" s="12">
        <f>IF(K62=1,G62+L62*(J62-G62),"")</f>
      </c>
    </row>
    <row r="63" spans="2:14" x14ac:dyDescent="0.25">
      <c r="B63">
        <v>3</v>
      </c>
      <c r="C63">
        <v>19.99999999999998</v>
      </c>
      <c r="D63">
        <v>14</v>
      </c>
      <c r="E63" s="18">
        <v>4975.555954215019</v>
      </c>
      <c r="F63" s="18">
        <v>1273.3932198357484</v>
      </c>
      <c r="G63" s="18">
        <v>5293.524447100558</v>
      </c>
      <c r="H63" s="12">
        <f>E64</f>
      </c>
      <c r="I63" s="12">
        <f>F64</f>
      </c>
      <c r="J63" s="12">
        <f>G64</f>
      </c>
      <c r="K63">
        <f>IF(AND(Pu&gt;=MIN(E63,H63),Pu&lt;=MAX(E63,H63),E63&lt;&gt;H63),1,0)</f>
      </c>
      <c r="L63">
        <f>IF(K63=1,(Pu-E63)/(H63-E63),"")</f>
      </c>
      <c r="M63" s="12">
        <f>IF(K63=1,F63+L63*(I63-F63),"")</f>
      </c>
      <c r="N63" s="12">
        <f>IF(K63=1,G63+L63*(J63-G63),"")</f>
      </c>
    </row>
    <row r="64" spans="2:14" x14ac:dyDescent="0.25">
      <c r="B64">
        <v>3</v>
      </c>
      <c r="C64">
        <v>19.99999999999998</v>
      </c>
      <c r="D64">
        <v>15</v>
      </c>
      <c r="E64" s="18">
        <v>4095.865080124989</v>
      </c>
      <c r="F64" s="18">
        <v>1250.1774789449917</v>
      </c>
      <c r="G64" s="18">
        <v>5025.044388982337</v>
      </c>
      <c r="H64" s="12">
        <f>E65</f>
      </c>
      <c r="I64" s="12">
        <f>F65</f>
      </c>
      <c r="J64" s="12">
        <f>G65</f>
      </c>
      <c r="K64">
        <f>IF(AND(Pu&gt;=MIN(E64,H64),Pu&lt;=MAX(E64,H64),E64&lt;&gt;H64),1,0)</f>
      </c>
      <c r="L64">
        <f>IF(K64=1,(Pu-E64)/(H64-E64),"")</f>
      </c>
      <c r="M64" s="12">
        <f>IF(K64=1,F64+L64*(I64-F64),"")</f>
      </c>
      <c r="N64" s="12">
        <f>IF(K64=1,G64+L64*(J64-G64),"")</f>
      </c>
    </row>
    <row r="65" spans="2:14" x14ac:dyDescent="0.25">
      <c r="B65">
        <v>3</v>
      </c>
      <c r="C65">
        <v>19.99999999999998</v>
      </c>
      <c r="D65">
        <v>16</v>
      </c>
      <c r="E65" s="18">
        <v>2696.141601496688</v>
      </c>
      <c r="F65" s="18">
        <v>1200.358443061905</v>
      </c>
      <c r="G65" s="18">
        <v>4486.872835850123</v>
      </c>
      <c r="H65" s="12">
        <f>E66</f>
      </c>
      <c r="I65" s="12">
        <f>F66</f>
      </c>
      <c r="J65" s="12">
        <f>G66</f>
      </c>
      <c r="K65">
        <f>IF(AND(Pu&gt;=MIN(E65,H65),Pu&lt;=MAX(E65,H65),E65&lt;&gt;H65),1,0)</f>
      </c>
      <c r="L65">
        <f>IF(K65=1,(Pu-E65)/(H65-E65),"")</f>
      </c>
      <c r="M65" s="12">
        <f>IF(K65=1,F65+L65*(I65-F65),"")</f>
      </c>
      <c r="N65" s="12">
        <f>IF(K65=1,G65+L65*(J65-G65),"")</f>
      </c>
    </row>
    <row r="66" spans="2:14" x14ac:dyDescent="0.25">
      <c r="B66">
        <v>3</v>
      </c>
      <c r="C66">
        <v>19.99999999999998</v>
      </c>
      <c r="D66">
        <v>17</v>
      </c>
      <c r="E66" s="18">
        <v>1509.304764966824</v>
      </c>
      <c r="F66" s="18">
        <v>1156.9332903073278</v>
      </c>
      <c r="G66" s="18">
        <v>3927.2364508109968</v>
      </c>
      <c r="H66" s="12">
        <f>E67</f>
      </c>
      <c r="I66" s="12">
        <f>F67</f>
      </c>
      <c r="J66" s="12">
        <f>G67</f>
      </c>
      <c r="K66">
        <f>IF(AND(Pu&gt;=MIN(E66,H66),Pu&lt;=MAX(E66,H66),E66&lt;&gt;H66),1,0)</f>
      </c>
      <c r="L66">
        <f>IF(K66=1,(Pu-E66)/(H66-E66),"")</f>
      </c>
      <c r="M66" s="12">
        <f>IF(K66=1,F66+L66*(I66-F66),"")</f>
      </c>
      <c r="N66" s="12">
        <f>IF(K66=1,G66+L66*(J66-G66),"")</f>
      </c>
    </row>
    <row r="67" spans="2:14" x14ac:dyDescent="0.25">
      <c r="B67">
        <v>3</v>
      </c>
      <c r="C67">
        <v>19.99999999999998</v>
      </c>
      <c r="D67">
        <v>18</v>
      </c>
      <c r="E67" s="18">
        <v>-548.8293482471041</v>
      </c>
      <c r="F67" s="18">
        <v>932.2241061775345</v>
      </c>
      <c r="G67" s="18">
        <v>2790.752839245715</v>
      </c>
      <c r="H67" s="12">
        <f>E68</f>
      </c>
      <c r="I67" s="12">
        <f>F68</f>
      </c>
      <c r="J67" s="12">
        <f>G68</f>
      </c>
      <c r="K67">
        <f>IF(AND(Pu&gt;=MIN(E67,H67),Pu&lt;=MAX(E67,H67),E67&lt;&gt;H67),1,0)</f>
      </c>
      <c r="L67">
        <f>IF(K67=1,(Pu-E67)/(H67-E67),"")</f>
      </c>
      <c r="M67" s="12">
        <f>IF(K67=1,F67+L67*(I67-F67),"")</f>
      </c>
      <c r="N67" s="12">
        <f>IF(K67=1,G67+L67*(J67-G67),"")</f>
      </c>
    </row>
    <row r="68" spans="2:14" x14ac:dyDescent="0.25">
      <c r="B68">
        <v>3</v>
      </c>
      <c r="C68">
        <v>19.99999999999998</v>
      </c>
      <c r="D68">
        <v>19</v>
      </c>
      <c r="E68" s="18">
        <v>-1899.7628894055867</v>
      </c>
      <c r="F68" s="18">
        <v>722.4243459519845</v>
      </c>
      <c r="G68" s="18">
        <v>1973.9777904676166</v>
      </c>
      <c r="H68" s="12">
        <f>E69</f>
      </c>
      <c r="I68" s="12">
        <f>F69</f>
      </c>
      <c r="J68" s="12">
        <f>G69</f>
      </c>
      <c r="K68">
        <f>IF(AND(Pu&gt;=MIN(E68,H68),Pu&lt;=MAX(E68,H68),E68&lt;&gt;H68),1,0)</f>
      </c>
      <c r="L68">
        <f>IF(K68=1,(Pu-E68)/(H68-E68),"")</f>
      </c>
      <c r="M68" s="12">
        <f>IF(K68=1,F68+L68*(I68-F68),"")</f>
      </c>
      <c r="N68" s="12">
        <f>IF(K68=1,G68+L68*(J68-G68),"")</f>
      </c>
    </row>
    <row r="69" spans="2:7" x14ac:dyDescent="0.25">
      <c r="B69">
        <v>3</v>
      </c>
      <c r="C69">
        <v>19.99999999999998</v>
      </c>
      <c r="D69">
        <v>20</v>
      </c>
      <c r="E69" s="18">
        <v>-3982.282724002072</v>
      </c>
      <c r="F69" s="18">
        <v>292.438645739626</v>
      </c>
      <c r="G69" s="18">
        <v>646.9904106743116</v>
      </c>
    </row>
    <row r="71" spans="2:14" x14ac:dyDescent="0.25">
      <c r="B71">
        <v>4</v>
      </c>
      <c r="C71">
        <v>30.000000000000014</v>
      </c>
      <c r="D71">
        <v>1</v>
      </c>
      <c r="E71" s="18">
        <v>16998.009337410247</v>
      </c>
      <c r="F71" s="18">
        <v>1133.6483233342226</v>
      </c>
      <c r="G71" s="18">
        <v>2709.872655296521</v>
      </c>
      <c r="H71" s="12">
        <f>E72</f>
      </c>
      <c r="I71" s="12">
        <f>F72</f>
      </c>
      <c r="J71" s="12">
        <f>G72</f>
      </c>
      <c r="K71">
        <f>IF(AND(Pu&gt;=MIN(E71,H71),Pu&lt;=MAX(E71,H71),E71&lt;&gt;H71),1,0)</f>
      </c>
      <c r="L71">
        <f>IF(K71=1,(Pu-E71)/(H71-E71),"")</f>
      </c>
      <c r="M71" s="12">
        <f>IF(K71=1,F71+L71*(I71-F71),"")</f>
      </c>
      <c r="N71" s="12">
        <f>IF(K71=1,G71+L71*(J71-G71),"")</f>
      </c>
    </row>
    <row r="72" spans="2:14" x14ac:dyDescent="0.25">
      <c r="B72">
        <v>4</v>
      </c>
      <c r="C72">
        <v>30.000000000000014</v>
      </c>
      <c r="D72">
        <v>2</v>
      </c>
      <c r="E72" s="18">
        <v>15021.685687512985</v>
      </c>
      <c r="F72" s="18">
        <v>1322.3102911534036</v>
      </c>
      <c r="G72" s="18">
        <v>3396.3693219095753</v>
      </c>
      <c r="H72" s="12">
        <f>E73</f>
      </c>
      <c r="I72" s="12">
        <f>F73</f>
      </c>
      <c r="J72" s="12">
        <f>G73</f>
      </c>
      <c r="K72">
        <f>IF(AND(Pu&gt;=MIN(E72,H72),Pu&lt;=MAX(E72,H72),E72&lt;&gt;H72),1,0)</f>
      </c>
      <c r="L72">
        <f>IF(K72=1,(Pu-E72)/(H72-E72),"")</f>
      </c>
      <c r="M72" s="12">
        <f>IF(K72=1,F72+L72*(I72-F72),"")</f>
      </c>
      <c r="N72" s="12">
        <f>IF(K72=1,G72+L72*(J72-G72),"")</f>
      </c>
    </row>
    <row r="73" spans="2:14" x14ac:dyDescent="0.25">
      <c r="B73">
        <v>4</v>
      </c>
      <c r="C73">
        <v>30.000000000000014</v>
      </c>
      <c r="D73">
        <v>3</v>
      </c>
      <c r="E73" s="18">
        <v>14002.391562563787</v>
      </c>
      <c r="F73" s="18">
        <v>1447.9367613454644</v>
      </c>
      <c r="G73" s="18">
        <v>3620.9807499718286</v>
      </c>
      <c r="H73" s="12">
        <f>E74</f>
      </c>
      <c r="I73" s="12">
        <f>F74</f>
      </c>
      <c r="J73" s="12">
        <f>G74</f>
      </c>
      <c r="K73">
        <f>IF(AND(Pu&gt;=MIN(E73,H73),Pu&lt;=MAX(E73,H73),E73&lt;&gt;H73),1,0)</f>
      </c>
      <c r="L73">
        <f>IF(K73=1,(Pu-E73)/(H73-E73),"")</f>
      </c>
      <c r="M73" s="12">
        <f>IF(K73=1,F73+L73*(I73-F73),"")</f>
      </c>
      <c r="N73" s="12">
        <f>IF(K73=1,G73+L73*(J73-G73),"")</f>
      </c>
    </row>
    <row r="74" spans="2:14" x14ac:dyDescent="0.25">
      <c r="B74">
        <v>4</v>
      </c>
      <c r="C74">
        <v>30.000000000000014</v>
      </c>
      <c r="D74">
        <v>4</v>
      </c>
      <c r="E74" s="18">
        <v>12917.191162616702</v>
      </c>
      <c r="F74" s="18">
        <v>1568.6732710273864</v>
      </c>
      <c r="G74" s="18">
        <v>3801.6815566804407</v>
      </c>
      <c r="H74" s="12">
        <f>E75</f>
      </c>
      <c r="I74" s="12">
        <f>F75</f>
      </c>
      <c r="J74" s="12">
        <f>G75</f>
      </c>
      <c r="K74">
        <f>IF(AND(Pu&gt;=MIN(E74,H74),Pu&lt;=MAX(E74,H74),E74&lt;&gt;H74),1,0)</f>
      </c>
      <c r="L74">
        <f>IF(K74=1,(Pu-E74)/(H74-E74),"")</f>
      </c>
      <c r="M74" s="12">
        <f>IF(K74=1,F74+L74*(I74-F74),"")</f>
      </c>
      <c r="N74" s="12">
        <f>IF(K74=1,G74+L74*(J74-G74),"")</f>
      </c>
    </row>
    <row r="75" spans="2:14" x14ac:dyDescent="0.25">
      <c r="B75">
        <v>4</v>
      </c>
      <c r="C75">
        <v>30.000000000000014</v>
      </c>
      <c r="D75">
        <v>5</v>
      </c>
      <c r="E75" s="18">
        <v>11836.053318345912</v>
      </c>
      <c r="F75" s="18">
        <v>1678.6753427579433</v>
      </c>
      <c r="G75" s="18">
        <v>3932.1634549807936</v>
      </c>
      <c r="H75" s="12">
        <f>E76</f>
      </c>
      <c r="I75" s="12">
        <f>F76</f>
      </c>
      <c r="J75" s="12">
        <f>G76</f>
      </c>
      <c r="K75">
        <f>IF(AND(Pu&gt;=MIN(E75,H75),Pu&lt;=MAX(E75,H75),E75&lt;&gt;H75),1,0)</f>
      </c>
      <c r="L75">
        <f>IF(K75=1,(Pu-E75)/(H75-E75),"")</f>
      </c>
      <c r="M75" s="12">
        <f>IF(K75=1,F75+L75*(I75-F75),"")</f>
      </c>
      <c r="N75" s="12">
        <f>IF(K75=1,G75+L75*(J75-G75),"")</f>
      </c>
    </row>
    <row r="76" spans="2:14" x14ac:dyDescent="0.25">
      <c r="B76">
        <v>4</v>
      </c>
      <c r="C76">
        <v>30.000000000000014</v>
      </c>
      <c r="D76">
        <v>6</v>
      </c>
      <c r="E76" s="18">
        <v>10727.012526339862</v>
      </c>
      <c r="F76" s="18">
        <v>1769.947839356138</v>
      </c>
      <c r="G76" s="18">
        <v>4024.5058086536574</v>
      </c>
      <c r="H76" s="12">
        <f>E77</f>
      </c>
      <c r="I76" s="12">
        <f>F77</f>
      </c>
      <c r="J76" s="12">
        <f>G77</f>
      </c>
      <c r="K76">
        <f>IF(AND(Pu&gt;=MIN(E76,H76),Pu&lt;=MAX(E76,H76),E76&lt;&gt;H76),1,0)</f>
      </c>
      <c r="L76">
        <f>IF(K76=1,(Pu-E76)/(H76-E76),"")</f>
      </c>
      <c r="M76" s="12">
        <f>IF(K76=1,F76+L76*(I76-F76),"")</f>
      </c>
      <c r="N76" s="12">
        <f>IF(K76=1,G76+L76*(J76-G76),"")</f>
      </c>
    </row>
    <row r="77" spans="2:14" x14ac:dyDescent="0.25">
      <c r="B77">
        <v>4</v>
      </c>
      <c r="C77">
        <v>30.000000000000014</v>
      </c>
      <c r="D77">
        <v>7</v>
      </c>
      <c r="E77" s="18">
        <v>9665.022708480567</v>
      </c>
      <c r="F77" s="18">
        <v>1805.4825953558902</v>
      </c>
      <c r="G77" s="18">
        <v>4101.97390960985</v>
      </c>
      <c r="H77" s="12">
        <f>E78</f>
      </c>
      <c r="I77" s="12">
        <f>F78</f>
      </c>
      <c r="J77" s="12">
        <f>G78</f>
      </c>
      <c r="K77">
        <f>IF(AND(Pu&gt;=MIN(E77,H77),Pu&lt;=MAX(E77,H77),E77&lt;&gt;H77),1,0)</f>
      </c>
      <c r="L77">
        <f>IF(K77=1,(Pu-E77)/(H77-E77),"")</f>
      </c>
      <c r="M77" s="12">
        <f>IF(K77=1,F77+L77*(I77-F77),"")</f>
      </c>
      <c r="N77" s="12">
        <f>IF(K77=1,G77+L77*(J77-G77),"")</f>
      </c>
    </row>
    <row r="78" spans="2:14" x14ac:dyDescent="0.25">
      <c r="B78">
        <v>4</v>
      </c>
      <c r="C78">
        <v>30.000000000000014</v>
      </c>
      <c r="D78">
        <v>8</v>
      </c>
      <c r="E78" s="18">
        <v>8691.31874850863</v>
      </c>
      <c r="F78" s="18">
        <v>1787.0400065559847</v>
      </c>
      <c r="G78" s="18">
        <v>4169.332745253193</v>
      </c>
      <c r="H78" s="12">
        <f>E79</f>
      </c>
      <c r="I78" s="12">
        <f>F79</f>
      </c>
      <c r="J78" s="12">
        <f>G79</f>
      </c>
      <c r="K78">
        <f>IF(AND(Pu&gt;=MIN(E78,H78),Pu&lt;=MAX(E78,H78),E78&lt;&gt;H78),1,0)</f>
      </c>
      <c r="L78">
        <f>IF(K78=1,(Pu-E78)/(H78-E78),"")</f>
      </c>
      <c r="M78" s="12">
        <f>IF(K78=1,F78+L78*(I78-F78),"")</f>
      </c>
      <c r="N78" s="12">
        <f>IF(K78=1,G78+L78*(J78-G78),"")</f>
      </c>
    </row>
    <row r="79" spans="2:14" x14ac:dyDescent="0.25">
      <c r="B79">
        <v>4</v>
      </c>
      <c r="C79">
        <v>30.000000000000014</v>
      </c>
      <c r="D79">
        <v>9</v>
      </c>
      <c r="E79" s="18">
        <v>7538.850561970994</v>
      </c>
      <c r="F79" s="18">
        <v>1814.5178557291324</v>
      </c>
      <c r="G79" s="18">
        <v>4423.59085013043</v>
      </c>
      <c r="H79" s="12">
        <f>E80</f>
      </c>
      <c r="I79" s="12">
        <f>F80</f>
      </c>
      <c r="J79" s="12">
        <f>G80</f>
      </c>
      <c r="K79">
        <f>IF(AND(Pu&gt;=MIN(E79,H79),Pu&lt;=MAX(E79,H79),E79&lt;&gt;H79),1,0)</f>
      </c>
      <c r="L79">
        <f>IF(K79=1,(Pu-E79)/(H79-E79),"")</f>
      </c>
      <c r="M79" s="12">
        <f>IF(K79=1,F79+L79*(I79-F79),"")</f>
      </c>
      <c r="N79" s="12">
        <f>IF(K79=1,G79+L79*(J79-G79),"")</f>
      </c>
    </row>
    <row r="80" spans="2:14" x14ac:dyDescent="0.25">
      <c r="B80">
        <v>4</v>
      </c>
      <c r="C80">
        <v>30.000000000000014</v>
      </c>
      <c r="D80">
        <v>10</v>
      </c>
      <c r="E80" s="18">
        <v>6664.820375148372</v>
      </c>
      <c r="F80" s="18">
        <v>1823.3477417543456</v>
      </c>
      <c r="G80" s="18">
        <v>4579.5157997130445</v>
      </c>
      <c r="H80" s="12">
        <f>E81</f>
      </c>
      <c r="I80" s="12">
        <f>F81</f>
      </c>
      <c r="J80" s="12">
        <f>G81</f>
      </c>
      <c r="K80">
        <f>IF(AND(Pu&gt;=MIN(E80,H80),Pu&lt;=MAX(E80,H80),E80&lt;&gt;H80),1,0)</f>
      </c>
      <c r="L80">
        <f>IF(K80=1,(Pu-E80)/(H80-E80),"")</f>
      </c>
      <c r="M80" s="12">
        <f>IF(K80=1,F80+L80*(I80-F80),"")</f>
      </c>
      <c r="N80" s="12">
        <f>IF(K80=1,G80+L80*(J80-G80),"")</f>
      </c>
    </row>
    <row r="81" spans="2:14" x14ac:dyDescent="0.25">
      <c r="B81">
        <v>4</v>
      </c>
      <c r="C81">
        <v>30.000000000000014</v>
      </c>
      <c r="D81">
        <v>11</v>
      </c>
      <c r="E81" s="18">
        <v>6015.583142120548</v>
      </c>
      <c r="F81" s="18">
        <v>1839.709192654104</v>
      </c>
      <c r="G81" s="18">
        <v>4680.595031632149</v>
      </c>
      <c r="H81" s="12">
        <f>E82</f>
      </c>
      <c r="I81" s="12">
        <f>F82</f>
      </c>
      <c r="J81" s="12">
        <f>G82</f>
      </c>
      <c r="K81">
        <f>IF(AND(Pu&gt;=MIN(E81,H81),Pu&lt;=MAX(E81,H81),E81&lt;&gt;H81),1,0)</f>
      </c>
      <c r="L81">
        <f>IF(K81=1,(Pu-E81)/(H81-E81),"")</f>
      </c>
      <c r="M81" s="12">
        <f>IF(K81=1,F81+L81*(I81-F81),"")</f>
      </c>
      <c r="N81" s="12">
        <f>IF(K81=1,G81+L81*(J81-G81),"")</f>
      </c>
    </row>
    <row r="82" spans="2:14" x14ac:dyDescent="0.25">
      <c r="B82">
        <v>4</v>
      </c>
      <c r="C82">
        <v>30.000000000000014</v>
      </c>
      <c r="D82">
        <v>12</v>
      </c>
      <c r="E82" s="18">
        <v>5523.813323565008</v>
      </c>
      <c r="F82" s="18">
        <v>1876.974164526136</v>
      </c>
      <c r="G82" s="18">
        <v>4748.332897726923</v>
      </c>
      <c r="H82" s="12">
        <f>E83</f>
      </c>
      <c r="I82" s="12">
        <f>F83</f>
      </c>
      <c r="J82" s="12">
        <f>G83</f>
      </c>
      <c r="K82">
        <f>IF(AND(Pu&gt;=MIN(E82,H82),Pu&lt;=MAX(E82,H82),E82&lt;&gt;H82),1,0)</f>
      </c>
      <c r="L82">
        <f>IF(K82=1,(Pu-E82)/(H82-E82),"")</f>
      </c>
      <c r="M82" s="12">
        <f>IF(K82=1,F82+L82*(I82-F82),"")</f>
      </c>
      <c r="N82" s="12">
        <f>IF(K82=1,G82+L82*(J82-G82),"")</f>
      </c>
    </row>
    <row r="83" spans="2:14" x14ac:dyDescent="0.25">
      <c r="B83">
        <v>4</v>
      </c>
      <c r="C83">
        <v>30.000000000000014</v>
      </c>
      <c r="D83">
        <v>13</v>
      </c>
      <c r="E83" s="18">
        <v>4712.47390386089</v>
      </c>
      <c r="F83" s="18">
        <v>1932.003926087627</v>
      </c>
      <c r="G83" s="18">
        <v>4863.813696206678</v>
      </c>
      <c r="H83" s="12">
        <f>E84</f>
      </c>
      <c r="I83" s="12">
        <f>F84</f>
      </c>
      <c r="J83" s="12">
        <f>G84</f>
      </c>
      <c r="K83">
        <f>IF(AND(Pu&gt;=MIN(E83,H83),Pu&lt;=MAX(E83,H83),E83&lt;&gt;H83),1,0)</f>
      </c>
      <c r="L83">
        <f>IF(K83=1,(Pu-E83)/(H83-E83),"")</f>
      </c>
      <c r="M83" s="12">
        <f>IF(K83=1,F83+L83*(I83-F83),"")</f>
      </c>
      <c r="N83" s="12">
        <f>IF(K83=1,G83+L83*(J83-G83),"")</f>
      </c>
    </row>
    <row r="84" spans="2:14" x14ac:dyDescent="0.25">
      <c r="B84">
        <v>4</v>
      </c>
      <c r="C84">
        <v>30.000000000000014</v>
      </c>
      <c r="D84">
        <v>14</v>
      </c>
      <c r="E84" s="18">
        <v>3655.589028488314</v>
      </c>
      <c r="F84" s="18">
        <v>1848.0920579585447</v>
      </c>
      <c r="G84" s="18">
        <v>4552.94177970658</v>
      </c>
      <c r="H84" s="12">
        <f>E85</f>
      </c>
      <c r="I84" s="12">
        <f>F85</f>
      </c>
      <c r="J84" s="12">
        <f>G85</f>
      </c>
      <c r="K84">
        <f>IF(AND(Pu&gt;=MIN(E84,H84),Pu&lt;=MAX(E84,H84),E84&lt;&gt;H84),1,0)</f>
      </c>
      <c r="L84">
        <f>IF(K84=1,(Pu-E84)/(H84-E84),"")</f>
      </c>
      <c r="M84" s="12">
        <f>IF(K84=1,F84+L84*(I84-F84),"")</f>
      </c>
      <c r="N84" s="12">
        <f>IF(K84=1,G84+L84*(J84-G84),"")</f>
      </c>
    </row>
    <row r="85" spans="2:14" x14ac:dyDescent="0.25">
      <c r="B85">
        <v>4</v>
      </c>
      <c r="C85">
        <v>30.000000000000014</v>
      </c>
      <c r="D85">
        <v>15</v>
      </c>
      <c r="E85" s="18">
        <v>2045.6972224165586</v>
      </c>
      <c r="F85" s="18">
        <v>1711.849317139989</v>
      </c>
      <c r="G85" s="18">
        <v>3907.4828363248625</v>
      </c>
      <c r="H85" s="12">
        <f>E86</f>
      </c>
      <c r="I85" s="12">
        <f>F86</f>
      </c>
      <c r="J85" s="12">
        <f>G86</f>
      </c>
      <c r="K85">
        <f>IF(AND(Pu&gt;=MIN(E85,H85),Pu&lt;=MAX(E85,H85),E85&lt;&gt;H85),1,0)</f>
      </c>
      <c r="L85">
        <f>IF(K85=1,(Pu-E85)/(H85-E85),"")</f>
      </c>
      <c r="M85" s="12">
        <f>IF(K85=1,F85+L85*(I85-F85),"")</f>
      </c>
      <c r="N85" s="12">
        <f>IF(K85=1,G85+L85*(J85-G85),"")</f>
      </c>
    </row>
    <row r="86" spans="2:14" x14ac:dyDescent="0.25">
      <c r="B86">
        <v>4</v>
      </c>
      <c r="C86">
        <v>30.000000000000014</v>
      </c>
      <c r="D86">
        <v>16</v>
      </c>
      <c r="E86" s="18">
        <v>909.6960597465946</v>
      </c>
      <c r="F86" s="18">
        <v>1537.2891152390166</v>
      </c>
      <c r="G86" s="18">
        <v>3370.677902549651</v>
      </c>
      <c r="H86" s="12">
        <f>E87</f>
      </c>
      <c r="I86" s="12">
        <f>F87</f>
      </c>
      <c r="J86" s="12">
        <f>G87</f>
      </c>
      <c r="K86">
        <f>IF(AND(Pu&gt;=MIN(E86,H86),Pu&lt;=MAX(E86,H86),E86&lt;&gt;H86),1,0)</f>
      </c>
      <c r="L86">
        <f>IF(K86=1,(Pu-E86)/(H86-E86),"")</f>
      </c>
      <c r="M86" s="12">
        <f>IF(K86=1,F86+L86*(I86-F86),"")</f>
      </c>
      <c r="N86" s="12">
        <f>IF(K86=1,G86+L86*(J86-G86),"")</f>
      </c>
    </row>
    <row r="87" spans="2:14" x14ac:dyDescent="0.25">
      <c r="B87">
        <v>4</v>
      </c>
      <c r="C87">
        <v>30.000000000000014</v>
      </c>
      <c r="D87">
        <v>17</v>
      </c>
      <c r="E87" s="18">
        <v>-1001.6965113812608</v>
      </c>
      <c r="F87" s="18">
        <v>1175.5242872224321</v>
      </c>
      <c r="G87" s="18">
        <v>2376.2135344926633</v>
      </c>
      <c r="H87" s="12">
        <f>E88</f>
      </c>
      <c r="I87" s="12">
        <f>F88</f>
      </c>
      <c r="J87" s="12">
        <f>G88</f>
      </c>
      <c r="K87">
        <f>IF(AND(Pu&gt;=MIN(E87,H87),Pu&lt;=MAX(E87,H87),E87&lt;&gt;H87),1,0)</f>
      </c>
      <c r="L87">
        <f>IF(K87=1,(Pu-E87)/(H87-E87),"")</f>
      </c>
      <c r="M87" s="12">
        <f>IF(K87=1,F87+L87*(I87-F87),"")</f>
      </c>
      <c r="N87" s="12">
        <f>IF(K87=1,G87+L87*(J87-G87),"")</f>
      </c>
    </row>
    <row r="88" spans="2:14" x14ac:dyDescent="0.25">
      <c r="B88">
        <v>4</v>
      </c>
      <c r="C88">
        <v>30.000000000000014</v>
      </c>
      <c r="D88">
        <v>18</v>
      </c>
      <c r="E88" s="18">
        <v>-2257.327155870937</v>
      </c>
      <c r="F88" s="18">
        <v>876.348767785417</v>
      </c>
      <c r="G88" s="18">
        <v>1667.2597478327245</v>
      </c>
      <c r="H88" s="12">
        <f>E89</f>
      </c>
      <c r="I88" s="12">
        <f>F89</f>
      </c>
      <c r="J88" s="12">
        <f>G89</f>
      </c>
      <c r="K88">
        <f>IF(AND(Pu&gt;=MIN(E88,H88),Pu&lt;=MAX(E88,H88),E88&lt;&gt;H88),1,0)</f>
      </c>
      <c r="L88">
        <f>IF(K88=1,(Pu-E88)/(H88-E88),"")</f>
      </c>
      <c r="M88" s="12">
        <f>IF(K88=1,F88+L88*(I88-F88),"")</f>
      </c>
      <c r="N88" s="12">
        <f>IF(K88=1,G88+L88*(J88-G88),"")</f>
      </c>
    </row>
    <row r="89" spans="2:7" x14ac:dyDescent="0.25">
      <c r="B89">
        <v>4</v>
      </c>
      <c r="C89">
        <v>30.000000000000014</v>
      </c>
      <c r="D89">
        <v>19</v>
      </c>
      <c r="E89" s="18">
        <v>-4073.3630307214953</v>
      </c>
      <c r="F89" s="18">
        <v>317.1119100570367</v>
      </c>
      <c r="G89" s="18">
        <v>570.033654895359</v>
      </c>
    </row>
    <row r="91" spans="2:14" x14ac:dyDescent="0.25">
      <c r="B91">
        <v>5</v>
      </c>
      <c r="C91">
        <v>40.00000000000001</v>
      </c>
      <c r="D91">
        <v>1</v>
      </c>
      <c r="E91" s="18">
        <v>17112.228279488492</v>
      </c>
      <c r="F91" s="18">
        <v>1471.521499818933</v>
      </c>
      <c r="G91" s="18">
        <v>2419.4336695631087</v>
      </c>
      <c r="H91" s="12">
        <f>E92</f>
      </c>
      <c r="I91" s="12">
        <f>F92</f>
      </c>
      <c r="J91" s="12">
        <f>G92</f>
      </c>
      <c r="K91">
        <f>IF(AND(Pu&gt;=MIN(E91,H91),Pu&lt;=MAX(E91,H91),E91&lt;&gt;H91),1,0)</f>
      </c>
      <c r="L91">
        <f>IF(K91=1,(Pu-E91)/(H91-E91),"")</f>
      </c>
      <c r="M91" s="12">
        <f>IF(K91=1,F91+L91*(I91-F91),"")</f>
      </c>
      <c r="N91" s="12">
        <f>IF(K91=1,G91+L91*(J91-G91),"")</f>
      </c>
    </row>
    <row r="92" spans="2:14" x14ac:dyDescent="0.25">
      <c r="B92">
        <v>5</v>
      </c>
      <c r="C92">
        <v>40.00000000000001</v>
      </c>
      <c r="D92">
        <v>2</v>
      </c>
      <c r="E92" s="18">
        <v>14865.40051066738</v>
      </c>
      <c r="F92" s="18">
        <v>1819.1798900975814</v>
      </c>
      <c r="G92" s="18">
        <v>3107.811160873315</v>
      </c>
      <c r="H92" s="12">
        <f>E93</f>
      </c>
      <c r="I92" s="12">
        <f>F93</f>
      </c>
      <c r="J92" s="12">
        <f>G93</f>
      </c>
      <c r="K92">
        <f>IF(AND(Pu&gt;=MIN(E92,H92),Pu&lt;=MAX(E92,H92),E92&lt;&gt;H92),1,0)</f>
      </c>
      <c r="L92">
        <f>IF(K92=1,(Pu-E92)/(H92-E92),"")</f>
      </c>
      <c r="M92" s="12">
        <f>IF(K92=1,F92+L92*(I92-F92),"")</f>
      </c>
      <c r="N92" s="12">
        <f>IF(K92=1,G92+L92*(J92-G92),"")</f>
      </c>
    </row>
    <row r="93" spans="2:14" x14ac:dyDescent="0.25">
      <c r="B93">
        <v>5</v>
      </c>
      <c r="C93">
        <v>40.00000000000001</v>
      </c>
      <c r="D93">
        <v>3</v>
      </c>
      <c r="E93" s="18">
        <v>13775.257882634025</v>
      </c>
      <c r="F93" s="18">
        <v>2003.697678879808</v>
      </c>
      <c r="G93" s="18">
        <v>3299.5526880485113</v>
      </c>
      <c r="H93" s="12">
        <f>E94</f>
      </c>
      <c r="I93" s="12">
        <f>F94</f>
      </c>
      <c r="J93" s="12">
        <f>G94</f>
      </c>
      <c r="K93">
        <f>IF(AND(Pu&gt;=MIN(E93,H93),Pu&lt;=MAX(E93,H93),E93&lt;&gt;H93),1,0)</f>
      </c>
      <c r="L93">
        <f>IF(K93=1,(Pu-E93)/(H93-E93),"")</f>
      </c>
      <c r="M93" s="12">
        <f>IF(K93=1,F93+L93*(I93-F93),"")</f>
      </c>
      <c r="N93" s="12">
        <f>IF(K93=1,G93+L93*(J93-G93),"")</f>
      </c>
    </row>
    <row r="94" spans="2:14" x14ac:dyDescent="0.25">
      <c r="B94">
        <v>5</v>
      </c>
      <c r="C94">
        <v>40.00000000000001</v>
      </c>
      <c r="D94">
        <v>4</v>
      </c>
      <c r="E94" s="18">
        <v>12639.898240646944</v>
      </c>
      <c r="F94" s="18">
        <v>2179.612247759736</v>
      </c>
      <c r="G94" s="18">
        <v>3427.517625075779</v>
      </c>
      <c r="H94" s="12">
        <f>E95</f>
      </c>
      <c r="I94" s="12">
        <f>F95</f>
      </c>
      <c r="J94" s="12">
        <f>G95</f>
      </c>
      <c r="K94">
        <f>IF(AND(Pu&gt;=MIN(E94,H94),Pu&lt;=MAX(E94,H94),E94&lt;&gt;H94),1,0)</f>
      </c>
      <c r="L94">
        <f>IF(K94=1,(Pu-E94)/(H94-E94),"")</f>
      </c>
      <c r="M94" s="12">
        <f>IF(K94=1,F94+L94*(I94-F94),"")</f>
      </c>
      <c r="N94" s="12">
        <f>IF(K94=1,G94+L94*(J94-G94),"")</f>
      </c>
    </row>
    <row r="95" spans="2:14" x14ac:dyDescent="0.25">
      <c r="B95">
        <v>5</v>
      </c>
      <c r="C95">
        <v>40.00000000000001</v>
      </c>
      <c r="D95">
        <v>5</v>
      </c>
      <c r="E95" s="18">
        <v>11518.941584801723</v>
      </c>
      <c r="F95" s="18">
        <v>2326.0661526474796</v>
      </c>
      <c r="G95" s="18">
        <v>3512.93895552412</v>
      </c>
      <c r="H95" s="12">
        <f>E96</f>
      </c>
      <c r="I95" s="12">
        <f>F96</f>
      </c>
      <c r="J95" s="12">
        <f>G96</f>
      </c>
      <c r="K95">
        <f>IF(AND(Pu&gt;=MIN(E95,H95),Pu&lt;=MAX(E95,H95),E95&lt;&gt;H95),1,0)</f>
      </c>
      <c r="L95">
        <f>IF(K95=1,(Pu-E95)/(H95-E95),"")</f>
      </c>
      <c r="M95" s="12">
        <f>IF(K95=1,F95+L95*(I95-F95),"")</f>
      </c>
      <c r="N95" s="12">
        <f>IF(K95=1,G95+L95*(J95-G95),"")</f>
      </c>
    </row>
    <row r="96" spans="2:14" x14ac:dyDescent="0.25">
      <c r="B96">
        <v>5</v>
      </c>
      <c r="C96">
        <v>40.00000000000001</v>
      </c>
      <c r="D96">
        <v>6</v>
      </c>
      <c r="E96" s="18">
        <v>10541.575676235629</v>
      </c>
      <c r="F96" s="18">
        <v>2386.299615681</v>
      </c>
      <c r="G96" s="18">
        <v>3605.6728549537434</v>
      </c>
      <c r="H96" s="12">
        <f>E97</f>
      </c>
      <c r="I96" s="12">
        <f>F97</f>
      </c>
      <c r="J96" s="12">
        <f>G97</f>
      </c>
      <c r="K96">
        <f>IF(AND(Pu&gt;=MIN(E96,H96),Pu&lt;=MAX(E96,H96),E96&lt;&gt;H96),1,0)</f>
      </c>
      <c r="L96">
        <f>IF(K96=1,(Pu-E96)/(H96-E96),"")</f>
      </c>
      <c r="M96" s="12">
        <f>IF(K96=1,F96+L96*(I96-F96),"")</f>
      </c>
      <c r="N96" s="12">
        <f>IF(K96=1,G96+L96*(J96-G96),"")</f>
      </c>
    </row>
    <row r="97" spans="2:14" x14ac:dyDescent="0.25">
      <c r="B97">
        <v>5</v>
      </c>
      <c r="C97">
        <v>40.00000000000001</v>
      </c>
      <c r="D97">
        <v>7</v>
      </c>
      <c r="E97" s="18">
        <v>9620.04517049135</v>
      </c>
      <c r="F97" s="18">
        <v>2424.872735355902</v>
      </c>
      <c r="G97" s="18">
        <v>3673.5685187493245</v>
      </c>
      <c r="H97" s="12">
        <f>E98</f>
      </c>
      <c r="I97" s="12">
        <f>F98</f>
      </c>
      <c r="J97" s="12">
        <f>G98</f>
      </c>
      <c r="K97">
        <f>IF(AND(Pu&gt;=MIN(E97,H97),Pu&lt;=MAX(E97,H97),E97&lt;&gt;H97),1,0)</f>
      </c>
      <c r="L97">
        <f>IF(K97=1,(Pu-E97)/(H97-E97),"")</f>
      </c>
      <c r="M97" s="12">
        <f>IF(K97=1,F97+L97*(I97-F97),"")</f>
      </c>
      <c r="N97" s="12">
        <f>IF(K97=1,G97+L97*(J97-G97),"")</f>
      </c>
    </row>
    <row r="98" spans="2:14" x14ac:dyDescent="0.25">
      <c r="B98">
        <v>5</v>
      </c>
      <c r="C98">
        <v>40.00000000000001</v>
      </c>
      <c r="D98">
        <v>8</v>
      </c>
      <c r="E98" s="18">
        <v>8782.186506898612</v>
      </c>
      <c r="F98" s="18">
        <v>2449.119820297771</v>
      </c>
      <c r="G98" s="18">
        <v>3721.9875404786126</v>
      </c>
      <c r="H98" s="12">
        <f>E99</f>
      </c>
      <c r="I98" s="12">
        <f>F99</f>
      </c>
      <c r="J98" s="12">
        <f>G99</f>
      </c>
      <c r="K98">
        <f>IF(AND(Pu&gt;=MIN(E98,H98),Pu&lt;=MAX(E98,H98),E98&lt;&gt;H98),1,0)</f>
      </c>
      <c r="L98">
        <f>IF(K98=1,(Pu-E98)/(H98-E98),"")</f>
      </c>
      <c r="M98" s="12">
        <f>IF(K98=1,F98+L98*(I98-F98),"")</f>
      </c>
      <c r="N98" s="12">
        <f>IF(K98=1,G98+L98*(J98-G98),"")</f>
      </c>
    </row>
    <row r="99" spans="2:14" x14ac:dyDescent="0.25">
      <c r="B99">
        <v>5</v>
      </c>
      <c r="C99">
        <v>40.00000000000001</v>
      </c>
      <c r="D99">
        <v>9</v>
      </c>
      <c r="E99" s="18">
        <v>7640.784416707779</v>
      </c>
      <c r="F99" s="18">
        <v>2486.771256954525</v>
      </c>
      <c r="G99" s="18">
        <v>3974.000479045062</v>
      </c>
      <c r="H99" s="12">
        <f>E100</f>
      </c>
      <c r="I99" s="12">
        <f>F100</f>
      </c>
      <c r="J99" s="12">
        <f>G100</f>
      </c>
      <c r="K99">
        <f>IF(AND(Pu&gt;=MIN(E99,H99),Pu&lt;=MAX(E99,H99),E99&lt;&gt;H99),1,0)</f>
      </c>
      <c r="L99">
        <f>IF(K99=1,(Pu-E99)/(H99-E99),"")</f>
      </c>
      <c r="M99" s="12">
        <f>IF(K99=1,F99+L99*(I99-F99),"")</f>
      </c>
      <c r="N99" s="12">
        <f>IF(K99=1,G99+L99*(J99-G99),"")</f>
      </c>
    </row>
    <row r="100" spans="2:14" x14ac:dyDescent="0.25">
      <c r="B100">
        <v>5</v>
      </c>
      <c r="C100">
        <v>40.00000000000001</v>
      </c>
      <c r="D100">
        <v>10</v>
      </c>
      <c r="E100" s="18">
        <v>6726.065799583824</v>
      </c>
      <c r="F100" s="18">
        <v>2492.210594896146</v>
      </c>
      <c r="G100" s="18">
        <v>4140.104856423919</v>
      </c>
      <c r="H100" s="12">
        <f>E101</f>
      </c>
      <c r="I100" s="12">
        <f>F101</f>
      </c>
      <c r="J100" s="12">
        <f>G101</f>
      </c>
      <c r="K100">
        <f>IF(AND(Pu&gt;=MIN(E100,H100),Pu&lt;=MAX(E100,H100),E100&lt;&gt;H100),1,0)</f>
      </c>
      <c r="L100">
        <f>IF(K100=1,(Pu-E100)/(H100-E100),"")</f>
      </c>
      <c r="M100" s="12">
        <f>IF(K100=1,F100+L100*(I100-F100),"")</f>
      </c>
      <c r="N100" s="12">
        <f>IF(K100=1,G100+L100*(J100-G100),"")</f>
      </c>
    </row>
    <row r="101" spans="2:14" x14ac:dyDescent="0.25">
      <c r="B101">
        <v>5</v>
      </c>
      <c r="C101">
        <v>40.00000000000001</v>
      </c>
      <c r="D101">
        <v>11</v>
      </c>
      <c r="E101" s="18">
        <v>6025.579860073117</v>
      </c>
      <c r="F101" s="18">
        <v>2501.34196718149</v>
      </c>
      <c r="G101" s="18">
        <v>4239.676966393977</v>
      </c>
      <c r="H101" s="12">
        <f>E102</f>
      </c>
      <c r="I101" s="12">
        <f>F102</f>
      </c>
      <c r="J101" s="12">
        <f>G102</f>
      </c>
      <c r="K101">
        <f>IF(AND(Pu&gt;=MIN(E101,H101),Pu&lt;=MAX(E101,H101),E101&lt;&gt;H101),1,0)</f>
      </c>
      <c r="L101">
        <f>IF(K101=1,(Pu-E101)/(H101-E101),"")</f>
      </c>
      <c r="M101" s="12">
        <f>IF(K101=1,F101+L101*(I101-F101),"")</f>
      </c>
      <c r="N101" s="12">
        <f>IF(K101=1,G101+L101*(J101-G101),"")</f>
      </c>
    </row>
    <row r="102" spans="2:14" x14ac:dyDescent="0.25">
      <c r="B102">
        <v>5</v>
      </c>
      <c r="C102">
        <v>40.00000000000001</v>
      </c>
      <c r="D102">
        <v>12</v>
      </c>
      <c r="E102" s="18">
        <v>5435.175188264599</v>
      </c>
      <c r="F102" s="18">
        <v>2515.1154840770077</v>
      </c>
      <c r="G102" s="18">
        <v>4295.768188199265</v>
      </c>
      <c r="H102" s="12">
        <f>E103</f>
      </c>
      <c r="I102" s="12">
        <f>F103</f>
      </c>
      <c r="J102" s="12">
        <f>G103</f>
      </c>
      <c r="K102">
        <f>IF(AND(Pu&gt;=MIN(E102,H102),Pu&lt;=MAX(E102,H102),E102&lt;&gt;H102),1,0)</f>
      </c>
      <c r="L102">
        <f>IF(K102=1,(Pu-E102)/(H102-E102),"")</f>
      </c>
      <c r="M102" s="12">
        <f>IF(K102=1,F102+L102*(I102-F102),"")</f>
      </c>
      <c r="N102" s="12">
        <f>IF(K102=1,G102+L102*(J102-G102),"")</f>
      </c>
    </row>
    <row r="103" spans="2:14" x14ac:dyDescent="0.25">
      <c r="B103">
        <v>5</v>
      </c>
      <c r="C103">
        <v>40.00000000000001</v>
      </c>
      <c r="D103">
        <v>13</v>
      </c>
      <c r="E103" s="18">
        <v>4472.0673399746875</v>
      </c>
      <c r="F103" s="18">
        <v>2573.039025010235</v>
      </c>
      <c r="G103" s="18">
        <v>4315.69844971917</v>
      </c>
      <c r="H103" s="12">
        <f>E104</f>
      </c>
      <c r="I103" s="12">
        <f>F104</f>
      </c>
      <c r="J103" s="12">
        <f>G104</f>
      </c>
      <c r="K103">
        <f>IF(AND(Pu&gt;=MIN(E103,H103),Pu&lt;=MAX(E103,H103),E103&lt;&gt;H103),1,0)</f>
      </c>
      <c r="L103">
        <f>IF(K103=1,(Pu-E103)/(H103-E103),"")</f>
      </c>
      <c r="M103" s="12">
        <f>IF(K103=1,F103+L103*(I103-F103),"")</f>
      </c>
      <c r="N103" s="12">
        <f>IF(K103=1,G103+L103*(J103-G103),"")</f>
      </c>
    </row>
    <row r="104" spans="2:14" x14ac:dyDescent="0.25">
      <c r="B104">
        <v>5</v>
      </c>
      <c r="C104">
        <v>40.00000000000001</v>
      </c>
      <c r="D104">
        <v>14</v>
      </c>
      <c r="E104" s="18">
        <v>3369.7992833584735</v>
      </c>
      <c r="F104" s="18">
        <v>2422.01423133251</v>
      </c>
      <c r="G104" s="18">
        <v>3987.3653072509383</v>
      </c>
      <c r="H104" s="12">
        <f>E105</f>
      </c>
      <c r="I104" s="12">
        <f>F105</f>
      </c>
      <c r="J104" s="12">
        <f>G105</f>
      </c>
      <c r="K104">
        <f>IF(AND(Pu&gt;=MIN(E104,H104),Pu&lt;=MAX(E104,H104),E104&lt;&gt;H104),1,0)</f>
      </c>
      <c r="L104">
        <f>IF(K104=1,(Pu-E104)/(H104-E104),"")</f>
      </c>
      <c r="M104" s="12">
        <f>IF(K104=1,F104+L104*(I104-F104),"")</f>
      </c>
      <c r="N104" s="12">
        <f>IF(K104=1,G104+L104*(J104-G104),"")</f>
      </c>
    </row>
    <row r="105" spans="2:14" x14ac:dyDescent="0.25">
      <c r="B105">
        <v>5</v>
      </c>
      <c r="C105">
        <v>40.00000000000001</v>
      </c>
      <c r="D105">
        <v>15</v>
      </c>
      <c r="E105" s="18">
        <v>1845.9001683335377</v>
      </c>
      <c r="F105" s="18">
        <v>2099.841969983425</v>
      </c>
      <c r="G105" s="18">
        <v>3484.244636168267</v>
      </c>
      <c r="H105" s="12">
        <f>E106</f>
      </c>
      <c r="I105" s="12">
        <f>F106</f>
      </c>
      <c r="J105" s="12">
        <f>G106</f>
      </c>
      <c r="K105">
        <f>IF(AND(Pu&gt;=MIN(E105,H105),Pu&lt;=MAX(E105,H105),E105&lt;&gt;H105),1,0)</f>
      </c>
      <c r="L105">
        <f>IF(K105=1,(Pu-E105)/(H105-E105),"")</f>
      </c>
      <c r="M105" s="12">
        <f>IF(K105=1,F105+L105*(I105-F105),"")</f>
      </c>
      <c r="N105" s="12">
        <f>IF(K105=1,G105+L105*(J105-G105),"")</f>
      </c>
    </row>
    <row r="106" spans="2:14" x14ac:dyDescent="0.25">
      <c r="B106">
        <v>5</v>
      </c>
      <c r="C106">
        <v>40.00000000000001</v>
      </c>
      <c r="D106">
        <v>16</v>
      </c>
      <c r="E106" s="18">
        <v>730.9479314222016</v>
      </c>
      <c r="F106" s="18">
        <v>1846.812007071979</v>
      </c>
      <c r="G106" s="18">
        <v>3034.74439037082</v>
      </c>
      <c r="H106" s="12">
        <f>E107</f>
      </c>
      <c r="I106" s="12">
        <f>F107</f>
      </c>
      <c r="J106" s="12">
        <f>G107</f>
      </c>
      <c r="K106">
        <f>IF(AND(Pu&gt;=MIN(E106,H106),Pu&lt;=MAX(E106,H106),E106&lt;&gt;H106),1,0)</f>
      </c>
      <c r="L106">
        <f>IF(K106=1,(Pu-E106)/(H106-E106),"")</f>
      </c>
      <c r="M106" s="12">
        <f>IF(K106=1,F106+L106*(I106-F106),"")</f>
      </c>
      <c r="N106" s="12">
        <f>IF(K106=1,G106+L106*(J106-G106),"")</f>
      </c>
    </row>
    <row r="107" spans="2:14" x14ac:dyDescent="0.25">
      <c r="B107">
        <v>5</v>
      </c>
      <c r="C107">
        <v>40.00000000000001</v>
      </c>
      <c r="D107">
        <v>17</v>
      </c>
      <c r="E107" s="18">
        <v>-1094.6889118879337</v>
      </c>
      <c r="F107" s="18">
        <v>1389.8270094752322</v>
      </c>
      <c r="G107" s="18">
        <v>2176.4568739463252</v>
      </c>
      <c r="H107" s="12">
        <f>E108</f>
      </c>
      <c r="I107" s="12">
        <f>F108</f>
      </c>
      <c r="J107" s="12">
        <f>G108</f>
      </c>
      <c r="K107">
        <f>IF(AND(Pu&gt;=MIN(E107,H107),Pu&lt;=MAX(E107,H107),E107&lt;&gt;H107),1,0)</f>
      </c>
      <c r="L107">
        <f>IF(K107=1,(Pu-E107)/(H107-E107),"")</f>
      </c>
      <c r="M107" s="12">
        <f>IF(K107=1,F107+L107*(I107-F107),"")</f>
      </c>
      <c r="N107" s="12">
        <f>IF(K107=1,G107+L107*(J107-G107),"")</f>
      </c>
    </row>
    <row r="108" spans="2:14" x14ac:dyDescent="0.25">
      <c r="B108">
        <v>5</v>
      </c>
      <c r="C108">
        <v>40.00000000000001</v>
      </c>
      <c r="D108">
        <v>18</v>
      </c>
      <c r="E108" s="18">
        <v>-2272.739613988697</v>
      </c>
      <c r="F108" s="18">
        <v>1025.2596002454136</v>
      </c>
      <c r="G108" s="18">
        <v>1563.9597976104462</v>
      </c>
      <c r="H108" s="12">
        <f>E109</f>
      </c>
      <c r="I108" s="12">
        <f>F109</f>
      </c>
      <c r="J108" s="12">
        <f>G109</f>
      </c>
      <c r="K108">
        <f>IF(AND(Pu&gt;=MIN(E108,H108),Pu&lt;=MAX(E108,H108),E108&lt;&gt;H108),1,0)</f>
      </c>
      <c r="L108">
        <f>IF(K108=1,(Pu-E108)/(H108-E108),"")</f>
      </c>
      <c r="M108" s="12">
        <f>IF(K108=1,F108+L108*(I108-F108),"")</f>
      </c>
      <c r="N108" s="12">
        <f>IF(K108=1,G108+L108*(J108-G108),"")</f>
      </c>
    </row>
    <row r="109" spans="2:7" x14ac:dyDescent="0.25">
      <c r="B109">
        <v>5</v>
      </c>
      <c r="C109">
        <v>40.00000000000001</v>
      </c>
      <c r="D109">
        <v>19</v>
      </c>
      <c r="E109" s="18">
        <v>-3972.5326590168656</v>
      </c>
      <c r="F109" s="18">
        <v>389.254663446932</v>
      </c>
      <c r="G109" s="18">
        <v>609.8221466339481</v>
      </c>
    </row>
    <row r="111" spans="2:14" x14ac:dyDescent="0.25">
      <c r="B111">
        <v>6</v>
      </c>
      <c r="C111">
        <v>49.99999999999999</v>
      </c>
      <c r="D111">
        <v>1</v>
      </c>
      <c r="E111" s="18">
        <v>16852.86011644447</v>
      </c>
      <c r="F111" s="18">
        <v>1821.9093463293848</v>
      </c>
      <c r="G111" s="18">
        <v>2219.1784111428374</v>
      </c>
      <c r="H111" s="12">
        <f>E112</f>
      </c>
      <c r="I111" s="12">
        <f>F112</f>
      </c>
      <c r="J111" s="12">
        <f>G112</f>
      </c>
      <c r="K111">
        <f>IF(AND(Pu&gt;=MIN(E111,H111),Pu&lt;=MAX(E111,H111),E111&lt;&gt;H111),1,0)</f>
      </c>
      <c r="L111">
        <f>IF(K111=1,(Pu-E111)/(H111-E111),"")</f>
      </c>
      <c r="M111" s="12">
        <f>IF(K111=1,F111+L111*(I111-F111),"")</f>
      </c>
      <c r="N111" s="12">
        <f>IF(K111=1,G111+L111*(J111-G111),"")</f>
      </c>
    </row>
    <row r="112" spans="2:14" x14ac:dyDescent="0.25">
      <c r="B112">
        <v>6</v>
      </c>
      <c r="C112">
        <v>49.99999999999999</v>
      </c>
      <c r="D112">
        <v>2</v>
      </c>
      <c r="E112" s="18">
        <v>14365.804360764834</v>
      </c>
      <c r="F112" s="18">
        <v>2404.642402426316</v>
      </c>
      <c r="G112" s="18">
        <v>2695.479237060515</v>
      </c>
      <c r="H112" s="12">
        <f>E113</f>
      </c>
      <c r="I112" s="12">
        <f>F113</f>
      </c>
      <c r="J112" s="12">
        <f>G113</f>
      </c>
      <c r="K112">
        <f>IF(AND(Pu&gt;=MIN(E112,H112),Pu&lt;=MAX(E112,H112),E112&lt;&gt;H112),1,0)</f>
      </c>
      <c r="L112">
        <f>IF(K112=1,(Pu-E112)/(H112-E112),"")</f>
      </c>
      <c r="M112" s="12">
        <f>IF(K112=1,F112+L112*(I112-F112),"")</f>
      </c>
      <c r="N112" s="12">
        <f>IF(K112=1,G112+L112*(J112-G112),"")</f>
      </c>
    </row>
    <row r="113" spans="2:14" x14ac:dyDescent="0.25">
      <c r="B113">
        <v>6</v>
      </c>
      <c r="C113">
        <v>49.99999999999999</v>
      </c>
      <c r="D113">
        <v>3</v>
      </c>
      <c r="E113" s="18">
        <v>13084.773123757817</v>
      </c>
      <c r="F113" s="18">
        <v>2661.7634939422146</v>
      </c>
      <c r="G113" s="18">
        <v>2813.600606886583</v>
      </c>
      <c r="H113" s="12">
        <f>E114</f>
      </c>
      <c r="I113" s="12">
        <f>F114</f>
      </c>
      <c r="J113" s="12">
        <f>G114</f>
      </c>
      <c r="K113">
        <f>IF(AND(Pu&gt;=MIN(E113,H113),Pu&lt;=MAX(E113,H113),E113&lt;&gt;H113),1,0)</f>
      </c>
      <c r="L113">
        <f>IF(K113=1,(Pu-E113)/(H113-E113),"")</f>
      </c>
      <c r="M113" s="12">
        <f>IF(K113=1,F113+L113*(I113-F113),"")</f>
      </c>
      <c r="N113" s="12">
        <f>IF(K113=1,G113+L113*(J113-G113),"")</f>
      </c>
    </row>
    <row r="114" spans="2:14" x14ac:dyDescent="0.25">
      <c r="B114">
        <v>6</v>
      </c>
      <c r="C114">
        <v>49.99999999999999</v>
      </c>
      <c r="D114">
        <v>4</v>
      </c>
      <c r="E114" s="18">
        <v>11986.815993789121</v>
      </c>
      <c r="F114" s="18">
        <v>2843.6234564490946</v>
      </c>
      <c r="G114" s="18">
        <v>2889.062414313303</v>
      </c>
      <c r="H114" s="12">
        <f>E115</f>
      </c>
      <c r="I114" s="12">
        <f>F115</f>
      </c>
      <c r="J114" s="12">
        <f>G115</f>
      </c>
      <c r="K114">
        <f>IF(AND(Pu&gt;=MIN(E114,H114),Pu&lt;=MAX(E114,H114),E114&lt;&gt;H114),1,0)</f>
      </c>
      <c r="L114">
        <f>IF(K114=1,(Pu-E114)/(H114-E114),"")</f>
      </c>
      <c r="M114" s="12">
        <f>IF(K114=1,F114+L114*(I114-F114),"")</f>
      </c>
      <c r="N114" s="12">
        <f>IF(K114=1,G114+L114*(J114-G114),"")</f>
      </c>
    </row>
    <row r="115" spans="2:14" x14ac:dyDescent="0.25">
      <c r="B115">
        <v>6</v>
      </c>
      <c r="C115">
        <v>49.99999999999999</v>
      </c>
      <c r="D115">
        <v>5</v>
      </c>
      <c r="E115" s="18">
        <v>11025.618904907271</v>
      </c>
      <c r="F115" s="18">
        <v>2964.187022290056</v>
      </c>
      <c r="G115" s="18">
        <v>2946.3917010793252</v>
      </c>
      <c r="H115" s="12">
        <f>E116</f>
      </c>
      <c r="I115" s="12">
        <f>F116</f>
      </c>
      <c r="J115" s="12">
        <f>G116</f>
      </c>
      <c r="K115">
        <f>IF(AND(Pu&gt;=MIN(E115,H115),Pu&lt;=MAX(E115,H115),E115&lt;&gt;H115),1,0)</f>
      </c>
      <c r="L115">
        <f>IF(K115=1,(Pu-E115)/(H115-E115),"")</f>
      </c>
      <c r="M115" s="12">
        <f>IF(K115=1,F115+L115*(I115-F115),"")</f>
      </c>
      <c r="N115" s="12">
        <f>IF(K115=1,G115+L115*(J115-G115),"")</f>
      </c>
    </row>
    <row r="116" spans="2:14" x14ac:dyDescent="0.25">
      <c r="B116">
        <v>6</v>
      </c>
      <c r="C116">
        <v>49.99999999999999</v>
      </c>
      <c r="D116">
        <v>6</v>
      </c>
      <c r="E116" s="18">
        <v>10174.158446499012</v>
      </c>
      <c r="F116" s="18">
        <v>3032.6215205910453</v>
      </c>
      <c r="G116" s="18">
        <v>3006.897647321063</v>
      </c>
      <c r="H116" s="12">
        <f>E117</f>
      </c>
      <c r="I116" s="12">
        <f>F117</f>
      </c>
      <c r="J116" s="12">
        <f>G117</f>
      </c>
      <c r="K116">
        <f>IF(AND(Pu&gt;=MIN(E116,H116),Pu&lt;=MAX(E116,H116),E116&lt;&gt;H116),1,0)</f>
      </c>
      <c r="L116">
        <f>IF(K116=1,(Pu-E116)/(H116-E116),"")</f>
      </c>
      <c r="M116" s="12">
        <f>IF(K116=1,F116+L116*(I116-F116),"")</f>
      </c>
      <c r="N116" s="12">
        <f>IF(K116=1,G116+L116*(J116-G116),"")</f>
      </c>
    </row>
    <row r="117" spans="2:14" x14ac:dyDescent="0.25">
      <c r="B117">
        <v>6</v>
      </c>
      <c r="C117">
        <v>49.99999999999999</v>
      </c>
      <c r="D117">
        <v>7</v>
      </c>
      <c r="E117" s="18">
        <v>9380.520956343438</v>
      </c>
      <c r="F117" s="18">
        <v>3069.0403124940394</v>
      </c>
      <c r="G117" s="18">
        <v>3063.439993789887</v>
      </c>
      <c r="H117" s="12">
        <f>E118</f>
      </c>
      <c r="I117" s="12">
        <f>F118</f>
      </c>
      <c r="J117" s="12">
        <f>G118</f>
      </c>
      <c r="K117">
        <f>IF(AND(Pu&gt;=MIN(E117,H117),Pu&lt;=MAX(E117,H117),E117&lt;&gt;H117),1,0)</f>
      </c>
      <c r="L117">
        <f>IF(K117=1,(Pu-E117)/(H117-E117),"")</f>
      </c>
      <c r="M117" s="12">
        <f>IF(K117=1,F117+L117*(I117-F117),"")</f>
      </c>
      <c r="N117" s="12">
        <f>IF(K117=1,G117+L117*(J117-G117),"")</f>
      </c>
    </row>
    <row r="118" spans="2:14" x14ac:dyDescent="0.25">
      <c r="B118">
        <v>6</v>
      </c>
      <c r="C118">
        <v>49.99999999999999</v>
      </c>
      <c r="D118">
        <v>8</v>
      </c>
      <c r="E118" s="18">
        <v>8615.873340150305</v>
      </c>
      <c r="F118" s="18">
        <v>3078.1487202853255</v>
      </c>
      <c r="G118" s="18">
        <v>3122.2144408228455</v>
      </c>
      <c r="H118" s="12">
        <f>E119</f>
      </c>
      <c r="I118" s="12">
        <f>F119</f>
      </c>
      <c r="J118" s="12">
        <f>G119</f>
      </c>
      <c r="K118">
        <f>IF(AND(Pu&gt;=MIN(E118,H118),Pu&lt;=MAX(E118,H118),E118&lt;&gt;H118),1,0)</f>
      </c>
      <c r="L118">
        <f>IF(K118=1,(Pu-E118)/(H118-E118),"")</f>
      </c>
      <c r="M118" s="12">
        <f>IF(K118=1,F118+L118*(I118-F118),"")</f>
      </c>
      <c r="N118" s="12">
        <f>IF(K118=1,G118+L118*(J118-G118),"")</f>
      </c>
    </row>
    <row r="119" spans="2:14" x14ac:dyDescent="0.25">
      <c r="B119">
        <v>6</v>
      </c>
      <c r="C119">
        <v>49.99999999999999</v>
      </c>
      <c r="D119">
        <v>9</v>
      </c>
      <c r="E119" s="18">
        <v>7644.217505764198</v>
      </c>
      <c r="F119" s="18">
        <v>3154.700340530996</v>
      </c>
      <c r="G119" s="18">
        <v>3342.3429528228667</v>
      </c>
      <c r="H119" s="12">
        <f>E120</f>
      </c>
      <c r="I119" s="12">
        <f>F120</f>
      </c>
      <c r="J119" s="12">
        <f>G120</f>
      </c>
      <c r="K119">
        <f>IF(AND(Pu&gt;=MIN(E119,H119),Pu&lt;=MAX(E119,H119),E119&lt;&gt;H119),1,0)</f>
      </c>
      <c r="L119">
        <f>IF(K119=1,(Pu-E119)/(H119-E119),"")</f>
      </c>
      <c r="M119" s="12">
        <f>IF(K119=1,F119+L119*(I119-F119),"")</f>
      </c>
      <c r="N119" s="12">
        <f>IF(K119=1,G119+L119*(J119-G119),"")</f>
      </c>
    </row>
    <row r="120" spans="2:14" x14ac:dyDescent="0.25">
      <c r="B120">
        <v>6</v>
      </c>
      <c r="C120">
        <v>49.99999999999999</v>
      </c>
      <c r="D120">
        <v>10</v>
      </c>
      <c r="E120" s="18">
        <v>6688.324634278437</v>
      </c>
      <c r="F120" s="18">
        <v>3159.1822899865847</v>
      </c>
      <c r="G120" s="18">
        <v>3489.168669432506</v>
      </c>
      <c r="H120" s="12">
        <f>E121</f>
      </c>
      <c r="I120" s="12">
        <f>F121</f>
      </c>
      <c r="J120" s="12">
        <f>G121</f>
      </c>
      <c r="K120">
        <f>IF(AND(Pu&gt;=MIN(E120,H120),Pu&lt;=MAX(E120,H120),E120&lt;&gt;H120),1,0)</f>
      </c>
      <c r="L120">
        <f>IF(K120=1,(Pu-E120)/(H120-E120),"")</f>
      </c>
      <c r="M120" s="12">
        <f>IF(K120=1,F120+L120*(I120-F120),"")</f>
      </c>
      <c r="N120" s="12">
        <f>IF(K120=1,G120+L120*(J120-G120),"")</f>
      </c>
    </row>
    <row r="121" spans="2:14" x14ac:dyDescent="0.25">
      <c r="B121">
        <v>6</v>
      </c>
      <c r="C121">
        <v>49.99999999999999</v>
      </c>
      <c r="D121">
        <v>11</v>
      </c>
      <c r="E121" s="18">
        <v>5891.239077013841</v>
      </c>
      <c r="F121" s="18">
        <v>3142.87905245302</v>
      </c>
      <c r="G121" s="18">
        <v>3591.5916887426906</v>
      </c>
      <c r="H121" s="12">
        <f>E122</f>
      </c>
      <c r="I121" s="12">
        <f>F122</f>
      </c>
      <c r="J121" s="12">
        <f>G122</f>
      </c>
      <c r="K121">
        <f>IF(AND(Pu&gt;=MIN(E121,H121),Pu&lt;=MAX(E121,H121),E121&lt;&gt;H121),1,0)</f>
      </c>
      <c r="L121">
        <f>IF(K121=1,(Pu-E121)/(H121-E121),"")</f>
      </c>
      <c r="M121" s="12">
        <f>IF(K121=1,F121+L121*(I121-F121),"")</f>
      </c>
      <c r="N121" s="12">
        <f>IF(K121=1,G121+L121*(J121-G121),"")</f>
      </c>
    </row>
    <row r="122" spans="2:14" x14ac:dyDescent="0.25">
      <c r="B122">
        <v>6</v>
      </c>
      <c r="C122">
        <v>49.99999999999999</v>
      </c>
      <c r="D122">
        <v>12</v>
      </c>
      <c r="E122" s="18">
        <v>5231.9999462024025</v>
      </c>
      <c r="F122" s="18">
        <v>3136.284092705603</v>
      </c>
      <c r="G122" s="18">
        <v>3634.1436048105697</v>
      </c>
      <c r="H122" s="12">
        <f>E123</f>
      </c>
      <c r="I122" s="12">
        <f>F123</f>
      </c>
      <c r="J122" s="12">
        <f>G123</f>
      </c>
      <c r="K122">
        <f>IF(AND(Pu&gt;=MIN(E122,H122),Pu&lt;=MAX(E122,H122),E122&lt;&gt;H122),1,0)</f>
      </c>
      <c r="L122">
        <f>IF(K122=1,(Pu-E122)/(H122-E122),"")</f>
      </c>
      <c r="M122" s="12">
        <f>IF(K122=1,F122+L122*(I122-F122),"")</f>
      </c>
      <c r="N122" s="12">
        <f>IF(K122=1,G122+L122*(J122-G122),"")</f>
      </c>
    </row>
    <row r="123" spans="2:14" x14ac:dyDescent="0.25">
      <c r="B123">
        <v>6</v>
      </c>
      <c r="C123">
        <v>49.99999999999999</v>
      </c>
      <c r="D123">
        <v>13</v>
      </c>
      <c r="E123" s="18">
        <v>4199.657271846663</v>
      </c>
      <c r="F123" s="18">
        <v>3102.679123961514</v>
      </c>
      <c r="G123" s="18">
        <v>3673.8564123534015</v>
      </c>
      <c r="H123" s="12">
        <f>E124</f>
      </c>
      <c r="I123" s="12">
        <f>F124</f>
      </c>
      <c r="J123" s="12">
        <f>G124</f>
      </c>
      <c r="K123">
        <f>IF(AND(Pu&gt;=MIN(E123,H123),Pu&lt;=MAX(E123,H123),E123&lt;&gt;H123),1,0)</f>
      </c>
      <c r="L123">
        <f>IF(K123=1,(Pu-E123)/(H123-E123),"")</f>
      </c>
      <c r="M123" s="12">
        <f>IF(K123=1,F123+L123*(I123-F123),"")</f>
      </c>
      <c r="N123" s="12">
        <f>IF(K123=1,G123+L123*(J123-G123),"")</f>
      </c>
    </row>
    <row r="124" spans="2:14" x14ac:dyDescent="0.25">
      <c r="B124">
        <v>6</v>
      </c>
      <c r="C124">
        <v>49.99999999999999</v>
      </c>
      <c r="D124">
        <v>14</v>
      </c>
      <c r="E124" s="18">
        <v>3169.1539039212794</v>
      </c>
      <c r="F124" s="18">
        <v>2831.0249960131864</v>
      </c>
      <c r="G124" s="18">
        <v>3435.3864648898184</v>
      </c>
      <c r="H124" s="12">
        <f>E125</f>
      </c>
      <c r="I124" s="12">
        <f>F125</f>
      </c>
      <c r="J124" s="12">
        <f>G125</f>
      </c>
      <c r="K124">
        <f>IF(AND(Pu&gt;=MIN(E124,H124),Pu&lt;=MAX(E124,H124),E124&lt;&gt;H124),1,0)</f>
      </c>
      <c r="L124">
        <f>IF(K124=1,(Pu-E124)/(H124-E124),"")</f>
      </c>
      <c r="M124" s="12">
        <f>IF(K124=1,F124+L124*(I124-F124),"")</f>
      </c>
      <c r="N124" s="12">
        <f>IF(K124=1,G124+L124*(J124-G124),"")</f>
      </c>
    </row>
    <row r="125" spans="2:14" x14ac:dyDescent="0.25">
      <c r="B125">
        <v>6</v>
      </c>
      <c r="C125">
        <v>49.99999999999999</v>
      </c>
      <c r="D125">
        <v>15</v>
      </c>
      <c r="E125" s="18">
        <v>1599.2641146176054</v>
      </c>
      <c r="F125" s="18">
        <v>2409.3388473732152</v>
      </c>
      <c r="G125" s="18">
        <v>3000.286664370283</v>
      </c>
      <c r="H125" s="12">
        <f>E126</f>
      </c>
      <c r="I125" s="12">
        <f>F126</f>
      </c>
      <c r="J125" s="12">
        <f>G126</f>
      </c>
      <c r="K125">
        <f>IF(AND(Pu&gt;=MIN(E125,H125),Pu&lt;=MAX(E125,H125),E125&lt;&gt;H125),1,0)</f>
      </c>
      <c r="L125">
        <f>IF(K125=1,(Pu-E125)/(H125-E125),"")</f>
      </c>
      <c r="M125" s="12">
        <f>IF(K125=1,F125+L125*(I125-F125),"")</f>
      </c>
      <c r="N125" s="12">
        <f>IF(K125=1,G125+L125*(J125-G125),"")</f>
      </c>
    </row>
    <row r="126" spans="2:14" x14ac:dyDescent="0.25">
      <c r="B126">
        <v>6</v>
      </c>
      <c r="C126">
        <v>49.99999999999999</v>
      </c>
      <c r="D126">
        <v>16</v>
      </c>
      <c r="E126" s="18">
        <v>475.1786777659788</v>
      </c>
      <c r="F126" s="18">
        <v>2096.9667303971087</v>
      </c>
      <c r="G126" s="18">
        <v>2621.5273546463754</v>
      </c>
      <c r="H126" s="12">
        <f>E127</f>
      </c>
      <c r="I126" s="12">
        <f>F127</f>
      </c>
      <c r="J126" s="12">
        <f>G127</f>
      </c>
      <c r="K126">
        <f>IF(AND(Pu&gt;=MIN(E126,H126),Pu&lt;=MAX(E126,H126),E126&lt;&gt;H126),1,0)</f>
      </c>
      <c r="L126">
        <f>IF(K126=1,(Pu-E126)/(H126-E126),"")</f>
      </c>
      <c r="M126" s="12">
        <f>IF(K126=1,F126+L126*(I126-F126),"")</f>
      </c>
      <c r="N126" s="12">
        <f>IF(K126=1,G126+L126*(J126-G126),"")</f>
      </c>
    </row>
    <row r="127" spans="2:14" x14ac:dyDescent="0.25">
      <c r="B127">
        <v>6</v>
      </c>
      <c r="C127">
        <v>49.99999999999999</v>
      </c>
      <c r="D127">
        <v>17</v>
      </c>
      <c r="E127" s="18">
        <v>-1358.1329778727095</v>
      </c>
      <c r="F127" s="18">
        <v>1484.6277047437484</v>
      </c>
      <c r="G127" s="18">
        <v>1871.9348484846378</v>
      </c>
      <c r="H127" s="12">
        <f>E128</f>
      </c>
      <c r="I127" s="12">
        <f>F128</f>
      </c>
      <c r="J127" s="12">
        <f>G128</f>
      </c>
      <c r="K127">
        <f>IF(AND(Pu&gt;=MIN(E127,H127),Pu&lt;=MAX(E127,H127),E127&lt;&gt;H127),1,0)</f>
      </c>
      <c r="L127">
        <f>IF(K127=1,(Pu-E127)/(H127-E127),"")</f>
      </c>
      <c r="M127" s="12">
        <f>IF(K127=1,F127+L127*(I127-F127),"")</f>
      </c>
      <c r="N127" s="12">
        <f>IF(K127=1,G127+L127*(J127-G127),"")</f>
      </c>
    </row>
    <row r="128" spans="2:14" x14ac:dyDescent="0.25">
      <c r="B128">
        <v>6</v>
      </c>
      <c r="C128">
        <v>49.99999999999999</v>
      </c>
      <c r="D128">
        <v>18</v>
      </c>
      <c r="E128" s="18">
        <v>-2442.045855745271</v>
      </c>
      <c r="F128" s="18">
        <v>1074.4367210189998</v>
      </c>
      <c r="G128" s="18">
        <v>1355.78593494307</v>
      </c>
      <c r="H128" s="12">
        <f>E129</f>
      </c>
      <c r="I128" s="12">
        <f>F129</f>
      </c>
      <c r="J128" s="12">
        <f>G129</f>
      </c>
      <c r="K128">
        <f>IF(AND(Pu&gt;=MIN(E128,H128),Pu&lt;=MAX(E128,H128),E128&lt;&gt;H128),1,0)</f>
      </c>
      <c r="L128">
        <f>IF(K128=1,(Pu-E128)/(H128-E128),"")</f>
      </c>
      <c r="M128" s="12">
        <f>IF(K128=1,F128+L128*(I128-F128),"")</f>
      </c>
      <c r="N128" s="12">
        <f>IF(K128=1,G128+L128*(J128-G128),"")</f>
      </c>
    </row>
    <row r="129" spans="2:7" x14ac:dyDescent="0.25">
      <c r="B129">
        <v>6</v>
      </c>
      <c r="C129">
        <v>49.99999999999999</v>
      </c>
      <c r="D129">
        <v>19</v>
      </c>
      <c r="E129" s="18">
        <v>-4037.730739273256</v>
      </c>
      <c r="F129" s="18">
        <v>408.5389539331583</v>
      </c>
      <c r="G129" s="18">
        <v>519.2061290227841</v>
      </c>
    </row>
    <row r="131" spans="2:14" x14ac:dyDescent="0.25">
      <c r="B131">
        <v>7</v>
      </c>
      <c r="C131">
        <v>59.999999999999986</v>
      </c>
      <c r="D131">
        <v>1</v>
      </c>
      <c r="E131" s="18">
        <v>16822.911304027486</v>
      </c>
      <c r="F131" s="18">
        <v>2091.0772565373013</v>
      </c>
      <c r="G131" s="18">
        <v>1846.3121376499741</v>
      </c>
      <c r="H131" s="12">
        <f>E132</f>
      </c>
      <c r="I131" s="12">
        <f>F132</f>
      </c>
      <c r="J131" s="12">
        <f>G132</f>
      </c>
      <c r="K131">
        <f>IF(AND(Pu&gt;=MIN(E131,H131),Pu&lt;=MAX(E131,H131),E131&lt;&gt;H131),1,0)</f>
      </c>
      <c r="L131">
        <f>IF(K131=1,(Pu-E131)/(H131-E131),"")</f>
      </c>
      <c r="M131" s="12">
        <f>IF(K131=1,F131+L131*(I131-F131),"")</f>
      </c>
      <c r="N131" s="12">
        <f>IF(K131=1,G131+L131*(J131-G131),"")</f>
      </c>
    </row>
    <row r="132" spans="2:14" x14ac:dyDescent="0.25">
      <c r="B132">
        <v>7</v>
      </c>
      <c r="C132">
        <v>59.999999999999986</v>
      </c>
      <c r="D132">
        <v>2</v>
      </c>
      <c r="E132" s="18">
        <v>14070.91789811393</v>
      </c>
      <c r="F132" s="18">
        <v>2928.034801895529</v>
      </c>
      <c r="G132" s="18">
        <v>2047.833298988298</v>
      </c>
      <c r="H132" s="12">
        <f>E133</f>
      </c>
      <c r="I132" s="12">
        <f>F133</f>
      </c>
      <c r="J132" s="12">
        <f>G133</f>
      </c>
      <c r="K132">
        <f>IF(AND(Pu&gt;=MIN(E132,H132),Pu&lt;=MAX(E132,H132),E132&lt;&gt;H132),1,0)</f>
      </c>
      <c r="L132">
        <f>IF(K132=1,(Pu-E132)/(H132-E132),"")</f>
      </c>
      <c r="M132" s="12">
        <f>IF(K132=1,F132+L132*(I132-F132),"")</f>
      </c>
      <c r="N132" s="12">
        <f>IF(K132=1,G132+L132*(J132-G132),"")</f>
      </c>
    </row>
    <row r="133" spans="2:14" x14ac:dyDescent="0.25">
      <c r="B133">
        <v>7</v>
      </c>
      <c r="C133">
        <v>59.999999999999986</v>
      </c>
      <c r="D133">
        <v>3</v>
      </c>
      <c r="E133" s="18">
        <v>12901.856153672325</v>
      </c>
      <c r="F133" s="18">
        <v>3190.0199009311564</v>
      </c>
      <c r="G133" s="18">
        <v>2099.0540102547516</v>
      </c>
      <c r="H133" s="12">
        <f>E134</f>
      </c>
      <c r="I133" s="12">
        <f>F134</f>
      </c>
      <c r="J133" s="12">
        <f>G134</f>
      </c>
      <c r="K133">
        <f>IF(AND(Pu&gt;=MIN(E133,H133),Pu&lt;=MAX(E133,H133),E133&lt;&gt;H133),1,0)</f>
      </c>
      <c r="L133">
        <f>IF(K133=1,(Pu-E133)/(H133-E133),"")</f>
      </c>
      <c r="M133" s="12">
        <f>IF(K133=1,F133+L133*(I133-F133),"")</f>
      </c>
      <c r="N133" s="12">
        <f>IF(K133=1,G133+L133*(J133-G133),"")</f>
      </c>
    </row>
    <row r="134" spans="2:14" x14ac:dyDescent="0.25">
      <c r="B134">
        <v>7</v>
      </c>
      <c r="C134">
        <v>59.999999999999986</v>
      </c>
      <c r="D134">
        <v>4</v>
      </c>
      <c r="E134" s="18">
        <v>11935.566040529277</v>
      </c>
      <c r="F134" s="18">
        <v>3346.4962168695943</v>
      </c>
      <c r="G134" s="18">
        <v>2169.9074877760963</v>
      </c>
      <c r="H134" s="12">
        <f>E135</f>
      </c>
      <c r="I134" s="12">
        <f>F135</f>
      </c>
      <c r="J134" s="12">
        <f>G135</f>
      </c>
      <c r="K134">
        <f>IF(AND(Pu&gt;=MIN(E134,H134),Pu&lt;=MAX(E134,H134),E134&lt;&gt;H134),1,0)</f>
      </c>
      <c r="L134">
        <f>IF(K134=1,(Pu-E134)/(H134-E134),"")</f>
      </c>
      <c r="M134" s="12">
        <f>IF(K134=1,F134+L134*(I134-F134),"")</f>
      </c>
      <c r="N134" s="12">
        <f>IF(K134=1,G134+L134*(J134-G134),"")</f>
      </c>
    </row>
    <row r="135" spans="2:14" x14ac:dyDescent="0.25">
      <c r="B135">
        <v>7</v>
      </c>
      <c r="C135">
        <v>59.999999999999986</v>
      </c>
      <c r="D135">
        <v>5</v>
      </c>
      <c r="E135" s="18">
        <v>11067.978856668196</v>
      </c>
      <c r="F135" s="18">
        <v>3453.745620467175</v>
      </c>
      <c r="G135" s="18">
        <v>2228.1843269410147</v>
      </c>
      <c r="H135" s="12">
        <f>E136</f>
      </c>
      <c r="I135" s="12">
        <f>F136</f>
      </c>
      <c r="J135" s="12">
        <f>G136</f>
      </c>
      <c r="K135">
        <f>IF(AND(Pu&gt;=MIN(E135,H135),Pu&lt;=MAX(E135,H135),E135&lt;&gt;H135),1,0)</f>
      </c>
      <c r="L135">
        <f>IF(K135=1,(Pu-E135)/(H135-E135),"")</f>
      </c>
      <c r="M135" s="12">
        <f>IF(K135=1,F135+L135*(I135-F135),"")</f>
      </c>
      <c r="N135" s="12">
        <f>IF(K135=1,G135+L135*(J135-G135),"")</f>
      </c>
    </row>
    <row r="136" spans="2:14" x14ac:dyDescent="0.25">
      <c r="B136">
        <v>7</v>
      </c>
      <c r="C136">
        <v>59.999999999999986</v>
      </c>
      <c r="D136">
        <v>6</v>
      </c>
      <c r="E136" s="18">
        <v>10256.541858725835</v>
      </c>
      <c r="F136" s="18">
        <v>3525.1655081617987</v>
      </c>
      <c r="G136" s="18">
        <v>2285.878670822102</v>
      </c>
      <c r="H136" s="12">
        <f>E137</f>
      </c>
      <c r="I136" s="12">
        <f>F137</f>
      </c>
      <c r="J136" s="12">
        <f>G137</f>
      </c>
      <c r="K136">
        <f>IF(AND(Pu&gt;=MIN(E136,H136),Pu&lt;=MAX(E136,H136),E136&lt;&gt;H136),1,0)</f>
      </c>
      <c r="L136">
        <f>IF(K136=1,(Pu-E136)/(H136-E136),"")</f>
      </c>
      <c r="M136" s="12">
        <f>IF(K136=1,F136+L136*(I136-F136),"")</f>
      </c>
      <c r="N136" s="12">
        <f>IF(K136=1,G136+L136*(J136-G136),"")</f>
      </c>
    </row>
    <row r="137" spans="2:14" x14ac:dyDescent="0.25">
      <c r="B137">
        <v>7</v>
      </c>
      <c r="C137">
        <v>59.999999999999986</v>
      </c>
      <c r="D137">
        <v>7</v>
      </c>
      <c r="E137" s="18">
        <v>9504.385690919624</v>
      </c>
      <c r="F137" s="18">
        <v>3577.18837872292</v>
      </c>
      <c r="G137" s="18">
        <v>2330.6042740806233</v>
      </c>
      <c r="H137" s="12">
        <f>E138</f>
      </c>
      <c r="I137" s="12">
        <f>F138</f>
      </c>
      <c r="J137" s="12">
        <f>G138</f>
      </c>
      <c r="K137">
        <f>IF(AND(Pu&gt;=MIN(E137,H137),Pu&lt;=MAX(E137,H137),E137&lt;&gt;H137),1,0)</f>
      </c>
      <c r="L137">
        <f>IF(K137=1,(Pu-E137)/(H137-E137),"")</f>
      </c>
      <c r="M137" s="12">
        <f>IF(K137=1,F137+L137*(I137-F137),"")</f>
      </c>
      <c r="N137" s="12">
        <f>IF(K137=1,G137+L137*(J137-G137),"")</f>
      </c>
    </row>
    <row r="138" spans="2:14" x14ac:dyDescent="0.25">
      <c r="B138">
        <v>7</v>
      </c>
      <c r="C138">
        <v>59.999999999999986</v>
      </c>
      <c r="D138">
        <v>8</v>
      </c>
      <c r="E138" s="18">
        <v>8792.157526062832</v>
      </c>
      <c r="F138" s="18">
        <v>3613.0310474925127</v>
      </c>
      <c r="G138" s="18">
        <v>2365.2959646508234</v>
      </c>
      <c r="H138" s="12">
        <f>E139</f>
      </c>
      <c r="I138" s="12">
        <f>F139</f>
      </c>
      <c r="J138" s="12">
        <f>G139</f>
      </c>
      <c r="K138">
        <f>IF(AND(Pu&gt;=MIN(E138,H138),Pu&lt;=MAX(E138,H138),E138&lt;&gt;H138),1,0)</f>
      </c>
      <c r="L138">
        <f>IF(K138=1,(Pu-E138)/(H138-E138),"")</f>
      </c>
      <c r="M138" s="12">
        <f>IF(K138=1,F138+L138*(I138-F138),"")</f>
      </c>
      <c r="N138" s="12">
        <f>IF(K138=1,G138+L138*(J138-G138),"")</f>
      </c>
    </row>
    <row r="139" spans="2:14" x14ac:dyDescent="0.25">
      <c r="B139">
        <v>7</v>
      </c>
      <c r="C139">
        <v>59.999999999999986</v>
      </c>
      <c r="D139">
        <v>9</v>
      </c>
      <c r="E139" s="18">
        <v>7972.608173647171</v>
      </c>
      <c r="F139" s="18">
        <v>3784.1243414515343</v>
      </c>
      <c r="G139" s="18">
        <v>2517.212543447237</v>
      </c>
      <c r="H139" s="12">
        <f>E140</f>
      </c>
      <c r="I139" s="12">
        <f>F140</f>
      </c>
      <c r="J139" s="12">
        <f>G140</f>
      </c>
      <c r="K139">
        <f>IF(AND(Pu&gt;=MIN(E139,H139),Pu&lt;=MAX(E139,H139),E139&lt;&gt;H139),1,0)</f>
      </c>
      <c r="L139">
        <f>IF(K139=1,(Pu-E139)/(H139-E139),"")</f>
      </c>
      <c r="M139" s="12">
        <f>IF(K139=1,F139+L139*(I139-F139),"")</f>
      </c>
      <c r="N139" s="12">
        <f>IF(K139=1,G139+L139*(J139-G139),"")</f>
      </c>
    </row>
    <row r="140" spans="2:14" x14ac:dyDescent="0.25">
      <c r="B140">
        <v>7</v>
      </c>
      <c r="C140">
        <v>59.999999999999986</v>
      </c>
      <c r="D140">
        <v>10</v>
      </c>
      <c r="E140" s="18">
        <v>7180.825741674877</v>
      </c>
      <c r="F140" s="18">
        <v>3862.7924438875834</v>
      </c>
      <c r="G140" s="18">
        <v>2652.807421861853</v>
      </c>
      <c r="H140" s="12">
        <f>E141</f>
      </c>
      <c r="I140" s="12">
        <f>F141</f>
      </c>
      <c r="J140" s="12">
        <f>G141</f>
      </c>
      <c r="K140">
        <f>IF(AND(Pu&gt;=MIN(E140,H140),Pu&lt;=MAX(E140,H140),E140&lt;&gt;H140),1,0)</f>
      </c>
      <c r="L140">
        <f>IF(K140=1,(Pu-E140)/(H140-E140),"")</f>
      </c>
      <c r="M140" s="12">
        <f>IF(K140=1,F140+L140*(I140-F140),"")</f>
      </c>
      <c r="N140" s="12">
        <f>IF(K140=1,G140+L140*(J140-G140),"")</f>
      </c>
    </row>
    <row r="141" spans="2:14" x14ac:dyDescent="0.25">
      <c r="B141">
        <v>7</v>
      </c>
      <c r="C141">
        <v>59.999999999999986</v>
      </c>
      <c r="D141">
        <v>11</v>
      </c>
      <c r="E141" s="18">
        <v>6383.263770283874</v>
      </c>
      <c r="F141" s="18">
        <v>3840.996785439062</v>
      </c>
      <c r="G141" s="18">
        <v>2781.654201178666</v>
      </c>
      <c r="H141" s="12">
        <f>E142</f>
      </c>
      <c r="I141" s="12">
        <f>F142</f>
      </c>
      <c r="J141" s="12">
        <f>G142</f>
      </c>
      <c r="K141">
        <f>IF(AND(Pu&gt;=MIN(E141,H141),Pu&lt;=MAX(E141,H141),E141&lt;&gt;H141),1,0)</f>
      </c>
      <c r="L141">
        <f>IF(K141=1,(Pu-E141)/(H141-E141),"")</f>
      </c>
      <c r="M141" s="12">
        <f>IF(K141=1,F141+L141*(I141-F141),"")</f>
      </c>
      <c r="N141" s="12">
        <f>IF(K141=1,G141+L141*(J141-G141),"")</f>
      </c>
    </row>
    <row r="142" spans="2:14" x14ac:dyDescent="0.25">
      <c r="B142">
        <v>7</v>
      </c>
      <c r="C142">
        <v>59.999999999999986</v>
      </c>
      <c r="D142">
        <v>12</v>
      </c>
      <c r="E142" s="18">
        <v>5652.587608389084</v>
      </c>
      <c r="F142" s="18">
        <v>3777.7941585667736</v>
      </c>
      <c r="G142" s="18">
        <v>2915.9941830047405</v>
      </c>
      <c r="H142" s="12">
        <f>E143</f>
      </c>
      <c r="I142" s="12">
        <f>F143</f>
      </c>
      <c r="J142" s="12">
        <f>G143</f>
      </c>
      <c r="K142">
        <f>IF(AND(Pu&gt;=MIN(E142,H142),Pu&lt;=MAX(E142,H142),E142&lt;&gt;H142),1,0)</f>
      </c>
      <c r="L142">
        <f>IF(K142=1,(Pu-E142)/(H142-E142),"")</f>
      </c>
      <c r="M142" s="12">
        <f>IF(K142=1,F142+L142*(I142-F142),"")</f>
      </c>
      <c r="N142" s="12">
        <f>IF(K142=1,G142+L142*(J142-G142),"")</f>
      </c>
    </row>
    <row r="143" spans="2:14" x14ac:dyDescent="0.25">
      <c r="B143">
        <v>7</v>
      </c>
      <c r="C143">
        <v>59.999999999999986</v>
      </c>
      <c r="D143">
        <v>13</v>
      </c>
      <c r="E143" s="18">
        <v>4514.10107220696</v>
      </c>
      <c r="F143" s="18">
        <v>3636.5992311156742</v>
      </c>
      <c r="G143" s="18">
        <v>3075.558700827429</v>
      </c>
      <c r="H143" s="12">
        <f>E144</f>
      </c>
      <c r="I143" s="12">
        <f>F144</f>
      </c>
      <c r="J143" s="12">
        <f>G144</f>
      </c>
      <c r="K143">
        <f>IF(AND(Pu&gt;=MIN(E143,H143),Pu&lt;=MAX(E143,H143),E143&lt;&gt;H143),1,0)</f>
      </c>
      <c r="L143">
        <f>IF(K143=1,(Pu-E143)/(H143-E143),"")</f>
      </c>
      <c r="M143" s="12">
        <f>IF(K143=1,F143+L143*(I143-F143),"")</f>
      </c>
      <c r="N143" s="12">
        <f>IF(K143=1,G143+L143*(J143-G143),"")</f>
      </c>
    </row>
    <row r="144" spans="2:14" x14ac:dyDescent="0.25">
      <c r="B144">
        <v>7</v>
      </c>
      <c r="C144">
        <v>59.999999999999986</v>
      </c>
      <c r="D144">
        <v>14</v>
      </c>
      <c r="E144" s="18">
        <v>3331.785765319129</v>
      </c>
      <c r="F144" s="18">
        <v>3288.9994358440285</v>
      </c>
      <c r="G144" s="18">
        <v>2907.662440757469</v>
      </c>
      <c r="H144" s="12">
        <f>E145</f>
      </c>
      <c r="I144" s="12">
        <f>F145</f>
      </c>
      <c r="J144" s="12">
        <f>G145</f>
      </c>
      <c r="K144">
        <f>IF(AND(Pu&gt;=MIN(E144,H144),Pu&lt;=MAX(E144,H144),E144&lt;&gt;H144),1,0)</f>
      </c>
      <c r="L144">
        <f>IF(K144=1,(Pu-E144)/(H144-E144),"")</f>
      </c>
      <c r="M144" s="12">
        <f>IF(K144=1,F144+L144*(I144-F144),"")</f>
      </c>
      <c r="N144" s="12">
        <f>IF(K144=1,G144+L144*(J144-G144),"")</f>
      </c>
    </row>
    <row r="145" spans="2:14" x14ac:dyDescent="0.25">
      <c r="B145">
        <v>7</v>
      </c>
      <c r="C145">
        <v>59.999999999999986</v>
      </c>
      <c r="D145">
        <v>15</v>
      </c>
      <c r="E145" s="18">
        <v>1637.589209114315</v>
      </c>
      <c r="F145" s="18">
        <v>2758.9611942195716</v>
      </c>
      <c r="G145" s="18">
        <v>2523.6827426699087</v>
      </c>
      <c r="H145" s="12">
        <f>E146</f>
      </c>
      <c r="I145" s="12">
        <f>F146</f>
      </c>
      <c r="J145" s="12">
        <f>G146</f>
      </c>
      <c r="K145">
        <f>IF(AND(Pu&gt;=MIN(E145,H145),Pu&lt;=MAX(E145,H145),E145&lt;&gt;H145),1,0)</f>
      </c>
      <c r="L145">
        <f>IF(K145=1,(Pu-E145)/(H145-E145),"")</f>
      </c>
      <c r="M145" s="12">
        <f>IF(K145=1,F145+L145*(I145-F145),"")</f>
      </c>
      <c r="N145" s="12">
        <f>IF(K145=1,G145+L145*(J145-G145),"")</f>
      </c>
    </row>
    <row r="146" spans="2:14" x14ac:dyDescent="0.25">
      <c r="B146">
        <v>7</v>
      </c>
      <c r="C146">
        <v>59.999999999999986</v>
      </c>
      <c r="D146">
        <v>16</v>
      </c>
      <c r="E146" s="18">
        <v>454.51459456183653</v>
      </c>
      <c r="F146" s="18">
        <v>2337.6940815534126</v>
      </c>
      <c r="G146" s="18">
        <v>2221.031636311089</v>
      </c>
      <c r="H146" s="12">
        <f>E147</f>
      </c>
      <c r="I146" s="12">
        <f>F147</f>
      </c>
      <c r="J146" s="12">
        <f>G147</f>
      </c>
      <c r="K146">
        <f>IF(AND(Pu&gt;=MIN(E146,H146),Pu&lt;=MAX(E146,H146),E146&lt;&gt;H146),1,0)</f>
      </c>
      <c r="L146">
        <f>IF(K146=1,(Pu-E146)/(H146-E146),"")</f>
      </c>
      <c r="M146" s="12">
        <f>IF(K146=1,F146+L146*(I146-F146),"")</f>
      </c>
      <c r="N146" s="12">
        <f>IF(K146=1,G146+L146*(J146-G146),"")</f>
      </c>
    </row>
    <row r="147" spans="2:14" x14ac:dyDescent="0.25">
      <c r="B147">
        <v>7</v>
      </c>
      <c r="C147">
        <v>59.999999999999986</v>
      </c>
      <c r="D147">
        <v>17</v>
      </c>
      <c r="E147" s="18">
        <v>-1552.097392240689</v>
      </c>
      <c r="F147" s="18">
        <v>1541.74004355525</v>
      </c>
      <c r="G147" s="18">
        <v>1576.7650024787317</v>
      </c>
      <c r="H147" s="12">
        <f>E148</f>
      </c>
      <c r="I147" s="12">
        <f>F148</f>
      </c>
      <c r="J147" s="12">
        <f>G148</f>
      </c>
      <c r="K147">
        <f>IF(AND(Pu&gt;=MIN(E147,H147),Pu&lt;=MAX(E147,H147),E147&lt;&gt;H147),1,0)</f>
      </c>
      <c r="L147">
        <f>IF(K147=1,(Pu-E147)/(H147-E147),"")</f>
      </c>
      <c r="M147" s="12">
        <f>IF(K147=1,F147+L147*(I147-F147),"")</f>
      </c>
      <c r="N147" s="12">
        <f>IF(K147=1,G147+L147*(J147-G147),"")</f>
      </c>
    </row>
    <row r="148" spans="2:14" x14ac:dyDescent="0.25">
      <c r="B148">
        <v>7</v>
      </c>
      <c r="C148">
        <v>59.999999999999986</v>
      </c>
      <c r="D148">
        <v>18</v>
      </c>
      <c r="E148" s="18">
        <v>-2685.930774914732</v>
      </c>
      <c r="F148" s="18">
        <v>1059.286716705791</v>
      </c>
      <c r="G148" s="18">
        <v>1117.6191978244196</v>
      </c>
      <c r="H148" s="12">
        <f>E149</f>
      </c>
      <c r="I148" s="12">
        <f>F149</f>
      </c>
      <c r="J148" s="12">
        <f>G149</f>
      </c>
      <c r="K148">
        <f>IF(AND(Pu&gt;=MIN(E148,H148),Pu&lt;=MAX(E148,H148),E148&lt;&gt;H148),1,0)</f>
      </c>
      <c r="L148">
        <f>IF(K148=1,(Pu-E148)/(H148-E148),"")</f>
      </c>
      <c r="M148" s="12">
        <f>IF(K148=1,F148+L148*(I148-F148),"")</f>
      </c>
      <c r="N148" s="12">
        <f>IF(K148=1,G148+L148*(J148-G148),"")</f>
      </c>
    </row>
    <row r="149" spans="2:7" x14ac:dyDescent="0.25">
      <c r="B149">
        <v>7</v>
      </c>
      <c r="C149">
        <v>59.999999999999986</v>
      </c>
      <c r="D149">
        <v>19</v>
      </c>
      <c r="E149" s="18">
        <v>-4292.711667858743</v>
      </c>
      <c r="F149" s="18">
        <v>329.7583087806502</v>
      </c>
      <c r="G149" s="18">
        <v>328.58245107037845</v>
      </c>
    </row>
    <row r="151" spans="2:14" x14ac:dyDescent="0.25">
      <c r="B151">
        <v>8</v>
      </c>
      <c r="C151">
        <v>70.00000000000003</v>
      </c>
      <c r="D151">
        <v>1</v>
      </c>
      <c r="E151" s="18">
        <v>16402.860173841542</v>
      </c>
      <c r="F151" s="18">
        <v>2466.1710306399063</v>
      </c>
      <c r="G151" s="18">
        <v>1379.482518206768</v>
      </c>
      <c r="H151" s="12">
        <f>E152</f>
      </c>
      <c r="I151" s="12">
        <f>F152</f>
      </c>
      <c r="J151" s="12">
        <f>G152</f>
      </c>
      <c r="K151">
        <f>IF(AND(Pu&gt;=MIN(E151,H151),Pu&lt;=MAX(E151,H151),E151&lt;&gt;H151),1,0)</f>
      </c>
      <c r="L151">
        <f>IF(K151=1,(Pu-E151)/(H151-E151),"")</f>
      </c>
      <c r="M151" s="12">
        <f>IF(K151=1,F151+L151*(I151-F151),"")</f>
      </c>
      <c r="N151" s="12">
        <f>IF(K151=1,G151+L151*(J151-G151),"")</f>
      </c>
    </row>
    <row r="152" spans="2:14" x14ac:dyDescent="0.25">
      <c r="B152">
        <v>8</v>
      </c>
      <c r="C152">
        <v>70.00000000000003</v>
      </c>
      <c r="D152">
        <v>2</v>
      </c>
      <c r="E152" s="18">
        <v>13718.869376902887</v>
      </c>
      <c r="F152" s="18">
        <v>3324.228520240987</v>
      </c>
      <c r="G152" s="18">
        <v>1376.0762869814703</v>
      </c>
      <c r="H152" s="12">
        <f>E153</f>
      </c>
      <c r="I152" s="12">
        <f>F153</f>
      </c>
      <c r="J152" s="12">
        <f>G153</f>
      </c>
      <c r="K152">
        <f>IF(AND(Pu&gt;=MIN(E152,H152),Pu&lt;=MAX(E152,H152),E152&lt;&gt;H152),1,0)</f>
      </c>
      <c r="L152">
        <f>IF(K152=1,(Pu-E152)/(H152-E152),"")</f>
      </c>
      <c r="M152" s="12">
        <f>IF(K152=1,F152+L152*(I152-F152),"")</f>
      </c>
      <c r="N152" s="12">
        <f>IF(K152=1,G152+L152*(J152-G152),"")</f>
      </c>
    </row>
    <row r="153" spans="2:14" x14ac:dyDescent="0.25">
      <c r="B153">
        <v>8</v>
      </c>
      <c r="C153">
        <v>70.00000000000003</v>
      </c>
      <c r="D153">
        <v>3</v>
      </c>
      <c r="E153" s="18">
        <v>12744.95786852382</v>
      </c>
      <c r="F153" s="18">
        <v>3542.0083583097785</v>
      </c>
      <c r="G153" s="18">
        <v>1410.9333713563685</v>
      </c>
      <c r="H153" s="12">
        <f>E154</f>
      </c>
      <c r="I153" s="12">
        <f>F154</f>
      </c>
      <c r="J153" s="12">
        <f>G154</f>
      </c>
      <c r="K153">
        <f>IF(AND(Pu&gt;=MIN(E153,H153),Pu&lt;=MAX(E153,H153),E153&lt;&gt;H153),1,0)</f>
      </c>
      <c r="L153">
        <f>IF(K153=1,(Pu-E153)/(H153-E153),"")</f>
      </c>
      <c r="M153" s="12">
        <f>IF(K153=1,F153+L153*(I153-F153),"")</f>
      </c>
      <c r="N153" s="12">
        <f>IF(K153=1,G153+L153*(J153-G153),"")</f>
      </c>
    </row>
    <row r="154" spans="2:14" x14ac:dyDescent="0.25">
      <c r="B154">
        <v>8</v>
      </c>
      <c r="C154">
        <v>70.00000000000003</v>
      </c>
      <c r="D154">
        <v>4</v>
      </c>
      <c r="E154" s="18">
        <v>11872.925768562738</v>
      </c>
      <c r="F154" s="18">
        <v>3706.3377111254476</v>
      </c>
      <c r="G154" s="18">
        <v>1428.524321147503</v>
      </c>
      <c r="H154" s="12">
        <f>E155</f>
      </c>
      <c r="I154" s="12">
        <f>F155</f>
      </c>
      <c r="J154" s="12">
        <f>G155</f>
      </c>
      <c r="K154">
        <f>IF(AND(Pu&gt;=MIN(E154,H154),Pu&lt;=MAX(E154,H154),E154&lt;&gt;H154),1,0)</f>
      </c>
      <c r="L154">
        <f>IF(K154=1,(Pu-E154)/(H154-E154),"")</f>
      </c>
      <c r="M154" s="12">
        <f>IF(K154=1,F154+L154*(I154-F154),"")</f>
      </c>
      <c r="N154" s="12">
        <f>IF(K154=1,G154+L154*(J154-G154),"")</f>
      </c>
    </row>
    <row r="155" spans="2:14" x14ac:dyDescent="0.25">
      <c r="B155">
        <v>8</v>
      </c>
      <c r="C155">
        <v>70.00000000000003</v>
      </c>
      <c r="D155">
        <v>5</v>
      </c>
      <c r="E155" s="18">
        <v>11068.391549557178</v>
      </c>
      <c r="F155" s="18">
        <v>3824.0399705365303</v>
      </c>
      <c r="G155" s="18">
        <v>1457.8706348871606</v>
      </c>
      <c r="H155" s="12">
        <f>E156</f>
      </c>
      <c r="I155" s="12">
        <f>F156</f>
      </c>
      <c r="J155" s="12">
        <f>G156</f>
      </c>
      <c r="K155">
        <f>IF(AND(Pu&gt;=MIN(E155,H155),Pu&lt;=MAX(E155,H155),E155&lt;&gt;H155),1,0)</f>
      </c>
      <c r="L155">
        <f>IF(K155=1,(Pu-E155)/(H155-E155),"")</f>
      </c>
      <c r="M155" s="12">
        <f>IF(K155=1,F155+L155*(I155-F155),"")</f>
      </c>
      <c r="N155" s="12">
        <f>IF(K155=1,G155+L155*(J155-G155),"")</f>
      </c>
    </row>
    <row r="156" spans="2:14" x14ac:dyDescent="0.25">
      <c r="B156">
        <v>8</v>
      </c>
      <c r="C156">
        <v>70.00000000000003</v>
      </c>
      <c r="D156">
        <v>6</v>
      </c>
      <c r="E156" s="18">
        <v>10332.108876569122</v>
      </c>
      <c r="F156" s="18">
        <v>3905.486047511334</v>
      </c>
      <c r="G156" s="18">
        <v>1498.591570669262</v>
      </c>
      <c r="H156" s="12">
        <f>E157</f>
      </c>
      <c r="I156" s="12">
        <f>F157</f>
      </c>
      <c r="J156" s="12">
        <f>G157</f>
      </c>
      <c r="K156">
        <f>IF(AND(Pu&gt;=MIN(E156,H156),Pu&lt;=MAX(E156,H156),E156&lt;&gt;H156),1,0)</f>
      </c>
      <c r="L156">
        <f>IF(K156=1,(Pu-E156)/(H156-E156),"")</f>
      </c>
      <c r="M156" s="12">
        <f>IF(K156=1,F156+L156*(I156-F156),"")</f>
      </c>
      <c r="N156" s="12">
        <f>IF(K156=1,G156+L156*(J156-G156),"")</f>
      </c>
    </row>
    <row r="157" spans="2:14" x14ac:dyDescent="0.25">
      <c r="B157">
        <v>8</v>
      </c>
      <c r="C157">
        <v>70.00000000000003</v>
      </c>
      <c r="D157">
        <v>7</v>
      </c>
      <c r="E157" s="18">
        <v>9631.833173417353</v>
      </c>
      <c r="F157" s="18">
        <v>3968.4335048740827</v>
      </c>
      <c r="G157" s="18">
        <v>1531.005650795104</v>
      </c>
      <c r="H157" s="12">
        <f>E158</f>
      </c>
      <c r="I157" s="12">
        <f>F158</f>
      </c>
      <c r="J157" s="12">
        <f>G158</f>
      </c>
      <c r="K157">
        <f>IF(AND(Pu&gt;=MIN(E157,H157),Pu&lt;=MAX(E157,H157),E157&lt;&gt;H157),1,0)</f>
      </c>
      <c r="L157">
        <f>IF(K157=1,(Pu-E157)/(H157-E157),"")</f>
      </c>
      <c r="M157" s="12">
        <f>IF(K157=1,F157+L157*(I157-F157),"")</f>
      </c>
      <c r="N157" s="12">
        <f>IF(K157=1,G157+L157*(J157-G157),"")</f>
      </c>
    </row>
    <row r="158" spans="2:14" x14ac:dyDescent="0.25">
      <c r="B158">
        <v>8</v>
      </c>
      <c r="C158">
        <v>70.00000000000003</v>
      </c>
      <c r="D158">
        <v>8</v>
      </c>
      <c r="E158" s="18">
        <v>8988.870002011943</v>
      </c>
      <c r="F158" s="18">
        <v>4019.5926753333842</v>
      </c>
      <c r="G158" s="18">
        <v>1554.355054876502</v>
      </c>
      <c r="H158" s="12">
        <f>E159</f>
      </c>
      <c r="I158" s="12">
        <f>F159</f>
      </c>
      <c r="J158" s="12">
        <f>G159</f>
      </c>
      <c r="K158">
        <f>IF(AND(Pu&gt;=MIN(E158,H158),Pu&lt;=MAX(E158,H158),E158&lt;&gt;H158),1,0)</f>
      </c>
      <c r="L158">
        <f>IF(K158=1,(Pu-E158)/(H158-E158),"")</f>
      </c>
      <c r="M158" s="12">
        <f>IF(K158=1,F158+L158*(I158-F158),"")</f>
      </c>
      <c r="N158" s="12">
        <f>IF(K158=1,G158+L158*(J158-G158),"")</f>
      </c>
    </row>
    <row r="159" spans="2:14" x14ac:dyDescent="0.25">
      <c r="B159">
        <v>8</v>
      </c>
      <c r="C159">
        <v>70.00000000000003</v>
      </c>
      <c r="D159">
        <v>9</v>
      </c>
      <c r="E159" s="18">
        <v>8252.707873920064</v>
      </c>
      <c r="F159" s="18">
        <v>4245.674202980198</v>
      </c>
      <c r="G159" s="18">
        <v>1679.4218659264652</v>
      </c>
      <c r="H159" s="12">
        <f>E160</f>
      </c>
      <c r="I159" s="12">
        <f>F160</f>
      </c>
      <c r="J159" s="12">
        <f>G160</f>
      </c>
      <c r="K159">
        <f>IF(AND(Pu&gt;=MIN(E159,H159),Pu&lt;=MAX(E159,H159),E159&lt;&gt;H159),1,0)</f>
      </c>
      <c r="L159">
        <f>IF(K159=1,(Pu-E159)/(H159-E159),"")</f>
      </c>
      <c r="M159" s="12">
        <f>IF(K159=1,F159+L159*(I159-F159),"")</f>
      </c>
      <c r="N159" s="12">
        <f>IF(K159=1,G159+L159*(J159-G159),"")</f>
      </c>
    </row>
    <row r="160" spans="2:14" x14ac:dyDescent="0.25">
      <c r="B160">
        <v>8</v>
      </c>
      <c r="C160">
        <v>70.00000000000003</v>
      </c>
      <c r="D160">
        <v>10</v>
      </c>
      <c r="E160" s="18">
        <v>7655.125540397139</v>
      </c>
      <c r="F160" s="18">
        <v>4378.323743754365</v>
      </c>
      <c r="G160" s="18">
        <v>1783.6000502295421</v>
      </c>
      <c r="H160" s="12">
        <f>E161</f>
      </c>
      <c r="I160" s="12">
        <f>F161</f>
      </c>
      <c r="J160" s="12">
        <f>G161</f>
      </c>
      <c r="K160">
        <f>IF(AND(Pu&gt;=MIN(E160,H160),Pu&lt;=MAX(E160,H160),E160&lt;&gt;H160),1,0)</f>
      </c>
      <c r="L160">
        <f>IF(K160=1,(Pu-E160)/(H160-E160),"")</f>
      </c>
      <c r="M160" s="12">
        <f>IF(K160=1,F160+L160*(I160-F160),"")</f>
      </c>
      <c r="N160" s="12">
        <f>IF(K160=1,G160+L160*(J160-G160),"")</f>
      </c>
    </row>
    <row r="161" spans="2:14" x14ac:dyDescent="0.25">
      <c r="B161">
        <v>8</v>
      </c>
      <c r="C161">
        <v>70.00000000000003</v>
      </c>
      <c r="D161">
        <v>11</v>
      </c>
      <c r="E161" s="18">
        <v>7128.5135400788</v>
      </c>
      <c r="F161" s="18">
        <v>4456.49737853079</v>
      </c>
      <c r="G161" s="18">
        <v>1887.5318161874113</v>
      </c>
      <c r="H161" s="12">
        <f>E162</f>
      </c>
      <c r="I161" s="12">
        <f>F162</f>
      </c>
      <c r="J161" s="12">
        <f>G162</f>
      </c>
      <c r="K161">
        <f>IF(AND(Pu&gt;=MIN(E161,H161),Pu&lt;=MAX(E161,H161),E161&lt;&gt;H161),1,0)</f>
      </c>
      <c r="L161">
        <f>IF(K161=1,(Pu-E161)/(H161-E161),"")</f>
      </c>
      <c r="M161" s="12">
        <f>IF(K161=1,F161+L161*(I161-F161),"")</f>
      </c>
      <c r="N161" s="12">
        <f>IF(K161=1,G161+L161*(J161-G161),"")</f>
      </c>
    </row>
    <row r="162" spans="2:14" x14ac:dyDescent="0.25">
      <c r="B162">
        <v>8</v>
      </c>
      <c r="C162">
        <v>70.00000000000003</v>
      </c>
      <c r="D162">
        <v>12</v>
      </c>
      <c r="E162" s="18">
        <v>6661.153873931223</v>
      </c>
      <c r="F162" s="18">
        <v>4486.661048542756</v>
      </c>
      <c r="G162" s="18">
        <v>1976.8965861315064</v>
      </c>
      <c r="H162" s="12">
        <f>E163</f>
      </c>
      <c r="I162" s="12">
        <f>F163</f>
      </c>
      <c r="J162" s="12">
        <f>G163</f>
      </c>
      <c r="K162">
        <f>IF(AND(Pu&gt;=MIN(E162,H162),Pu&lt;=MAX(E162,H162),E162&lt;&gt;H162),1,0)</f>
      </c>
      <c r="L162">
        <f>IF(K162=1,(Pu-E162)/(H162-E162),"")</f>
      </c>
      <c r="M162" s="12">
        <f>IF(K162=1,F162+L162*(I162-F162),"")</f>
      </c>
      <c r="N162" s="12">
        <f>IF(K162=1,G162+L162*(J162-G162),"")</f>
      </c>
    </row>
    <row r="163" spans="2:14" x14ac:dyDescent="0.25">
      <c r="B163">
        <v>8</v>
      </c>
      <c r="C163">
        <v>70.00000000000003</v>
      </c>
      <c r="D163">
        <v>13</v>
      </c>
      <c r="E163" s="18">
        <v>5508.708329790146</v>
      </c>
      <c r="F163" s="18">
        <v>4409.065284635746</v>
      </c>
      <c r="G163" s="18">
        <v>2188.501569054944</v>
      </c>
      <c r="H163" s="12">
        <f>E164</f>
      </c>
      <c r="I163" s="12">
        <f>F164</f>
      </c>
      <c r="J163" s="12">
        <f>G164</f>
      </c>
      <c r="K163">
        <f>IF(AND(Pu&gt;=MIN(E163,H163),Pu&lt;=MAX(E163,H163),E163&lt;&gt;H163),1,0)</f>
      </c>
      <c r="L163">
        <f>IF(K163=1,(Pu-E163)/(H163-E163),"")</f>
      </c>
      <c r="M163" s="12">
        <f>IF(K163=1,F163+L163*(I163-F163),"")</f>
      </c>
      <c r="N163" s="12">
        <f>IF(K163=1,G163+L163*(J163-G163),"")</f>
      </c>
    </row>
    <row r="164" spans="2:14" x14ac:dyDescent="0.25">
      <c r="B164">
        <v>8</v>
      </c>
      <c r="C164">
        <v>70.00000000000003</v>
      </c>
      <c r="D164">
        <v>14</v>
      </c>
      <c r="E164" s="18">
        <v>4141.388778317832</v>
      </c>
      <c r="F164" s="18">
        <v>3979.1241367274433</v>
      </c>
      <c r="G164" s="18">
        <v>2166.7792636844497</v>
      </c>
      <c r="H164" s="12">
        <f>E165</f>
      </c>
      <c r="I164" s="12">
        <f>F165</f>
      </c>
      <c r="J164" s="12">
        <f>G165</f>
      </c>
      <c r="K164">
        <f>IF(AND(Pu&gt;=MIN(E164,H164),Pu&lt;=MAX(E164,H164),E164&lt;&gt;H164),1,0)</f>
      </c>
      <c r="L164">
        <f>IF(K164=1,(Pu-E164)/(H164-E164),"")</f>
      </c>
      <c r="M164" s="12">
        <f>IF(K164=1,F164+L164*(I164-F164),"")</f>
      </c>
      <c r="N164" s="12">
        <f>IF(K164=1,G164+L164*(J164-G164),"")</f>
      </c>
    </row>
    <row r="165" spans="2:14" x14ac:dyDescent="0.25">
      <c r="B165">
        <v>8</v>
      </c>
      <c r="C165">
        <v>70.00000000000003</v>
      </c>
      <c r="D165">
        <v>15</v>
      </c>
      <c r="E165" s="18">
        <v>2174.956338595558</v>
      </c>
      <c r="F165" s="18">
        <v>3254.751395929609</v>
      </c>
      <c r="G165" s="18">
        <v>2039.5887020591172</v>
      </c>
      <c r="H165" s="12">
        <f>E166</f>
      </c>
      <c r="I165" s="12">
        <f>F166</f>
      </c>
      <c r="J165" s="12">
        <f>G166</f>
      </c>
      <c r="K165">
        <f>IF(AND(Pu&gt;=MIN(E165,H165),Pu&lt;=MAX(E165,H165),E165&lt;&gt;H165),1,0)</f>
      </c>
      <c r="L165">
        <f>IF(K165=1,(Pu-E165)/(H165-E165),"")</f>
      </c>
      <c r="M165" s="12">
        <f>IF(K165=1,F165+L165*(I165-F165),"")</f>
      </c>
      <c r="N165" s="12">
        <f>IF(K165=1,G165+L165*(J165-G165),"")</f>
      </c>
    </row>
    <row r="166" spans="2:14" x14ac:dyDescent="0.25">
      <c r="B166">
        <v>8</v>
      </c>
      <c r="C166">
        <v>70.00000000000003</v>
      </c>
      <c r="D166">
        <v>16</v>
      </c>
      <c r="E166" s="18">
        <v>922.3508553688732</v>
      </c>
      <c r="F166" s="18">
        <v>2750.4170666280243</v>
      </c>
      <c r="G166" s="18">
        <v>1834.6814242562623</v>
      </c>
      <c r="H166" s="12">
        <f>E167</f>
      </c>
      <c r="I166" s="12">
        <f>F167</f>
      </c>
      <c r="J166" s="12">
        <f>G167</f>
      </c>
      <c r="K166">
        <f>IF(AND(Pu&gt;=MIN(E166,H166),Pu&lt;=MAX(E166,H166),E166&lt;&gt;H166),1,0)</f>
      </c>
      <c r="L166">
        <f>IF(K166=1,(Pu-E166)/(H166-E166),"")</f>
      </c>
      <c r="M166" s="12">
        <f>IF(K166=1,F166+L166*(I166-F166),"")</f>
      </c>
      <c r="N166" s="12">
        <f>IF(K166=1,G166+L166*(J166-G166),"")</f>
      </c>
    </row>
    <row r="167" spans="2:14" x14ac:dyDescent="0.25">
      <c r="B167">
        <v>8</v>
      </c>
      <c r="C167">
        <v>70.00000000000003</v>
      </c>
      <c r="D167">
        <v>17</v>
      </c>
      <c r="E167" s="18">
        <v>-1331.0326370325402</v>
      </c>
      <c r="F167" s="18">
        <v>1772.3147137848664</v>
      </c>
      <c r="G167" s="18">
        <v>1328.431899933759</v>
      </c>
      <c r="H167" s="12">
        <f>E168</f>
      </c>
      <c r="I167" s="12">
        <f>F168</f>
      </c>
      <c r="J167" s="12">
        <f>G168</f>
      </c>
      <c r="K167">
        <f>IF(AND(Pu&gt;=MIN(E167,H167),Pu&lt;=MAX(E167,H167),E167&lt;&gt;H167),1,0)</f>
      </c>
      <c r="L167">
        <f>IF(K167=1,(Pu-E167)/(H167-E167),"")</f>
      </c>
      <c r="M167" s="12">
        <f>IF(K167=1,F167+L167*(I167-F167),"")</f>
      </c>
      <c r="N167" s="12">
        <f>IF(K167=1,G167+L167*(J167-G167),"")</f>
      </c>
    </row>
    <row r="168" spans="2:14" x14ac:dyDescent="0.25">
      <c r="B168">
        <v>8</v>
      </c>
      <c r="C168">
        <v>70.00000000000003</v>
      </c>
      <c r="D168">
        <v>18</v>
      </c>
      <c r="E168" s="18">
        <v>-2582.961794158477</v>
      </c>
      <c r="F168" s="18">
        <v>1179.8767334014276</v>
      </c>
      <c r="G168" s="18">
        <v>969.9984270243807</v>
      </c>
      <c r="H168" s="12">
        <f>E169</f>
      </c>
      <c r="I168" s="12">
        <f>F169</f>
      </c>
      <c r="J168" s="12">
        <f>G169</f>
      </c>
      <c r="K168">
        <f>IF(AND(Pu&gt;=MIN(E168,H168),Pu&lt;=MAX(E168,H168),E168&lt;&gt;H168),1,0)</f>
      </c>
      <c r="L168">
        <f>IF(K168=1,(Pu-E168)/(H168-E168),"")</f>
      </c>
      <c r="M168" s="12">
        <f>IF(K168=1,F168+L168*(I168-F168),"")</f>
      </c>
      <c r="N168" s="12">
        <f>IF(K168=1,G168+L168*(J168-G168),"")</f>
      </c>
    </row>
    <row r="169" spans="2:7" x14ac:dyDescent="0.25">
      <c r="B169">
        <v>8</v>
      </c>
      <c r="C169">
        <v>70.00000000000003</v>
      </c>
      <c r="D169">
        <v>19</v>
      </c>
      <c r="E169" s="18">
        <v>-4318.16975812096</v>
      </c>
      <c r="F169" s="18">
        <v>328.6861640066757</v>
      </c>
      <c r="G169" s="18">
        <v>285.0232226410464</v>
      </c>
    </row>
    <row r="171" spans="2:14" x14ac:dyDescent="0.25">
      <c r="B171">
        <v>9</v>
      </c>
      <c r="C171">
        <v>80.00000000000001</v>
      </c>
      <c r="D171">
        <v>1</v>
      </c>
      <c r="E171" s="18">
        <v>17113.04946911382</v>
      </c>
      <c r="F171" s="18">
        <v>2364.084973480509</v>
      </c>
      <c r="G171" s="18">
        <v>755.091605512162</v>
      </c>
      <c r="H171" s="12">
        <f>E172</f>
      </c>
      <c r="I171" s="12">
        <f>F172</f>
      </c>
      <c r="J171" s="12">
        <f>G172</f>
      </c>
      <c r="K171">
        <f>IF(AND(Pu&gt;=MIN(E171,H171),Pu&lt;=MAX(E171,H171),E171&lt;&gt;H171),1,0)</f>
      </c>
      <c r="L171">
        <f>IF(K171=1,(Pu-E171)/(H171-E171),"")</f>
      </c>
      <c r="M171" s="12">
        <f>IF(K171=1,F171+L171*(I171-F171),"")</f>
      </c>
      <c r="N171" s="12">
        <f>IF(K171=1,G171+L171*(J171-G171),"")</f>
      </c>
    </row>
    <row r="172" spans="2:14" x14ac:dyDescent="0.25">
      <c r="B172">
        <v>9</v>
      </c>
      <c r="C172">
        <v>80.00000000000001</v>
      </c>
      <c r="D172">
        <v>2</v>
      </c>
      <c r="E172" s="18">
        <v>15584.57958501061</v>
      </c>
      <c r="F172" s="18">
        <v>2957.0743911130203</v>
      </c>
      <c r="G172" s="18">
        <v>694.6412418661441</v>
      </c>
      <c r="H172" s="12">
        <f>E173</f>
      </c>
      <c r="I172" s="12">
        <f>F173</f>
      </c>
      <c r="J172" s="12">
        <f>G173</f>
      </c>
      <c r="K172">
        <f>IF(AND(Pu&gt;=MIN(E172,H172),Pu&lt;=MAX(E172,H172),E172&lt;&gt;H172),1,0)</f>
      </c>
      <c r="L172">
        <f>IF(K172=1,(Pu-E172)/(H172-E172),"")</f>
      </c>
      <c r="M172" s="12">
        <f>IF(K172=1,F172+L172*(I172-F172),"")</f>
      </c>
      <c r="N172" s="12">
        <f>IF(K172=1,G172+L172*(J172-G172),"")</f>
      </c>
    </row>
    <row r="173" spans="2:14" x14ac:dyDescent="0.25">
      <c r="B173">
        <v>9</v>
      </c>
      <c r="C173">
        <v>80.00000000000001</v>
      </c>
      <c r="D173">
        <v>3</v>
      </c>
      <c r="E173" s="18">
        <v>13401.396220702616</v>
      </c>
      <c r="F173" s="18">
        <v>3597.3655587769867</v>
      </c>
      <c r="G173" s="18">
        <v>672.8634776325093</v>
      </c>
      <c r="H173" s="12">
        <f>E174</f>
      </c>
      <c r="I173" s="12">
        <f>F174</f>
      </c>
      <c r="J173" s="12">
        <f>G174</f>
      </c>
      <c r="K173">
        <f>IF(AND(Pu&gt;=MIN(E173,H173),Pu&lt;=MAX(E173,H173),E173&lt;&gt;H173),1,0)</f>
      </c>
      <c r="L173">
        <f>IF(K173=1,(Pu-E173)/(H173-E173),"")</f>
      </c>
      <c r="M173" s="12">
        <f>IF(K173=1,F173+L173*(I173-F173),"")</f>
      </c>
      <c r="N173" s="12">
        <f>IF(K173=1,G173+L173*(J173-G173),"")</f>
      </c>
    </row>
    <row r="174" spans="2:14" x14ac:dyDescent="0.25">
      <c r="B174">
        <v>9</v>
      </c>
      <c r="C174">
        <v>80.00000000000001</v>
      </c>
      <c r="D174">
        <v>4</v>
      </c>
      <c r="E174" s="18">
        <v>12538.777426234716</v>
      </c>
      <c r="F174" s="18">
        <v>3782.6351603388953</v>
      </c>
      <c r="G174" s="18">
        <v>700.2764126649993</v>
      </c>
      <c r="H174" s="12">
        <f>E175</f>
      </c>
      <c r="I174" s="12">
        <f>F175</f>
      </c>
      <c r="J174" s="12">
        <f>G175</f>
      </c>
      <c r="K174">
        <f>IF(AND(Pu&gt;=MIN(E174,H174),Pu&lt;=MAX(E174,H174),E174&lt;&gt;H174),1,0)</f>
      </c>
      <c r="L174">
        <f>IF(K174=1,(Pu-E174)/(H174-E174),"")</f>
      </c>
      <c r="M174" s="12">
        <f>IF(K174=1,F174+L174*(I174-F174),"")</f>
      </c>
      <c r="N174" s="12">
        <f>IF(K174=1,G174+L174*(J174-G174),"")</f>
      </c>
    </row>
    <row r="175" spans="2:14" x14ac:dyDescent="0.25">
      <c r="B175">
        <v>9</v>
      </c>
      <c r="C175">
        <v>80.00000000000001</v>
      </c>
      <c r="D175">
        <v>5</v>
      </c>
      <c r="E175" s="18">
        <v>11737.913111242176</v>
      </c>
      <c r="F175" s="18">
        <v>3928.739095650866</v>
      </c>
      <c r="G175" s="18">
        <v>718.6325722833379</v>
      </c>
      <c r="H175" s="12">
        <f>E176</f>
      </c>
      <c r="I175" s="12">
        <f>F176</f>
      </c>
      <c r="J175" s="12">
        <f>G176</f>
      </c>
      <c r="K175">
        <f>IF(AND(Pu&gt;=MIN(E175,H175),Pu&lt;=MAX(E175,H175),E175&lt;&gt;H175),1,0)</f>
      </c>
      <c r="L175">
        <f>IF(K175=1,(Pu-E175)/(H175-E175),"")</f>
      </c>
      <c r="M175" s="12">
        <f>IF(K175=1,F175+L175*(I175-F175),"")</f>
      </c>
      <c r="N175" s="12">
        <f>IF(K175=1,G175+L175*(J175-G175),"")</f>
      </c>
    </row>
    <row r="176" spans="2:14" x14ac:dyDescent="0.25">
      <c r="B176">
        <v>9</v>
      </c>
      <c r="C176">
        <v>80.00000000000001</v>
      </c>
      <c r="D176">
        <v>6</v>
      </c>
      <c r="E176" s="18">
        <v>10999.745046410577</v>
      </c>
      <c r="F176" s="18">
        <v>4043.454857356898</v>
      </c>
      <c r="G176" s="18">
        <v>736.9887319016773</v>
      </c>
      <c r="H176" s="12">
        <f>E177</f>
      </c>
      <c r="I176" s="12">
        <f>F177</f>
      </c>
      <c r="J176" s="12">
        <f>G177</f>
      </c>
      <c r="K176">
        <f>IF(AND(Pu&gt;=MIN(E176,H176),Pu&lt;=MAX(E176,H176),E176&lt;&gt;H176),1,0)</f>
      </c>
      <c r="L176">
        <f>IF(K176=1,(Pu-E176)/(H176-E176),"")</f>
      </c>
      <c r="M176" s="12">
        <f>IF(K176=1,F176+L176*(I176-F176),"")</f>
      </c>
      <c r="N176" s="12">
        <f>IF(K176=1,G176+L176*(J176-G176),"")</f>
      </c>
    </row>
    <row r="177" spans="2:14" x14ac:dyDescent="0.25">
      <c r="B177">
        <v>9</v>
      </c>
      <c r="C177">
        <v>80.00000000000001</v>
      </c>
      <c r="D177">
        <v>7</v>
      </c>
      <c r="E177" s="18">
        <v>10327.807348599992</v>
      </c>
      <c r="F177" s="18">
        <v>4136.515355219281</v>
      </c>
      <c r="G177" s="18">
        <v>746.2802154755724</v>
      </c>
      <c r="H177" s="12">
        <f>E178</f>
      </c>
      <c r="I177" s="12">
        <f>F178</f>
      </c>
      <c r="J177" s="12">
        <f>G178</f>
      </c>
      <c r="K177">
        <f>IF(AND(Pu&gt;=MIN(E177,H177),Pu&lt;=MAX(E177,H177),E177&lt;&gt;H177),1,0)</f>
      </c>
      <c r="L177">
        <f>IF(K177=1,(Pu-E177)/(H177-E177),"")</f>
      </c>
      <c r="M177" s="12">
        <f>IF(K177=1,F177+L177*(I177-F177),"")</f>
      </c>
      <c r="N177" s="12">
        <f>IF(K177=1,G177+L177*(J177-G177),"")</f>
      </c>
    </row>
    <row r="178" spans="2:14" x14ac:dyDescent="0.25">
      <c r="B178">
        <v>9</v>
      </c>
      <c r="C178">
        <v>80.00000000000001</v>
      </c>
      <c r="D178">
        <v>8</v>
      </c>
      <c r="E178" s="18">
        <v>9687.582776052619</v>
      </c>
      <c r="F178" s="18">
        <v>4211.3331310207</v>
      </c>
      <c r="G178" s="18">
        <v>764.6363750939113</v>
      </c>
      <c r="H178" s="12">
        <f>E179</f>
      </c>
      <c r="I178" s="12">
        <f>F179</f>
      </c>
      <c r="J178" s="12">
        <f>G179</f>
      </c>
      <c r="K178">
        <f>IF(AND(Pu&gt;=MIN(E178,H178),Pu&lt;=MAX(E178,H178),E178&lt;&gt;H178),1,0)</f>
      </c>
      <c r="L178">
        <f>IF(K178=1,(Pu-E178)/(H178-E178),"")</f>
      </c>
      <c r="M178" s="12">
        <f>IF(K178=1,F178+L178*(I178-F178),"")</f>
      </c>
      <c r="N178" s="12">
        <f>IF(K178=1,G178+L178*(J178-G178),"")</f>
      </c>
    </row>
    <row r="179" spans="2:14" x14ac:dyDescent="0.25">
      <c r="B179">
        <v>9</v>
      </c>
      <c r="C179">
        <v>80.00000000000001</v>
      </c>
      <c r="D179">
        <v>9</v>
      </c>
      <c r="E179" s="18">
        <v>9099.358056058565</v>
      </c>
      <c r="F179" s="18">
        <v>4272.360872545278</v>
      </c>
      <c r="G179" s="18">
        <v>792.057210756695</v>
      </c>
      <c r="H179" s="12">
        <f>E180</f>
      </c>
      <c r="I179" s="12">
        <f>F180</f>
      </c>
      <c r="J179" s="12">
        <f>G180</f>
      </c>
      <c r="K179">
        <f>IF(AND(Pu&gt;=MIN(E179,H179),Pu&lt;=MAX(E179,H179),E179&lt;&gt;H179),1,0)</f>
      </c>
      <c r="L179">
        <f>IF(K179=1,(Pu-E179)/(H179-E179),"")</f>
      </c>
      <c r="M179" s="12">
        <f>IF(K179=1,F179+L179*(I179-F179),"")</f>
      </c>
      <c r="N179" s="12">
        <f>IF(K179=1,G179+L179*(J179-G179),"")</f>
      </c>
    </row>
    <row r="180" spans="2:14" x14ac:dyDescent="0.25">
      <c r="B180">
        <v>9</v>
      </c>
      <c r="C180">
        <v>80.00000000000001</v>
      </c>
      <c r="D180">
        <v>10</v>
      </c>
      <c r="E180" s="18">
        <v>8517.980852627412</v>
      </c>
      <c r="F180" s="18">
        <v>4534.8598497159655</v>
      </c>
      <c r="G180" s="18">
        <v>842.3570419294942</v>
      </c>
      <c r="H180" s="12">
        <f>E181</f>
      </c>
      <c r="I180" s="12">
        <f>F181</f>
      </c>
      <c r="J180" s="12">
        <f>G181</f>
      </c>
      <c r="K180">
        <f>IF(AND(Pu&gt;=MIN(E180,H180),Pu&lt;=MAX(E180,H180),E180&lt;&gt;H180),1,0)</f>
      </c>
      <c r="L180">
        <f>IF(K180=1,(Pu-E180)/(H180-E180),"")</f>
      </c>
      <c r="M180" s="12">
        <f>IF(K180=1,F180+L180*(I180-F180),"")</f>
      </c>
      <c r="N180" s="12">
        <f>IF(K180=1,G180+L180*(J180-G180),"")</f>
      </c>
    </row>
    <row r="181" spans="2:14" x14ac:dyDescent="0.25">
      <c r="B181">
        <v>9</v>
      </c>
      <c r="C181">
        <v>80.00000000000001</v>
      </c>
      <c r="D181">
        <v>11</v>
      </c>
      <c r="E181" s="18">
        <v>8092.39633747415</v>
      </c>
      <c r="F181" s="18">
        <v>4701.845133697934</v>
      </c>
      <c r="G181" s="18">
        <v>901.5792235639829</v>
      </c>
      <c r="H181" s="12">
        <f>E182</f>
      </c>
      <c r="I181" s="12">
        <f>F182</f>
      </c>
      <c r="J181" s="12">
        <f>G182</f>
      </c>
      <c r="K181">
        <f>IF(AND(Pu&gt;=MIN(E181,H181),Pu&lt;=MAX(E181,H181),E181&lt;&gt;H181),1,0)</f>
      </c>
      <c r="L181">
        <f>IF(K181=1,(Pu-E181)/(H181-E181),"")</f>
      </c>
      <c r="M181" s="12">
        <f>IF(K181=1,F181+L181*(I181-F181),"")</f>
      </c>
      <c r="N181" s="12">
        <f>IF(K181=1,G181+L181*(J181-G181),"")</f>
      </c>
    </row>
    <row r="182" spans="2:14" x14ac:dyDescent="0.25">
      <c r="B182">
        <v>9</v>
      </c>
      <c r="C182">
        <v>80.00000000000001</v>
      </c>
      <c r="D182">
        <v>12</v>
      </c>
      <c r="E182" s="18">
        <v>7741.657323242599</v>
      </c>
      <c r="F182" s="18">
        <v>4835.4408718466875</v>
      </c>
      <c r="G182" s="18">
        <v>928.0698766942229</v>
      </c>
      <c r="H182" s="12">
        <f>E183</f>
      </c>
      <c r="I182" s="12">
        <f>F183</f>
      </c>
      <c r="J182" s="12">
        <f>G183</f>
      </c>
      <c r="K182">
        <f>IF(AND(Pu&gt;=MIN(E182,H182),Pu&lt;=MAX(E182,H182),E182&lt;&gt;H182),1,0)</f>
      </c>
      <c r="L182">
        <f>IF(K182=1,(Pu-E182)/(H182-E182),"")</f>
      </c>
      <c r="M182" s="12">
        <f>IF(K182=1,F182+L182*(I182-F182),"")</f>
      </c>
      <c r="N182" s="12">
        <f>IF(K182=1,G182+L182*(J182-G182),"")</f>
      </c>
    </row>
    <row r="183" spans="2:14" x14ac:dyDescent="0.25">
      <c r="B183">
        <v>9</v>
      </c>
      <c r="C183">
        <v>80.00000000000001</v>
      </c>
      <c r="D183">
        <v>13</v>
      </c>
      <c r="E183" s="18">
        <v>7393.101573813024</v>
      </c>
      <c r="F183" s="18">
        <v>4949.502093730552</v>
      </c>
      <c r="G183" s="18">
        <v>979.6819943520024</v>
      </c>
      <c r="H183" s="12">
        <f>E184</f>
      </c>
      <c r="I183" s="12">
        <f>F184</f>
      </c>
      <c r="J183" s="12">
        <f>G184</f>
      </c>
      <c r="K183">
        <f>IF(AND(Pu&gt;=MIN(E183,H183),Pu&lt;=MAX(E183,H183),E183&lt;&gt;H183),1,0)</f>
      </c>
      <c r="L183">
        <f>IF(K183=1,(Pu-E183)/(H183-E183),"")</f>
      </c>
      <c r="M183" s="12">
        <f>IF(K183=1,F183+L183*(I183-F183),"")</f>
      </c>
      <c r="N183" s="12">
        <f>IF(K183=1,G183+L183*(J183-G183),"")</f>
      </c>
    </row>
    <row r="184" spans="2:14" x14ac:dyDescent="0.25">
      <c r="B184">
        <v>9</v>
      </c>
      <c r="C184">
        <v>80.00000000000001</v>
      </c>
      <c r="D184">
        <v>14</v>
      </c>
      <c r="E184" s="18">
        <v>6735.183205085427</v>
      </c>
      <c r="F184" s="18">
        <v>5105.2945014178495</v>
      </c>
      <c r="G184" s="18">
        <v>1065.4580544092378</v>
      </c>
      <c r="H184" s="12">
        <f>E185</f>
      </c>
      <c r="I184" s="12">
        <f>F185</f>
      </c>
      <c r="J184" s="12">
        <f>G185</f>
      </c>
      <c r="K184">
        <f>IF(AND(Pu&gt;=MIN(E184,H184),Pu&lt;=MAX(E184,H184),E184&lt;&gt;H184),1,0)</f>
      </c>
      <c r="L184">
        <f>IF(K184=1,(Pu-E184)/(H184-E184),"")</f>
      </c>
      <c r="M184" s="12">
        <f>IF(K184=1,F184+L184*(I184-F184),"")</f>
      </c>
      <c r="N184" s="12">
        <f>IF(K184=1,G184+L184*(J184-G184),"")</f>
      </c>
    </row>
    <row r="185" spans="2:14" x14ac:dyDescent="0.25">
      <c r="B185">
        <v>9</v>
      </c>
      <c r="C185">
        <v>80.00000000000001</v>
      </c>
      <c r="D185">
        <v>15</v>
      </c>
      <c r="E185" s="18">
        <v>5640.820596567971</v>
      </c>
      <c r="F185" s="18">
        <v>4810.121397692055</v>
      </c>
      <c r="G185" s="18">
        <v>1093.084572961694</v>
      </c>
      <c r="H185" s="12">
        <f>E186</f>
      </c>
      <c r="I185" s="12">
        <f>F186</f>
      </c>
      <c r="J185" s="12">
        <f>G186</f>
      </c>
      <c r="K185">
        <f>IF(AND(Pu&gt;=MIN(E185,H185),Pu&lt;=MAX(E185,H185),E185&lt;&gt;H185),1,0)</f>
      </c>
      <c r="L185">
        <f>IF(K185=1,(Pu-E185)/(H185-E185),"")</f>
      </c>
      <c r="M185" s="12">
        <f>IF(K185=1,F185+L185*(I185-F185),"")</f>
      </c>
      <c r="N185" s="12">
        <f>IF(K185=1,G185+L185*(J185-G185),"")</f>
      </c>
    </row>
    <row r="186" spans="2:14" x14ac:dyDescent="0.25">
      <c r="B186">
        <v>9</v>
      </c>
      <c r="C186">
        <v>80.00000000000001</v>
      </c>
      <c r="D186">
        <v>16</v>
      </c>
      <c r="E186" s="18">
        <v>3747.640168719581</v>
      </c>
      <c r="F186" s="18">
        <v>4159.429081948207</v>
      </c>
      <c r="G186" s="18">
        <v>1156.1548022636166</v>
      </c>
      <c r="H186" s="12">
        <f>E187</f>
      </c>
      <c r="I186" s="12">
        <f>F187</f>
      </c>
      <c r="J186" s="12">
        <f>G187</f>
      </c>
      <c r="K186">
        <f>IF(AND(Pu&gt;=MIN(E186,H186),Pu&lt;=MAX(E186,H186),E186&lt;&gt;H186),1,0)</f>
      </c>
      <c r="L186">
        <f>IF(K186=1,(Pu-E186)/(H186-E186),"")</f>
      </c>
      <c r="M186" s="12">
        <f>IF(K186=1,F186+L186*(I186-F186),"")</f>
      </c>
      <c r="N186" s="12">
        <f>IF(K186=1,G186+L186*(J186-G186),"")</f>
      </c>
    </row>
    <row r="187" spans="2:14" x14ac:dyDescent="0.25">
      <c r="B187">
        <v>9</v>
      </c>
      <c r="C187">
        <v>80.00000000000001</v>
      </c>
      <c r="D187">
        <v>17</v>
      </c>
      <c r="E187" s="18">
        <v>2301.2354813671895</v>
      </c>
      <c r="F187" s="18">
        <v>3586.139228931096</v>
      </c>
      <c r="G187" s="18">
        <v>1186.7326106249534</v>
      </c>
      <c r="H187" s="12">
        <f>E188</f>
      </c>
      <c r="I187" s="12">
        <f>F188</f>
      </c>
      <c r="J187" s="12">
        <f>G188</f>
      </c>
      <c r="K187">
        <f>IF(AND(Pu&gt;=MIN(E187,H187),Pu&lt;=MAX(E187,H187),E187&lt;&gt;H187),1,0)</f>
      </c>
      <c r="L187">
        <f>IF(K187=1,(Pu-E187)/(H187-E187),"")</f>
      </c>
      <c r="M187" s="12">
        <f>IF(K187=1,F187+L187*(I187-F187),"")</f>
      </c>
      <c r="N187" s="12">
        <f>IF(K187=1,G187+L187*(J187-G187),"")</f>
      </c>
    </row>
    <row r="188" spans="2:14" x14ac:dyDescent="0.25">
      <c r="B188">
        <v>9</v>
      </c>
      <c r="C188">
        <v>80.00000000000001</v>
      </c>
      <c r="D188">
        <v>18</v>
      </c>
      <c r="E188" s="18">
        <v>-162.93872668380047</v>
      </c>
      <c r="F188" s="18">
        <v>2464.4599413390456</v>
      </c>
      <c r="G188" s="18">
        <v>960.8067111597829</v>
      </c>
      <c r="H188" s="12">
        <f>E189</f>
      </c>
      <c r="I188" s="12">
        <f>F189</f>
      </c>
      <c r="J188" s="12">
        <f>G189</f>
      </c>
      <c r="K188">
        <f>IF(AND(Pu&gt;=MIN(E188,H188),Pu&lt;=MAX(E188,H188),E188&lt;&gt;H188),1,0)</f>
      </c>
      <c r="L188">
        <f>IF(K188=1,(Pu-E188)/(H188-E188),"")</f>
      </c>
      <c r="M188" s="12">
        <f>IF(K188=1,F188+L188*(I188-F188),"")</f>
      </c>
      <c r="N188" s="12">
        <f>IF(K188=1,G188+L188*(J188-G188),"")</f>
      </c>
    </row>
    <row r="189" spans="2:14" x14ac:dyDescent="0.25">
      <c r="B189">
        <v>9</v>
      </c>
      <c r="C189">
        <v>80.00000000000001</v>
      </c>
      <c r="D189">
        <v>19</v>
      </c>
      <c r="E189" s="18">
        <v>-1726.4291297732864</v>
      </c>
      <c r="F189" s="18">
        <v>1700.391298283813</v>
      </c>
      <c r="G189" s="18">
        <v>727.6224822136062</v>
      </c>
      <c r="H189" s="12">
        <f>E190</f>
      </c>
      <c r="I189" s="12">
        <f>F190</f>
      </c>
      <c r="J189" s="12">
        <f>G190</f>
      </c>
      <c r="K189">
        <f>IF(AND(Pu&gt;=MIN(E189,H189),Pu&lt;=MAX(E189,H189),E189&lt;&gt;H189),1,0)</f>
      </c>
      <c r="L189">
        <f>IF(K189=1,(Pu-E189)/(H189-E189),"")</f>
      </c>
      <c r="M189" s="12">
        <f>IF(K189=1,F189+L189*(I189-F189),"")</f>
      </c>
      <c r="N189" s="12">
        <f>IF(K189=1,G189+L189*(J189-G189),"")</f>
      </c>
    </row>
    <row r="190" spans="2:7" x14ac:dyDescent="0.25">
      <c r="B190">
        <v>9</v>
      </c>
      <c r="C190">
        <v>80.00000000000001</v>
      </c>
      <c r="D190">
        <v>20</v>
      </c>
      <c r="E190" s="18">
        <v>-4046.776418624003</v>
      </c>
      <c r="F190" s="18">
        <v>481.60518146575765</v>
      </c>
      <c r="G190" s="18">
        <v>340.516117745039</v>
      </c>
    </row>
    <row r="192" spans="2:14" x14ac:dyDescent="0.25">
      <c r="B192">
        <v>10</v>
      </c>
      <c r="C192">
        <v>90</v>
      </c>
      <c r="D192">
        <v>1</v>
      </c>
      <c r="E192" s="18">
        <v>15831.862746689701</v>
      </c>
      <c r="F192" s="18">
        <v>2940.658855894903</v>
      </c>
      <c r="G192" s="18">
        <v>4.842877388000488e-14</v>
      </c>
      <c r="H192" s="12">
        <f>E193</f>
      </c>
      <c r="I192" s="12">
        <f>F193</f>
      </c>
      <c r="J192" s="12">
        <f>G193</f>
      </c>
      <c r="K192">
        <f>IF(AND(Pu&gt;=MIN(E192,H192),Pu&lt;=MAX(E192,H192),E192&lt;&gt;H192),1,0)</f>
      </c>
      <c r="L192">
        <f>IF(K192=1,(Pu-E192)/(H192-E192),"")</f>
      </c>
      <c r="M192" s="12">
        <f>IF(K192=1,F192+L192*(I192-F192),"")</f>
      </c>
      <c r="N192" s="12">
        <f>IF(K192=1,G192+L192*(J192-G192),"")</f>
      </c>
    </row>
    <row r="193" spans="2:14" x14ac:dyDescent="0.25">
      <c r="B193">
        <v>10</v>
      </c>
      <c r="C193">
        <v>90</v>
      </c>
      <c r="D193">
        <v>2</v>
      </c>
      <c r="E193" s="18">
        <v>14887.875937058565</v>
      </c>
      <c r="F193" s="18">
        <v>3260.4526071625683</v>
      </c>
      <c r="G193" s="18">
        <v>1.9371509552001954e-14</v>
      </c>
      <c r="H193" s="12">
        <f>E194</f>
      </c>
      <c r="I193" s="12">
        <f>F194</f>
      </c>
      <c r="J193" s="12">
        <f>G194</f>
      </c>
      <c r="K193">
        <f>IF(AND(Pu&gt;=MIN(E193,H193),Pu&lt;=MAX(E193,H193),E193&lt;&gt;H193),1,0)</f>
      </c>
      <c r="L193">
        <f>IF(K193=1,(Pu-E193)/(H193-E193),"")</f>
      </c>
      <c r="M193" s="12">
        <f>IF(K193=1,F193+L193*(I193-F193),"")</f>
      </c>
      <c r="N193" s="12">
        <f>IF(K193=1,G193+L193*(J193-G193),"")</f>
      </c>
    </row>
    <row r="194" spans="2:14" x14ac:dyDescent="0.25">
      <c r="B194">
        <v>10</v>
      </c>
      <c r="C194">
        <v>90</v>
      </c>
      <c r="D194">
        <v>3</v>
      </c>
      <c r="E194" s="18">
        <v>13078.238442871754</v>
      </c>
      <c r="F194" s="18">
        <v>3755.4461000483125</v>
      </c>
      <c r="G194" s="18">
        <v>3.3900141716003415e-14</v>
      </c>
      <c r="H194" s="12">
        <f>E195</f>
      </c>
      <c r="I194" s="12">
        <f>F195</f>
      </c>
      <c r="J194" s="12">
        <f>G195</f>
      </c>
      <c r="K194">
        <f>IF(AND(Pu&gt;=MIN(E194,H194),Pu&lt;=MAX(E194,H194),E194&lt;&gt;H194),1,0)</f>
      </c>
      <c r="L194">
        <f>IF(K194=1,(Pu-E194)/(H194-E194),"")</f>
      </c>
      <c r="M194" s="12">
        <f>IF(K194=1,F194+L194*(I194-F194),"")</f>
      </c>
      <c r="N194" s="12">
        <f>IF(K194=1,G194+L194*(J194-G194),"")</f>
      </c>
    </row>
    <row r="195" spans="2:14" x14ac:dyDescent="0.25">
      <c r="B195">
        <v>10</v>
      </c>
      <c r="C195">
        <v>90</v>
      </c>
      <c r="D195">
        <v>4</v>
      </c>
      <c r="E195" s="18">
        <v>12288.140308544085</v>
      </c>
      <c r="F195" s="18">
        <v>3928.5516618640017</v>
      </c>
      <c r="G195" s="18">
        <v>3.3900141716003415e-14</v>
      </c>
      <c r="H195" s="12">
        <f>E196</f>
      </c>
      <c r="I195" s="12">
        <f>F196</f>
      </c>
      <c r="J195" s="12">
        <f>G196</f>
      </c>
      <c r="K195">
        <f>IF(AND(Pu&gt;=MIN(E195,H195),Pu&lt;=MAX(E195,H195),E195&lt;&gt;H195),1,0)</f>
      </c>
      <c r="L195">
        <f>IF(K195=1,(Pu-E195)/(H195-E195),"")</f>
      </c>
      <c r="M195" s="12">
        <f>IF(K195=1,F195+L195*(I195-F195),"")</f>
      </c>
      <c r="N195" s="12">
        <f>IF(K195=1,G195+L195*(J195-G195),"")</f>
      </c>
    </row>
    <row r="196" spans="2:14" x14ac:dyDescent="0.25">
      <c r="B196">
        <v>10</v>
      </c>
      <c r="C196">
        <v>90</v>
      </c>
      <c r="D196">
        <v>5</v>
      </c>
      <c r="E196" s="18">
        <v>11590.081777081512</v>
      </c>
      <c r="F196" s="18">
        <v>4065.797916269918</v>
      </c>
      <c r="G196" s="18">
        <v>1.9008293747901917e-13</v>
      </c>
      <c r="H196" s="12">
        <f>E197</f>
      </c>
      <c r="I196" s="12">
        <f>F197</f>
      </c>
      <c r="J196" s="12">
        <f>G197</f>
      </c>
      <c r="K196">
        <f>IF(AND(Pu&gt;=MIN(E196,H196),Pu&lt;=MAX(E196,H196),E196&lt;&gt;H196),1,0)</f>
      </c>
      <c r="L196">
        <f>IF(K196=1,(Pu-E196)/(H196-E196),"")</f>
      </c>
      <c r="M196" s="12">
        <f>IF(K196=1,F196+L196*(I196-F196),"")</f>
      </c>
      <c r="N196" s="12">
        <f>IF(K196=1,G196+L196*(J196-G196),"")</f>
      </c>
    </row>
    <row r="197" spans="2:14" x14ac:dyDescent="0.25">
      <c r="B197">
        <v>10</v>
      </c>
      <c r="C197">
        <v>90</v>
      </c>
      <c r="D197">
        <v>6</v>
      </c>
      <c r="E197" s="18">
        <v>10919.964500906979</v>
      </c>
      <c r="F197" s="18">
        <v>4181.521307153867</v>
      </c>
      <c r="G197" s="18">
        <v>4.697591066360474e-13</v>
      </c>
      <c r="H197" s="12">
        <f>E198</f>
      </c>
      <c r="I197" s="12">
        <f>F198</f>
      </c>
      <c r="J197" s="12">
        <f>G198</f>
      </c>
      <c r="K197">
        <f>IF(AND(Pu&gt;=MIN(E197,H197),Pu&lt;=MAX(E197,H197),E197&lt;&gt;H197),1,0)</f>
      </c>
      <c r="L197">
        <f>IF(K197=1,(Pu-E197)/(H197-E197),"")</f>
      </c>
      <c r="M197" s="12">
        <f>IF(K197=1,F197+L197*(I197-F197),"")</f>
      </c>
      <c r="N197" s="12">
        <f>IF(K197=1,G197+L197*(J197-G197),"")</f>
      </c>
    </row>
    <row r="198" spans="2:14" x14ac:dyDescent="0.25">
      <c r="B198">
        <v>10</v>
      </c>
      <c r="C198">
        <v>90</v>
      </c>
      <c r="D198">
        <v>7</v>
      </c>
      <c r="E198" s="18">
        <v>10295.917718918488</v>
      </c>
      <c r="F198" s="18">
        <v>4279.486462246425</v>
      </c>
      <c r="G198" s="18">
        <v>1.477077603340149e-13</v>
      </c>
      <c r="H198" s="12">
        <f>E199</f>
      </c>
      <c r="I198" s="12">
        <f>F199</f>
      </c>
      <c r="J198" s="12">
        <f>G199</f>
      </c>
      <c r="K198">
        <f>IF(AND(Pu&gt;=MIN(E198,H198),Pu&lt;=MAX(E198,H198),E198&lt;&gt;H198),1,0)</f>
      </c>
      <c r="L198">
        <f>IF(K198=1,(Pu-E198)/(H198-E198),"")</f>
      </c>
      <c r="M198" s="12">
        <f>IF(K198=1,F198+L198*(I198-F198),"")</f>
      </c>
      <c r="N198" s="12">
        <f>IF(K198=1,G198+L198*(J198-G198),"")</f>
      </c>
    </row>
    <row r="199" spans="2:14" x14ac:dyDescent="0.25">
      <c r="B199">
        <v>10</v>
      </c>
      <c r="C199">
        <v>90</v>
      </c>
      <c r="D199">
        <v>8</v>
      </c>
      <c r="E199" s="18">
        <v>9702.587063714996</v>
      </c>
      <c r="F199" s="18">
        <v>4361.79802040775</v>
      </c>
      <c r="G199" s="18">
        <v>-4.600733518600464e-14</v>
      </c>
      <c r="H199" s="12">
        <f>E200</f>
      </c>
      <c r="I199" s="12">
        <f>F200</f>
      </c>
      <c r="J199" s="12">
        <f>G200</f>
      </c>
      <c r="K199">
        <f>IF(AND(Pu&gt;=MIN(E199,H199),Pu&lt;=MAX(E199,H199),E199&lt;&gt;H199),1,0)</f>
      </c>
      <c r="L199">
        <f>IF(K199=1,(Pu-E199)/(H199-E199),"")</f>
      </c>
      <c r="M199" s="12">
        <f>IF(K199=1,F199+L199*(I199-F199),"")</f>
      </c>
      <c r="N199" s="12">
        <f>IF(K199=1,G199+L199*(J199-G199),"")</f>
      </c>
    </row>
    <row r="200" spans="2:14" x14ac:dyDescent="0.25">
      <c r="B200">
        <v>10</v>
      </c>
      <c r="C200">
        <v>90</v>
      </c>
      <c r="D200">
        <v>9</v>
      </c>
      <c r="E200" s="18">
        <v>9137.567173396383</v>
      </c>
      <c r="F200" s="18">
        <v>4432.815781922306</v>
      </c>
      <c r="G200" s="18">
        <v>1.525506377220154e-13</v>
      </c>
      <c r="H200" s="12">
        <f>E201</f>
      </c>
      <c r="I200" s="12">
        <f>F201</f>
      </c>
      <c r="J200" s="12">
        <f>G201</f>
      </c>
      <c r="K200">
        <f>IF(AND(Pu&gt;=MIN(E200,H200),Pu&lt;=MAX(E200,H200),E200&lt;&gt;H200),1,0)</f>
      </c>
      <c r="L200">
        <f>IF(K200=1,(Pu-E200)/(H200-E200),"")</f>
      </c>
      <c r="M200" s="12">
        <f>IF(K200=1,F200+L200*(I200-F200),"")</f>
      </c>
      <c r="N200" s="12">
        <f>IF(K200=1,G200+L200*(J200-G200),"")</f>
      </c>
    </row>
    <row r="201" spans="2:14" x14ac:dyDescent="0.25">
      <c r="B201">
        <v>10</v>
      </c>
      <c r="C201">
        <v>90</v>
      </c>
      <c r="D201">
        <v>10</v>
      </c>
      <c r="E201" s="18">
        <v>8780.854531128349</v>
      </c>
      <c r="F201" s="18">
        <v>4643.256988390347</v>
      </c>
      <c r="G201" s="18">
        <v>4.505738615989685e-13</v>
      </c>
      <c r="H201" s="12">
        <f>E202</f>
      </c>
      <c r="I201" s="12">
        <f>F202</f>
      </c>
      <c r="J201" s="12">
        <f>G202</f>
      </c>
      <c r="K201">
        <f>IF(AND(Pu&gt;=MIN(E201,H201),Pu&lt;=MAX(E201,H201),E201&lt;&gt;H201),1,0)</f>
      </c>
      <c r="L201">
        <f>IF(K201=1,(Pu-E201)/(H201-E201),"")</f>
      </c>
      <c r="M201" s="12">
        <f>IF(K201=1,F201+L201*(I201-F201),"")</f>
      </c>
      <c r="N201" s="12">
        <f>IF(K201=1,G201+L201*(J201-G201),"")</f>
      </c>
    </row>
    <row r="202" spans="2:14" x14ac:dyDescent="0.25">
      <c r="B202">
        <v>10</v>
      </c>
      <c r="C202">
        <v>90</v>
      </c>
      <c r="D202">
        <v>11</v>
      </c>
      <c r="E202" s="18">
        <v>8471.54834505558</v>
      </c>
      <c r="F202" s="18">
        <v>4837.71179556643</v>
      </c>
      <c r="G202" s="18">
        <v>3.3639371395111084e-13</v>
      </c>
      <c r="H202" s="12">
        <f>E203</f>
      </c>
      <c r="I202" s="12">
        <f>F203</f>
      </c>
      <c r="J202" s="12">
        <f>G203</f>
      </c>
      <c r="K202">
        <f>IF(AND(Pu&gt;=MIN(E202,H202),Pu&lt;=MAX(E202,H202),E202&lt;&gt;H202),1,0)</f>
      </c>
      <c r="L202">
        <f>IF(K202=1,(Pu-E202)/(H202-E202),"")</f>
      </c>
      <c r="M202" s="12">
        <f>IF(K202=1,F202+L202*(I202-F202),"")</f>
      </c>
      <c r="N202" s="12">
        <f>IF(K202=1,G202+L202*(J202-G202),"")</f>
      </c>
    </row>
    <row r="203" spans="2:14" x14ac:dyDescent="0.25">
      <c r="B203">
        <v>10</v>
      </c>
      <c r="C203">
        <v>90</v>
      </c>
      <c r="D203">
        <v>12</v>
      </c>
      <c r="E203" s="18">
        <v>8171.19907639217</v>
      </c>
      <c r="F203" s="18">
        <v>5008.613666669041</v>
      </c>
      <c r="G203" s="18">
        <v>2.5425106287002566e-13</v>
      </c>
      <c r="H203" s="12">
        <f>E204</f>
      </c>
      <c r="I203" s="12">
        <f>F204</f>
      </c>
      <c r="J203" s="12">
        <f>G204</f>
      </c>
      <c r="K203">
        <f>IF(AND(Pu&gt;=MIN(E203,H203),Pu&lt;=MAX(E203,H203),E203&lt;&gt;H203),1,0)</f>
      </c>
      <c r="L203">
        <f>IF(K203=1,(Pu-E203)/(H203-E203),"")</f>
      </c>
      <c r="M203" s="12">
        <f>IF(K203=1,F203+L203*(I203-F203),"")</f>
      </c>
      <c r="N203" s="12">
        <f>IF(K203=1,G203+L203*(J203-G203),"")</f>
      </c>
    </row>
    <row r="204" spans="2:14" x14ac:dyDescent="0.25">
      <c r="B204">
        <v>10</v>
      </c>
      <c r="C204">
        <v>90</v>
      </c>
      <c r="D204">
        <v>13</v>
      </c>
      <c r="E204" s="18">
        <v>7946.957395717584</v>
      </c>
      <c r="F204" s="18">
        <v>5149.33317113616</v>
      </c>
      <c r="G204" s="18">
        <v>1.6779328385988868e-13</v>
      </c>
      <c r="H204" s="12">
        <f>E205</f>
      </c>
      <c r="I204" s="12">
        <f>F205</f>
      </c>
      <c r="J204" s="12">
        <f>G205</f>
      </c>
      <c r="K204">
        <f>IF(AND(Pu&gt;=MIN(E204,H204),Pu&lt;=MAX(E204,H204),E204&lt;&gt;H204),1,0)</f>
      </c>
      <c r="L204">
        <f>IF(K204=1,(Pu-E204)/(H204-E204),"")</f>
      </c>
      <c r="M204" s="12">
        <f>IF(K204=1,F204+L204*(I204-F204),"")</f>
      </c>
      <c r="N204" s="12">
        <f>IF(K204=1,G204+L204*(J204-G204),"")</f>
      </c>
    </row>
    <row r="205" spans="2:14" x14ac:dyDescent="0.25">
      <c r="B205">
        <v>10</v>
      </c>
      <c r="C205">
        <v>90</v>
      </c>
      <c r="D205">
        <v>14</v>
      </c>
      <c r="E205" s="18">
        <v>7513.284240003965</v>
      </c>
      <c r="F205" s="18">
        <v>5409.306186011452</v>
      </c>
      <c r="G205" s="18">
        <v>3.9422884583473205e-13</v>
      </c>
      <c r="H205" s="12">
        <f>E206</f>
      </c>
      <c r="I205" s="12">
        <f>F206</f>
      </c>
      <c r="J205" s="12">
        <f>G206</f>
      </c>
      <c r="K205">
        <f>IF(AND(Pu&gt;=MIN(E205,H205),Pu&lt;=MAX(E205,H205),E205&lt;&gt;H205),1,0)</f>
      </c>
      <c r="L205">
        <f>IF(K205=1,(Pu-E205)/(H205-E205),"")</f>
      </c>
      <c r="M205" s="12">
        <f>IF(K205=1,F205+L205*(I205-F205),"")</f>
      </c>
      <c r="N205" s="12">
        <f>IF(K205=1,G205+L205*(J205-G205),"")</f>
      </c>
    </row>
    <row r="206" spans="2:14" x14ac:dyDescent="0.25">
      <c r="B206">
        <v>10</v>
      </c>
      <c r="C206">
        <v>90</v>
      </c>
      <c r="D206">
        <v>15</v>
      </c>
      <c r="E206" s="18">
        <v>6690.000816835348</v>
      </c>
      <c r="F206" s="18">
        <v>5227.358557105922</v>
      </c>
      <c r="G206" s="18">
        <v>2.327375113964081e-13</v>
      </c>
      <c r="H206" s="12">
        <f>E207</f>
      </c>
      <c r="I206" s="12">
        <f>F207</f>
      </c>
      <c r="J206" s="12">
        <f>G207</f>
      </c>
      <c r="K206">
        <f>IF(AND(Pu&gt;=MIN(E206,H206),Pu&lt;=MAX(E206,H206),E206&lt;&gt;H206),1,0)</f>
      </c>
      <c r="L206">
        <f>IF(K206=1,(Pu-E206)/(H206-E206),"")</f>
      </c>
      <c r="M206" s="12">
        <f>IF(K206=1,F206+L206*(I206-F206),"")</f>
      </c>
      <c r="N206" s="12">
        <f>IF(K206=1,G206+L206*(J206-G206),"")</f>
      </c>
    </row>
    <row r="207" spans="2:14" x14ac:dyDescent="0.25">
      <c r="B207">
        <v>10</v>
      </c>
      <c r="C207">
        <v>90</v>
      </c>
      <c r="D207">
        <v>16</v>
      </c>
      <c r="E207" s="18">
        <v>5420.099240749144</v>
      </c>
      <c r="F207" s="18">
        <v>4886.879129814069</v>
      </c>
      <c r="G207" s="18">
        <v>3.2377429306507107e-13</v>
      </c>
      <c r="H207" s="12">
        <f>E208</f>
      </c>
      <c r="I207" s="12">
        <f>F208</f>
      </c>
      <c r="J207" s="12">
        <f>G208</f>
      </c>
      <c r="K207">
        <f>IF(AND(Pu&gt;=MIN(E207,H207),Pu&lt;=MAX(E207,H207),E207&lt;&gt;H207),1,0)</f>
      </c>
      <c r="L207">
        <f>IF(K207=1,(Pu-E207)/(H207-E207),"")</f>
      </c>
      <c r="M207" s="12">
        <f>IF(K207=1,F207+L207*(I207-F207),"")</f>
      </c>
      <c r="N207" s="12">
        <f>IF(K207=1,G207+L207*(J207-G207),"")</f>
      </c>
    </row>
    <row r="208" spans="2:14" x14ac:dyDescent="0.25">
      <c r="B208">
        <v>10</v>
      </c>
      <c r="C208">
        <v>90</v>
      </c>
      <c r="D208">
        <v>17</v>
      </c>
      <c r="E208" s="18">
        <v>4398.307300813494</v>
      </c>
      <c r="F208" s="18">
        <v>4551.919882185924</v>
      </c>
      <c r="G208" s="18">
        <v>5.859998054802417e-13</v>
      </c>
      <c r="H208" s="12">
        <f>E209</f>
      </c>
      <c r="I208" s="12">
        <f>F209</f>
      </c>
      <c r="J208" s="12">
        <f>G209</f>
      </c>
      <c r="K208">
        <f>IF(AND(Pu&gt;=MIN(E208,H208),Pu&lt;=MAX(E208,H208),E208&lt;&gt;H208),1,0)</f>
      </c>
      <c r="L208">
        <f>IF(K208=1,(Pu-E208)/(H208-E208),"")</f>
      </c>
      <c r="M208" s="12">
        <f>IF(K208=1,F208+L208*(I208-F208),"")</f>
      </c>
      <c r="N208" s="12">
        <f>IF(K208=1,G208+L208*(J208-G208),"")</f>
      </c>
    </row>
    <row r="209" spans="2:14" x14ac:dyDescent="0.25">
      <c r="B209">
        <v>10</v>
      </c>
      <c r="C209">
        <v>90</v>
      </c>
      <c r="D209">
        <v>18</v>
      </c>
      <c r="E209" s="18">
        <v>2308.754168918306</v>
      </c>
      <c r="F209" s="18">
        <v>3737.5175014467495</v>
      </c>
      <c r="G209" s="18">
        <v>3.673136234283447e-13</v>
      </c>
      <c r="H209" s="12">
        <f>E210</f>
      </c>
      <c r="I209" s="12">
        <f>F210</f>
      </c>
      <c r="J209" s="12">
        <f>G210</f>
      </c>
      <c r="K209">
        <f>IF(AND(Pu&gt;=MIN(E209,H209),Pu&lt;=MAX(E209,H209),E209&lt;&gt;H209),1,0)</f>
      </c>
      <c r="L209">
        <f>IF(K209=1,(Pu-E209)/(H209-E209),"")</f>
      </c>
      <c r="M209" s="12">
        <f>IF(K209=1,F209+L209*(I209-F209),"")</f>
      </c>
      <c r="N209" s="12">
        <f>IF(K209=1,G209+L209*(J209-G209),"")</f>
      </c>
    </row>
    <row r="210" spans="2:14" x14ac:dyDescent="0.25">
      <c r="B210">
        <v>10</v>
      </c>
      <c r="C210">
        <v>90</v>
      </c>
      <c r="D210">
        <v>19</v>
      </c>
      <c r="E210" s="18">
        <v>1035.25387979729</v>
      </c>
      <c r="F210" s="18">
        <v>3170.149727154508</v>
      </c>
      <c r="G210" s="18">
        <v>1.5832483768463136e-13</v>
      </c>
      <c r="H210" s="12">
        <f>E211</f>
      </c>
      <c r="I210" s="12">
        <f>F211</f>
      </c>
      <c r="J210" s="12">
        <f>G211</f>
      </c>
      <c r="K210">
        <f>IF(AND(Pu&gt;=MIN(E210,H210),Pu&lt;=MAX(E210,H210),E210&lt;&gt;H210),1,0)</f>
      </c>
      <c r="L210">
        <f>IF(K210=1,(Pu-E210)/(H210-E210),"")</f>
      </c>
      <c r="M210" s="12">
        <f>IF(K210=1,F210+L210*(I210-F210),"")</f>
      </c>
      <c r="N210" s="12">
        <f>IF(K210=1,G210+L210*(J210-G210),"")</f>
      </c>
    </row>
    <row r="211" spans="2:7" x14ac:dyDescent="0.25">
      <c r="B211">
        <v>10</v>
      </c>
      <c r="C211">
        <v>90</v>
      </c>
      <c r="D211">
        <v>20</v>
      </c>
      <c r="E211" s="18">
        <v>-1386.9705879741523</v>
      </c>
      <c r="F211" s="18">
        <v>1934.4394333303642</v>
      </c>
      <c r="G211" s="18">
        <v>5.066394805908203e-14</v>
      </c>
    </row>
    <row r="213" spans="2:14" x14ac:dyDescent="0.25">
      <c r="B213">
        <v>11</v>
      </c>
      <c r="C213">
        <v>99.99999999999999</v>
      </c>
      <c r="D213">
        <v>1</v>
      </c>
      <c r="E213" s="18">
        <v>17113.049469113816</v>
      </c>
      <c r="F213" s="18">
        <v>2364.08497348051</v>
      </c>
      <c r="G213" s="18">
        <v>-755.0916055121615</v>
      </c>
      <c r="H213" s="12">
        <f>E214</f>
      </c>
      <c r="I213" s="12">
        <f>F214</f>
      </c>
      <c r="J213" s="12">
        <f>G214</f>
      </c>
      <c r="K213">
        <f>IF(AND(Pu&gt;=MIN(E213,H213),Pu&lt;=MAX(E213,H213),E213&lt;&gt;H213),1,0)</f>
      </c>
      <c r="L213">
        <f>IF(K213=1,(Pu-E213)/(H213-E213),"")</f>
      </c>
      <c r="M213" s="12">
        <f>IF(K213=1,F213+L213*(I213-F213),"")</f>
      </c>
      <c r="N213" s="12">
        <f>IF(K213=1,G213+L213*(J213-G213),"")</f>
      </c>
    </row>
    <row r="214" spans="2:14" x14ac:dyDescent="0.25">
      <c r="B214">
        <v>11</v>
      </c>
      <c r="C214">
        <v>99.99999999999999</v>
      </c>
      <c r="D214">
        <v>2</v>
      </c>
      <c r="E214" s="18">
        <v>15584.57958501061</v>
      </c>
      <c r="F214" s="18">
        <v>2957.0743911130203</v>
      </c>
      <c r="G214" s="18">
        <v>-694.6412418661441</v>
      </c>
      <c r="H214" s="12">
        <f>E215</f>
      </c>
      <c r="I214" s="12">
        <f>F215</f>
      </c>
      <c r="J214" s="12">
        <f>G215</f>
      </c>
      <c r="K214">
        <f>IF(AND(Pu&gt;=MIN(E214,H214),Pu&lt;=MAX(E214,H214),E214&lt;&gt;H214),1,0)</f>
      </c>
      <c r="L214">
        <f>IF(K214=1,(Pu-E214)/(H214-E214),"")</f>
      </c>
      <c r="M214" s="12">
        <f>IF(K214=1,F214+L214*(I214-F214),"")</f>
      </c>
      <c r="N214" s="12">
        <f>IF(K214=1,G214+L214*(J214-G214),"")</f>
      </c>
    </row>
    <row r="215" spans="2:14" x14ac:dyDescent="0.25">
      <c r="B215">
        <v>11</v>
      </c>
      <c r="C215">
        <v>99.99999999999999</v>
      </c>
      <c r="D215">
        <v>3</v>
      </c>
      <c r="E215" s="18">
        <v>13401.396220702614</v>
      </c>
      <c r="F215" s="18">
        <v>3597.3655587769877</v>
      </c>
      <c r="G215" s="18">
        <v>-672.8634776325089</v>
      </c>
      <c r="H215" s="12">
        <f>E216</f>
      </c>
      <c r="I215" s="12">
        <f>F216</f>
      </c>
      <c r="J215" s="12">
        <f>G216</f>
      </c>
      <c r="K215">
        <f>IF(AND(Pu&gt;=MIN(E215,H215),Pu&lt;=MAX(E215,H215),E215&lt;&gt;H215),1,0)</f>
      </c>
      <c r="L215">
        <f>IF(K215=1,(Pu-E215)/(H215-E215),"")</f>
      </c>
      <c r="M215" s="12">
        <f>IF(K215=1,F215+L215*(I215-F215),"")</f>
      </c>
      <c r="N215" s="12">
        <f>IF(K215=1,G215+L215*(J215-G215),"")</f>
      </c>
    </row>
    <row r="216" spans="2:14" x14ac:dyDescent="0.25">
      <c r="B216">
        <v>11</v>
      </c>
      <c r="C216">
        <v>99.99999999999999</v>
      </c>
      <c r="D216">
        <v>4</v>
      </c>
      <c r="E216" s="18">
        <v>12538.777426234723</v>
      </c>
      <c r="F216" s="18">
        <v>3782.6351603388953</v>
      </c>
      <c r="G216" s="18">
        <v>-700.2764126649982</v>
      </c>
      <c r="H216" s="12">
        <f>E217</f>
      </c>
      <c r="I216" s="12">
        <f>F217</f>
      </c>
      <c r="J216" s="12">
        <f>G217</f>
      </c>
      <c r="K216">
        <f>IF(AND(Pu&gt;=MIN(E216,H216),Pu&lt;=MAX(E216,H216),E216&lt;&gt;H216),1,0)</f>
      </c>
      <c r="L216">
        <f>IF(K216=1,(Pu-E216)/(H216-E216),"")</f>
      </c>
      <c r="M216" s="12">
        <f>IF(K216=1,F216+L216*(I216-F216),"")</f>
      </c>
      <c r="N216" s="12">
        <f>IF(K216=1,G216+L216*(J216-G216),"")</f>
      </c>
    </row>
    <row r="217" spans="2:14" x14ac:dyDescent="0.25">
      <c r="B217">
        <v>11</v>
      </c>
      <c r="C217">
        <v>99.99999999999999</v>
      </c>
      <c r="D217">
        <v>5</v>
      </c>
      <c r="E217" s="18">
        <v>11737.913111242176</v>
      </c>
      <c r="F217" s="18">
        <v>3928.739095650867</v>
      </c>
      <c r="G217" s="18">
        <v>-718.6325722833378</v>
      </c>
      <c r="H217" s="12">
        <f>E218</f>
      </c>
      <c r="I217" s="12">
        <f>F218</f>
      </c>
      <c r="J217" s="12">
        <f>G218</f>
      </c>
      <c r="K217">
        <f>IF(AND(Pu&gt;=MIN(E217,H217),Pu&lt;=MAX(E217,H217),E217&lt;&gt;H217),1,0)</f>
      </c>
      <c r="L217">
        <f>IF(K217=1,(Pu-E217)/(H217-E217),"")</f>
      </c>
      <c r="M217" s="12">
        <f>IF(K217=1,F217+L217*(I217-F217),"")</f>
      </c>
      <c r="N217" s="12">
        <f>IF(K217=1,G217+L217*(J217-G217),"")</f>
      </c>
    </row>
    <row r="218" spans="2:14" x14ac:dyDescent="0.25">
      <c r="B218">
        <v>11</v>
      </c>
      <c r="C218">
        <v>99.99999999999999</v>
      </c>
      <c r="D218">
        <v>6</v>
      </c>
      <c r="E218" s="18">
        <v>10999.74504641058</v>
      </c>
      <c r="F218" s="18">
        <v>4043.4548573568986</v>
      </c>
      <c r="G218" s="18">
        <v>-736.9887319016766</v>
      </c>
      <c r="H218" s="12">
        <f>E219</f>
      </c>
      <c r="I218" s="12">
        <f>F219</f>
      </c>
      <c r="J218" s="12">
        <f>G219</f>
      </c>
      <c r="K218">
        <f>IF(AND(Pu&gt;=MIN(E218,H218),Pu&lt;=MAX(E218,H218),E218&lt;&gt;H218),1,0)</f>
      </c>
      <c r="L218">
        <f>IF(K218=1,(Pu-E218)/(H218-E218),"")</f>
      </c>
      <c r="M218" s="12">
        <f>IF(K218=1,F218+L218*(I218-F218),"")</f>
      </c>
      <c r="N218" s="12">
        <f>IF(K218=1,G218+L218*(J218-G218),"")</f>
      </c>
    </row>
    <row r="219" spans="2:14" x14ac:dyDescent="0.25">
      <c r="B219">
        <v>11</v>
      </c>
      <c r="C219">
        <v>99.99999999999999</v>
      </c>
      <c r="D219">
        <v>7</v>
      </c>
      <c r="E219" s="18">
        <v>10327.807348599988</v>
      </c>
      <c r="F219" s="18">
        <v>4136.515355219281</v>
      </c>
      <c r="G219" s="18">
        <v>-746.2802154755719</v>
      </c>
      <c r="H219" s="12">
        <f>E220</f>
      </c>
      <c r="I219" s="12">
        <f>F220</f>
      </c>
      <c r="J219" s="12">
        <f>G220</f>
      </c>
      <c r="K219">
        <f>IF(AND(Pu&gt;=MIN(E219,H219),Pu&lt;=MAX(E219,H219),E219&lt;&gt;H219),1,0)</f>
      </c>
      <c r="L219">
        <f>IF(K219=1,(Pu-E219)/(H219-E219),"")</f>
      </c>
      <c r="M219" s="12">
        <f>IF(K219=1,F219+L219*(I219-F219),"")</f>
      </c>
      <c r="N219" s="12">
        <f>IF(K219=1,G219+L219*(J219-G219),"")</f>
      </c>
    </row>
    <row r="220" spans="2:14" x14ac:dyDescent="0.25">
      <c r="B220">
        <v>11</v>
      </c>
      <c r="C220">
        <v>99.99999999999999</v>
      </c>
      <c r="D220">
        <v>8</v>
      </c>
      <c r="E220" s="18">
        <v>9687.582776052623</v>
      </c>
      <c r="F220" s="18">
        <v>4211.333131020701</v>
      </c>
      <c r="G220" s="18">
        <v>-764.6363750939103</v>
      </c>
      <c r="H220" s="12">
        <f>E221</f>
      </c>
      <c r="I220" s="12">
        <f>F221</f>
      </c>
      <c r="J220" s="12">
        <f>G221</f>
      </c>
      <c r="K220">
        <f>IF(AND(Pu&gt;=MIN(E220,H220),Pu&lt;=MAX(E220,H220),E220&lt;&gt;H220),1,0)</f>
      </c>
      <c r="L220">
        <f>IF(K220=1,(Pu-E220)/(H220-E220),"")</f>
      </c>
      <c r="M220" s="12">
        <f>IF(K220=1,F220+L220*(I220-F220),"")</f>
      </c>
      <c r="N220" s="12">
        <f>IF(K220=1,G220+L220*(J220-G220),"")</f>
      </c>
    </row>
    <row r="221" spans="2:14" x14ac:dyDescent="0.25">
      <c r="B221">
        <v>11</v>
      </c>
      <c r="C221">
        <v>99.99999999999999</v>
      </c>
      <c r="D221">
        <v>9</v>
      </c>
      <c r="E221" s="18">
        <v>9099.358056058567</v>
      </c>
      <c r="F221" s="18">
        <v>4272.360872545278</v>
      </c>
      <c r="G221" s="18">
        <v>-792.0572107566938</v>
      </c>
      <c r="H221" s="12">
        <f>E222</f>
      </c>
      <c r="I221" s="12">
        <f>F222</f>
      </c>
      <c r="J221" s="12">
        <f>G222</f>
      </c>
      <c r="K221">
        <f>IF(AND(Pu&gt;=MIN(E221,H221),Pu&lt;=MAX(E221,H221),E221&lt;&gt;H221),1,0)</f>
      </c>
      <c r="L221">
        <f>IF(K221=1,(Pu-E221)/(H221-E221),"")</f>
      </c>
      <c r="M221" s="12">
        <f>IF(K221=1,F221+L221*(I221-F221),"")</f>
      </c>
      <c r="N221" s="12">
        <f>IF(K221=1,G221+L221*(J221-G221),"")</f>
      </c>
    </row>
    <row r="222" spans="2:14" x14ac:dyDescent="0.25">
      <c r="B222">
        <v>11</v>
      </c>
      <c r="C222">
        <v>99.99999999999999</v>
      </c>
      <c r="D222">
        <v>10</v>
      </c>
      <c r="E222" s="18">
        <v>8517.980852627412</v>
      </c>
      <c r="F222" s="18">
        <v>4534.8598497159655</v>
      </c>
      <c r="G222" s="18">
        <v>-842.3570419294934</v>
      </c>
      <c r="H222" s="12">
        <f>E223</f>
      </c>
      <c r="I222" s="12">
        <f>F223</f>
      </c>
      <c r="J222" s="12">
        <f>G223</f>
      </c>
      <c r="K222">
        <f>IF(AND(Pu&gt;=MIN(E222,H222),Pu&lt;=MAX(E222,H222),E222&lt;&gt;H222),1,0)</f>
      </c>
      <c r="L222">
        <f>IF(K222=1,(Pu-E222)/(H222-E222),"")</f>
      </c>
      <c r="M222" s="12">
        <f>IF(K222=1,F222+L222*(I222-F222),"")</f>
      </c>
      <c r="N222" s="12">
        <f>IF(K222=1,G222+L222*(J222-G222),"")</f>
      </c>
    </row>
    <row r="223" spans="2:14" x14ac:dyDescent="0.25">
      <c r="B223">
        <v>11</v>
      </c>
      <c r="C223">
        <v>99.99999999999999</v>
      </c>
      <c r="D223">
        <v>11</v>
      </c>
      <c r="E223" s="18">
        <v>8092.39633747415</v>
      </c>
      <c r="F223" s="18">
        <v>4701.845133697935</v>
      </c>
      <c r="G223" s="18">
        <v>-901.5792235639819</v>
      </c>
      <c r="H223" s="12">
        <f>E224</f>
      </c>
      <c r="I223" s="12">
        <f>F224</f>
      </c>
      <c r="J223" s="12">
        <f>G224</f>
      </c>
      <c r="K223">
        <f>IF(AND(Pu&gt;=MIN(E223,H223),Pu&lt;=MAX(E223,H223),E223&lt;&gt;H223),1,0)</f>
      </c>
      <c r="L223">
        <f>IF(K223=1,(Pu-E223)/(H223-E223),"")</f>
      </c>
      <c r="M223" s="12">
        <f>IF(K223=1,F223+L223*(I223-F223),"")</f>
      </c>
      <c r="N223" s="12">
        <f>IF(K223=1,G223+L223*(J223-G223),"")</f>
      </c>
    </row>
    <row r="224" spans="2:14" x14ac:dyDescent="0.25">
      <c r="B224">
        <v>11</v>
      </c>
      <c r="C224">
        <v>99.99999999999999</v>
      </c>
      <c r="D224">
        <v>12</v>
      </c>
      <c r="E224" s="18">
        <v>7741.657323242597</v>
      </c>
      <c r="F224" s="18">
        <v>4835.4408718466875</v>
      </c>
      <c r="G224" s="18">
        <v>-928.069876694222</v>
      </c>
      <c r="H224" s="12">
        <f>E225</f>
      </c>
      <c r="I224" s="12">
        <f>F225</f>
      </c>
      <c r="J224" s="12">
        <f>G225</f>
      </c>
      <c r="K224">
        <f>IF(AND(Pu&gt;=MIN(E224,H224),Pu&lt;=MAX(E224,H224),E224&lt;&gt;H224),1,0)</f>
      </c>
      <c r="L224">
        <f>IF(K224=1,(Pu-E224)/(H224-E224),"")</f>
      </c>
      <c r="M224" s="12">
        <f>IF(K224=1,F224+L224*(I224-F224),"")</f>
      </c>
      <c r="N224" s="12">
        <f>IF(K224=1,G224+L224*(J224-G224),"")</f>
      </c>
    </row>
    <row r="225" spans="2:14" x14ac:dyDescent="0.25">
      <c r="B225">
        <v>11</v>
      </c>
      <c r="C225">
        <v>99.99999999999999</v>
      </c>
      <c r="D225">
        <v>13</v>
      </c>
      <c r="E225" s="18">
        <v>7393.1015738130245</v>
      </c>
      <c r="F225" s="18">
        <v>4949.502093730552</v>
      </c>
      <c r="G225" s="18">
        <v>-979.6819943520015</v>
      </c>
      <c r="H225" s="12">
        <f>E226</f>
      </c>
      <c r="I225" s="12">
        <f>F226</f>
      </c>
      <c r="J225" s="12">
        <f>G226</f>
      </c>
      <c r="K225">
        <f>IF(AND(Pu&gt;=MIN(E225,H225),Pu&lt;=MAX(E225,H225),E225&lt;&gt;H225),1,0)</f>
      </c>
      <c r="L225">
        <f>IF(K225=1,(Pu-E225)/(H225-E225),"")</f>
      </c>
      <c r="M225" s="12">
        <f>IF(K225=1,F225+L225*(I225-F225),"")</f>
      </c>
      <c r="N225" s="12">
        <f>IF(K225=1,G225+L225*(J225-G225),"")</f>
      </c>
    </row>
    <row r="226" spans="2:14" x14ac:dyDescent="0.25">
      <c r="B226">
        <v>11</v>
      </c>
      <c r="C226">
        <v>99.99999999999999</v>
      </c>
      <c r="D226">
        <v>14</v>
      </c>
      <c r="E226" s="18">
        <v>6735.183205085429</v>
      </c>
      <c r="F226" s="18">
        <v>5105.294501417849</v>
      </c>
      <c r="G226" s="18">
        <v>-1065.4580544092373</v>
      </c>
      <c r="H226" s="12">
        <f>E227</f>
      </c>
      <c r="I226" s="12">
        <f>F227</f>
      </c>
      <c r="J226" s="12">
        <f>G227</f>
      </c>
      <c r="K226">
        <f>IF(AND(Pu&gt;=MIN(E226,H226),Pu&lt;=MAX(E226,H226),E226&lt;&gt;H226),1,0)</f>
      </c>
      <c r="L226">
        <f>IF(K226=1,(Pu-E226)/(H226-E226),"")</f>
      </c>
      <c r="M226" s="12">
        <f>IF(K226=1,F226+L226*(I226-F226),"")</f>
      </c>
      <c r="N226" s="12">
        <f>IF(K226=1,G226+L226*(J226-G226),"")</f>
      </c>
    </row>
    <row r="227" spans="2:14" x14ac:dyDescent="0.25">
      <c r="B227">
        <v>11</v>
      </c>
      <c r="C227">
        <v>99.99999999999999</v>
      </c>
      <c r="D227">
        <v>15</v>
      </c>
      <c r="E227" s="18">
        <v>5640.820596567972</v>
      </c>
      <c r="F227" s="18">
        <v>4810.121397692055</v>
      </c>
      <c r="G227" s="18">
        <v>-1093.084572961693</v>
      </c>
      <c r="H227" s="12">
        <f>E228</f>
      </c>
      <c r="I227" s="12">
        <f>F228</f>
      </c>
      <c r="J227" s="12">
        <f>G228</f>
      </c>
      <c r="K227">
        <f>IF(AND(Pu&gt;=MIN(E227,H227),Pu&lt;=MAX(E227,H227),E227&lt;&gt;H227),1,0)</f>
      </c>
      <c r="L227">
        <f>IF(K227=1,(Pu-E227)/(H227-E227),"")</f>
      </c>
      <c r="M227" s="12">
        <f>IF(K227=1,F227+L227*(I227-F227),"")</f>
      </c>
      <c r="N227" s="12">
        <f>IF(K227=1,G227+L227*(J227-G227),"")</f>
      </c>
    </row>
    <row r="228" spans="2:14" x14ac:dyDescent="0.25">
      <c r="B228">
        <v>11</v>
      </c>
      <c r="C228">
        <v>99.99999999999999</v>
      </c>
      <c r="D228">
        <v>16</v>
      </c>
      <c r="E228" s="18">
        <v>3747.640168719586</v>
      </c>
      <c r="F228" s="18">
        <v>4159.4290819482085</v>
      </c>
      <c r="G228" s="18">
        <v>-1156.1548022636164</v>
      </c>
      <c r="H228" s="12">
        <f>E229</f>
      </c>
      <c r="I228" s="12">
        <f>F229</f>
      </c>
      <c r="J228" s="12">
        <f>G229</f>
      </c>
      <c r="K228">
        <f>IF(AND(Pu&gt;=MIN(E228,H228),Pu&lt;=MAX(E228,H228),E228&lt;&gt;H228),1,0)</f>
      </c>
      <c r="L228">
        <f>IF(K228=1,(Pu-E228)/(H228-E228),"")</f>
      </c>
      <c r="M228" s="12">
        <f>IF(K228=1,F228+L228*(I228-F228),"")</f>
      </c>
      <c r="N228" s="12">
        <f>IF(K228=1,G228+L228*(J228-G228),"")</f>
      </c>
    </row>
    <row r="229" spans="2:14" x14ac:dyDescent="0.25">
      <c r="B229">
        <v>11</v>
      </c>
      <c r="C229">
        <v>99.99999999999999</v>
      </c>
      <c r="D229">
        <v>17</v>
      </c>
      <c r="E229" s="18">
        <v>2301.2354813671905</v>
      </c>
      <c r="F229" s="18">
        <v>3586.139228931097</v>
      </c>
      <c r="G229" s="18">
        <v>-1186.732610624953</v>
      </c>
      <c r="H229" s="12">
        <f>E230</f>
      </c>
      <c r="I229" s="12">
        <f>F230</f>
      </c>
      <c r="J229" s="12">
        <f>G230</f>
      </c>
      <c r="K229">
        <f>IF(AND(Pu&gt;=MIN(E229,H229),Pu&lt;=MAX(E229,H229),E229&lt;&gt;H229),1,0)</f>
      </c>
      <c r="L229">
        <f>IF(K229=1,(Pu-E229)/(H229-E229),"")</f>
      </c>
      <c r="M229" s="12">
        <f>IF(K229=1,F229+L229*(I229-F229),"")</f>
      </c>
      <c r="N229" s="12">
        <f>IF(K229=1,G229+L229*(J229-G229),"")</f>
      </c>
    </row>
    <row r="230" spans="2:14" x14ac:dyDescent="0.25">
      <c r="B230">
        <v>11</v>
      </c>
      <c r="C230">
        <v>99.99999999999999</v>
      </c>
      <c r="D230">
        <v>18</v>
      </c>
      <c r="E230" s="18">
        <v>-162.9387266837969</v>
      </c>
      <c r="F230" s="18">
        <v>2464.4599413390474</v>
      </c>
      <c r="G230" s="18">
        <v>-960.8067111597826</v>
      </c>
      <c r="H230" s="12">
        <f>E231</f>
      </c>
      <c r="I230" s="12">
        <f>F231</f>
      </c>
      <c r="J230" s="12">
        <f>G231</f>
      </c>
      <c r="K230">
        <f>IF(AND(Pu&gt;=MIN(E230,H230),Pu&lt;=MAX(E230,H230),E230&lt;&gt;H230),1,0)</f>
      </c>
      <c r="L230">
        <f>IF(K230=1,(Pu-E230)/(H230-E230),"")</f>
      </c>
      <c r="M230" s="12">
        <f>IF(K230=1,F230+L230*(I230-F230),"")</f>
      </c>
      <c r="N230" s="12">
        <f>IF(K230=1,G230+L230*(J230-G230),"")</f>
      </c>
    </row>
    <row r="231" spans="2:14" x14ac:dyDescent="0.25">
      <c r="B231">
        <v>11</v>
      </c>
      <c r="C231">
        <v>99.99999999999999</v>
      </c>
      <c r="D231">
        <v>19</v>
      </c>
      <c r="E231" s="18">
        <v>-1726.4291297732861</v>
      </c>
      <c r="F231" s="18">
        <v>1700.3912982838126</v>
      </c>
      <c r="G231" s="18">
        <v>-727.6224822136053</v>
      </c>
      <c r="H231" s="12">
        <f>E232</f>
      </c>
      <c r="I231" s="12">
        <f>F232</f>
      </c>
      <c r="J231" s="12">
        <f>G232</f>
      </c>
      <c r="K231">
        <f>IF(AND(Pu&gt;=MIN(E231,H231),Pu&lt;=MAX(E231,H231),E231&lt;&gt;H231),1,0)</f>
      </c>
      <c r="L231">
        <f>IF(K231=1,(Pu-E231)/(H231-E231),"")</f>
      </c>
      <c r="M231" s="12">
        <f>IF(K231=1,F231+L231*(I231-F231),"")</f>
      </c>
      <c r="N231" s="12">
        <f>IF(K231=1,G231+L231*(J231-G231),"")</f>
      </c>
    </row>
    <row r="232" spans="2:7" x14ac:dyDescent="0.25">
      <c r="B232">
        <v>11</v>
      </c>
      <c r="C232">
        <v>99.99999999999999</v>
      </c>
      <c r="D232">
        <v>20</v>
      </c>
      <c r="E232" s="18">
        <v>-4046.776418624003</v>
      </c>
      <c r="F232" s="18">
        <v>481.6051814657576</v>
      </c>
      <c r="G232" s="18">
        <v>-340.51611774503925</v>
      </c>
    </row>
    <row r="234" spans="2:14" x14ac:dyDescent="0.25">
      <c r="B234">
        <v>12</v>
      </c>
      <c r="C234">
        <v>109.99999999999997</v>
      </c>
      <c r="D234">
        <v>1</v>
      </c>
      <c r="E234" s="18">
        <v>16402.860173841535</v>
      </c>
      <c r="F234" s="18">
        <v>2466.171030639908</v>
      </c>
      <c r="G234" s="18">
        <v>-1379.4825182067675</v>
      </c>
      <c r="H234" s="12">
        <f>E235</f>
      </c>
      <c r="I234" s="12">
        <f>F235</f>
      </c>
      <c r="J234" s="12">
        <f>G235</f>
      </c>
      <c r="K234">
        <f>IF(AND(Pu&gt;=MIN(E234,H234),Pu&lt;=MAX(E234,H234),E234&lt;&gt;H234),1,0)</f>
      </c>
      <c r="L234">
        <f>IF(K234=1,(Pu-E234)/(H234-E234),"")</f>
      </c>
      <c r="M234" s="12">
        <f>IF(K234=1,F234+L234*(I234-F234),"")</f>
      </c>
      <c r="N234" s="12">
        <f>IF(K234=1,G234+L234*(J234-G234),"")</f>
      </c>
    </row>
    <row r="235" spans="2:14" x14ac:dyDescent="0.25">
      <c r="B235">
        <v>12</v>
      </c>
      <c r="C235">
        <v>109.99999999999997</v>
      </c>
      <c r="D235">
        <v>2</v>
      </c>
      <c r="E235" s="18">
        <v>13718.869376902876</v>
      </c>
      <c r="F235" s="18">
        <v>3324.228520240989</v>
      </c>
      <c r="G235" s="18">
        <v>-1376.0762869814698</v>
      </c>
      <c r="H235" s="12">
        <f>E236</f>
      </c>
      <c r="I235" s="12">
        <f>F236</f>
      </c>
      <c r="J235" s="12">
        <f>G236</f>
      </c>
      <c r="K235">
        <f>IF(AND(Pu&gt;=MIN(E235,H235),Pu&lt;=MAX(E235,H235),E235&lt;&gt;H235),1,0)</f>
      </c>
      <c r="L235">
        <f>IF(K235=1,(Pu-E235)/(H235-E235),"")</f>
      </c>
      <c r="M235" s="12">
        <f>IF(K235=1,F235+L235*(I235-F235),"")</f>
      </c>
      <c r="N235" s="12">
        <f>IF(K235=1,G235+L235*(J235-G235),"")</f>
      </c>
    </row>
    <row r="236" spans="2:14" x14ac:dyDescent="0.25">
      <c r="B236">
        <v>12</v>
      </c>
      <c r="C236">
        <v>109.99999999999997</v>
      </c>
      <c r="D236">
        <v>3</v>
      </c>
      <c r="E236" s="18">
        <v>12744.95786852382</v>
      </c>
      <c r="F236" s="18">
        <v>3542.0083583097808</v>
      </c>
      <c r="G236" s="18">
        <v>-1410.9333713563667</v>
      </c>
      <c r="H236" s="12">
        <f>E237</f>
      </c>
      <c r="I236" s="12">
        <f>F237</f>
      </c>
      <c r="J236" s="12">
        <f>G237</f>
      </c>
      <c r="K236">
        <f>IF(AND(Pu&gt;=MIN(E236,H236),Pu&lt;=MAX(E236,H236),E236&lt;&gt;H236),1,0)</f>
      </c>
      <c r="L236">
        <f>IF(K236=1,(Pu-E236)/(H236-E236),"")</f>
      </c>
      <c r="M236" s="12">
        <f>IF(K236=1,F236+L236*(I236-F236),"")</f>
      </c>
      <c r="N236" s="12">
        <f>IF(K236=1,G236+L236*(J236-G236),"")</f>
      </c>
    </row>
    <row r="237" spans="2:14" x14ac:dyDescent="0.25">
      <c r="B237">
        <v>12</v>
      </c>
      <c r="C237">
        <v>109.99999999999997</v>
      </c>
      <c r="D237">
        <v>4</v>
      </c>
      <c r="E237" s="18">
        <v>11872.925768562733</v>
      </c>
      <c r="F237" s="18">
        <v>3706.337711125449</v>
      </c>
      <c r="G237" s="18">
        <v>-1428.5243211475015</v>
      </c>
      <c r="H237" s="12">
        <f>E238</f>
      </c>
      <c r="I237" s="12">
        <f>F238</f>
      </c>
      <c r="J237" s="12">
        <f>G238</f>
      </c>
      <c r="K237">
        <f>IF(AND(Pu&gt;=MIN(E237,H237),Pu&lt;=MAX(E237,H237),E237&lt;&gt;H237),1,0)</f>
      </c>
      <c r="L237">
        <f>IF(K237=1,(Pu-E237)/(H237-E237),"")</f>
      </c>
      <c r="M237" s="12">
        <f>IF(K237=1,F237+L237*(I237-F237),"")</f>
      </c>
      <c r="N237" s="12">
        <f>IF(K237=1,G237+L237*(J237-G237),"")</f>
      </c>
    </row>
    <row r="238" spans="2:14" x14ac:dyDescent="0.25">
      <c r="B238">
        <v>12</v>
      </c>
      <c r="C238">
        <v>109.99999999999997</v>
      </c>
      <c r="D238">
        <v>5</v>
      </c>
      <c r="E238" s="18">
        <v>11068.391549557175</v>
      </c>
      <c r="F238" s="18">
        <v>3824.039970536532</v>
      </c>
      <c r="G238" s="18">
        <v>-1457.8706348871585</v>
      </c>
      <c r="H238" s="12">
        <f>E239</f>
      </c>
      <c r="I238" s="12">
        <f>F239</f>
      </c>
      <c r="J238" s="12">
        <f>G239</f>
      </c>
      <c r="K238">
        <f>IF(AND(Pu&gt;=MIN(E238,H238),Pu&lt;=MAX(E238,H238),E238&lt;&gt;H238),1,0)</f>
      </c>
      <c r="L238">
        <f>IF(K238=1,(Pu-E238)/(H238-E238),"")</f>
      </c>
      <c r="M238" s="12">
        <f>IF(K238=1,F238+L238*(I238-F238),"")</f>
      </c>
      <c r="N238" s="12">
        <f>IF(K238=1,G238+L238*(J238-G238),"")</f>
      </c>
    </row>
    <row r="239" spans="2:14" x14ac:dyDescent="0.25">
      <c r="B239">
        <v>12</v>
      </c>
      <c r="C239">
        <v>109.99999999999997</v>
      </c>
      <c r="D239">
        <v>6</v>
      </c>
      <c r="E239" s="18">
        <v>10332.10887656912</v>
      </c>
      <c r="F239" s="18">
        <v>3905.486047511334</v>
      </c>
      <c r="G239" s="18">
        <v>-1498.5915706692595</v>
      </c>
      <c r="H239" s="12">
        <f>E240</f>
      </c>
      <c r="I239" s="12">
        <f>F240</f>
      </c>
      <c r="J239" s="12">
        <f>G240</f>
      </c>
      <c r="K239">
        <f>IF(AND(Pu&gt;=MIN(E239,H239),Pu&lt;=MAX(E239,H239),E239&lt;&gt;H239),1,0)</f>
      </c>
      <c r="L239">
        <f>IF(K239=1,(Pu-E239)/(H239-E239),"")</f>
      </c>
      <c r="M239" s="12">
        <f>IF(K239=1,F239+L239*(I239-F239),"")</f>
      </c>
      <c r="N239" s="12">
        <f>IF(K239=1,G239+L239*(J239-G239),"")</f>
      </c>
    </row>
    <row r="240" spans="2:14" x14ac:dyDescent="0.25">
      <c r="B240">
        <v>12</v>
      </c>
      <c r="C240">
        <v>109.99999999999997</v>
      </c>
      <c r="D240">
        <v>7</v>
      </c>
      <c r="E240" s="18">
        <v>9631.833173417352</v>
      </c>
      <c r="F240" s="18">
        <v>3968.433504874083</v>
      </c>
      <c r="G240" s="18">
        <v>-1531.0056507951022</v>
      </c>
      <c r="H240" s="12">
        <f>E241</f>
      </c>
      <c r="I240" s="12">
        <f>F241</f>
      </c>
      <c r="J240" s="12">
        <f>G241</f>
      </c>
      <c r="K240">
        <f>IF(AND(Pu&gt;=MIN(E240,H240),Pu&lt;=MAX(E240,H240),E240&lt;&gt;H240),1,0)</f>
      </c>
      <c r="L240">
        <f>IF(K240=1,(Pu-E240)/(H240-E240),"")</f>
      </c>
      <c r="M240" s="12">
        <f>IF(K240=1,F240+L240*(I240-F240),"")</f>
      </c>
      <c r="N240" s="12">
        <f>IF(K240=1,G240+L240*(J240-G240),"")</f>
      </c>
    </row>
    <row r="241" spans="2:14" x14ac:dyDescent="0.25">
      <c r="B241">
        <v>12</v>
      </c>
      <c r="C241">
        <v>109.99999999999997</v>
      </c>
      <c r="D241">
        <v>8</v>
      </c>
      <c r="E241" s="18">
        <v>8988.870002011941</v>
      </c>
      <c r="F241" s="18">
        <v>4019.592675333385</v>
      </c>
      <c r="G241" s="18">
        <v>-1554.3550548765004</v>
      </c>
      <c r="H241" s="12">
        <f>E242</f>
      </c>
      <c r="I241" s="12">
        <f>F242</f>
      </c>
      <c r="J241" s="12">
        <f>G242</f>
      </c>
      <c r="K241">
        <f>IF(AND(Pu&gt;=MIN(E241,H241),Pu&lt;=MAX(E241,H241),E241&lt;&gt;H241),1,0)</f>
      </c>
      <c r="L241">
        <f>IF(K241=1,(Pu-E241)/(H241-E241),"")</f>
      </c>
      <c r="M241" s="12">
        <f>IF(K241=1,F241+L241*(I241-F241),"")</f>
      </c>
      <c r="N241" s="12">
        <f>IF(K241=1,G241+L241*(J241-G241),"")</f>
      </c>
    </row>
    <row r="242" spans="2:14" x14ac:dyDescent="0.25">
      <c r="B242">
        <v>12</v>
      </c>
      <c r="C242">
        <v>109.99999999999997</v>
      </c>
      <c r="D242">
        <v>9</v>
      </c>
      <c r="E242" s="18">
        <v>8252.707873920062</v>
      </c>
      <c r="F242" s="18">
        <v>4245.674202980199</v>
      </c>
      <c r="G242" s="18">
        <v>-1679.4218659264625</v>
      </c>
      <c r="H242" s="12">
        <f>E243</f>
      </c>
      <c r="I242" s="12">
        <f>F243</f>
      </c>
      <c r="J242" s="12">
        <f>G243</f>
      </c>
      <c r="K242">
        <f>IF(AND(Pu&gt;=MIN(E242,H242),Pu&lt;=MAX(E242,H242),E242&lt;&gt;H242),1,0)</f>
      </c>
      <c r="L242">
        <f>IF(K242=1,(Pu-E242)/(H242-E242),"")</f>
      </c>
      <c r="M242" s="12">
        <f>IF(K242=1,F242+L242*(I242-F242),"")</f>
      </c>
      <c r="N242" s="12">
        <f>IF(K242=1,G242+L242*(J242-G242),"")</f>
      </c>
    </row>
    <row r="243" spans="2:14" x14ac:dyDescent="0.25">
      <c r="B243">
        <v>12</v>
      </c>
      <c r="C243">
        <v>109.99999999999997</v>
      </c>
      <c r="D243">
        <v>10</v>
      </c>
      <c r="E243" s="18">
        <v>7655.125540397138</v>
      </c>
      <c r="F243" s="18">
        <v>4378.323743754365</v>
      </c>
      <c r="G243" s="18">
        <v>-1783.60005022954</v>
      </c>
      <c r="H243" s="12">
        <f>E244</f>
      </c>
      <c r="I243" s="12">
        <f>F244</f>
      </c>
      <c r="J243" s="12">
        <f>G244</f>
      </c>
      <c r="K243">
        <f>IF(AND(Pu&gt;=MIN(E243,H243),Pu&lt;=MAX(E243,H243),E243&lt;&gt;H243),1,0)</f>
      </c>
      <c r="L243">
        <f>IF(K243=1,(Pu-E243)/(H243-E243),"")</f>
      </c>
      <c r="M243" s="12">
        <f>IF(K243=1,F243+L243*(I243-F243),"")</f>
      </c>
      <c r="N243" s="12">
        <f>IF(K243=1,G243+L243*(J243-G243),"")</f>
      </c>
    </row>
    <row r="244" spans="2:14" x14ac:dyDescent="0.25">
      <c r="B244">
        <v>12</v>
      </c>
      <c r="C244">
        <v>109.99999999999997</v>
      </c>
      <c r="D244">
        <v>11</v>
      </c>
      <c r="E244" s="18">
        <v>7128.5135400787985</v>
      </c>
      <c r="F244" s="18">
        <v>4456.49737853079</v>
      </c>
      <c r="G244" s="18">
        <v>-1887.53181618741</v>
      </c>
      <c r="H244" s="12">
        <f>E245</f>
      </c>
      <c r="I244" s="12">
        <f>F245</f>
      </c>
      <c r="J244" s="12">
        <f>G245</f>
      </c>
      <c r="K244">
        <f>IF(AND(Pu&gt;=MIN(E244,H244),Pu&lt;=MAX(E244,H244),E244&lt;&gt;H244),1,0)</f>
      </c>
      <c r="L244">
        <f>IF(K244=1,(Pu-E244)/(H244-E244),"")</f>
      </c>
      <c r="M244" s="12">
        <f>IF(K244=1,F244+L244*(I244-F244),"")</f>
      </c>
      <c r="N244" s="12">
        <f>IF(K244=1,G244+L244*(J244-G244),"")</f>
      </c>
    </row>
    <row r="245" spans="2:14" x14ac:dyDescent="0.25">
      <c r="B245">
        <v>12</v>
      </c>
      <c r="C245">
        <v>109.99999999999997</v>
      </c>
      <c r="D245">
        <v>12</v>
      </c>
      <c r="E245" s="18">
        <v>6661.1538739312255</v>
      </c>
      <c r="F245" s="18">
        <v>4486.661048542757</v>
      </c>
      <c r="G245" s="18">
        <v>-1976.8965861315048</v>
      </c>
      <c r="H245" s="12">
        <f>E246</f>
      </c>
      <c r="I245" s="12">
        <f>F246</f>
      </c>
      <c r="J245" s="12">
        <f>G246</f>
      </c>
      <c r="K245">
        <f>IF(AND(Pu&gt;=MIN(E245,H245),Pu&lt;=MAX(E245,H245),E245&lt;&gt;H245),1,0)</f>
      </c>
      <c r="L245">
        <f>IF(K245=1,(Pu-E245)/(H245-E245),"")</f>
      </c>
      <c r="M245" s="12">
        <f>IF(K245=1,F245+L245*(I245-F245),"")</f>
      </c>
      <c r="N245" s="12">
        <f>IF(K245=1,G245+L245*(J245-G245),"")</f>
      </c>
    </row>
    <row r="246" spans="2:14" x14ac:dyDescent="0.25">
      <c r="B246">
        <v>12</v>
      </c>
      <c r="C246">
        <v>109.99999999999997</v>
      </c>
      <c r="D246">
        <v>13</v>
      </c>
      <c r="E246" s="18">
        <v>5508.708329790149</v>
      </c>
      <c r="F246" s="18">
        <v>4409.065284635748</v>
      </c>
      <c r="G246" s="18">
        <v>-2188.5015690549426</v>
      </c>
      <c r="H246" s="12">
        <f>E247</f>
      </c>
      <c r="I246" s="12">
        <f>F247</f>
      </c>
      <c r="J246" s="12">
        <f>G247</f>
      </c>
      <c r="K246">
        <f>IF(AND(Pu&gt;=MIN(E246,H246),Pu&lt;=MAX(E246,H246),E246&lt;&gt;H246),1,0)</f>
      </c>
      <c r="L246">
        <f>IF(K246=1,(Pu-E246)/(H246-E246),"")</f>
      </c>
      <c r="M246" s="12">
        <f>IF(K246=1,F246+L246*(I246-F246),"")</f>
      </c>
      <c r="N246" s="12">
        <f>IF(K246=1,G246+L246*(J246-G246),"")</f>
      </c>
    </row>
    <row r="247" spans="2:14" x14ac:dyDescent="0.25">
      <c r="B247">
        <v>12</v>
      </c>
      <c r="C247">
        <v>109.99999999999997</v>
      </c>
      <c r="D247">
        <v>14</v>
      </c>
      <c r="E247" s="18">
        <v>4141.388778317829</v>
      </c>
      <c r="F247" s="18">
        <v>3979.1241367274433</v>
      </c>
      <c r="G247" s="18">
        <v>-2166.7792636844483</v>
      </c>
      <c r="H247" s="12">
        <f>E248</f>
      </c>
      <c r="I247" s="12">
        <f>F248</f>
      </c>
      <c r="J247" s="12">
        <f>G248</f>
      </c>
      <c r="K247">
        <f>IF(AND(Pu&gt;=MIN(E247,H247),Pu&lt;=MAX(E247,H247),E247&lt;&gt;H247),1,0)</f>
      </c>
      <c r="L247">
        <f>IF(K247=1,(Pu-E247)/(H247-E247),"")</f>
      </c>
      <c r="M247" s="12">
        <f>IF(K247=1,F247+L247*(I247-F247),"")</f>
      </c>
      <c r="N247" s="12">
        <f>IF(K247=1,G247+L247*(J247-G247),"")</f>
      </c>
    </row>
    <row r="248" spans="2:14" x14ac:dyDescent="0.25">
      <c r="B248">
        <v>12</v>
      </c>
      <c r="C248">
        <v>109.99999999999997</v>
      </c>
      <c r="D248">
        <v>15</v>
      </c>
      <c r="E248" s="18">
        <v>2174.9563385955585</v>
      </c>
      <c r="F248" s="18">
        <v>3254.7513959296098</v>
      </c>
      <c r="G248" s="18">
        <v>-2039.5887020591163</v>
      </c>
      <c r="H248" s="12">
        <f>E249</f>
      </c>
      <c r="I248" s="12">
        <f>F249</f>
      </c>
      <c r="J248" s="12">
        <f>G249</f>
      </c>
      <c r="K248">
        <f>IF(AND(Pu&gt;=MIN(E248,H248),Pu&lt;=MAX(E248,H248),E248&lt;&gt;H248),1,0)</f>
      </c>
      <c r="L248">
        <f>IF(K248=1,(Pu-E248)/(H248-E248),"")</f>
      </c>
      <c r="M248" s="12">
        <f>IF(K248=1,F248+L248*(I248-F248),"")</f>
      </c>
      <c r="N248" s="12">
        <f>IF(K248=1,G248+L248*(J248-G248),"")</f>
      </c>
    </row>
    <row r="249" spans="2:14" x14ac:dyDescent="0.25">
      <c r="B249">
        <v>12</v>
      </c>
      <c r="C249">
        <v>109.99999999999997</v>
      </c>
      <c r="D249">
        <v>16</v>
      </c>
      <c r="E249" s="18">
        <v>922.35085536887</v>
      </c>
      <c r="F249" s="18">
        <v>2750.4170666280233</v>
      </c>
      <c r="G249" s="18">
        <v>-1834.68142425626</v>
      </c>
      <c r="H249" s="12">
        <f>E250</f>
      </c>
      <c r="I249" s="12">
        <f>F250</f>
      </c>
      <c r="J249" s="12">
        <f>G250</f>
      </c>
      <c r="K249">
        <f>IF(AND(Pu&gt;=MIN(E249,H249),Pu&lt;=MAX(E249,H249),E249&lt;&gt;H249),1,0)</f>
      </c>
      <c r="L249">
        <f>IF(K249=1,(Pu-E249)/(H249-E249),"")</f>
      </c>
      <c r="M249" s="12">
        <f>IF(K249=1,F249+L249*(I249-F249),"")</f>
      </c>
      <c r="N249" s="12">
        <f>IF(K249=1,G249+L249*(J249-G249),"")</f>
      </c>
    </row>
    <row r="250" spans="2:14" x14ac:dyDescent="0.25">
      <c r="B250">
        <v>12</v>
      </c>
      <c r="C250">
        <v>109.99999999999997</v>
      </c>
      <c r="D250">
        <v>17</v>
      </c>
      <c r="E250" s="18">
        <v>-1331.032637032542</v>
      </c>
      <c r="F250" s="18">
        <v>1772.314713784866</v>
      </c>
      <c r="G250" s="18">
        <v>-1328.4318999337574</v>
      </c>
      <c r="H250" s="12">
        <f>E251</f>
      </c>
      <c r="I250" s="12">
        <f>F251</f>
      </c>
      <c r="J250" s="12">
        <f>G251</f>
      </c>
      <c r="K250">
        <f>IF(AND(Pu&gt;=MIN(E250,H250),Pu&lt;=MAX(E250,H250),E250&lt;&gt;H250),1,0)</f>
      </c>
      <c r="L250">
        <f>IF(K250=1,(Pu-E250)/(H250-E250),"")</f>
      </c>
      <c r="M250" s="12">
        <f>IF(K250=1,F250+L250*(I250-F250),"")</f>
      </c>
      <c r="N250" s="12">
        <f>IF(K250=1,G250+L250*(J250-G250),"")</f>
      </c>
    </row>
    <row r="251" spans="2:14" x14ac:dyDescent="0.25">
      <c r="B251">
        <v>12</v>
      </c>
      <c r="C251">
        <v>109.99999999999997</v>
      </c>
      <c r="D251">
        <v>18</v>
      </c>
      <c r="E251" s="18">
        <v>-2582.9617941584797</v>
      </c>
      <c r="F251" s="18">
        <v>1179.876733401427</v>
      </c>
      <c r="G251" s="18">
        <v>-969.9984270243795</v>
      </c>
      <c r="H251" s="12">
        <f>E252</f>
      </c>
      <c r="I251" s="12">
        <f>F252</f>
      </c>
      <c r="J251" s="12">
        <f>G252</f>
      </c>
      <c r="K251">
        <f>IF(AND(Pu&gt;=MIN(E251,H251),Pu&lt;=MAX(E251,H251),E251&lt;&gt;H251),1,0)</f>
      </c>
      <c r="L251">
        <f>IF(K251=1,(Pu-E251)/(H251-E251),"")</f>
      </c>
      <c r="M251" s="12">
        <f>IF(K251=1,F251+L251*(I251-F251),"")</f>
      </c>
      <c r="N251" s="12">
        <f>IF(K251=1,G251+L251*(J251-G251),"")</f>
      </c>
    </row>
    <row r="252" spans="2:7" x14ac:dyDescent="0.25">
      <c r="B252">
        <v>12</v>
      </c>
      <c r="C252">
        <v>109.99999999999997</v>
      </c>
      <c r="D252">
        <v>19</v>
      </c>
      <c r="E252" s="18">
        <v>-4318.169758120961</v>
      </c>
      <c r="F252" s="18">
        <v>328.6861640066757</v>
      </c>
      <c r="G252" s="18">
        <v>-285.023222641046</v>
      </c>
    </row>
    <row r="254" spans="2:14" x14ac:dyDescent="0.25">
      <c r="B254">
        <v>13</v>
      </c>
      <c r="C254">
        <v>119.99999999999997</v>
      </c>
      <c r="D254">
        <v>1</v>
      </c>
      <c r="E254" s="18">
        <v>16822.91130402749</v>
      </c>
      <c r="F254" s="18">
        <v>2091.077256537301</v>
      </c>
      <c r="G254" s="18">
        <v>-1846.312137649973</v>
      </c>
      <c r="H254" s="12">
        <f>E255</f>
      </c>
      <c r="I254" s="12">
        <f>F255</f>
      </c>
      <c r="J254" s="12">
        <f>G255</f>
      </c>
      <c r="K254">
        <f>IF(AND(Pu&gt;=MIN(E254,H254),Pu&lt;=MAX(E254,H254),E254&lt;&gt;H254),1,0)</f>
      </c>
      <c r="L254">
        <f>IF(K254=1,(Pu-E254)/(H254-E254),"")</f>
      </c>
      <c r="M254" s="12">
        <f>IF(K254=1,F254+L254*(I254-F254),"")</f>
      </c>
      <c r="N254" s="12">
        <f>IF(K254=1,G254+L254*(J254-G254),"")</f>
      </c>
    </row>
    <row r="255" spans="2:14" x14ac:dyDescent="0.25">
      <c r="B255">
        <v>13</v>
      </c>
      <c r="C255">
        <v>119.99999999999997</v>
      </c>
      <c r="D255">
        <v>2</v>
      </c>
      <c r="E255" s="18">
        <v>14070.917898113932</v>
      </c>
      <c r="F255" s="18">
        <v>2928.0348018955306</v>
      </c>
      <c r="G255" s="18">
        <v>-2047.8332989882974</v>
      </c>
      <c r="H255" s="12">
        <f>E256</f>
      </c>
      <c r="I255" s="12">
        <f>F256</f>
      </c>
      <c r="J255" s="12">
        <f>G256</f>
      </c>
      <c r="K255">
        <f>IF(AND(Pu&gt;=MIN(E255,H255),Pu&lt;=MAX(E255,H255),E255&lt;&gt;H255),1,0)</f>
      </c>
      <c r="L255">
        <f>IF(K255=1,(Pu-E255)/(H255-E255),"")</f>
      </c>
      <c r="M255" s="12">
        <f>IF(K255=1,F255+L255*(I255-F255),"")</f>
      </c>
      <c r="N255" s="12">
        <f>IF(K255=1,G255+L255*(J255-G255),"")</f>
      </c>
    </row>
    <row r="256" spans="2:14" x14ac:dyDescent="0.25">
      <c r="B256">
        <v>13</v>
      </c>
      <c r="C256">
        <v>119.99999999999997</v>
      </c>
      <c r="D256">
        <v>3</v>
      </c>
      <c r="E256" s="18">
        <v>12901.856153672323</v>
      </c>
      <c r="F256" s="18">
        <v>3190.0199009311577</v>
      </c>
      <c r="G256" s="18">
        <v>-2099.0540102547507</v>
      </c>
      <c r="H256" s="12">
        <f>E257</f>
      </c>
      <c r="I256" s="12">
        <f>F257</f>
      </c>
      <c r="J256" s="12">
        <f>G257</f>
      </c>
      <c r="K256">
        <f>IF(AND(Pu&gt;=MIN(E256,H256),Pu&lt;=MAX(E256,H256),E256&lt;&gt;H256),1,0)</f>
      </c>
      <c r="L256">
        <f>IF(K256=1,(Pu-E256)/(H256-E256),"")</f>
      </c>
      <c r="M256" s="12">
        <f>IF(K256=1,F256+L256*(I256-F256),"")</f>
      </c>
      <c r="N256" s="12">
        <f>IF(K256=1,G256+L256*(J256-G256),"")</f>
      </c>
    </row>
    <row r="257" spans="2:14" x14ac:dyDescent="0.25">
      <c r="B257">
        <v>13</v>
      </c>
      <c r="C257">
        <v>119.99999999999997</v>
      </c>
      <c r="D257">
        <v>4</v>
      </c>
      <c r="E257" s="18">
        <v>11935.566040529275</v>
      </c>
      <c r="F257" s="18">
        <v>3346.4962168695947</v>
      </c>
      <c r="G257" s="18">
        <v>-2169.907487776095</v>
      </c>
      <c r="H257" s="12">
        <f>E258</f>
      </c>
      <c r="I257" s="12">
        <f>F258</f>
      </c>
      <c r="J257" s="12">
        <f>G258</f>
      </c>
      <c r="K257">
        <f>IF(AND(Pu&gt;=MIN(E257,H257),Pu&lt;=MAX(E257,H257),E257&lt;&gt;H257),1,0)</f>
      </c>
      <c r="L257">
        <f>IF(K257=1,(Pu-E257)/(H257-E257),"")</f>
      </c>
      <c r="M257" s="12">
        <f>IF(K257=1,F257+L257*(I257-F257),"")</f>
      </c>
      <c r="N257" s="12">
        <f>IF(K257=1,G257+L257*(J257-G257),"")</f>
      </c>
    </row>
    <row r="258" spans="2:14" x14ac:dyDescent="0.25">
      <c r="B258">
        <v>13</v>
      </c>
      <c r="C258">
        <v>119.99999999999997</v>
      </c>
      <c r="D258">
        <v>5</v>
      </c>
      <c r="E258" s="18">
        <v>11067.978856668191</v>
      </c>
      <c r="F258" s="18">
        <v>3453.7456204671757</v>
      </c>
      <c r="G258" s="18">
        <v>-2228.184326941013</v>
      </c>
      <c r="H258" s="12">
        <f>E259</f>
      </c>
      <c r="I258" s="12">
        <f>F259</f>
      </c>
      <c r="J258" s="12">
        <f>G259</f>
      </c>
      <c r="K258">
        <f>IF(AND(Pu&gt;=MIN(E258,H258),Pu&lt;=MAX(E258,H258),E258&lt;&gt;H258),1,0)</f>
      </c>
      <c r="L258">
        <f>IF(K258=1,(Pu-E258)/(H258-E258),"")</f>
      </c>
      <c r="M258" s="12">
        <f>IF(K258=1,F258+L258*(I258-F258),"")</f>
      </c>
      <c r="N258" s="12">
        <f>IF(K258=1,G258+L258*(J258-G258),"")</f>
      </c>
    </row>
    <row r="259" spans="2:14" x14ac:dyDescent="0.25">
      <c r="B259">
        <v>13</v>
      </c>
      <c r="C259">
        <v>119.99999999999997</v>
      </c>
      <c r="D259">
        <v>6</v>
      </c>
      <c r="E259" s="18">
        <v>10256.541858725835</v>
      </c>
      <c r="F259" s="18">
        <v>3525.165508161799</v>
      </c>
      <c r="G259" s="18">
        <v>-2285.878670822101</v>
      </c>
      <c r="H259" s="12">
        <f>E260</f>
      </c>
      <c r="I259" s="12">
        <f>F260</f>
      </c>
      <c r="J259" s="12">
        <f>G260</f>
      </c>
      <c r="K259">
        <f>IF(AND(Pu&gt;=MIN(E259,H259),Pu&lt;=MAX(E259,H259),E259&lt;&gt;H259),1,0)</f>
      </c>
      <c r="L259">
        <f>IF(K259=1,(Pu-E259)/(H259-E259),"")</f>
      </c>
      <c r="M259" s="12">
        <f>IF(K259=1,F259+L259*(I259-F259),"")</f>
      </c>
      <c r="N259" s="12">
        <f>IF(K259=1,G259+L259*(J259-G259),"")</f>
      </c>
    </row>
    <row r="260" spans="2:14" x14ac:dyDescent="0.25">
      <c r="B260">
        <v>13</v>
      </c>
      <c r="C260">
        <v>119.99999999999997</v>
      </c>
      <c r="D260">
        <v>7</v>
      </c>
      <c r="E260" s="18">
        <v>9504.385690919622</v>
      </c>
      <c r="F260" s="18">
        <v>3577.1883787229203</v>
      </c>
      <c r="G260" s="18">
        <v>-2330.604274080621</v>
      </c>
      <c r="H260" s="12">
        <f>E261</f>
      </c>
      <c r="I260" s="12">
        <f>F261</f>
      </c>
      <c r="J260" s="12">
        <f>G261</f>
      </c>
      <c r="K260">
        <f>IF(AND(Pu&gt;=MIN(E260,H260),Pu&lt;=MAX(E260,H260),E260&lt;&gt;H260),1,0)</f>
      </c>
      <c r="L260">
        <f>IF(K260=1,(Pu-E260)/(H260-E260),"")</f>
      </c>
      <c r="M260" s="12">
        <f>IF(K260=1,F260+L260*(I260-F260),"")</f>
      </c>
      <c r="N260" s="12">
        <f>IF(K260=1,G260+L260*(J260-G260),"")</f>
      </c>
    </row>
    <row r="261" spans="2:14" x14ac:dyDescent="0.25">
      <c r="B261">
        <v>13</v>
      </c>
      <c r="C261">
        <v>119.99999999999997</v>
      </c>
      <c r="D261">
        <v>8</v>
      </c>
      <c r="E261" s="18">
        <v>8792.157526062832</v>
      </c>
      <c r="F261" s="18">
        <v>3613.0310474925145</v>
      </c>
      <c r="G261" s="18">
        <v>-2365.2959646508216</v>
      </c>
      <c r="H261" s="12">
        <f>E262</f>
      </c>
      <c r="I261" s="12">
        <f>F262</f>
      </c>
      <c r="J261" s="12">
        <f>G262</f>
      </c>
      <c r="K261">
        <f>IF(AND(Pu&gt;=MIN(E261,H261),Pu&lt;=MAX(E261,H261),E261&lt;&gt;H261),1,0)</f>
      </c>
      <c r="L261">
        <f>IF(K261=1,(Pu-E261)/(H261-E261),"")</f>
      </c>
      <c r="M261" s="12">
        <f>IF(K261=1,F261+L261*(I261-F261),"")</f>
      </c>
      <c r="N261" s="12">
        <f>IF(K261=1,G261+L261*(J261-G261),"")</f>
      </c>
    </row>
    <row r="262" spans="2:14" x14ac:dyDescent="0.25">
      <c r="B262">
        <v>13</v>
      </c>
      <c r="C262">
        <v>119.99999999999997</v>
      </c>
      <c r="D262">
        <v>9</v>
      </c>
      <c r="E262" s="18">
        <v>7972.608173647171</v>
      </c>
      <c r="F262" s="18">
        <v>3784.1243414515357</v>
      </c>
      <c r="G262" s="18">
        <v>-2517.212543447236</v>
      </c>
      <c r="H262" s="12">
        <f>E263</f>
      </c>
      <c r="I262" s="12">
        <f>F263</f>
      </c>
      <c r="J262" s="12">
        <f>G263</f>
      </c>
      <c r="K262">
        <f>IF(AND(Pu&gt;=MIN(E262,H262),Pu&lt;=MAX(E262,H262),E262&lt;&gt;H262),1,0)</f>
      </c>
      <c r="L262">
        <f>IF(K262=1,(Pu-E262)/(H262-E262),"")</f>
      </c>
      <c r="M262" s="12">
        <f>IF(K262=1,F262+L262*(I262-F262),"")</f>
      </c>
      <c r="N262" s="12">
        <f>IF(K262=1,G262+L262*(J262-G262),"")</f>
      </c>
    </row>
    <row r="263" spans="2:14" x14ac:dyDescent="0.25">
      <c r="B263">
        <v>13</v>
      </c>
      <c r="C263">
        <v>119.99999999999997</v>
      </c>
      <c r="D263">
        <v>10</v>
      </c>
      <c r="E263" s="18">
        <v>7180.825741674879</v>
      </c>
      <c r="F263" s="18">
        <v>3862.7924438875853</v>
      </c>
      <c r="G263" s="18">
        <v>-2652.807421861852</v>
      </c>
      <c r="H263" s="12">
        <f>E264</f>
      </c>
      <c r="I263" s="12">
        <f>F264</f>
      </c>
      <c r="J263" s="12">
        <f>G264</f>
      </c>
      <c r="K263">
        <f>IF(AND(Pu&gt;=MIN(E263,H263),Pu&lt;=MAX(E263,H263),E263&lt;&gt;H263),1,0)</f>
      </c>
      <c r="L263">
        <f>IF(K263=1,(Pu-E263)/(H263-E263),"")</f>
      </c>
      <c r="M263" s="12">
        <f>IF(K263=1,F263+L263*(I263-F263),"")</f>
      </c>
      <c r="N263" s="12">
        <f>IF(K263=1,G263+L263*(J263-G263),"")</f>
      </c>
    </row>
    <row r="264" spans="2:14" x14ac:dyDescent="0.25">
      <c r="B264">
        <v>13</v>
      </c>
      <c r="C264">
        <v>119.99999999999997</v>
      </c>
      <c r="D264">
        <v>11</v>
      </c>
      <c r="E264" s="18">
        <v>6383.26377028388</v>
      </c>
      <c r="F264" s="18">
        <v>3840.996785439064</v>
      </c>
      <c r="G264" s="18">
        <v>-2781.6542011786632</v>
      </c>
      <c r="H264" s="12">
        <f>E265</f>
      </c>
      <c r="I264" s="12">
        <f>F265</f>
      </c>
      <c r="J264" s="12">
        <f>G265</f>
      </c>
      <c r="K264">
        <f>IF(AND(Pu&gt;=MIN(E264,H264),Pu&lt;=MAX(E264,H264),E264&lt;&gt;H264),1,0)</f>
      </c>
      <c r="L264">
        <f>IF(K264=1,(Pu-E264)/(H264-E264),"")</f>
      </c>
      <c r="M264" s="12">
        <f>IF(K264=1,F264+L264*(I264-F264),"")</f>
      </c>
      <c r="N264" s="12">
        <f>IF(K264=1,G264+L264*(J264-G264),"")</f>
      </c>
    </row>
    <row r="265" spans="2:14" x14ac:dyDescent="0.25">
      <c r="B265">
        <v>13</v>
      </c>
      <c r="C265">
        <v>119.99999999999997</v>
      </c>
      <c r="D265">
        <v>12</v>
      </c>
      <c r="E265" s="18">
        <v>5652.587608389081</v>
      </c>
      <c r="F265" s="18">
        <v>3777.794158566774</v>
      </c>
      <c r="G265" s="18">
        <v>-2915.99418300474</v>
      </c>
      <c r="H265" s="12">
        <f>E266</f>
      </c>
      <c r="I265" s="12">
        <f>F266</f>
      </c>
      <c r="J265" s="12">
        <f>G266</f>
      </c>
      <c r="K265">
        <f>IF(AND(Pu&gt;=MIN(E265,H265),Pu&lt;=MAX(E265,H265),E265&lt;&gt;H265),1,0)</f>
      </c>
      <c r="L265">
        <f>IF(K265=1,(Pu-E265)/(H265-E265),"")</f>
      </c>
      <c r="M265" s="12">
        <f>IF(K265=1,F265+L265*(I265-F265),"")</f>
      </c>
      <c r="N265" s="12">
        <f>IF(K265=1,G265+L265*(J265-G265),"")</f>
      </c>
    </row>
    <row r="266" spans="2:14" x14ac:dyDescent="0.25">
      <c r="B266">
        <v>13</v>
      </c>
      <c r="C266">
        <v>119.99999999999997</v>
      </c>
      <c r="D266">
        <v>13</v>
      </c>
      <c r="E266" s="18">
        <v>4514.10107220696</v>
      </c>
      <c r="F266" s="18">
        <v>3636.5992311156742</v>
      </c>
      <c r="G266" s="18">
        <v>-3075.5587008274288</v>
      </c>
      <c r="H266" s="12">
        <f>E267</f>
      </c>
      <c r="I266" s="12">
        <f>F267</f>
      </c>
      <c r="J266" s="12">
        <f>G267</f>
      </c>
      <c r="K266">
        <f>IF(AND(Pu&gt;=MIN(E266,H266),Pu&lt;=MAX(E266,H266),E266&lt;&gt;H266),1,0)</f>
      </c>
      <c r="L266">
        <f>IF(K266=1,(Pu-E266)/(H266-E266),"")</f>
      </c>
      <c r="M266" s="12">
        <f>IF(K266=1,F266+L266*(I266-F266),"")</f>
      </c>
      <c r="N266" s="12">
        <f>IF(K266=1,G266+L266*(J266-G266),"")</f>
      </c>
    </row>
    <row r="267" spans="2:14" x14ac:dyDescent="0.25">
      <c r="B267">
        <v>13</v>
      </c>
      <c r="C267">
        <v>119.99999999999997</v>
      </c>
      <c r="D267">
        <v>14</v>
      </c>
      <c r="E267" s="18">
        <v>3331.7857653191327</v>
      </c>
      <c r="F267" s="18">
        <v>3288.9994358440285</v>
      </c>
      <c r="G267" s="18">
        <v>-2907.6624407574695</v>
      </c>
      <c r="H267" s="12">
        <f>E268</f>
      </c>
      <c r="I267" s="12">
        <f>F268</f>
      </c>
      <c r="J267" s="12">
        <f>G268</f>
      </c>
      <c r="K267">
        <f>IF(AND(Pu&gt;=MIN(E267,H267),Pu&lt;=MAX(E267,H267),E267&lt;&gt;H267),1,0)</f>
      </c>
      <c r="L267">
        <f>IF(K267=1,(Pu-E267)/(H267-E267),"")</f>
      </c>
      <c r="M267" s="12">
        <f>IF(K267=1,F267+L267*(I267-F267),"")</f>
      </c>
      <c r="N267" s="12">
        <f>IF(K267=1,G267+L267*(J267-G267),"")</f>
      </c>
    </row>
    <row r="268" spans="2:14" x14ac:dyDescent="0.25">
      <c r="B268">
        <v>13</v>
      </c>
      <c r="C268">
        <v>119.99999999999997</v>
      </c>
      <c r="D268">
        <v>15</v>
      </c>
      <c r="E268" s="18">
        <v>1637.5892091143164</v>
      </c>
      <c r="F268" s="18">
        <v>2758.961194219572</v>
      </c>
      <c r="G268" s="18">
        <v>-2523.682742669909</v>
      </c>
      <c r="H268" s="12">
        <f>E269</f>
      </c>
      <c r="I268" s="12">
        <f>F269</f>
      </c>
      <c r="J268" s="12">
        <f>G269</f>
      </c>
      <c r="K268">
        <f>IF(AND(Pu&gt;=MIN(E268,H268),Pu&lt;=MAX(E268,H268),E268&lt;&gt;H268),1,0)</f>
      </c>
      <c r="L268">
        <f>IF(K268=1,(Pu-E268)/(H268-E268),"")</f>
      </c>
      <c r="M268" s="12">
        <f>IF(K268=1,F268+L268*(I268-F268),"")</f>
      </c>
      <c r="N268" s="12">
        <f>IF(K268=1,G268+L268*(J268-G268),"")</f>
      </c>
    </row>
    <row r="269" spans="2:14" x14ac:dyDescent="0.25">
      <c r="B269">
        <v>13</v>
      </c>
      <c r="C269">
        <v>119.99999999999997</v>
      </c>
      <c r="D269">
        <v>16</v>
      </c>
      <c r="E269" s="18">
        <v>454.5145945618369</v>
      </c>
      <c r="F269" s="18">
        <v>2337.6940815534126</v>
      </c>
      <c r="G269" s="18">
        <v>-2221.031636311089</v>
      </c>
      <c r="H269" s="12">
        <f>E270</f>
      </c>
      <c r="I269" s="12">
        <f>F270</f>
      </c>
      <c r="J269" s="12">
        <f>G270</f>
      </c>
      <c r="K269">
        <f>IF(AND(Pu&gt;=MIN(E269,H269),Pu&lt;=MAX(E269,H269),E269&lt;&gt;H269),1,0)</f>
      </c>
      <c r="L269">
        <f>IF(K269=1,(Pu-E269)/(H269-E269),"")</f>
      </c>
      <c r="M269" s="12">
        <f>IF(K269=1,F269+L269*(I269-F269),"")</f>
      </c>
      <c r="N269" s="12">
        <f>IF(K269=1,G269+L269*(J269-G269),"")</f>
      </c>
    </row>
    <row r="270" spans="2:14" x14ac:dyDescent="0.25">
      <c r="B270">
        <v>13</v>
      </c>
      <c r="C270">
        <v>119.99999999999997</v>
      </c>
      <c r="D270">
        <v>17</v>
      </c>
      <c r="E270" s="18">
        <v>-1552.0973922406886</v>
      </c>
      <c r="F270" s="18">
        <v>1541.74004355525</v>
      </c>
      <c r="G270" s="18">
        <v>-1576.7650024787317</v>
      </c>
      <c r="H270" s="12">
        <f>E271</f>
      </c>
      <c r="I270" s="12">
        <f>F271</f>
      </c>
      <c r="J270" s="12">
        <f>G271</f>
      </c>
      <c r="K270">
        <f>IF(AND(Pu&gt;=MIN(E270,H270),Pu&lt;=MAX(E270,H270),E270&lt;&gt;H270),1,0)</f>
      </c>
      <c r="L270">
        <f>IF(K270=1,(Pu-E270)/(H270-E270),"")</f>
      </c>
      <c r="M270" s="12">
        <f>IF(K270=1,F270+L270*(I270-F270),"")</f>
      </c>
      <c r="N270" s="12">
        <f>IF(K270=1,G270+L270*(J270-G270),"")</f>
      </c>
    </row>
    <row r="271" spans="2:14" x14ac:dyDescent="0.25">
      <c r="B271">
        <v>13</v>
      </c>
      <c r="C271">
        <v>119.99999999999997</v>
      </c>
      <c r="D271">
        <v>18</v>
      </c>
      <c r="E271" s="18">
        <v>-2685.930774914731</v>
      </c>
      <c r="F271" s="18">
        <v>1059.286716705791</v>
      </c>
      <c r="G271" s="18">
        <v>-1117.6191978244196</v>
      </c>
      <c r="H271" s="12">
        <f>E272</f>
      </c>
      <c r="I271" s="12">
        <f>F272</f>
      </c>
      <c r="J271" s="12">
        <f>G272</f>
      </c>
      <c r="K271">
        <f>IF(AND(Pu&gt;=MIN(E271,H271),Pu&lt;=MAX(E271,H271),E271&lt;&gt;H271),1,0)</f>
      </c>
      <c r="L271">
        <f>IF(K271=1,(Pu-E271)/(H271-E271),"")</f>
      </c>
      <c r="M271" s="12">
        <f>IF(K271=1,F271+L271*(I271-F271),"")</f>
      </c>
      <c r="N271" s="12">
        <f>IF(K271=1,G271+L271*(J271-G271),"")</f>
      </c>
    </row>
    <row r="272" spans="2:7" x14ac:dyDescent="0.25">
      <c r="B272">
        <v>13</v>
      </c>
      <c r="C272">
        <v>119.99999999999997</v>
      </c>
      <c r="D272">
        <v>19</v>
      </c>
      <c r="E272" s="18">
        <v>-4292.7116678587445</v>
      </c>
      <c r="F272" s="18">
        <v>329.7583087806502</v>
      </c>
      <c r="G272" s="18">
        <v>-328.5824510703781</v>
      </c>
    </row>
    <row r="274" spans="2:14" x14ac:dyDescent="0.25">
      <c r="B274">
        <v>14</v>
      </c>
      <c r="C274">
        <v>130.00000000000006</v>
      </c>
      <c r="D274">
        <v>1</v>
      </c>
      <c r="E274" s="18">
        <v>16852.860116444474</v>
      </c>
      <c r="F274" s="18">
        <v>1821.9093463293848</v>
      </c>
      <c r="G274" s="18">
        <v>-2219.178411142838</v>
      </c>
      <c r="H274" s="12">
        <f>E275</f>
      </c>
      <c r="I274" s="12">
        <f>F275</f>
      </c>
      <c r="J274" s="12">
        <f>G275</f>
      </c>
      <c r="K274">
        <f>IF(AND(Pu&gt;=MIN(E274,H274),Pu&lt;=MAX(E274,H274),E274&lt;&gt;H274),1,0)</f>
      </c>
      <c r="L274">
        <f>IF(K274=1,(Pu-E274)/(H274-E274),"")</f>
      </c>
      <c r="M274" s="12">
        <f>IF(K274=1,F274+L274*(I274-F274),"")</f>
      </c>
      <c r="N274" s="12">
        <f>IF(K274=1,G274+L274*(J274-G274),"")</f>
      </c>
    </row>
    <row r="275" spans="2:14" x14ac:dyDescent="0.25">
      <c r="B275">
        <v>14</v>
      </c>
      <c r="C275">
        <v>130.00000000000006</v>
      </c>
      <c r="D275">
        <v>2</v>
      </c>
      <c r="E275" s="18">
        <v>14365.804360764834</v>
      </c>
      <c r="F275" s="18">
        <v>2404.642402426316</v>
      </c>
      <c r="G275" s="18">
        <v>-2695.479237060514</v>
      </c>
      <c r="H275" s="12">
        <f>E276</f>
      </c>
      <c r="I275" s="12">
        <f>F276</f>
      </c>
      <c r="J275" s="12">
        <f>G276</f>
      </c>
      <c r="K275">
        <f>IF(AND(Pu&gt;=MIN(E275,H275),Pu&lt;=MAX(E275,H275),E275&lt;&gt;H275),1,0)</f>
      </c>
      <c r="L275">
        <f>IF(K275=1,(Pu-E275)/(H275-E275),"")</f>
      </c>
      <c r="M275" s="12">
        <f>IF(K275=1,F275+L275*(I275-F275),"")</f>
      </c>
      <c r="N275" s="12">
        <f>IF(K275=1,G275+L275*(J275-G275),"")</f>
      </c>
    </row>
    <row r="276" spans="2:14" x14ac:dyDescent="0.25">
      <c r="B276">
        <v>14</v>
      </c>
      <c r="C276">
        <v>130.00000000000006</v>
      </c>
      <c r="D276">
        <v>3</v>
      </c>
      <c r="E276" s="18">
        <v>13084.773123757817</v>
      </c>
      <c r="F276" s="18">
        <v>2661.7634939422146</v>
      </c>
      <c r="G276" s="18">
        <v>-2813.6006068865827</v>
      </c>
      <c r="H276" s="12">
        <f>E277</f>
      </c>
      <c r="I276" s="12">
        <f>F277</f>
      </c>
      <c r="J276" s="12">
        <f>G277</f>
      </c>
      <c r="K276">
        <f>IF(AND(Pu&gt;=MIN(E276,H276),Pu&lt;=MAX(E276,H276),E276&lt;&gt;H276),1,0)</f>
      </c>
      <c r="L276">
        <f>IF(K276=1,(Pu-E276)/(H276-E276),"")</f>
      </c>
      <c r="M276" s="12">
        <f>IF(K276=1,F276+L276*(I276-F276),"")</f>
      </c>
      <c r="N276" s="12">
        <f>IF(K276=1,G276+L276*(J276-G276),"")</f>
      </c>
    </row>
    <row r="277" spans="2:14" x14ac:dyDescent="0.25">
      <c r="B277">
        <v>14</v>
      </c>
      <c r="C277">
        <v>130.00000000000006</v>
      </c>
      <c r="D277">
        <v>4</v>
      </c>
      <c r="E277" s="18">
        <v>11986.815993789121</v>
      </c>
      <c r="F277" s="18">
        <v>2843.623456449094</v>
      </c>
      <c r="G277" s="18">
        <v>-2889.0624143133027</v>
      </c>
      <c r="H277" s="12">
        <f>E278</f>
      </c>
      <c r="I277" s="12">
        <f>F278</f>
      </c>
      <c r="J277" s="12">
        <f>G278</f>
      </c>
      <c r="K277">
        <f>IF(AND(Pu&gt;=MIN(E277,H277),Pu&lt;=MAX(E277,H277),E277&lt;&gt;H277),1,0)</f>
      </c>
      <c r="L277">
        <f>IF(K277=1,(Pu-E277)/(H277-E277),"")</f>
      </c>
      <c r="M277" s="12">
        <f>IF(K277=1,F277+L277*(I277-F277),"")</f>
      </c>
      <c r="N277" s="12">
        <f>IF(K277=1,G277+L277*(J277-G277),"")</f>
      </c>
    </row>
    <row r="278" spans="2:14" x14ac:dyDescent="0.25">
      <c r="B278">
        <v>14</v>
      </c>
      <c r="C278">
        <v>130.00000000000006</v>
      </c>
      <c r="D278">
        <v>5</v>
      </c>
      <c r="E278" s="18">
        <v>11025.61890490727</v>
      </c>
      <c r="F278" s="18">
        <v>2964.187022290056</v>
      </c>
      <c r="G278" s="18">
        <v>-2946.3917010793252</v>
      </c>
      <c r="H278" s="12">
        <f>E279</f>
      </c>
      <c r="I278" s="12">
        <f>F279</f>
      </c>
      <c r="J278" s="12">
        <f>G279</f>
      </c>
      <c r="K278">
        <f>IF(AND(Pu&gt;=MIN(E278,H278),Pu&lt;=MAX(E278,H278),E278&lt;&gt;H278),1,0)</f>
      </c>
      <c r="L278">
        <f>IF(K278=1,(Pu-E278)/(H278-E278),"")</f>
      </c>
      <c r="M278" s="12">
        <f>IF(K278=1,F278+L278*(I278-F278),"")</f>
      </c>
      <c r="N278" s="12">
        <f>IF(K278=1,G278+L278*(J278-G278),"")</f>
      </c>
    </row>
    <row r="279" spans="2:14" x14ac:dyDescent="0.25">
      <c r="B279">
        <v>14</v>
      </c>
      <c r="C279">
        <v>130.00000000000006</v>
      </c>
      <c r="D279">
        <v>6</v>
      </c>
      <c r="E279" s="18">
        <v>10174.158446499016</v>
      </c>
      <c r="F279" s="18">
        <v>3032.6215205910453</v>
      </c>
      <c r="G279" s="18">
        <v>-3006.897647321063</v>
      </c>
      <c r="H279" s="12">
        <f>E280</f>
      </c>
      <c r="I279" s="12">
        <f>F280</f>
      </c>
      <c r="J279" s="12">
        <f>G280</f>
      </c>
      <c r="K279">
        <f>IF(AND(Pu&gt;=MIN(E279,H279),Pu&lt;=MAX(E279,H279),E279&lt;&gt;H279),1,0)</f>
      </c>
      <c r="L279">
        <f>IF(K279=1,(Pu-E279)/(H279-E279),"")</f>
      </c>
      <c r="M279" s="12">
        <f>IF(K279=1,F279+L279*(I279-F279),"")</f>
      </c>
      <c r="N279" s="12">
        <f>IF(K279=1,G279+L279*(J279-G279),"")</f>
      </c>
    </row>
    <row r="280" spans="2:14" x14ac:dyDescent="0.25">
      <c r="B280">
        <v>14</v>
      </c>
      <c r="C280">
        <v>130.00000000000006</v>
      </c>
      <c r="D280">
        <v>7</v>
      </c>
      <c r="E280" s="18">
        <v>9380.520956343438</v>
      </c>
      <c r="F280" s="18">
        <v>3069.0403124940394</v>
      </c>
      <c r="G280" s="18">
        <v>-3063.4399937898866</v>
      </c>
      <c r="H280" s="12">
        <f>E281</f>
      </c>
      <c r="I280" s="12">
        <f>F281</f>
      </c>
      <c r="J280" s="12">
        <f>G281</f>
      </c>
      <c r="K280">
        <f>IF(AND(Pu&gt;=MIN(E280,H280),Pu&lt;=MAX(E280,H280),E280&lt;&gt;H280),1,0)</f>
      </c>
      <c r="L280">
        <f>IF(K280=1,(Pu-E280)/(H280-E280),"")</f>
      </c>
      <c r="M280" s="12">
        <f>IF(K280=1,F280+L280*(I280-F280),"")</f>
      </c>
      <c r="N280" s="12">
        <f>IF(K280=1,G280+L280*(J280-G280),"")</f>
      </c>
    </row>
    <row r="281" spans="2:14" x14ac:dyDescent="0.25">
      <c r="B281">
        <v>14</v>
      </c>
      <c r="C281">
        <v>130.00000000000006</v>
      </c>
      <c r="D281">
        <v>8</v>
      </c>
      <c r="E281" s="18">
        <v>8615.873340150305</v>
      </c>
      <c r="F281" s="18">
        <v>3078.1487202853255</v>
      </c>
      <c r="G281" s="18">
        <v>-3122.214440822846</v>
      </c>
      <c r="H281" s="12">
        <f>E282</f>
      </c>
      <c r="I281" s="12">
        <f>F282</f>
      </c>
      <c r="J281" s="12">
        <f>G282</f>
      </c>
      <c r="K281">
        <f>IF(AND(Pu&gt;=MIN(E281,H281),Pu&lt;=MAX(E281,H281),E281&lt;&gt;H281),1,0)</f>
      </c>
      <c r="L281">
        <f>IF(K281=1,(Pu-E281)/(H281-E281),"")</f>
      </c>
      <c r="M281" s="12">
        <f>IF(K281=1,F281+L281*(I281-F281),"")</f>
      </c>
      <c r="N281" s="12">
        <f>IF(K281=1,G281+L281*(J281-G281),"")</f>
      </c>
    </row>
    <row r="282" spans="2:14" x14ac:dyDescent="0.25">
      <c r="B282">
        <v>14</v>
      </c>
      <c r="C282">
        <v>130.00000000000006</v>
      </c>
      <c r="D282">
        <v>9</v>
      </c>
      <c r="E282" s="18">
        <v>7644.217505764198</v>
      </c>
      <c r="F282" s="18">
        <v>3154.700340530996</v>
      </c>
      <c r="G282" s="18">
        <v>-3342.3429528228667</v>
      </c>
      <c r="H282" s="12">
        <f>E283</f>
      </c>
      <c r="I282" s="12">
        <f>F283</f>
      </c>
      <c r="J282" s="12">
        <f>G283</f>
      </c>
      <c r="K282">
        <f>IF(AND(Pu&gt;=MIN(E282,H282),Pu&lt;=MAX(E282,H282),E282&lt;&gt;H282),1,0)</f>
      </c>
      <c r="L282">
        <f>IF(K282=1,(Pu-E282)/(H282-E282),"")</f>
      </c>
      <c r="M282" s="12">
        <f>IF(K282=1,F282+L282*(I282-F282),"")</f>
      </c>
      <c r="N282" s="12">
        <f>IF(K282=1,G282+L282*(J282-G282),"")</f>
      </c>
    </row>
    <row r="283" spans="2:14" x14ac:dyDescent="0.25">
      <c r="B283">
        <v>14</v>
      </c>
      <c r="C283">
        <v>130.00000000000006</v>
      </c>
      <c r="D283">
        <v>10</v>
      </c>
      <c r="E283" s="18">
        <v>6688.32463427844</v>
      </c>
      <c r="F283" s="18">
        <v>3159.1822899865847</v>
      </c>
      <c r="G283" s="18">
        <v>-3489.1686694325053</v>
      </c>
      <c r="H283" s="12">
        <f>E284</f>
      </c>
      <c r="I283" s="12">
        <f>F284</f>
      </c>
      <c r="J283" s="12">
        <f>G284</f>
      </c>
      <c r="K283">
        <f>IF(AND(Pu&gt;=MIN(E283,H283),Pu&lt;=MAX(E283,H283),E283&lt;&gt;H283),1,0)</f>
      </c>
      <c r="L283">
        <f>IF(K283=1,(Pu-E283)/(H283-E283),"")</f>
      </c>
      <c r="M283" s="12">
        <f>IF(K283=1,F283+L283*(I283-F283),"")</f>
      </c>
      <c r="N283" s="12">
        <f>IF(K283=1,G283+L283*(J283-G283),"")</f>
      </c>
    </row>
    <row r="284" spans="2:14" x14ac:dyDescent="0.25">
      <c r="B284">
        <v>14</v>
      </c>
      <c r="C284">
        <v>130.00000000000006</v>
      </c>
      <c r="D284">
        <v>11</v>
      </c>
      <c r="E284" s="18">
        <v>5891.239077013843</v>
      </c>
      <c r="F284" s="18">
        <v>3142.87905245302</v>
      </c>
      <c r="G284" s="18">
        <v>-3591.59168874269</v>
      </c>
      <c r="H284" s="12">
        <f>E285</f>
      </c>
      <c r="I284" s="12">
        <f>F285</f>
      </c>
      <c r="J284" s="12">
        <f>G285</f>
      </c>
      <c r="K284">
        <f>IF(AND(Pu&gt;=MIN(E284,H284),Pu&lt;=MAX(E284,H284),E284&lt;&gt;H284),1,0)</f>
      </c>
      <c r="L284">
        <f>IF(K284=1,(Pu-E284)/(H284-E284),"")</f>
      </c>
      <c r="M284" s="12">
        <f>IF(K284=1,F284+L284*(I284-F284),"")</f>
      </c>
      <c r="N284" s="12">
        <f>IF(K284=1,G284+L284*(J284-G284),"")</f>
      </c>
    </row>
    <row r="285" spans="2:14" x14ac:dyDescent="0.25">
      <c r="B285">
        <v>14</v>
      </c>
      <c r="C285">
        <v>130.00000000000006</v>
      </c>
      <c r="D285">
        <v>12</v>
      </c>
      <c r="E285" s="18">
        <v>5231.9999462024025</v>
      </c>
      <c r="F285" s="18">
        <v>3136.2840927056027</v>
      </c>
      <c r="G285" s="18">
        <v>-3634.14360481057</v>
      </c>
      <c r="H285" s="12">
        <f>E286</f>
      </c>
      <c r="I285" s="12">
        <f>F286</f>
      </c>
      <c r="J285" s="12">
        <f>G286</f>
      </c>
      <c r="K285">
        <f>IF(AND(Pu&gt;=MIN(E285,H285),Pu&lt;=MAX(E285,H285),E285&lt;&gt;H285),1,0)</f>
      </c>
      <c r="L285">
        <f>IF(K285=1,(Pu-E285)/(H285-E285),"")</f>
      </c>
      <c r="M285" s="12">
        <f>IF(K285=1,F285+L285*(I285-F285),"")</f>
      </c>
      <c r="N285" s="12">
        <f>IF(K285=1,G285+L285*(J285-G285),"")</f>
      </c>
    </row>
    <row r="286" spans="2:14" x14ac:dyDescent="0.25">
      <c r="B286">
        <v>14</v>
      </c>
      <c r="C286">
        <v>130.00000000000006</v>
      </c>
      <c r="D286">
        <v>13</v>
      </c>
      <c r="E286" s="18">
        <v>4199.657271846664</v>
      </c>
      <c r="F286" s="18">
        <v>3102.679123961514</v>
      </c>
      <c r="G286" s="18">
        <v>-3673.8564123534015</v>
      </c>
      <c r="H286" s="12">
        <f>E287</f>
      </c>
      <c r="I286" s="12">
        <f>F287</f>
      </c>
      <c r="J286" s="12">
        <f>G287</f>
      </c>
      <c r="K286">
        <f>IF(AND(Pu&gt;=MIN(E286,H286),Pu&lt;=MAX(E286,H286),E286&lt;&gt;H286),1,0)</f>
      </c>
      <c r="L286">
        <f>IF(K286=1,(Pu-E286)/(H286-E286),"")</f>
      </c>
      <c r="M286" s="12">
        <f>IF(K286=1,F286+L286*(I286-F286),"")</f>
      </c>
      <c r="N286" s="12">
        <f>IF(K286=1,G286+L286*(J286-G286),"")</f>
      </c>
    </row>
    <row r="287" spans="2:14" x14ac:dyDescent="0.25">
      <c r="B287">
        <v>14</v>
      </c>
      <c r="C287">
        <v>130.00000000000006</v>
      </c>
      <c r="D287">
        <v>14</v>
      </c>
      <c r="E287" s="18">
        <v>3169.1539039212817</v>
      </c>
      <c r="F287" s="18">
        <v>2831.0249960131864</v>
      </c>
      <c r="G287" s="18">
        <v>-3435.3864648898198</v>
      </c>
      <c r="H287" s="12">
        <f>E288</f>
      </c>
      <c r="I287" s="12">
        <f>F288</f>
      </c>
      <c r="J287" s="12">
        <f>G288</f>
      </c>
      <c r="K287">
        <f>IF(AND(Pu&gt;=MIN(E287,H287),Pu&lt;=MAX(E287,H287),E287&lt;&gt;H287),1,0)</f>
      </c>
      <c r="L287">
        <f>IF(K287=1,(Pu-E287)/(H287-E287),"")</f>
      </c>
      <c r="M287" s="12">
        <f>IF(K287=1,F287+L287*(I287-F287),"")</f>
      </c>
      <c r="N287" s="12">
        <f>IF(K287=1,G287+L287*(J287-G287),"")</f>
      </c>
    </row>
    <row r="288" spans="2:14" x14ac:dyDescent="0.25">
      <c r="B288">
        <v>14</v>
      </c>
      <c r="C288">
        <v>130.00000000000006</v>
      </c>
      <c r="D288">
        <v>15</v>
      </c>
      <c r="E288" s="18">
        <v>1599.2641146176054</v>
      </c>
      <c r="F288" s="18">
        <v>2409.338847373215</v>
      </c>
      <c r="G288" s="18">
        <v>-3000.2866643702823</v>
      </c>
      <c r="H288" s="12">
        <f>E289</f>
      </c>
      <c r="I288" s="12">
        <f>F289</f>
      </c>
      <c r="J288" s="12">
        <f>G289</f>
      </c>
      <c r="K288">
        <f>IF(AND(Pu&gt;=MIN(E288,H288),Pu&lt;=MAX(E288,H288),E288&lt;&gt;H288),1,0)</f>
      </c>
      <c r="L288">
        <f>IF(K288=1,(Pu-E288)/(H288-E288),"")</f>
      </c>
      <c r="M288" s="12">
        <f>IF(K288=1,F288+L288*(I288-F288),"")</f>
      </c>
      <c r="N288" s="12">
        <f>IF(K288=1,G288+L288*(J288-G288),"")</f>
      </c>
    </row>
    <row r="289" spans="2:14" x14ac:dyDescent="0.25">
      <c r="B289">
        <v>14</v>
      </c>
      <c r="C289">
        <v>130.00000000000006</v>
      </c>
      <c r="D289">
        <v>16</v>
      </c>
      <c r="E289" s="18">
        <v>475.1786777659792</v>
      </c>
      <c r="F289" s="18">
        <v>2096.966730397108</v>
      </c>
      <c r="G289" s="18">
        <v>-2621.527354646377</v>
      </c>
      <c r="H289" s="12">
        <f>E290</f>
      </c>
      <c r="I289" s="12">
        <f>F290</f>
      </c>
      <c r="J289" s="12">
        <f>G290</f>
      </c>
      <c r="K289">
        <f>IF(AND(Pu&gt;=MIN(E289,H289),Pu&lt;=MAX(E289,H289),E289&lt;&gt;H289),1,0)</f>
      </c>
      <c r="L289">
        <f>IF(K289=1,(Pu-E289)/(H289-E289),"")</f>
      </c>
      <c r="M289" s="12">
        <f>IF(K289=1,F289+L289*(I289-F289),"")</f>
      </c>
      <c r="N289" s="12">
        <f>IF(K289=1,G289+L289*(J289-G289),"")</f>
      </c>
    </row>
    <row r="290" spans="2:14" x14ac:dyDescent="0.25">
      <c r="B290">
        <v>14</v>
      </c>
      <c r="C290">
        <v>130.00000000000006</v>
      </c>
      <c r="D290">
        <v>17</v>
      </c>
      <c r="E290" s="18">
        <v>-1358.1329778727088</v>
      </c>
      <c r="F290" s="18">
        <v>1484.6277047437486</v>
      </c>
      <c r="G290" s="18">
        <v>-1871.934848484639</v>
      </c>
      <c r="H290" s="12">
        <f>E291</f>
      </c>
      <c r="I290" s="12">
        <f>F291</f>
      </c>
      <c r="J290" s="12">
        <f>G291</f>
      </c>
      <c r="K290">
        <f>IF(AND(Pu&gt;=MIN(E290,H290),Pu&lt;=MAX(E290,H290),E290&lt;&gt;H290),1,0)</f>
      </c>
      <c r="L290">
        <f>IF(K290=1,(Pu-E290)/(H290-E290),"")</f>
      </c>
      <c r="M290" s="12">
        <f>IF(K290=1,F290+L290*(I290-F290),"")</f>
      </c>
      <c r="N290" s="12">
        <f>IF(K290=1,G290+L290*(J290-G290),"")</f>
      </c>
    </row>
    <row r="291" spans="2:14" x14ac:dyDescent="0.25">
      <c r="B291">
        <v>14</v>
      </c>
      <c r="C291">
        <v>130.00000000000006</v>
      </c>
      <c r="D291">
        <v>18</v>
      </c>
      <c r="E291" s="18">
        <v>-2442.045855745271</v>
      </c>
      <c r="F291" s="18">
        <v>1074.4367210190003</v>
      </c>
      <c r="G291" s="18">
        <v>-1355.7859349430707</v>
      </c>
      <c r="H291" s="12">
        <f>E292</f>
      </c>
      <c r="I291" s="12">
        <f>F292</f>
      </c>
      <c r="J291" s="12">
        <f>G292</f>
      </c>
      <c r="K291">
        <f>IF(AND(Pu&gt;=MIN(E291,H291),Pu&lt;=MAX(E291,H291),E291&lt;&gt;H291),1,0)</f>
      </c>
      <c r="L291">
        <f>IF(K291=1,(Pu-E291)/(H291-E291),"")</f>
      </c>
      <c r="M291" s="12">
        <f>IF(K291=1,F291+L291*(I291-F291),"")</f>
      </c>
      <c r="N291" s="12">
        <f>IF(K291=1,G291+L291*(J291-G291),"")</f>
      </c>
    </row>
    <row r="292" spans="2:7" x14ac:dyDescent="0.25">
      <c r="B292">
        <v>14</v>
      </c>
      <c r="C292">
        <v>130.00000000000006</v>
      </c>
      <c r="D292">
        <v>19</v>
      </c>
      <c r="E292" s="18">
        <v>-4037.7307392732573</v>
      </c>
      <c r="F292" s="18">
        <v>408.5389539331583</v>
      </c>
      <c r="G292" s="18">
        <v>-519.206129022784</v>
      </c>
    </row>
    <row r="294" spans="2:14" x14ac:dyDescent="0.25">
      <c r="B294">
        <v>15</v>
      </c>
      <c r="C294">
        <v>140.00000000000006</v>
      </c>
      <c r="D294">
        <v>1</v>
      </c>
      <c r="E294" s="18">
        <v>17112.228279488492</v>
      </c>
      <c r="F294" s="18">
        <v>1471.5214998189326</v>
      </c>
      <c r="G294" s="18">
        <v>-2419.433669563107</v>
      </c>
      <c r="H294" s="12">
        <f>E295</f>
      </c>
      <c r="I294" s="12">
        <f>F295</f>
      </c>
      <c r="J294" s="12">
        <f>G295</f>
      </c>
      <c r="K294">
        <f>IF(AND(Pu&gt;=MIN(E294,H294),Pu&lt;=MAX(E294,H294),E294&lt;&gt;H294),1,0)</f>
      </c>
      <c r="L294">
        <f>IF(K294=1,(Pu-E294)/(H294-E294),"")</f>
      </c>
      <c r="M294" s="12">
        <f>IF(K294=1,F294+L294*(I294-F294),"")</f>
      </c>
      <c r="N294" s="12">
        <f>IF(K294=1,G294+L294*(J294-G294),"")</f>
      </c>
    </row>
    <row r="295" spans="2:14" x14ac:dyDescent="0.25">
      <c r="B295">
        <v>15</v>
      </c>
      <c r="C295">
        <v>140.00000000000006</v>
      </c>
      <c r="D295">
        <v>2</v>
      </c>
      <c r="E295" s="18">
        <v>14865.40051066738</v>
      </c>
      <c r="F295" s="18">
        <v>1819.1798900975818</v>
      </c>
      <c r="G295" s="18">
        <v>-3107.8111608733147</v>
      </c>
      <c r="H295" s="12">
        <f>E296</f>
      </c>
      <c r="I295" s="12">
        <f>F296</f>
      </c>
      <c r="J295" s="12">
        <f>G296</f>
      </c>
      <c r="K295">
        <f>IF(AND(Pu&gt;=MIN(E295,H295),Pu&lt;=MAX(E295,H295),E295&lt;&gt;H295),1,0)</f>
      </c>
      <c r="L295">
        <f>IF(K295=1,(Pu-E295)/(H295-E295),"")</f>
      </c>
      <c r="M295" s="12">
        <f>IF(K295=1,F295+L295*(I295-F295),"")</f>
      </c>
      <c r="N295" s="12">
        <f>IF(K295=1,G295+L295*(J295-G295),"")</f>
      </c>
    </row>
    <row r="296" spans="2:14" x14ac:dyDescent="0.25">
      <c r="B296">
        <v>15</v>
      </c>
      <c r="C296">
        <v>140.00000000000006</v>
      </c>
      <c r="D296">
        <v>3</v>
      </c>
      <c r="E296" s="18">
        <v>13775.257882634027</v>
      </c>
      <c r="F296" s="18">
        <v>2003.6976788798097</v>
      </c>
      <c r="G296" s="18">
        <v>-3299.552688048511</v>
      </c>
      <c r="H296" s="12">
        <f>E297</f>
      </c>
      <c r="I296" s="12">
        <f>F297</f>
      </c>
      <c r="J296" s="12">
        <f>G297</f>
      </c>
      <c r="K296">
        <f>IF(AND(Pu&gt;=MIN(E296,H296),Pu&lt;=MAX(E296,H296),E296&lt;&gt;H296),1,0)</f>
      </c>
      <c r="L296">
        <f>IF(K296=1,(Pu-E296)/(H296-E296),"")</f>
      </c>
      <c r="M296" s="12">
        <f>IF(K296=1,F296+L296*(I296-F296),"")</f>
      </c>
      <c r="N296" s="12">
        <f>IF(K296=1,G296+L296*(J296-G296),"")</f>
      </c>
    </row>
    <row r="297" spans="2:14" x14ac:dyDescent="0.25">
      <c r="B297">
        <v>15</v>
      </c>
      <c r="C297">
        <v>140.00000000000006</v>
      </c>
      <c r="D297">
        <v>4</v>
      </c>
      <c r="E297" s="18">
        <v>12639.898240646944</v>
      </c>
      <c r="F297" s="18">
        <v>2179.6122477597364</v>
      </c>
      <c r="G297" s="18">
        <v>-3427.5176250757786</v>
      </c>
      <c r="H297" s="12">
        <f>E298</f>
      </c>
      <c r="I297" s="12">
        <f>F298</f>
      </c>
      <c r="J297" s="12">
        <f>G298</f>
      </c>
      <c r="K297">
        <f>IF(AND(Pu&gt;=MIN(E297,H297),Pu&lt;=MAX(E297,H297),E297&lt;&gt;H297),1,0)</f>
      </c>
      <c r="L297">
        <f>IF(K297=1,(Pu-E297)/(H297-E297),"")</f>
      </c>
      <c r="M297" s="12">
        <f>IF(K297=1,F297+L297*(I297-F297),"")</f>
      </c>
      <c r="N297" s="12">
        <f>IF(K297=1,G297+L297*(J297-G297),"")</f>
      </c>
    </row>
    <row r="298" spans="2:14" x14ac:dyDescent="0.25">
      <c r="B298">
        <v>15</v>
      </c>
      <c r="C298">
        <v>140.00000000000006</v>
      </c>
      <c r="D298">
        <v>5</v>
      </c>
      <c r="E298" s="18">
        <v>11518.941584801727</v>
      </c>
      <c r="F298" s="18">
        <v>2326.0661526474805</v>
      </c>
      <c r="G298" s="18">
        <v>-3512.9389555241196</v>
      </c>
      <c r="H298" s="12">
        <f>E299</f>
      </c>
      <c r="I298" s="12">
        <f>F299</f>
      </c>
      <c r="J298" s="12">
        <f>G299</f>
      </c>
      <c r="K298">
        <f>IF(AND(Pu&gt;=MIN(E298,H298),Pu&lt;=MAX(E298,H298),E298&lt;&gt;H298),1,0)</f>
      </c>
      <c r="L298">
        <f>IF(K298=1,(Pu-E298)/(H298-E298),"")</f>
      </c>
      <c r="M298" s="12">
        <f>IF(K298=1,F298+L298*(I298-F298),"")</f>
      </c>
      <c r="N298" s="12">
        <f>IF(K298=1,G298+L298*(J298-G298),"")</f>
      </c>
    </row>
    <row r="299" spans="2:14" x14ac:dyDescent="0.25">
      <c r="B299">
        <v>15</v>
      </c>
      <c r="C299">
        <v>140.00000000000006</v>
      </c>
      <c r="D299">
        <v>6</v>
      </c>
      <c r="E299" s="18">
        <v>10541.575676235627</v>
      </c>
      <c r="F299" s="18">
        <v>2386.299615681</v>
      </c>
      <c r="G299" s="18">
        <v>-3605.672854953742</v>
      </c>
      <c r="H299" s="12">
        <f>E300</f>
      </c>
      <c r="I299" s="12">
        <f>F300</f>
      </c>
      <c r="J299" s="12">
        <f>G300</f>
      </c>
      <c r="K299">
        <f>IF(AND(Pu&gt;=MIN(E299,H299),Pu&lt;=MAX(E299,H299),E299&lt;&gt;H299),1,0)</f>
      </c>
      <c r="L299">
        <f>IF(K299=1,(Pu-E299)/(H299-E299),"")</f>
      </c>
      <c r="M299" s="12">
        <f>IF(K299=1,F299+L299*(I299-F299),"")</f>
      </c>
      <c r="N299" s="12">
        <f>IF(K299=1,G299+L299*(J299-G299),"")</f>
      </c>
    </row>
    <row r="300" spans="2:14" x14ac:dyDescent="0.25">
      <c r="B300">
        <v>15</v>
      </c>
      <c r="C300">
        <v>140.00000000000006</v>
      </c>
      <c r="D300">
        <v>7</v>
      </c>
      <c r="E300" s="18">
        <v>9620.04517049135</v>
      </c>
      <c r="F300" s="18">
        <v>2424.872735355902</v>
      </c>
      <c r="G300" s="18">
        <v>-3673.568518749323</v>
      </c>
      <c r="H300" s="12">
        <f>E301</f>
      </c>
      <c r="I300" s="12">
        <f>F301</f>
      </c>
      <c r="J300" s="12">
        <f>G301</f>
      </c>
      <c r="K300">
        <f>IF(AND(Pu&gt;=MIN(E300,H300),Pu&lt;=MAX(E300,H300),E300&lt;&gt;H300),1,0)</f>
      </c>
      <c r="L300">
        <f>IF(K300=1,(Pu-E300)/(H300-E300),"")</f>
      </c>
      <c r="M300" s="12">
        <f>IF(K300=1,F300+L300*(I300-F300),"")</f>
      </c>
      <c r="N300" s="12">
        <f>IF(K300=1,G300+L300*(J300-G300),"")</f>
      </c>
    </row>
    <row r="301" spans="2:14" x14ac:dyDescent="0.25">
      <c r="B301">
        <v>15</v>
      </c>
      <c r="C301">
        <v>140.00000000000006</v>
      </c>
      <c r="D301">
        <v>8</v>
      </c>
      <c r="E301" s="18">
        <v>8782.186506898615</v>
      </c>
      <c r="F301" s="18">
        <v>2449.119820297772</v>
      </c>
      <c r="G301" s="18">
        <v>-3721.987540478612</v>
      </c>
      <c r="H301" s="12">
        <f>E302</f>
      </c>
      <c r="I301" s="12">
        <f>F302</f>
      </c>
      <c r="J301" s="12">
        <f>G302</f>
      </c>
      <c r="K301">
        <f>IF(AND(Pu&gt;=MIN(E301,H301),Pu&lt;=MAX(E301,H301),E301&lt;&gt;H301),1,0)</f>
      </c>
      <c r="L301">
        <f>IF(K301=1,(Pu-E301)/(H301-E301),"")</f>
      </c>
      <c r="M301" s="12">
        <f>IF(K301=1,F301+L301*(I301-F301),"")</f>
      </c>
      <c r="N301" s="12">
        <f>IF(K301=1,G301+L301*(J301-G301),"")</f>
      </c>
    </row>
    <row r="302" spans="2:14" x14ac:dyDescent="0.25">
      <c r="B302">
        <v>15</v>
      </c>
      <c r="C302">
        <v>140.00000000000006</v>
      </c>
      <c r="D302">
        <v>9</v>
      </c>
      <c r="E302" s="18">
        <v>7640.784416707783</v>
      </c>
      <c r="F302" s="18">
        <v>2486.771256954525</v>
      </c>
      <c r="G302" s="18">
        <v>-3974.000479045062</v>
      </c>
      <c r="H302" s="12">
        <f>E303</f>
      </c>
      <c r="I302" s="12">
        <f>F303</f>
      </c>
      <c r="J302" s="12">
        <f>G303</f>
      </c>
      <c r="K302">
        <f>IF(AND(Pu&gt;=MIN(E302,H302),Pu&lt;=MAX(E302,H302),E302&lt;&gt;H302),1,0)</f>
      </c>
      <c r="L302">
        <f>IF(K302=1,(Pu-E302)/(H302-E302),"")</f>
      </c>
      <c r="M302" s="12">
        <f>IF(K302=1,F302+L302*(I302-F302),"")</f>
      </c>
      <c r="N302" s="12">
        <f>IF(K302=1,G302+L302*(J302-G302),"")</f>
      </c>
    </row>
    <row r="303" spans="2:14" x14ac:dyDescent="0.25">
      <c r="B303">
        <v>15</v>
      </c>
      <c r="C303">
        <v>140.00000000000006</v>
      </c>
      <c r="D303">
        <v>10</v>
      </c>
      <c r="E303" s="18">
        <v>6726.065799583825</v>
      </c>
      <c r="F303" s="18">
        <v>2492.210594896147</v>
      </c>
      <c r="G303" s="18">
        <v>-4140.104856423919</v>
      </c>
      <c r="H303" s="12">
        <f>E304</f>
      </c>
      <c r="I303" s="12">
        <f>F304</f>
      </c>
      <c r="J303" s="12">
        <f>G304</f>
      </c>
      <c r="K303">
        <f>IF(AND(Pu&gt;=MIN(E303,H303),Pu&lt;=MAX(E303,H303),E303&lt;&gt;H303),1,0)</f>
      </c>
      <c r="L303">
        <f>IF(K303=1,(Pu-E303)/(H303-E303),"")</f>
      </c>
      <c r="M303" s="12">
        <f>IF(K303=1,F303+L303*(I303-F303),"")</f>
      </c>
      <c r="N303" s="12">
        <f>IF(K303=1,G303+L303*(J303-G303),"")</f>
      </c>
    </row>
    <row r="304" spans="2:14" x14ac:dyDescent="0.25">
      <c r="B304">
        <v>15</v>
      </c>
      <c r="C304">
        <v>140.00000000000006</v>
      </c>
      <c r="D304">
        <v>11</v>
      </c>
      <c r="E304" s="18">
        <v>6025.579860073119</v>
      </c>
      <c r="F304" s="18">
        <v>2501.341967181492</v>
      </c>
      <c r="G304" s="18">
        <v>-4239.676966393975</v>
      </c>
      <c r="H304" s="12">
        <f>E305</f>
      </c>
      <c r="I304" s="12">
        <f>F305</f>
      </c>
      <c r="J304" s="12">
        <f>G305</f>
      </c>
      <c r="K304">
        <f>IF(AND(Pu&gt;=MIN(E304,H304),Pu&lt;=MAX(E304,H304),E304&lt;&gt;H304),1,0)</f>
      </c>
      <c r="L304">
        <f>IF(K304=1,(Pu-E304)/(H304-E304),"")</f>
      </c>
      <c r="M304" s="12">
        <f>IF(K304=1,F304+L304*(I304-F304),"")</f>
      </c>
      <c r="N304" s="12">
        <f>IF(K304=1,G304+L304*(J304-G304),"")</f>
      </c>
    </row>
    <row r="305" spans="2:14" x14ac:dyDescent="0.25">
      <c r="B305">
        <v>15</v>
      </c>
      <c r="C305">
        <v>140.00000000000006</v>
      </c>
      <c r="D305">
        <v>12</v>
      </c>
      <c r="E305" s="18">
        <v>5435.175188264599</v>
      </c>
      <c r="F305" s="18">
        <v>2515.115484077009</v>
      </c>
      <c r="G305" s="18">
        <v>-4295.768188199265</v>
      </c>
      <c r="H305" s="12">
        <f>E306</f>
      </c>
      <c r="I305" s="12">
        <f>F306</f>
      </c>
      <c r="J305" s="12">
        <f>G306</f>
      </c>
      <c r="K305">
        <f>IF(AND(Pu&gt;=MIN(E305,H305),Pu&lt;=MAX(E305,H305),E305&lt;&gt;H305),1,0)</f>
      </c>
      <c r="L305">
        <f>IF(K305=1,(Pu-E305)/(H305-E305),"")</f>
      </c>
      <c r="M305" s="12">
        <f>IF(K305=1,F305+L305*(I305-F305),"")</f>
      </c>
      <c r="N305" s="12">
        <f>IF(K305=1,G305+L305*(J305-G305),"")</f>
      </c>
    </row>
    <row r="306" spans="2:14" x14ac:dyDescent="0.25">
      <c r="B306">
        <v>15</v>
      </c>
      <c r="C306">
        <v>140.00000000000006</v>
      </c>
      <c r="D306">
        <v>13</v>
      </c>
      <c r="E306" s="18">
        <v>4472.06733997469</v>
      </c>
      <c r="F306" s="18">
        <v>2573.039025010236</v>
      </c>
      <c r="G306" s="18">
        <v>-4315.69844971917</v>
      </c>
      <c r="H306" s="12">
        <f>E307</f>
      </c>
      <c r="I306" s="12">
        <f>F307</f>
      </c>
      <c r="J306" s="12">
        <f>G307</f>
      </c>
      <c r="K306">
        <f>IF(AND(Pu&gt;=MIN(E306,H306),Pu&lt;=MAX(E306,H306),E306&lt;&gt;H306),1,0)</f>
      </c>
      <c r="L306">
        <f>IF(K306=1,(Pu-E306)/(H306-E306),"")</f>
      </c>
      <c r="M306" s="12">
        <f>IF(K306=1,F306+L306*(I306-F306),"")</f>
      </c>
      <c r="N306" s="12">
        <f>IF(K306=1,G306+L306*(J306-G306),"")</f>
      </c>
    </row>
    <row r="307" spans="2:14" x14ac:dyDescent="0.25">
      <c r="B307">
        <v>15</v>
      </c>
      <c r="C307">
        <v>140.00000000000006</v>
      </c>
      <c r="D307">
        <v>14</v>
      </c>
      <c r="E307" s="18">
        <v>3369.7992833584717</v>
      </c>
      <c r="F307" s="18">
        <v>2422.014231332511</v>
      </c>
      <c r="G307" s="18">
        <v>-3987.3653072509373</v>
      </c>
      <c r="H307" s="12">
        <f>E308</f>
      </c>
      <c r="I307" s="12">
        <f>F308</f>
      </c>
      <c r="J307" s="12">
        <f>G308</f>
      </c>
      <c r="K307">
        <f>IF(AND(Pu&gt;=MIN(E307,H307),Pu&lt;=MAX(E307,H307),E307&lt;&gt;H307),1,0)</f>
      </c>
      <c r="L307">
        <f>IF(K307=1,(Pu-E307)/(H307-E307),"")</f>
      </c>
      <c r="M307" s="12">
        <f>IF(K307=1,F307+L307*(I307-F307),"")</f>
      </c>
      <c r="N307" s="12">
        <f>IF(K307=1,G307+L307*(J307-G307),"")</f>
      </c>
    </row>
    <row r="308" spans="2:14" x14ac:dyDescent="0.25">
      <c r="B308">
        <v>15</v>
      </c>
      <c r="C308">
        <v>140.00000000000006</v>
      </c>
      <c r="D308">
        <v>15</v>
      </c>
      <c r="E308" s="18">
        <v>1845.900168333538</v>
      </c>
      <c r="F308" s="18">
        <v>2099.8419699834258</v>
      </c>
      <c r="G308" s="18">
        <v>-3484.2446361682673</v>
      </c>
      <c r="H308" s="12">
        <f>E309</f>
      </c>
      <c r="I308" s="12">
        <f>F309</f>
      </c>
      <c r="J308" s="12">
        <f>G309</f>
      </c>
      <c r="K308">
        <f>IF(AND(Pu&gt;=MIN(E308,H308),Pu&lt;=MAX(E308,H308),E308&lt;&gt;H308),1,0)</f>
      </c>
      <c r="L308">
        <f>IF(K308=1,(Pu-E308)/(H308-E308),"")</f>
      </c>
      <c r="M308" s="12">
        <f>IF(K308=1,F308+L308*(I308-F308),"")</f>
      </c>
      <c r="N308" s="12">
        <f>IF(K308=1,G308+L308*(J308-G308),"")</f>
      </c>
    </row>
    <row r="309" spans="2:14" x14ac:dyDescent="0.25">
      <c r="B309">
        <v>15</v>
      </c>
      <c r="C309">
        <v>140.00000000000006</v>
      </c>
      <c r="D309">
        <v>16</v>
      </c>
      <c r="E309" s="18">
        <v>730.9479314222024</v>
      </c>
      <c r="F309" s="18">
        <v>1846.8120070719795</v>
      </c>
      <c r="G309" s="18">
        <v>-3034.7443903708204</v>
      </c>
      <c r="H309" s="12">
        <f>E310</f>
      </c>
      <c r="I309" s="12">
        <f>F310</f>
      </c>
      <c r="J309" s="12">
        <f>G310</f>
      </c>
      <c r="K309">
        <f>IF(AND(Pu&gt;=MIN(E309,H309),Pu&lt;=MAX(E309,H309),E309&lt;&gt;H309),1,0)</f>
      </c>
      <c r="L309">
        <f>IF(K309=1,(Pu-E309)/(H309-E309),"")</f>
      </c>
      <c r="M309" s="12">
        <f>IF(K309=1,F309+L309*(I309-F309),"")</f>
      </c>
      <c r="N309" s="12">
        <f>IF(K309=1,G309+L309*(J309-G309),"")</f>
      </c>
    </row>
    <row r="310" spans="2:14" x14ac:dyDescent="0.25">
      <c r="B310">
        <v>15</v>
      </c>
      <c r="C310">
        <v>140.00000000000006</v>
      </c>
      <c r="D310">
        <v>17</v>
      </c>
      <c r="E310" s="18">
        <v>-1094.688911887931</v>
      </c>
      <c r="F310" s="18">
        <v>1389.8270094752334</v>
      </c>
      <c r="G310" s="18">
        <v>-2176.4568739463257</v>
      </c>
      <c r="H310" s="12">
        <f>E311</f>
      </c>
      <c r="I310" s="12">
        <f>F311</f>
      </c>
      <c r="J310" s="12">
        <f>G311</f>
      </c>
      <c r="K310">
        <f>IF(AND(Pu&gt;=MIN(E310,H310),Pu&lt;=MAX(E310,H310),E310&lt;&gt;H310),1,0)</f>
      </c>
      <c r="L310">
        <f>IF(K310=1,(Pu-E310)/(H310-E310),"")</f>
      </c>
      <c r="M310" s="12">
        <f>IF(K310=1,F310+L310*(I310-F310),"")</f>
      </c>
      <c r="N310" s="12">
        <f>IF(K310=1,G310+L310*(J310-G310),"")</f>
      </c>
    </row>
    <row r="311" spans="2:14" x14ac:dyDescent="0.25">
      <c r="B311">
        <v>15</v>
      </c>
      <c r="C311">
        <v>140.00000000000006</v>
      </c>
      <c r="D311">
        <v>18</v>
      </c>
      <c r="E311" s="18">
        <v>-2272.7396139886937</v>
      </c>
      <c r="F311" s="18">
        <v>1025.2596002454152</v>
      </c>
      <c r="G311" s="18">
        <v>-1563.9597976104465</v>
      </c>
      <c r="H311" s="12">
        <f>E312</f>
      </c>
      <c r="I311" s="12">
        <f>F312</f>
      </c>
      <c r="J311" s="12">
        <f>G312</f>
      </c>
      <c r="K311">
        <f>IF(AND(Pu&gt;=MIN(E311,H311),Pu&lt;=MAX(E311,H311),E311&lt;&gt;H311),1,0)</f>
      </c>
      <c r="L311">
        <f>IF(K311=1,(Pu-E311)/(H311-E311),"")</f>
      </c>
      <c r="M311" s="12">
        <f>IF(K311=1,F311+L311*(I311-F311),"")</f>
      </c>
      <c r="N311" s="12">
        <f>IF(K311=1,G311+L311*(J311-G311),"")</f>
      </c>
    </row>
    <row r="312" spans="2:7" x14ac:dyDescent="0.25">
      <c r="B312">
        <v>15</v>
      </c>
      <c r="C312">
        <v>140.00000000000006</v>
      </c>
      <c r="D312">
        <v>19</v>
      </c>
      <c r="E312" s="18">
        <v>-3972.5326590168647</v>
      </c>
      <c r="F312" s="18">
        <v>389.2546634469326</v>
      </c>
      <c r="G312" s="18">
        <v>-609.8221466339493</v>
      </c>
    </row>
    <row r="314" spans="2:14" x14ac:dyDescent="0.25">
      <c r="B314">
        <v>16</v>
      </c>
      <c r="C314">
        <v>150.00000000000003</v>
      </c>
      <c r="D314">
        <v>1</v>
      </c>
      <c r="E314" s="18">
        <v>16998.009337410247</v>
      </c>
      <c r="F314" s="18">
        <v>1133.6483233342235</v>
      </c>
      <c r="G314" s="18">
        <v>-2709.8726552965213</v>
      </c>
      <c r="H314" s="12">
        <f>E315</f>
      </c>
      <c r="I314" s="12">
        <f>F315</f>
      </c>
      <c r="J314" s="12">
        <f>G315</f>
      </c>
      <c r="K314">
        <f>IF(AND(Pu&gt;=MIN(E314,H314),Pu&lt;=MAX(E314,H314),E314&lt;&gt;H314),1,0)</f>
      </c>
      <c r="L314">
        <f>IF(K314=1,(Pu-E314)/(H314-E314),"")</f>
      </c>
      <c r="M314" s="12">
        <f>IF(K314=1,F314+L314*(I314-F314),"")</f>
      </c>
      <c r="N314" s="12">
        <f>IF(K314=1,G314+L314*(J314-G314),"")</f>
      </c>
    </row>
    <row r="315" spans="2:14" x14ac:dyDescent="0.25">
      <c r="B315">
        <v>16</v>
      </c>
      <c r="C315">
        <v>150.00000000000003</v>
      </c>
      <c r="D315">
        <v>2</v>
      </c>
      <c r="E315" s="18">
        <v>15021.685687512983</v>
      </c>
      <c r="F315" s="18">
        <v>1322.3102911534047</v>
      </c>
      <c r="G315" s="18">
        <v>-3396.369321909574</v>
      </c>
      <c r="H315" s="12">
        <f>E316</f>
      </c>
      <c r="I315" s="12">
        <f>F316</f>
      </c>
      <c r="J315" s="12">
        <f>G316</f>
      </c>
      <c r="K315">
        <f>IF(AND(Pu&gt;=MIN(E315,H315),Pu&lt;=MAX(E315,H315),E315&lt;&gt;H315),1,0)</f>
      </c>
      <c r="L315">
        <f>IF(K315=1,(Pu-E315)/(H315-E315),"")</f>
      </c>
      <c r="M315" s="12">
        <f>IF(K315=1,F315+L315*(I315-F315),"")</f>
      </c>
      <c r="N315" s="12">
        <f>IF(K315=1,G315+L315*(J315-G315),"")</f>
      </c>
    </row>
    <row r="316" spans="2:14" x14ac:dyDescent="0.25">
      <c r="B316">
        <v>16</v>
      </c>
      <c r="C316">
        <v>150.00000000000003</v>
      </c>
      <c r="D316">
        <v>3</v>
      </c>
      <c r="E316" s="18">
        <v>14002.391562563791</v>
      </c>
      <c r="F316" s="18">
        <v>1447.936761345466</v>
      </c>
      <c r="G316" s="18">
        <v>-3620.980749971827</v>
      </c>
      <c r="H316" s="12">
        <f>E317</f>
      </c>
      <c r="I316" s="12">
        <f>F317</f>
      </c>
      <c r="J316" s="12">
        <f>G317</f>
      </c>
      <c r="K316">
        <f>IF(AND(Pu&gt;=MIN(E316,H316),Pu&lt;=MAX(E316,H316),E316&lt;&gt;H316),1,0)</f>
      </c>
      <c r="L316">
        <f>IF(K316=1,(Pu-E316)/(H316-E316),"")</f>
      </c>
      <c r="M316" s="12">
        <f>IF(K316=1,F316+L316*(I316-F316),"")</f>
      </c>
      <c r="N316" s="12">
        <f>IF(K316=1,G316+L316*(J316-G316),"")</f>
      </c>
    </row>
    <row r="317" spans="2:14" x14ac:dyDescent="0.25">
      <c r="B317">
        <v>16</v>
      </c>
      <c r="C317">
        <v>150.00000000000003</v>
      </c>
      <c r="D317">
        <v>4</v>
      </c>
      <c r="E317" s="18">
        <v>12917.191162616708</v>
      </c>
      <c r="F317" s="18">
        <v>1568.6732710273877</v>
      </c>
      <c r="G317" s="18">
        <v>-3801.68155668044</v>
      </c>
      <c r="H317" s="12">
        <f>E318</f>
      </c>
      <c r="I317" s="12">
        <f>F318</f>
      </c>
      <c r="J317" s="12">
        <f>G318</f>
      </c>
      <c r="K317">
        <f>IF(AND(Pu&gt;=MIN(E317,H317),Pu&lt;=MAX(E317,H317),E317&lt;&gt;H317),1,0)</f>
      </c>
      <c r="L317">
        <f>IF(K317=1,(Pu-E317)/(H317-E317),"")</f>
      </c>
      <c r="M317" s="12">
        <f>IF(K317=1,F317+L317*(I317-F317),"")</f>
      </c>
      <c r="N317" s="12">
        <f>IF(K317=1,G317+L317*(J317-G317),"")</f>
      </c>
    </row>
    <row r="318" spans="2:14" x14ac:dyDescent="0.25">
      <c r="B318">
        <v>16</v>
      </c>
      <c r="C318">
        <v>150.00000000000003</v>
      </c>
      <c r="D318">
        <v>5</v>
      </c>
      <c r="E318" s="18">
        <v>11836.053318345912</v>
      </c>
      <c r="F318" s="18">
        <v>1678.675342757945</v>
      </c>
      <c r="G318" s="18">
        <v>-3932.163454980794</v>
      </c>
      <c r="H318" s="12">
        <f>E319</f>
      </c>
      <c r="I318" s="12">
        <f>F319</f>
      </c>
      <c r="J318" s="12">
        <f>G319</f>
      </c>
      <c r="K318">
        <f>IF(AND(Pu&gt;=MIN(E318,H318),Pu&lt;=MAX(E318,H318),E318&lt;&gt;H318),1,0)</f>
      </c>
      <c r="L318">
        <f>IF(K318=1,(Pu-E318)/(H318-E318),"")</f>
      </c>
      <c r="M318" s="12">
        <f>IF(K318=1,F318+L318*(I318-F318),"")</f>
      </c>
      <c r="N318" s="12">
        <f>IF(K318=1,G318+L318*(J318-G318),"")</f>
      </c>
    </row>
    <row r="319" spans="2:14" x14ac:dyDescent="0.25">
      <c r="B319">
        <v>16</v>
      </c>
      <c r="C319">
        <v>150.00000000000003</v>
      </c>
      <c r="D319">
        <v>6</v>
      </c>
      <c r="E319" s="18">
        <v>10727.01252633986</v>
      </c>
      <c r="F319" s="18">
        <v>1769.9478393561399</v>
      </c>
      <c r="G319" s="18">
        <v>-4024.505808653656</v>
      </c>
      <c r="H319" s="12">
        <f>E320</f>
      </c>
      <c r="I319" s="12">
        <f>F320</f>
      </c>
      <c r="J319" s="12">
        <f>G320</f>
      </c>
      <c r="K319">
        <f>IF(AND(Pu&gt;=MIN(E319,H319),Pu&lt;=MAX(E319,H319),E319&lt;&gt;H319),1,0)</f>
      </c>
      <c r="L319">
        <f>IF(K319=1,(Pu-E319)/(H319-E319),"")</f>
      </c>
      <c r="M319" s="12">
        <f>IF(K319=1,F319+L319*(I319-F319),"")</f>
      </c>
      <c r="N319" s="12">
        <f>IF(K319=1,G319+L319*(J319-G319),"")</f>
      </c>
    </row>
    <row r="320" spans="2:14" x14ac:dyDescent="0.25">
      <c r="B320">
        <v>16</v>
      </c>
      <c r="C320">
        <v>150.00000000000003</v>
      </c>
      <c r="D320">
        <v>7</v>
      </c>
      <c r="E320" s="18">
        <v>9665.022708480568</v>
      </c>
      <c r="F320" s="18">
        <v>1805.482595355892</v>
      </c>
      <c r="G320" s="18">
        <v>-4101.97390960985</v>
      </c>
      <c r="H320" s="12">
        <f>E321</f>
      </c>
      <c r="I320" s="12">
        <f>F321</f>
      </c>
      <c r="J320" s="12">
        <f>G321</f>
      </c>
      <c r="K320">
        <f>IF(AND(Pu&gt;=MIN(E320,H320),Pu&lt;=MAX(E320,H320),E320&lt;&gt;H320),1,0)</f>
      </c>
      <c r="L320">
        <f>IF(K320=1,(Pu-E320)/(H320-E320),"")</f>
      </c>
      <c r="M320" s="12">
        <f>IF(K320=1,F320+L320*(I320-F320),"")</f>
      </c>
      <c r="N320" s="12">
        <f>IF(K320=1,G320+L320*(J320-G320),"")</f>
      </c>
    </row>
    <row r="321" spans="2:14" x14ac:dyDescent="0.25">
      <c r="B321">
        <v>16</v>
      </c>
      <c r="C321">
        <v>150.00000000000003</v>
      </c>
      <c r="D321">
        <v>8</v>
      </c>
      <c r="E321" s="18">
        <v>8691.318748508631</v>
      </c>
      <c r="F321" s="18">
        <v>1787.0400065559857</v>
      </c>
      <c r="G321" s="18">
        <v>-4169.332745253192</v>
      </c>
      <c r="H321" s="12">
        <f>E322</f>
      </c>
      <c r="I321" s="12">
        <f>F322</f>
      </c>
      <c r="J321" s="12">
        <f>G322</f>
      </c>
      <c r="K321">
        <f>IF(AND(Pu&gt;=MIN(E321,H321),Pu&lt;=MAX(E321,H321),E321&lt;&gt;H321),1,0)</f>
      </c>
      <c r="L321">
        <f>IF(K321=1,(Pu-E321)/(H321-E321),"")</f>
      </c>
      <c r="M321" s="12">
        <f>IF(K321=1,F321+L321*(I321-F321),"")</f>
      </c>
      <c r="N321" s="12">
        <f>IF(K321=1,G321+L321*(J321-G321),"")</f>
      </c>
    </row>
    <row r="322" spans="2:14" x14ac:dyDescent="0.25">
      <c r="B322">
        <v>16</v>
      </c>
      <c r="C322">
        <v>150.00000000000003</v>
      </c>
      <c r="D322">
        <v>9</v>
      </c>
      <c r="E322" s="18">
        <v>7538.850561970995</v>
      </c>
      <c r="F322" s="18">
        <v>1814.5178557291335</v>
      </c>
      <c r="G322" s="18">
        <v>-4423.590850130431</v>
      </c>
      <c r="H322" s="12">
        <f>E323</f>
      </c>
      <c r="I322" s="12">
        <f>F323</f>
      </c>
      <c r="J322" s="12">
        <f>G323</f>
      </c>
      <c r="K322">
        <f>IF(AND(Pu&gt;=MIN(E322,H322),Pu&lt;=MAX(E322,H322),E322&lt;&gt;H322),1,0)</f>
      </c>
      <c r="L322">
        <f>IF(K322=1,(Pu-E322)/(H322-E322),"")</f>
      </c>
      <c r="M322" s="12">
        <f>IF(K322=1,F322+L322*(I322-F322),"")</f>
      </c>
      <c r="N322" s="12">
        <f>IF(K322=1,G322+L322*(J322-G322),"")</f>
      </c>
    </row>
    <row r="323" spans="2:14" x14ac:dyDescent="0.25">
      <c r="B323">
        <v>16</v>
      </c>
      <c r="C323">
        <v>150.00000000000003</v>
      </c>
      <c r="D323">
        <v>10</v>
      </c>
      <c r="E323" s="18">
        <v>6664.82037514837</v>
      </c>
      <c r="F323" s="18">
        <v>1823.3477417543475</v>
      </c>
      <c r="G323" s="18">
        <v>-4579.515799713044</v>
      </c>
      <c r="H323" s="12">
        <f>E324</f>
      </c>
      <c r="I323" s="12">
        <f>F324</f>
      </c>
      <c r="J323" s="12">
        <f>G324</f>
      </c>
      <c r="K323">
        <f>IF(AND(Pu&gt;=MIN(E323,H323),Pu&lt;=MAX(E323,H323),E323&lt;&gt;H323),1,0)</f>
      </c>
      <c r="L323">
        <f>IF(K323=1,(Pu-E323)/(H323-E323),"")</f>
      </c>
      <c r="M323" s="12">
        <f>IF(K323=1,F323+L323*(I323-F323),"")</f>
      </c>
      <c r="N323" s="12">
        <f>IF(K323=1,G323+L323*(J323-G323),"")</f>
      </c>
    </row>
    <row r="324" spans="2:14" x14ac:dyDescent="0.25">
      <c r="B324">
        <v>16</v>
      </c>
      <c r="C324">
        <v>150.00000000000003</v>
      </c>
      <c r="D324">
        <v>11</v>
      </c>
      <c r="E324" s="18">
        <v>6015.583142120549</v>
      </c>
      <c r="F324" s="18">
        <v>1839.7091926541061</v>
      </c>
      <c r="G324" s="18">
        <v>-4680.595031632149</v>
      </c>
      <c r="H324" s="12">
        <f>E325</f>
      </c>
      <c r="I324" s="12">
        <f>F325</f>
      </c>
      <c r="J324" s="12">
        <f>G325</f>
      </c>
      <c r="K324">
        <f>IF(AND(Pu&gt;=MIN(E324,H324),Pu&lt;=MAX(E324,H324),E324&lt;&gt;H324),1,0)</f>
      </c>
      <c r="L324">
        <f>IF(K324=1,(Pu-E324)/(H324-E324),"")</f>
      </c>
      <c r="M324" s="12">
        <f>IF(K324=1,F324+L324*(I324-F324),"")</f>
      </c>
      <c r="N324" s="12">
        <f>IF(K324=1,G324+L324*(J324-G324),"")</f>
      </c>
    </row>
    <row r="325" spans="2:14" x14ac:dyDescent="0.25">
      <c r="B325">
        <v>16</v>
      </c>
      <c r="C325">
        <v>150.00000000000003</v>
      </c>
      <c r="D325">
        <v>12</v>
      </c>
      <c r="E325" s="18">
        <v>5523.813323565008</v>
      </c>
      <c r="F325" s="18">
        <v>1876.9741645261388</v>
      </c>
      <c r="G325" s="18">
        <v>-4748.332897726923</v>
      </c>
      <c r="H325" s="12">
        <f>E326</f>
      </c>
      <c r="I325" s="12">
        <f>F326</f>
      </c>
      <c r="J325" s="12">
        <f>G326</f>
      </c>
      <c r="K325">
        <f>IF(AND(Pu&gt;=MIN(E325,H325),Pu&lt;=MAX(E325,H325),E325&lt;&gt;H325),1,0)</f>
      </c>
      <c r="L325">
        <f>IF(K325=1,(Pu-E325)/(H325-E325),"")</f>
      </c>
      <c r="M325" s="12">
        <f>IF(K325=1,F325+L325*(I325-F325),"")</f>
      </c>
      <c r="N325" s="12">
        <f>IF(K325=1,G325+L325*(J325-G325),"")</f>
      </c>
    </row>
    <row r="326" spans="2:14" x14ac:dyDescent="0.25">
      <c r="B326">
        <v>16</v>
      </c>
      <c r="C326">
        <v>150.00000000000003</v>
      </c>
      <c r="D326">
        <v>13</v>
      </c>
      <c r="E326" s="18">
        <v>4712.473903860889</v>
      </c>
      <c r="F326" s="18">
        <v>1932.0039260876285</v>
      </c>
      <c r="G326" s="18">
        <v>-4863.813696206678</v>
      </c>
      <c r="H326" s="12">
        <f>E327</f>
      </c>
      <c r="I326" s="12">
        <f>F327</f>
      </c>
      <c r="J326" s="12">
        <f>G327</f>
      </c>
      <c r="K326">
        <f>IF(AND(Pu&gt;=MIN(E326,H326),Pu&lt;=MAX(E326,H326),E326&lt;&gt;H326),1,0)</f>
      </c>
      <c r="L326">
        <f>IF(K326=1,(Pu-E326)/(H326-E326),"")</f>
      </c>
      <c r="M326" s="12">
        <f>IF(K326=1,F326+L326*(I326-F326),"")</f>
      </c>
      <c r="N326" s="12">
        <f>IF(K326=1,G326+L326*(J326-G326),"")</f>
      </c>
    </row>
    <row r="327" spans="2:14" x14ac:dyDescent="0.25">
      <c r="B327">
        <v>16</v>
      </c>
      <c r="C327">
        <v>150.00000000000003</v>
      </c>
      <c r="D327">
        <v>14</v>
      </c>
      <c r="E327" s="18">
        <v>3655.589028488314</v>
      </c>
      <c r="F327" s="18">
        <v>1848.0920579585468</v>
      </c>
      <c r="G327" s="18">
        <v>-4552.941779706579</v>
      </c>
      <c r="H327" s="12">
        <f>E328</f>
      </c>
      <c r="I327" s="12">
        <f>F328</f>
      </c>
      <c r="J327" s="12">
        <f>G328</f>
      </c>
      <c r="K327">
        <f>IF(AND(Pu&gt;=MIN(E327,H327),Pu&lt;=MAX(E327,H327),E327&lt;&gt;H327),1,0)</f>
      </c>
      <c r="L327">
        <f>IF(K327=1,(Pu-E327)/(H327-E327),"")</f>
      </c>
      <c r="M327" s="12">
        <f>IF(K327=1,F327+L327*(I327-F327),"")</f>
      </c>
      <c r="N327" s="12">
        <f>IF(K327=1,G327+L327*(J327-G327),"")</f>
      </c>
    </row>
    <row r="328" spans="2:14" x14ac:dyDescent="0.25">
      <c r="B328">
        <v>16</v>
      </c>
      <c r="C328">
        <v>150.00000000000003</v>
      </c>
      <c r="D328">
        <v>15</v>
      </c>
      <c r="E328" s="18">
        <v>2045.6972224165552</v>
      </c>
      <c r="F328" s="18">
        <v>1711.8493171399894</v>
      </c>
      <c r="G328" s="18">
        <v>-3907.482836324861</v>
      </c>
      <c r="H328" s="12">
        <f>E329</f>
      </c>
      <c r="I328" s="12">
        <f>F329</f>
      </c>
      <c r="J328" s="12">
        <f>G329</f>
      </c>
      <c r="K328">
        <f>IF(AND(Pu&gt;=MIN(E328,H328),Pu&lt;=MAX(E328,H328),E328&lt;&gt;H328),1,0)</f>
      </c>
      <c r="L328">
        <f>IF(K328=1,(Pu-E328)/(H328-E328),"")</f>
      </c>
      <c r="M328" s="12">
        <f>IF(K328=1,F328+L328*(I328-F328),"")</f>
      </c>
      <c r="N328" s="12">
        <f>IF(K328=1,G328+L328*(J328-G328),"")</f>
      </c>
    </row>
    <row r="329" spans="2:14" x14ac:dyDescent="0.25">
      <c r="B329">
        <v>16</v>
      </c>
      <c r="C329">
        <v>150.00000000000003</v>
      </c>
      <c r="D329">
        <v>16</v>
      </c>
      <c r="E329" s="18">
        <v>909.6960597465927</v>
      </c>
      <c r="F329" s="18">
        <v>1537.2891152390175</v>
      </c>
      <c r="G329" s="18">
        <v>-3370.6779025496503</v>
      </c>
      <c r="H329" s="12">
        <f>E330</f>
      </c>
      <c r="I329" s="12">
        <f>F330</f>
      </c>
      <c r="J329" s="12">
        <f>G330</f>
      </c>
      <c r="K329">
        <f>IF(AND(Pu&gt;=MIN(E329,H329),Pu&lt;=MAX(E329,H329),E329&lt;&gt;H329),1,0)</f>
      </c>
      <c r="L329">
        <f>IF(K329=1,(Pu-E329)/(H329-E329),"")</f>
      </c>
      <c r="M329" s="12">
        <f>IF(K329=1,F329+L329*(I329-F329),"")</f>
      </c>
      <c r="N329" s="12">
        <f>IF(K329=1,G329+L329*(J329-G329),"")</f>
      </c>
    </row>
    <row r="330" spans="2:14" x14ac:dyDescent="0.25">
      <c r="B330">
        <v>16</v>
      </c>
      <c r="C330">
        <v>150.00000000000003</v>
      </c>
      <c r="D330">
        <v>17</v>
      </c>
      <c r="E330" s="18">
        <v>-1001.6965113812604</v>
      </c>
      <c r="F330" s="18">
        <v>1175.5242872224323</v>
      </c>
      <c r="G330" s="18">
        <v>-2376.213534492663</v>
      </c>
      <c r="H330" s="12">
        <f>E331</f>
      </c>
      <c r="I330" s="12">
        <f>F331</f>
      </c>
      <c r="J330" s="12">
        <f>G331</f>
      </c>
      <c r="K330">
        <f>IF(AND(Pu&gt;=MIN(E330,H330),Pu&lt;=MAX(E330,H330),E330&lt;&gt;H330),1,0)</f>
      </c>
      <c r="L330">
        <f>IF(K330=1,(Pu-E330)/(H330-E330),"")</f>
      </c>
      <c r="M330" s="12">
        <f>IF(K330=1,F330+L330*(I330-F330),"")</f>
      </c>
      <c r="N330" s="12">
        <f>IF(K330=1,G330+L330*(J330-G330),"")</f>
      </c>
    </row>
    <row r="331" spans="2:14" x14ac:dyDescent="0.25">
      <c r="B331">
        <v>16</v>
      </c>
      <c r="C331">
        <v>150.00000000000003</v>
      </c>
      <c r="D331">
        <v>18</v>
      </c>
      <c r="E331" s="18">
        <v>-2257.327155870938</v>
      </c>
      <c r="F331" s="18">
        <v>876.3487677854172</v>
      </c>
      <c r="G331" s="18">
        <v>-1667.2597478327234</v>
      </c>
      <c r="H331" s="12">
        <f>E332</f>
      </c>
      <c r="I331" s="12">
        <f>F332</f>
      </c>
      <c r="J331" s="12">
        <f>G332</f>
      </c>
      <c r="K331">
        <f>IF(AND(Pu&gt;=MIN(E331,H331),Pu&lt;=MAX(E331,H331),E331&lt;&gt;H331),1,0)</f>
      </c>
      <c r="L331">
        <f>IF(K331=1,(Pu-E331)/(H331-E331),"")</f>
      </c>
      <c r="M331" s="12">
        <f>IF(K331=1,F331+L331*(I331-F331),"")</f>
      </c>
      <c r="N331" s="12">
        <f>IF(K331=1,G331+L331*(J331-G331),"")</f>
      </c>
    </row>
    <row r="332" spans="2:7" x14ac:dyDescent="0.25">
      <c r="B332">
        <v>16</v>
      </c>
      <c r="C332">
        <v>150.00000000000003</v>
      </c>
      <c r="D332">
        <v>19</v>
      </c>
      <c r="E332" s="18">
        <v>-4073.363030721495</v>
      </c>
      <c r="F332" s="18">
        <v>317.111910057037</v>
      </c>
      <c r="G332" s="18">
        <v>-570.0336548953591</v>
      </c>
    </row>
    <row r="334" spans="2:14" x14ac:dyDescent="0.25">
      <c r="B334">
        <v>17</v>
      </c>
      <c r="C334">
        <v>160.00000000000003</v>
      </c>
      <c r="D334">
        <v>1</v>
      </c>
      <c r="E334" s="18">
        <v>17661.288682596387</v>
      </c>
      <c r="F334" s="18">
        <v>755.7966530112401</v>
      </c>
      <c r="G334" s="18">
        <v>-2570.7936325713385</v>
      </c>
      <c r="H334" s="12">
        <f>E335</f>
      </c>
      <c r="I334" s="12">
        <f>F335</f>
      </c>
      <c r="J334" s="12">
        <f>G335</f>
      </c>
      <c r="K334">
        <f>IF(AND(Pu&gt;=MIN(E334,H334),Pu&lt;=MAX(E334,H334),E334&lt;&gt;H334),1,0)</f>
      </c>
      <c r="L334">
        <f>IF(K334=1,(Pu-E334)/(H334-E334),"")</f>
      </c>
      <c r="M334" s="12">
        <f>IF(K334=1,F334+L334*(I334-F334),"")</f>
      </c>
      <c r="N334" s="12">
        <f>IF(K334=1,G334+L334*(J334-G334),"")</f>
      </c>
    </row>
    <row r="335" spans="2:14" x14ac:dyDescent="0.25">
      <c r="B335">
        <v>17</v>
      </c>
      <c r="C335">
        <v>160.00000000000003</v>
      </c>
      <c r="D335">
        <v>2</v>
      </c>
      <c r="E335" s="18">
        <v>16743.45083177851</v>
      </c>
      <c r="F335" s="18">
        <v>770.384299578622</v>
      </c>
      <c r="G335" s="18">
        <v>-3008.3515358189384</v>
      </c>
      <c r="H335" s="12">
        <f>E336</f>
      </c>
      <c r="I335" s="12">
        <f>F336</f>
      </c>
      <c r="J335" s="12">
        <f>G336</f>
      </c>
      <c r="K335">
        <f>IF(AND(Pu&gt;=MIN(E335,H335),Pu&lt;=MAX(E335,H335),E335&lt;&gt;H335),1,0)</f>
      </c>
      <c r="L335">
        <f>IF(K335=1,(Pu-E335)/(H335-E335),"")</f>
      </c>
      <c r="M335" s="12">
        <f>IF(K335=1,F335+L335*(I335-F335),"")</f>
      </c>
      <c r="N335" s="12">
        <f>IF(K335=1,G335+L335*(J335-G335),"")</f>
      </c>
    </row>
    <row r="336" spans="2:14" x14ac:dyDescent="0.25">
      <c r="B336">
        <v>17</v>
      </c>
      <c r="C336">
        <v>160.00000000000003</v>
      </c>
      <c r="D336">
        <v>3</v>
      </c>
      <c r="E336" s="18">
        <v>14997.463353751458</v>
      </c>
      <c r="F336" s="18">
        <v>844.8362812468919</v>
      </c>
      <c r="G336" s="18">
        <v>-3631.3056186022504</v>
      </c>
      <c r="H336" s="12">
        <f>E337</f>
      </c>
      <c r="I336" s="12">
        <f>F337</f>
      </c>
      <c r="J336" s="12">
        <f>G337</f>
      </c>
      <c r="K336">
        <f>IF(AND(Pu&gt;=MIN(E336,H336),Pu&lt;=MAX(E336,H336),E336&lt;&gt;H336),1,0)</f>
      </c>
      <c r="L336">
        <f>IF(K336=1,(Pu-E336)/(H336-E336),"")</f>
      </c>
      <c r="M336" s="12">
        <f>IF(K336=1,F336+L336*(I336-F336),"")</f>
      </c>
      <c r="N336" s="12">
        <f>IF(K336=1,G336+L336*(J336-G336),"")</f>
      </c>
    </row>
    <row r="337" spans="2:14" x14ac:dyDescent="0.25">
      <c r="B337">
        <v>17</v>
      </c>
      <c r="C337">
        <v>160.00000000000003</v>
      </c>
      <c r="D337">
        <v>4</v>
      </c>
      <c r="E337" s="18">
        <v>14116.457475587224</v>
      </c>
      <c r="F337" s="18">
        <v>935.0496609914569</v>
      </c>
      <c r="G337" s="18">
        <v>-3845.336014835607</v>
      </c>
      <c r="H337" s="12">
        <f>E338</f>
      </c>
      <c r="I337" s="12">
        <f>F338</f>
      </c>
      <c r="J337" s="12">
        <f>G338</f>
      </c>
      <c r="K337">
        <f>IF(AND(Pu&gt;=MIN(E337,H337),Pu&lt;=MAX(E337,H337),E337&lt;&gt;H337),1,0)</f>
      </c>
      <c r="L337">
        <f>IF(K337=1,(Pu-E337)/(H337-E337),"")</f>
      </c>
      <c r="M337" s="12">
        <f>IF(K337=1,F337+L337*(I337-F337),"")</f>
      </c>
      <c r="N337" s="12">
        <f>IF(K337=1,G337+L337*(J337-G337),"")</f>
      </c>
    </row>
    <row r="338" spans="2:14" x14ac:dyDescent="0.25">
      <c r="B338">
        <v>17</v>
      </c>
      <c r="C338">
        <v>160.00000000000003</v>
      </c>
      <c r="D338">
        <v>5</v>
      </c>
      <c r="E338" s="18">
        <v>13119.134658210107</v>
      </c>
      <c r="F338" s="18">
        <v>1033.1924703428483</v>
      </c>
      <c r="G338" s="18">
        <v>-4031.240970789158</v>
      </c>
      <c r="H338" s="12">
        <f>E339</f>
      </c>
      <c r="I338" s="12">
        <f>F339</f>
      </c>
      <c r="J338" s="12">
        <f>G339</f>
      </c>
      <c r="K338">
        <f>IF(AND(Pu&gt;=MIN(E338,H338),Pu&lt;=MAX(E338,H338),E338&lt;&gt;H338),1,0)</f>
      </c>
      <c r="L338">
        <f>IF(K338=1,(Pu-E338)/(H338-E338),"")</f>
      </c>
      <c r="M338" s="12">
        <f>IF(K338=1,F338+L338*(I338-F338),"")</f>
      </c>
      <c r="N338" s="12">
        <f>IF(K338=1,G338+L338*(J338-G338),"")</f>
      </c>
    </row>
    <row r="339" spans="2:14" x14ac:dyDescent="0.25">
      <c r="B339">
        <v>17</v>
      </c>
      <c r="C339">
        <v>160.00000000000003</v>
      </c>
      <c r="D339">
        <v>6</v>
      </c>
      <c r="E339" s="18">
        <v>12026.13458863319</v>
      </c>
      <c r="F339" s="18">
        <v>1119.8848694123571</v>
      </c>
      <c r="G339" s="18">
        <v>-4182.643202301281</v>
      </c>
      <c r="H339" s="12">
        <f>E340</f>
      </c>
      <c r="I339" s="12">
        <f>F340</f>
      </c>
      <c r="J339" s="12">
        <f>G340</f>
      </c>
      <c r="K339">
        <f>IF(AND(Pu&gt;=MIN(E339,H339),Pu&lt;=MAX(E339,H339),E339&lt;&gt;H339),1,0)</f>
      </c>
      <c r="L339">
        <f>IF(K339=1,(Pu-E339)/(H339-E339),"")</f>
      </c>
      <c r="M339" s="12">
        <f>IF(K339=1,F339+L339*(I339-F339),"")</f>
      </c>
      <c r="N339" s="12">
        <f>IF(K339=1,G339+L339*(J339-G339),"")</f>
      </c>
    </row>
    <row r="340" spans="2:14" x14ac:dyDescent="0.25">
      <c r="B340">
        <v>17</v>
      </c>
      <c r="C340">
        <v>160.00000000000003</v>
      </c>
      <c r="D340">
        <v>7</v>
      </c>
      <c r="E340" s="18">
        <v>10842.044474839002</v>
      </c>
      <c r="F340" s="18">
        <v>1156.5697052873297</v>
      </c>
      <c r="G340" s="18">
        <v>-4310.236130861472</v>
      </c>
      <c r="H340" s="12">
        <f>E341</f>
      </c>
      <c r="I340" s="12">
        <f>F341</f>
      </c>
      <c r="J340" s="12">
        <f>G341</f>
      </c>
      <c r="K340">
        <f>IF(AND(Pu&gt;=MIN(E340,H340),Pu&lt;=MAX(E340,H340),E340&lt;&gt;H340),1,0)</f>
      </c>
      <c r="L340">
        <f>IF(K340=1,(Pu-E340)/(H340-E340),"")</f>
      </c>
      <c r="M340" s="12">
        <f>IF(K340=1,F340+L340*(I340-F340),"")</f>
      </c>
      <c r="N340" s="12">
        <f>IF(K340=1,G340+L340*(J340-G340),"")</f>
      </c>
    </row>
    <row r="341" spans="2:14" x14ac:dyDescent="0.25">
      <c r="B341">
        <v>17</v>
      </c>
      <c r="C341">
        <v>160.00000000000003</v>
      </c>
      <c r="D341">
        <v>8</v>
      </c>
      <c r="E341" s="18">
        <v>9724.273454792436</v>
      </c>
      <c r="F341" s="18">
        <v>1176.0495099052846</v>
      </c>
      <c r="G341" s="18">
        <v>-4398.4078965645895</v>
      </c>
      <c r="H341" s="12">
        <f>E342</f>
      </c>
      <c r="I341" s="12">
        <f>F342</f>
      </c>
      <c r="J341" s="12">
        <f>G342</f>
      </c>
      <c r="K341">
        <f>IF(AND(Pu&gt;=MIN(E341,H341),Pu&lt;=MAX(E341,H341),E341&lt;&gt;H341),1,0)</f>
      </c>
      <c r="L341">
        <f>IF(K341=1,(Pu-E341)/(H341-E341),"")</f>
      </c>
      <c r="M341" s="12">
        <f>IF(K341=1,F341+L341*(I341-F341),"")</f>
      </c>
      <c r="N341" s="12">
        <f>IF(K341=1,G341+L341*(J341-G341),"")</f>
      </c>
    </row>
    <row r="342" spans="2:14" x14ac:dyDescent="0.25">
      <c r="B342">
        <v>17</v>
      </c>
      <c r="C342">
        <v>160.00000000000003</v>
      </c>
      <c r="D342">
        <v>9</v>
      </c>
      <c r="E342" s="18">
        <v>8674.594833372263</v>
      </c>
      <c r="F342" s="18">
        <v>1192.9791384810956</v>
      </c>
      <c r="G342" s="18">
        <v>-4451.136389177951</v>
      </c>
      <c r="H342" s="12">
        <f>E343</f>
      </c>
      <c r="I342" s="12">
        <f>F343</f>
      </c>
      <c r="J342" s="12">
        <f>G343</f>
      </c>
      <c r="K342">
        <f>IF(AND(Pu&gt;=MIN(E342,H342),Pu&lt;=MAX(E342,H342),E342&lt;&gt;H342),1,0)</f>
      </c>
      <c r="L342">
        <f>IF(K342=1,(Pu-E342)/(H342-E342),"")</f>
      </c>
      <c r="M342" s="12">
        <f>IF(K342=1,F342+L342*(I342-F342),"")</f>
      </c>
      <c r="N342" s="12">
        <f>IF(K342=1,G342+L342*(J342-G342),"")</f>
      </c>
    </row>
    <row r="343" spans="2:14" x14ac:dyDescent="0.25">
      <c r="B343">
        <v>17</v>
      </c>
      <c r="C343">
        <v>160.00000000000003</v>
      </c>
      <c r="D343">
        <v>10</v>
      </c>
      <c r="E343" s="18">
        <v>7474.884744198225</v>
      </c>
      <c r="F343" s="18">
        <v>1204.6625259261414</v>
      </c>
      <c r="G343" s="18">
        <v>-4706.62222460346</v>
      </c>
      <c r="H343" s="12">
        <f>E344</f>
      </c>
      <c r="I343" s="12">
        <f>F344</f>
      </c>
      <c r="J343" s="12">
        <f>G344</f>
      </c>
      <c r="K343">
        <f>IF(AND(Pu&gt;=MIN(E343,H343),Pu&lt;=MAX(E343,H343),E343&lt;&gt;H343),1,0)</f>
      </c>
      <c r="L343">
        <f>IF(K343=1,(Pu-E343)/(H343-E343),"")</f>
      </c>
      <c r="M343" s="12">
        <f>IF(K343=1,F343+L343*(I343-F343),"")</f>
      </c>
      <c r="N343" s="12">
        <f>IF(K343=1,G343+L343*(J343-G343),"")</f>
      </c>
    </row>
    <row r="344" spans="2:14" x14ac:dyDescent="0.25">
      <c r="B344">
        <v>17</v>
      </c>
      <c r="C344">
        <v>160.00000000000003</v>
      </c>
      <c r="D344">
        <v>11</v>
      </c>
      <c r="E344" s="18">
        <v>6683.147634954877</v>
      </c>
      <c r="F344" s="18">
        <v>1191.5846198642269</v>
      </c>
      <c r="G344" s="18">
        <v>-4870.856005963086</v>
      </c>
      <c r="H344" s="12">
        <f>E345</f>
      </c>
      <c r="I344" s="12">
        <f>F345</f>
      </c>
      <c r="J344" s="12">
        <f>G345</f>
      </c>
      <c r="K344">
        <f>IF(AND(Pu&gt;=MIN(E344,H344),Pu&lt;=MAX(E344,H344),E344&lt;&gt;H344),1,0)</f>
      </c>
      <c r="L344">
        <f>IF(K344=1,(Pu-E344)/(H344-E344),"")</f>
      </c>
      <c r="M344" s="12">
        <f>IF(K344=1,F344+L344*(I344-F344),"")</f>
      </c>
      <c r="N344" s="12">
        <f>IF(K344=1,G344+L344*(J344-G344),"")</f>
      </c>
    </row>
    <row r="345" spans="2:14" x14ac:dyDescent="0.25">
      <c r="B345">
        <v>17</v>
      </c>
      <c r="C345">
        <v>160.00000000000003</v>
      </c>
      <c r="D345">
        <v>12</v>
      </c>
      <c r="E345" s="18">
        <v>6151.460452514532</v>
      </c>
      <c r="F345" s="18">
        <v>1199.015849481071</v>
      </c>
      <c r="G345" s="18">
        <v>-5005.025565601777</v>
      </c>
      <c r="H345" s="12">
        <f>E346</f>
      </c>
      <c r="I345" s="12">
        <f>F346</f>
      </c>
      <c r="J345" s="12">
        <f>G346</f>
      </c>
      <c r="K345">
        <f>IF(AND(Pu&gt;=MIN(E345,H345),Pu&lt;=MAX(E345,H345),E345&lt;&gt;H345),1,0)</f>
      </c>
      <c r="L345">
        <f>IF(K345=1,(Pu-E345)/(H345-E345),"")</f>
      </c>
      <c r="M345" s="12">
        <f>IF(K345=1,F345+L345*(I345-F345),"")</f>
      </c>
      <c r="N345" s="12">
        <f>IF(K345=1,G345+L345*(J345-G345),"")</f>
      </c>
    </row>
    <row r="346" spans="2:14" x14ac:dyDescent="0.25">
      <c r="B346">
        <v>17</v>
      </c>
      <c r="C346">
        <v>160.00000000000003</v>
      </c>
      <c r="D346">
        <v>13</v>
      </c>
      <c r="E346" s="18">
        <v>5728.343520434132</v>
      </c>
      <c r="F346" s="18">
        <v>1218.9073693314715</v>
      </c>
      <c r="G346" s="18">
        <v>-5116.654692717469</v>
      </c>
      <c r="H346" s="12">
        <f>E347</f>
      </c>
      <c r="I346" s="12">
        <f>F347</f>
      </c>
      <c r="J346" s="12">
        <f>G347</f>
      </c>
      <c r="K346">
        <f>IF(AND(Pu&gt;=MIN(E346,H346),Pu&lt;=MAX(E346,H346),E346&lt;&gt;H346),1,0)</f>
      </c>
      <c r="L346">
        <f>IF(K346=1,(Pu-E346)/(H346-E346),"")</f>
      </c>
      <c r="M346" s="12">
        <f>IF(K346=1,F346+L346*(I346-F346),"")</f>
      </c>
      <c r="N346" s="12">
        <f>IF(K346=1,G346+L346*(J346-G346),"")</f>
      </c>
    </row>
    <row r="347" spans="2:14" x14ac:dyDescent="0.25">
      <c r="B347">
        <v>17</v>
      </c>
      <c r="C347">
        <v>160.00000000000003</v>
      </c>
      <c r="D347">
        <v>14</v>
      </c>
      <c r="E347" s="18">
        <v>4975.55595421502</v>
      </c>
      <c r="F347" s="18">
        <v>1273.3932198357486</v>
      </c>
      <c r="G347" s="18">
        <v>-5293.524447100558</v>
      </c>
      <c r="H347" s="12">
        <f>E348</f>
      </c>
      <c r="I347" s="12">
        <f>F348</f>
      </c>
      <c r="J347" s="12">
        <f>G348</f>
      </c>
      <c r="K347">
        <f>IF(AND(Pu&gt;=MIN(E347,H347),Pu&lt;=MAX(E347,H347),E347&lt;&gt;H347),1,0)</f>
      </c>
      <c r="L347">
        <f>IF(K347=1,(Pu-E347)/(H347-E347),"")</f>
      </c>
      <c r="M347" s="12">
        <f>IF(K347=1,F347+L347*(I347-F347),"")</f>
      </c>
      <c r="N347" s="12">
        <f>IF(K347=1,G347+L347*(J347-G347),"")</f>
      </c>
    </row>
    <row r="348" spans="2:14" x14ac:dyDescent="0.25">
      <c r="B348">
        <v>17</v>
      </c>
      <c r="C348">
        <v>160.00000000000003</v>
      </c>
      <c r="D348">
        <v>15</v>
      </c>
      <c r="E348" s="18">
        <v>4095.8650801249855</v>
      </c>
      <c r="F348" s="18">
        <v>1250.1774789449926</v>
      </c>
      <c r="G348" s="18">
        <v>-5025.044388982337</v>
      </c>
      <c r="H348" s="12">
        <f>E349</f>
      </c>
      <c r="I348" s="12">
        <f>F349</f>
      </c>
      <c r="J348" s="12">
        <f>G349</f>
      </c>
      <c r="K348">
        <f>IF(AND(Pu&gt;=MIN(E348,H348),Pu&lt;=MAX(E348,H348),E348&lt;&gt;H348),1,0)</f>
      </c>
      <c r="L348">
        <f>IF(K348=1,(Pu-E348)/(H348-E348),"")</f>
      </c>
      <c r="M348" s="12">
        <f>IF(K348=1,F348+L348*(I348-F348),"")</f>
      </c>
      <c r="N348" s="12">
        <f>IF(K348=1,G348+L348*(J348-G348),"")</f>
      </c>
    </row>
    <row r="349" spans="2:14" x14ac:dyDescent="0.25">
      <c r="B349">
        <v>17</v>
      </c>
      <c r="C349">
        <v>160.00000000000003</v>
      </c>
      <c r="D349">
        <v>16</v>
      </c>
      <c r="E349" s="18">
        <v>2696.1416014966853</v>
      </c>
      <c r="F349" s="18">
        <v>1200.3584430619062</v>
      </c>
      <c r="G349" s="18">
        <v>-4486.872835850122</v>
      </c>
      <c r="H349" s="12">
        <f>E350</f>
      </c>
      <c r="I349" s="12">
        <f>F350</f>
      </c>
      <c r="J349" s="12">
        <f>G350</f>
      </c>
      <c r="K349">
        <f>IF(AND(Pu&gt;=MIN(E349,H349),Pu&lt;=MAX(E349,H349),E349&lt;&gt;H349),1,0)</f>
      </c>
      <c r="L349">
        <f>IF(K349=1,(Pu-E349)/(H349-E349),"")</f>
      </c>
      <c r="M349" s="12">
        <f>IF(K349=1,F349+L349*(I349-F349),"")</f>
      </c>
      <c r="N349" s="12">
        <f>IF(K349=1,G349+L349*(J349-G349),"")</f>
      </c>
    </row>
    <row r="350" spans="2:14" x14ac:dyDescent="0.25">
      <c r="B350">
        <v>17</v>
      </c>
      <c r="C350">
        <v>160.00000000000003</v>
      </c>
      <c r="D350">
        <v>17</v>
      </c>
      <c r="E350" s="18">
        <v>1509.3047649668233</v>
      </c>
      <c r="F350" s="18">
        <v>1156.933290307328</v>
      </c>
      <c r="G350" s="18">
        <v>-3927.2364508109954</v>
      </c>
      <c r="H350" s="12">
        <f>E351</f>
      </c>
      <c r="I350" s="12">
        <f>F351</f>
      </c>
      <c r="J350" s="12">
        <f>G351</f>
      </c>
      <c r="K350">
        <f>IF(AND(Pu&gt;=MIN(E350,H350),Pu&lt;=MAX(E350,H350),E350&lt;&gt;H350),1,0)</f>
      </c>
      <c r="L350">
        <f>IF(K350=1,(Pu-E350)/(H350-E350),"")</f>
      </c>
      <c r="M350" s="12">
        <f>IF(K350=1,F350+L350*(I350-F350),"")</f>
      </c>
      <c r="N350" s="12">
        <f>IF(K350=1,G350+L350*(J350-G350),"")</f>
      </c>
    </row>
    <row r="351" spans="2:14" x14ac:dyDescent="0.25">
      <c r="B351">
        <v>17</v>
      </c>
      <c r="C351">
        <v>160.00000000000003</v>
      </c>
      <c r="D351">
        <v>18</v>
      </c>
      <c r="E351" s="18">
        <v>-548.8293482471064</v>
      </c>
      <c r="F351" s="18">
        <v>932.2241061775342</v>
      </c>
      <c r="G351" s="18">
        <v>-2790.7528392457148</v>
      </c>
      <c r="H351" s="12">
        <f>E352</f>
      </c>
      <c r="I351" s="12">
        <f>F352</f>
      </c>
      <c r="J351" s="12">
        <f>G352</f>
      </c>
      <c r="K351">
        <f>IF(AND(Pu&gt;=MIN(E351,H351),Pu&lt;=MAX(E351,H351),E351&lt;&gt;H351),1,0)</f>
      </c>
      <c r="L351">
        <f>IF(K351=1,(Pu-E351)/(H351-E351),"")</f>
      </c>
      <c r="M351" s="12">
        <f>IF(K351=1,F351+L351*(I351-F351),"")</f>
      </c>
      <c r="N351" s="12">
        <f>IF(K351=1,G351+L351*(J351-G351),"")</f>
      </c>
    </row>
    <row r="352" spans="2:14" x14ac:dyDescent="0.25">
      <c r="B352">
        <v>17</v>
      </c>
      <c r="C352">
        <v>160.00000000000003</v>
      </c>
      <c r="D352">
        <v>19</v>
      </c>
      <c r="E352" s="18">
        <v>-1899.7628894055874</v>
      </c>
      <c r="F352" s="18">
        <v>722.4243459519854</v>
      </c>
      <c r="G352" s="18">
        <v>-1973.9777904676164</v>
      </c>
      <c r="H352" s="12">
        <f>E353</f>
      </c>
      <c r="I352" s="12">
        <f>F353</f>
      </c>
      <c r="J352" s="12">
        <f>G353</f>
      </c>
      <c r="K352">
        <f>IF(AND(Pu&gt;=MIN(E352,H352),Pu&lt;=MAX(E352,H352),E352&lt;&gt;H352),1,0)</f>
      </c>
      <c r="L352">
        <f>IF(K352=1,(Pu-E352)/(H352-E352),"")</f>
      </c>
      <c r="M352" s="12">
        <f>IF(K352=1,F352+L352*(I352-F352),"")</f>
      </c>
      <c r="N352" s="12">
        <f>IF(K352=1,G352+L352*(J352-G352),"")</f>
      </c>
    </row>
    <row r="353" spans="2:7" x14ac:dyDescent="0.25">
      <c r="B353">
        <v>17</v>
      </c>
      <c r="C353">
        <v>160.00000000000003</v>
      </c>
      <c r="D353">
        <v>20</v>
      </c>
      <c r="E353" s="18">
        <v>-3982.2827240020733</v>
      </c>
      <c r="F353" s="18">
        <v>292.4386457396258</v>
      </c>
      <c r="G353" s="18">
        <v>-646.990410674311</v>
      </c>
    </row>
    <row r="355" spans="2:14" x14ac:dyDescent="0.25">
      <c r="B355">
        <v>18</v>
      </c>
      <c r="C355">
        <v>170</v>
      </c>
      <c r="D355">
        <v>1</v>
      </c>
      <c r="E355" s="18">
        <v>17160.537291896104</v>
      </c>
      <c r="F355" s="18">
        <v>389.96615088474624</v>
      </c>
      <c r="G355" s="18">
        <v>-2926.298908993572</v>
      </c>
      <c r="H355" s="12">
        <f>E356</f>
      </c>
      <c r="I355" s="12">
        <f>F356</f>
      </c>
      <c r="J355" s="12">
        <f>G356</f>
      </c>
      <c r="K355">
        <f>IF(AND(Pu&gt;=MIN(E355,H355),Pu&lt;=MAX(E355,H355),E355&lt;&gt;H355),1,0)</f>
      </c>
      <c r="L355">
        <f>IF(K355=1,(Pu-E355)/(H355-E355),"")</f>
      </c>
      <c r="M355" s="12">
        <f>IF(K355=1,F355+L355*(I355-F355),"")</f>
      </c>
      <c r="N355" s="12">
        <f>IF(K355=1,G355+L355*(J355-G355),"")</f>
      </c>
    </row>
    <row r="356" spans="2:14" x14ac:dyDescent="0.25">
      <c r="B356">
        <v>18</v>
      </c>
      <c r="C356">
        <v>170</v>
      </c>
      <c r="D356">
        <v>2</v>
      </c>
      <c r="E356" s="18">
        <v>16482.915678103578</v>
      </c>
      <c r="F356" s="18">
        <v>379.9341759264898</v>
      </c>
      <c r="G356" s="18">
        <v>-3233.006136517534</v>
      </c>
      <c r="H356" s="12">
        <f>E357</f>
      </c>
      <c r="I356" s="12">
        <f>F357</f>
      </c>
      <c r="J356" s="12">
        <f>G357</f>
      </c>
      <c r="K356">
        <f>IF(AND(Pu&gt;=MIN(E356,H356),Pu&lt;=MAX(E356,H356),E356&lt;&gt;H356),1,0)</f>
      </c>
      <c r="L356">
        <f>IF(K356=1,(Pu-E356)/(H356-E356),"")</f>
      </c>
      <c r="M356" s="12">
        <f>IF(K356=1,F356+L356*(I356-F356),"")</f>
      </c>
      <c r="N356" s="12">
        <f>IF(K356=1,G356+L356*(J356-G356),"")</f>
      </c>
    </row>
    <row r="357" spans="2:14" x14ac:dyDescent="0.25">
      <c r="B357">
        <v>18</v>
      </c>
      <c r="C357">
        <v>170</v>
      </c>
      <c r="D357">
        <v>3</v>
      </c>
      <c r="E357" s="18">
        <v>14953.5664631096</v>
      </c>
      <c r="F357" s="18">
        <v>409.16726777160517</v>
      </c>
      <c r="G357" s="18">
        <v>-3785.0816502798584</v>
      </c>
      <c r="H357" s="12">
        <f>E358</f>
      </c>
      <c r="I357" s="12">
        <f>F358</f>
      </c>
      <c r="J357" s="12">
        <f>G358</f>
      </c>
      <c r="K357">
        <f>IF(AND(Pu&gt;=MIN(E357,H357),Pu&lt;=MAX(E357,H357),E357&lt;&gt;H357),1,0)</f>
      </c>
      <c r="L357">
        <f>IF(K357=1,(Pu-E357)/(H357-E357),"")</f>
      </c>
      <c r="M357" s="12">
        <f>IF(K357=1,F357+L357*(I357-F357),"")</f>
      </c>
      <c r="N357" s="12">
        <f>IF(K357=1,G357+L357*(J357-G357),"")</f>
      </c>
    </row>
    <row r="358" spans="2:14" x14ac:dyDescent="0.25">
      <c r="B358">
        <v>18</v>
      </c>
      <c r="C358">
        <v>170</v>
      </c>
      <c r="D358">
        <v>4</v>
      </c>
      <c r="E358" s="18">
        <v>14189.916972432497</v>
      </c>
      <c r="F358" s="18">
        <v>452.49638234268986</v>
      </c>
      <c r="G358" s="18">
        <v>-3985.8088712490335</v>
      </c>
      <c r="H358" s="12">
        <f>E359</f>
      </c>
      <c r="I358" s="12">
        <f>F359</f>
      </c>
      <c r="J358" s="12">
        <f>G359</f>
      </c>
      <c r="K358">
        <f>IF(AND(Pu&gt;=MIN(E358,H358),Pu&lt;=MAX(E358,H358),E358&lt;&gt;H358),1,0)</f>
      </c>
      <c r="L358">
        <f>IF(K358=1,(Pu-E358)/(H358-E358),"")</f>
      </c>
      <c r="M358" s="12">
        <f>IF(K358=1,F358+L358*(I358-F358),"")</f>
      </c>
      <c r="N358" s="12">
        <f>IF(K358=1,G358+L358*(J358-G358),"")</f>
      </c>
    </row>
    <row r="359" spans="2:14" x14ac:dyDescent="0.25">
      <c r="B359">
        <v>18</v>
      </c>
      <c r="C359">
        <v>170</v>
      </c>
      <c r="D359">
        <v>5</v>
      </c>
      <c r="E359" s="18">
        <v>13224.12187353447</v>
      </c>
      <c r="F359" s="18">
        <v>527.1542102059884</v>
      </c>
      <c r="G359" s="18">
        <v>-4176.260623380166</v>
      </c>
      <c r="H359" s="12">
        <f>E360</f>
      </c>
      <c r="I359" s="12">
        <f>F360</f>
      </c>
      <c r="J359" s="12">
        <f>G360</f>
      </c>
      <c r="K359">
        <f>IF(AND(Pu&gt;=MIN(E359,H359),Pu&lt;=MAX(E359,H359),E359&lt;&gt;H359),1,0)</f>
      </c>
      <c r="L359">
        <f>IF(K359=1,(Pu-E359)/(H359-E359),"")</f>
      </c>
      <c r="M359" s="12">
        <f>IF(K359=1,F359+L359*(I359-F359),"")</f>
      </c>
      <c r="N359" s="12">
        <f>IF(K359=1,G359+L359*(J359-G359),"")</f>
      </c>
    </row>
    <row r="360" spans="2:14" x14ac:dyDescent="0.25">
      <c r="B360">
        <v>18</v>
      </c>
      <c r="C360">
        <v>170</v>
      </c>
      <c r="D360">
        <v>6</v>
      </c>
      <c r="E360" s="18">
        <v>12049.303200243865</v>
      </c>
      <c r="F360" s="18">
        <v>557.3194740297521</v>
      </c>
      <c r="G360" s="18">
        <v>-4357.216258753513</v>
      </c>
      <c r="H360" s="12">
        <f>E361</f>
      </c>
      <c r="I360" s="12">
        <f>F361</f>
      </c>
      <c r="J360" s="12">
        <f>G361</f>
      </c>
      <c r="K360">
        <f>IF(AND(Pu&gt;=MIN(E360,H360),Pu&lt;=MAX(E360,H360),E360&lt;&gt;H360),1,0)</f>
      </c>
      <c r="L360">
        <f>IF(K360=1,(Pu-E360)/(H360-E360),"")</f>
      </c>
      <c r="M360" s="12">
        <f>IF(K360=1,F360+L360*(I360-F360),"")</f>
      </c>
      <c r="N360" s="12">
        <f>IF(K360=1,G360+L360*(J360-G360),"")</f>
      </c>
    </row>
    <row r="361" spans="2:14" x14ac:dyDescent="0.25">
      <c r="B361">
        <v>18</v>
      </c>
      <c r="C361">
        <v>170</v>
      </c>
      <c r="D361">
        <v>7</v>
      </c>
      <c r="E361" s="18">
        <v>10882.03014633719</v>
      </c>
      <c r="F361" s="18">
        <v>569.1636399553826</v>
      </c>
      <c r="G361" s="18">
        <v>-4495.080660339652</v>
      </c>
      <c r="H361" s="12">
        <f>E362</f>
      </c>
      <c r="I361" s="12">
        <f>F362</f>
      </c>
      <c r="J361" s="12">
        <f>G362</f>
      </c>
      <c r="K361">
        <f>IF(AND(Pu&gt;=MIN(E361,H361),Pu&lt;=MAX(E361,H361),E361&lt;&gt;H361),1,0)</f>
      </c>
      <c r="L361">
        <f>IF(K361=1,(Pu-E361)/(H361-E361),"")</f>
      </c>
      <c r="M361" s="12">
        <f>IF(K361=1,F361+L361*(I361-F361),"")</f>
      </c>
      <c r="N361" s="12">
        <f>IF(K361=1,G361+L361*(J361-G361),"")</f>
      </c>
    </row>
    <row r="362" spans="2:14" x14ac:dyDescent="0.25">
      <c r="B362">
        <v>18</v>
      </c>
      <c r="C362">
        <v>170</v>
      </c>
      <c r="D362">
        <v>8</v>
      </c>
      <c r="E362" s="18">
        <v>9807.204787479057</v>
      </c>
      <c r="F362" s="18">
        <v>581.0078058810135</v>
      </c>
      <c r="G362" s="18">
        <v>-4590.107387345259</v>
      </c>
      <c r="H362" s="12">
        <f>E363</f>
      </c>
      <c r="I362" s="12">
        <f>F363</f>
      </c>
      <c r="J362" s="12">
        <f>G363</f>
      </c>
      <c r="K362">
        <f>IF(AND(Pu&gt;=MIN(E362,H362),Pu&lt;=MAX(E362,H362),E362&lt;&gt;H362),1,0)</f>
      </c>
      <c r="L362">
        <f>IF(K362=1,(Pu-E362)/(H362-E362),"")</f>
      </c>
      <c r="M362" s="12">
        <f>IF(K362=1,F362+L362*(I362-F362),"")</f>
      </c>
      <c r="N362" s="12">
        <f>IF(K362=1,G362+L362*(J362-G362),"")</f>
      </c>
    </row>
    <row r="363" spans="2:14" x14ac:dyDescent="0.25">
      <c r="B363">
        <v>18</v>
      </c>
      <c r="C363">
        <v>170</v>
      </c>
      <c r="D363">
        <v>9</v>
      </c>
      <c r="E363" s="18">
        <v>8811.744902672028</v>
      </c>
      <c r="F363" s="18">
        <v>592.8519718066439</v>
      </c>
      <c r="G363" s="18">
        <v>-4653.419777870587</v>
      </c>
      <c r="H363" s="12">
        <f>E364</f>
      </c>
      <c r="I363" s="12">
        <f>F364</f>
      </c>
      <c r="J363" s="12">
        <f>G364</f>
      </c>
      <c r="K363">
        <f>IF(AND(Pu&gt;=MIN(E363,H363),Pu&lt;=MAX(E363,H363),E363&lt;&gt;H363),1,0)</f>
      </c>
      <c r="L363">
        <f>IF(K363=1,(Pu-E363)/(H363-E363),"")</f>
      </c>
      <c r="M363" s="12">
        <f>IF(K363=1,F363+L363*(I363-F363),"")</f>
      </c>
      <c r="N363" s="12">
        <f>IF(K363=1,G363+L363*(J363-G363),"")</f>
      </c>
    </row>
    <row r="364" spans="2:14" x14ac:dyDescent="0.25">
      <c r="B364">
        <v>18</v>
      </c>
      <c r="C364">
        <v>170</v>
      </c>
      <c r="D364">
        <v>10</v>
      </c>
      <c r="E364" s="18">
        <v>7554.821235245548</v>
      </c>
      <c r="F364" s="18">
        <v>629.2636304450846</v>
      </c>
      <c r="G364" s="18">
        <v>-4872.53436107189</v>
      </c>
      <c r="H364" s="12">
        <f>E365</f>
      </c>
      <c r="I364" s="12">
        <f>F365</f>
      </c>
      <c r="J364" s="12">
        <f>G365</f>
      </c>
      <c r="K364">
        <f>IF(AND(Pu&gt;=MIN(E364,H364),Pu&lt;=MAX(E364,H364),E364&lt;&gt;H364),1,0)</f>
      </c>
      <c r="L364">
        <f>IF(K364=1,(Pu-E364)/(H364-E364),"")</f>
      </c>
      <c r="M364" s="12">
        <f>IF(K364=1,F364+L364*(I364-F364),"")</f>
      </c>
      <c r="N364" s="12">
        <f>IF(K364=1,G364+L364*(J364-G364),"")</f>
      </c>
    </row>
    <row r="365" spans="2:14" x14ac:dyDescent="0.25">
      <c r="B365">
        <v>18</v>
      </c>
      <c r="C365">
        <v>170</v>
      </c>
      <c r="D365">
        <v>11</v>
      </c>
      <c r="E365" s="18">
        <v>6714.2542096046345</v>
      </c>
      <c r="F365" s="18">
        <v>622.4741719124369</v>
      </c>
      <c r="G365" s="18">
        <v>-5024.666822220722</v>
      </c>
      <c r="H365" s="12">
        <f>E366</f>
      </c>
      <c r="I365" s="12">
        <f>F366</f>
      </c>
      <c r="J365" s="12">
        <f>G366</f>
      </c>
      <c r="K365">
        <f>IF(AND(Pu&gt;=MIN(E365,H365),Pu&lt;=MAX(E365,H365),E365&lt;&gt;H365),1,0)</f>
      </c>
      <c r="L365">
        <f>IF(K365=1,(Pu-E365)/(H365-E365),"")</f>
      </c>
      <c r="M365" s="12">
        <f>IF(K365=1,F365+L365*(I365-F365),"")</f>
      </c>
      <c r="N365" s="12">
        <f>IF(K365=1,G365+L365*(J365-G365),"")</f>
      </c>
    </row>
    <row r="366" spans="2:14" x14ac:dyDescent="0.25">
      <c r="B366">
        <v>18</v>
      </c>
      <c r="C366">
        <v>170</v>
      </c>
      <c r="D366">
        <v>12</v>
      </c>
      <c r="E366" s="18">
        <v>6241.595168470391</v>
      </c>
      <c r="F366" s="18">
        <v>598.2748259247428</v>
      </c>
      <c r="G366" s="18">
        <v>-5177.739773431791</v>
      </c>
      <c r="H366" s="12">
        <f>E367</f>
      </c>
      <c r="I366" s="12">
        <f>F367</f>
      </c>
      <c r="J366" s="12">
        <f>G367</f>
      </c>
      <c r="K366">
        <f>IF(AND(Pu&gt;=MIN(E366,H366),Pu&lt;=MAX(E366,H366),E366&lt;&gt;H366),1,0)</f>
      </c>
      <c r="L366">
        <f>IF(K366=1,(Pu-E366)/(H366-E366),"")</f>
      </c>
      <c r="M366" s="12">
        <f>IF(K366=1,F366+L366*(I366-F366),"")</f>
      </c>
      <c r="N366" s="12">
        <f>IF(K366=1,G366+L366*(J366-G366),"")</f>
      </c>
    </row>
    <row r="367" spans="2:14" x14ac:dyDescent="0.25">
      <c r="B367">
        <v>18</v>
      </c>
      <c r="C367">
        <v>170</v>
      </c>
      <c r="D367">
        <v>13</v>
      </c>
      <c r="E367" s="18">
        <v>5851.642581568084</v>
      </c>
      <c r="F367" s="18">
        <v>595.6463231611658</v>
      </c>
      <c r="G367" s="18">
        <v>-5330.454135196836</v>
      </c>
      <c r="H367" s="12">
        <f>E368</f>
      </c>
      <c r="I367" s="12">
        <f>F368</f>
      </c>
      <c r="J367" s="12">
        <f>G368</f>
      </c>
      <c r="K367">
        <f>IF(AND(Pu&gt;=MIN(E367,H367),Pu&lt;=MAX(E367,H367),E367&lt;&gt;H367),1,0)</f>
      </c>
      <c r="L367">
        <f>IF(K367=1,(Pu-E367)/(H367-E367),"")</f>
      </c>
      <c r="M367" s="12">
        <f>IF(K367=1,F367+L367*(I367-F367),"")</f>
      </c>
      <c r="N367" s="12">
        <f>IF(K367=1,G367+L367*(J367-G367),"")</f>
      </c>
    </row>
    <row r="368" spans="2:14" x14ac:dyDescent="0.25">
      <c r="B368">
        <v>18</v>
      </c>
      <c r="C368">
        <v>170</v>
      </c>
      <c r="D368">
        <v>14</v>
      </c>
      <c r="E368" s="18">
        <v>5343.848383686964</v>
      </c>
      <c r="F368" s="18">
        <v>620.2554043386115</v>
      </c>
      <c r="G368" s="18">
        <v>-5582.254286576713</v>
      </c>
      <c r="H368" s="12">
        <f>E369</f>
      </c>
      <c r="I368" s="12">
        <f>F369</f>
      </c>
      <c r="J368" s="12">
        <f>G369</f>
      </c>
      <c r="K368">
        <f>IF(AND(Pu&gt;=MIN(E368,H368),Pu&lt;=MAX(E368,H368),E368&lt;&gt;H368),1,0)</f>
      </c>
      <c r="L368">
        <f>IF(K368=1,(Pu-E368)/(H368-E368),"")</f>
      </c>
      <c r="M368" s="12">
        <f>IF(K368=1,F368+L368*(I368-F368),"")</f>
      </c>
      <c r="N368" s="12">
        <f>IF(K368=1,G368+L368*(J368-G368),"")</f>
      </c>
    </row>
    <row r="369" spans="2:14" x14ac:dyDescent="0.25">
      <c r="B369">
        <v>18</v>
      </c>
      <c r="C369">
        <v>170</v>
      </c>
      <c r="D369">
        <v>15</v>
      </c>
      <c r="E369" s="18">
        <v>4531.627976453659</v>
      </c>
      <c r="F369" s="18">
        <v>608.846098929704</v>
      </c>
      <c r="G369" s="18">
        <v>-5377.676827712433</v>
      </c>
      <c r="H369" s="12">
        <f>E370</f>
      </c>
      <c r="I369" s="12">
        <f>F370</f>
      </c>
      <c r="J369" s="12">
        <f>G370</f>
      </c>
      <c r="K369">
        <f>IF(AND(Pu&gt;=MIN(E369,H369),Pu&lt;=MAX(E369,H369),E369&lt;&gt;H369),1,0)</f>
      </c>
      <c r="L369">
        <f>IF(K369=1,(Pu-E369)/(H369-E369),"")</f>
      </c>
      <c r="M369" s="12">
        <f>IF(K369=1,F369+L369*(I369-F369),"")</f>
      </c>
      <c r="N369" s="12">
        <f>IF(K369=1,G369+L369*(J369-G369),"")</f>
      </c>
    </row>
    <row r="370" spans="2:14" x14ac:dyDescent="0.25">
      <c r="B370">
        <v>18</v>
      </c>
      <c r="C370">
        <v>170</v>
      </c>
      <c r="D370">
        <v>16</v>
      </c>
      <c r="E370" s="18">
        <v>3291.2263651946173</v>
      </c>
      <c r="F370" s="18">
        <v>600.5467022609332</v>
      </c>
      <c r="G370" s="18">
        <v>-4954.469212448921</v>
      </c>
      <c r="H370" s="12">
        <f>E371</f>
      </c>
      <c r="I370" s="12">
        <f>F371</f>
      </c>
      <c r="J370" s="12">
        <f>G371</f>
      </c>
      <c r="K370">
        <f>IF(AND(Pu&gt;=MIN(E370,H370),Pu&lt;=MAX(E370,H370),E370&lt;&gt;H370),1,0)</f>
      </c>
      <c r="L370">
        <f>IF(K370=1,(Pu-E370)/(H370-E370),"")</f>
      </c>
      <c r="M370" s="12">
        <f>IF(K370=1,F370+L370*(I370-F370),"")</f>
      </c>
      <c r="N370" s="12">
        <f>IF(K370=1,G370+L370*(J370-G370),"")</f>
      </c>
    </row>
    <row r="371" spans="2:14" x14ac:dyDescent="0.25">
      <c r="B371">
        <v>18</v>
      </c>
      <c r="C371">
        <v>170</v>
      </c>
      <c r="D371">
        <v>17</v>
      </c>
      <c r="E371" s="18">
        <v>2460.1843507721514</v>
      </c>
      <c r="F371" s="18">
        <v>612.8935805719896</v>
      </c>
      <c r="G371" s="18">
        <v>-4582.550901470421</v>
      </c>
      <c r="H371" s="12">
        <f>E372</f>
      </c>
      <c r="I371" s="12">
        <f>F372</f>
      </c>
      <c r="J371" s="12">
        <f>G372</f>
      </c>
      <c r="K371">
        <f>IF(AND(Pu&gt;=MIN(E371,H371),Pu&lt;=MAX(E371,H371),E371&lt;&gt;H371),1,0)</f>
      </c>
      <c r="L371">
        <f>IF(K371=1,(Pu-E371)/(H371-E371),"")</f>
      </c>
      <c r="M371" s="12">
        <f>IF(K371=1,F371+L371*(I371-F371),"")</f>
      </c>
      <c r="N371" s="12">
        <f>IF(K371=1,G371+L371*(J371-G371),"")</f>
      </c>
    </row>
    <row r="372" spans="2:14" x14ac:dyDescent="0.25">
      <c r="B372">
        <v>18</v>
      </c>
      <c r="C372">
        <v>170</v>
      </c>
      <c r="D372">
        <v>18</v>
      </c>
      <c r="E372" s="18">
        <v>500.36993141700856</v>
      </c>
      <c r="F372" s="18">
        <v>581.2281355654471</v>
      </c>
      <c r="G372" s="18">
        <v>-3546.0071740757608</v>
      </c>
      <c r="H372" s="12">
        <f>E373</f>
      </c>
      <c r="I372" s="12">
        <f>F373</f>
      </c>
      <c r="J372" s="12">
        <f>G373</f>
      </c>
      <c r="K372">
        <f>IF(AND(Pu&gt;=MIN(E372,H372),Pu&lt;=MAX(E372,H372),E372&lt;&gt;H372),1,0)</f>
      </c>
      <c r="L372">
        <f>IF(K372=1,(Pu-E372)/(H372-E372),"")</f>
      </c>
      <c r="M372" s="12">
        <f>IF(K372=1,F372+L372*(I372-F372),"")</f>
      </c>
      <c r="N372" s="12">
        <f>IF(K372=1,G372+L372*(J372-G372),"")</f>
      </c>
    </row>
    <row r="373" spans="2:14" x14ac:dyDescent="0.25">
      <c r="B373">
        <v>18</v>
      </c>
      <c r="C373">
        <v>170</v>
      </c>
      <c r="D373">
        <v>19</v>
      </c>
      <c r="E373" s="18">
        <v>-928.4233044960987</v>
      </c>
      <c r="F373" s="18">
        <v>445.1744594681306</v>
      </c>
      <c r="G373" s="18">
        <v>-2694.0934504567203</v>
      </c>
      <c r="H373" s="12">
        <f>E374</f>
      </c>
      <c r="I373" s="12">
        <f>F374</f>
      </c>
      <c r="J373" s="12">
        <f>G374</f>
      </c>
      <c r="K373">
        <f>IF(AND(Pu&gt;=MIN(E373,H373),Pu&lt;=MAX(E373,H373),E373&lt;&gt;H373),1,0)</f>
      </c>
      <c r="L373">
        <f>IF(K373=1,(Pu-E373)/(H373-E373),"")</f>
      </c>
      <c r="M373" s="12">
        <f>IF(K373=1,F373+L373*(I373-F373),"")</f>
      </c>
      <c r="N373" s="12">
        <f>IF(K373=1,G373+L373*(J373-G373),"")</f>
      </c>
    </row>
    <row r="374" spans="2:7" x14ac:dyDescent="0.25">
      <c r="B374">
        <v>18</v>
      </c>
      <c r="C374">
        <v>170</v>
      </c>
      <c r="D374">
        <v>20</v>
      </c>
      <c r="E374" s="18">
        <v>-3501.2522920059087</v>
      </c>
      <c r="F374" s="18">
        <v>298.96580223753926</v>
      </c>
      <c r="G374" s="18">
        <v>-987.3053401915681</v>
      </c>
    </row>
    <row r="376" spans="2:14" x14ac:dyDescent="0.25">
      <c r="B376">
        <v>19</v>
      </c>
      <c r="C376">
        <v>180</v>
      </c>
      <c r="D376">
        <v>1</v>
      </c>
      <c r="E376" s="18">
        <v>16729.912727771847</v>
      </c>
      <c r="F376" s="18">
        <v>2.6635825634002686e-14</v>
      </c>
      <c r="G376" s="18">
        <v>-3174.4158204826354</v>
      </c>
      <c r="H376" s="12">
        <f>E377</f>
      </c>
      <c r="I376" s="12">
        <f>F377</f>
      </c>
      <c r="J376" s="12">
        <f>G377</f>
      </c>
      <c r="K376">
        <f>IF(AND(Pu&gt;=MIN(E376,H376),Pu&lt;=MAX(E376,H376),E376&lt;&gt;H376),1,0)</f>
      </c>
      <c r="L376">
        <f>IF(K376=1,(Pu-E376)/(H376-E376),"")</f>
      </c>
      <c r="M376" s="12">
        <f>IF(K376=1,F376+L376*(I376-F376),"")</f>
      </c>
      <c r="N376" s="12">
        <f>IF(K376=1,G376+L376*(J376-G376),"")</f>
      </c>
    </row>
    <row r="377" spans="2:14" x14ac:dyDescent="0.25">
      <c r="B377">
        <v>19</v>
      </c>
      <c r="C377">
        <v>180</v>
      </c>
      <c r="D377">
        <v>2</v>
      </c>
      <c r="E377" s="18">
        <v>16256.710414302552</v>
      </c>
      <c r="F377" s="18">
        <v>-9.443610906600953e-14</v>
      </c>
      <c r="G377" s="18">
        <v>-3378.863791222955</v>
      </c>
      <c r="H377" s="12">
        <f>E378</f>
      </c>
      <c r="I377" s="12">
        <f>F378</f>
      </c>
      <c r="J377" s="12">
        <f>G378</f>
      </c>
      <c r="K377">
        <f>IF(AND(Pu&gt;=MIN(E377,H377),Pu&lt;=MAX(E377,H377),E377&lt;&gt;H377),1,0)</f>
      </c>
      <c r="L377">
        <f>IF(K377=1,(Pu-E377)/(H377-E377),"")</f>
      </c>
      <c r="M377" s="12">
        <f>IF(K377=1,F377+L377*(I377-F377),"")</f>
      </c>
      <c r="N377" s="12">
        <f>IF(K377=1,G377+L377*(J377-G377),"")</f>
      </c>
    </row>
    <row r="378" spans="2:14" x14ac:dyDescent="0.25">
      <c r="B378">
        <v>19</v>
      </c>
      <c r="C378">
        <v>180</v>
      </c>
      <c r="D378">
        <v>3</v>
      </c>
      <c r="E378" s="18">
        <v>14806.758881028094</v>
      </c>
      <c r="F378" s="18">
        <v>6.199474121753146e-13</v>
      </c>
      <c r="G378" s="18">
        <v>-3880.0922716141</v>
      </c>
      <c r="H378" s="12">
        <f>E379</f>
      </c>
      <c r="I378" s="12">
        <f>F379</f>
      </c>
      <c r="J378" s="12">
        <f>G379</f>
      </c>
      <c r="K378">
        <f>IF(AND(Pu&gt;=MIN(E378,H378),Pu&lt;=MAX(E378,H378),E378&lt;&gt;H378),1,0)</f>
      </c>
      <c r="L378">
        <f>IF(K378=1,(Pu-E378)/(H378-E378),"")</f>
      </c>
      <c r="M378" s="12">
        <f>IF(K378=1,F378+L378*(I378-F378),"")</f>
      </c>
      <c r="N378" s="12">
        <f>IF(K378=1,G378+L378*(J378-G378),"")</f>
      </c>
    </row>
    <row r="379" spans="2:14" x14ac:dyDescent="0.25">
      <c r="B379">
        <v>19</v>
      </c>
      <c r="C379">
        <v>180</v>
      </c>
      <c r="D379">
        <v>4</v>
      </c>
      <c r="E379" s="18">
        <v>14122.383123362002</v>
      </c>
      <c r="F379" s="18">
        <v>4.593016183457029e-13</v>
      </c>
      <c r="G379" s="18">
        <v>-4067.5747286664414</v>
      </c>
      <c r="H379" s="12">
        <f>E380</f>
      </c>
      <c r="I379" s="12">
        <f>F380</f>
      </c>
      <c r="J379" s="12">
        <f>G380</f>
      </c>
      <c r="K379">
        <f>IF(AND(Pu&gt;=MIN(E379,H379),Pu&lt;=MAX(E379,H379),E379&lt;&gt;H379),1,0)</f>
      </c>
      <c r="L379">
        <f>IF(K379=1,(Pu-E379)/(H379-E379),"")</f>
      </c>
      <c r="M379" s="12">
        <f>IF(K379=1,F379+L379*(I379-F379),"")</f>
      </c>
      <c r="N379" s="12">
        <f>IF(K379=1,G379+L379*(J379-G379),"")</f>
      </c>
    </row>
    <row r="380" spans="2:14" x14ac:dyDescent="0.25">
      <c r="B380">
        <v>19</v>
      </c>
      <c r="C380">
        <v>180</v>
      </c>
      <c r="D380">
        <v>5</v>
      </c>
      <c r="E380" s="18">
        <v>13152.449960230397</v>
      </c>
      <c r="F380" s="18">
        <v>2.324581146240235e-13</v>
      </c>
      <c r="G380" s="18">
        <v>-4269.512275466683</v>
      </c>
      <c r="H380" s="12">
        <f>E381</f>
      </c>
      <c r="I380" s="12">
        <f>F381</f>
      </c>
      <c r="J380" s="12">
        <f>G381</f>
      </c>
      <c r="K380">
        <f>IF(AND(Pu&gt;=MIN(E380,H380),Pu&lt;=MAX(E380,H380),E380&lt;&gt;H380),1,0)</f>
      </c>
      <c r="L380">
        <f>IF(K380=1,(Pu-E380)/(H380-E380),"")</f>
      </c>
      <c r="M380" s="12">
        <f>IF(K380=1,F380+L380*(I380-F380),"")</f>
      </c>
      <c r="N380" s="12">
        <f>IF(K380=1,G380+L380*(J380-G380),"")</f>
      </c>
    </row>
    <row r="381" spans="2:14" x14ac:dyDescent="0.25">
      <c r="B381">
        <v>19</v>
      </c>
      <c r="C381">
        <v>180</v>
      </c>
      <c r="D381">
        <v>6</v>
      </c>
      <c r="E381" s="18">
        <v>11964.12718650584</v>
      </c>
      <c r="F381" s="18">
        <v>3.5353004932403565e-13</v>
      </c>
      <c r="G381" s="18">
        <v>-4459.974703057615</v>
      </c>
      <c r="H381" s="12">
        <f>E382</f>
      </c>
      <c r="I381" s="12">
        <f>F382</f>
      </c>
      <c r="J381" s="12">
        <f>G382</f>
      </c>
      <c r="K381">
        <f>IF(AND(Pu&gt;=MIN(E381,H381),Pu&lt;=MAX(E381,H381),E381&lt;&gt;H381),1,0)</f>
      </c>
      <c r="L381">
        <f>IF(K381=1,(Pu-E381)/(H381-E381),"")</f>
      </c>
      <c r="M381" s="12">
        <f>IF(K381=1,F381+L381*(I381-F381),"")</f>
      </c>
      <c r="N381" s="12">
        <f>IF(K381=1,G381+L381*(J381-G381),"")</f>
      </c>
    </row>
    <row r="382" spans="2:14" x14ac:dyDescent="0.25">
      <c r="B382">
        <v>19</v>
      </c>
      <c r="C382">
        <v>180</v>
      </c>
      <c r="D382">
        <v>7</v>
      </c>
      <c r="E382" s="18">
        <v>10875.75001078793</v>
      </c>
      <c r="F382" s="18">
        <v>2.712011337280273e-13</v>
      </c>
      <c r="G382" s="18">
        <v>-4600.755784298551</v>
      </c>
      <c r="H382" s="12">
        <f>E383</f>
      </c>
      <c r="I382" s="12">
        <f>F383</f>
      </c>
      <c r="J382" s="12">
        <f>G383</f>
      </c>
      <c r="K382">
        <f>IF(AND(Pu&gt;=MIN(E382,H382),Pu&lt;=MAX(E382,H382),E382&lt;&gt;H382),1,0)</f>
      </c>
      <c r="L382">
        <f>IF(K382=1,(Pu-E382)/(H382-E382),"")</f>
      </c>
      <c r="M382" s="12">
        <f>IF(K382=1,F382+L382*(I382-F382),"")</f>
      </c>
      <c r="N382" s="12">
        <f>IF(K382=1,G382+L382*(J382-G382),"")</f>
      </c>
    </row>
    <row r="383" spans="2:14" x14ac:dyDescent="0.25">
      <c r="B383">
        <v>19</v>
      </c>
      <c r="C383">
        <v>180</v>
      </c>
      <c r="D383">
        <v>8</v>
      </c>
      <c r="E383" s="18">
        <v>9899.135839327539</v>
      </c>
      <c r="F383" s="18">
        <v>3.9711594581604005e-13</v>
      </c>
      <c r="G383" s="18">
        <v>-4704.782137458228</v>
      </c>
      <c r="H383" s="12">
        <f>E384</f>
      </c>
      <c r="I383" s="12">
        <f>F384</f>
      </c>
      <c r="J383" s="12">
        <f>G384</f>
      </c>
      <c r="K383">
        <f>IF(AND(Pu&gt;=MIN(E383,H383),Pu&lt;=MAX(E383,H383),E383&lt;&gt;H383),1,0)</f>
      </c>
      <c r="L383">
        <f>IF(K383=1,(Pu-E383)/(H383-E383),"")</f>
      </c>
      <c r="M383" s="12">
        <f>IF(K383=1,F383+L383*(I383-F383),"")</f>
      </c>
      <c r="N383" s="12">
        <f>IF(K383=1,G383+L383*(J383-G383),"")</f>
      </c>
    </row>
    <row r="384" spans="2:14" x14ac:dyDescent="0.25">
      <c r="B384">
        <v>19</v>
      </c>
      <c r="C384">
        <v>180</v>
      </c>
      <c r="D384">
        <v>9</v>
      </c>
      <c r="E384" s="18">
        <v>8968.920285263712</v>
      </c>
      <c r="F384" s="18">
        <v>3.9711594581604005e-13</v>
      </c>
      <c r="G384" s="18">
        <v>-4781.543944731382</v>
      </c>
      <c r="H384" s="12">
        <f>E385</f>
      </c>
      <c r="I384" s="12">
        <f>F385</f>
      </c>
      <c r="J384" s="12">
        <f>G385</f>
      </c>
      <c r="K384">
        <f>IF(AND(Pu&gt;=MIN(E384,H384),Pu&lt;=MAX(E384,H384),E384&lt;&gt;H384),1,0)</f>
      </c>
      <c r="L384">
        <f>IF(K384=1,(Pu-E384)/(H384-E384),"")</f>
      </c>
      <c r="M384" s="12">
        <f>IF(K384=1,F384+L384*(I384-F384),"")</f>
      </c>
      <c r="N384" s="12">
        <f>IF(K384=1,G384+L384*(J384-G384),"")</f>
      </c>
    </row>
    <row r="385" spans="2:14" x14ac:dyDescent="0.25">
      <c r="B385">
        <v>19</v>
      </c>
      <c r="C385">
        <v>180</v>
      </c>
      <c r="D385">
        <v>10</v>
      </c>
      <c r="E385" s="18">
        <v>7857.25862801192</v>
      </c>
      <c r="F385" s="18">
        <v>7.636845111846924e-13</v>
      </c>
      <c r="G385" s="18">
        <v>-4969.916807334376</v>
      </c>
      <c r="H385" s="12">
        <f>E386</f>
      </c>
      <c r="I385" s="12">
        <f>F386</f>
      </c>
      <c r="J385" s="12">
        <f>G386</f>
      </c>
      <c r="K385">
        <f>IF(AND(Pu&gt;=MIN(E385,H385),Pu&lt;=MAX(E385,H385),E385&lt;&gt;H385),1,0)</f>
      </c>
      <c r="L385">
        <f>IF(K385=1,(Pu-E385)/(H385-E385),"")</f>
      </c>
      <c r="M385" s="12">
        <f>IF(K385=1,F385+L385*(I385-F385),"")</f>
      </c>
      <c r="N385" s="12">
        <f>IF(K385=1,G385+L385*(J385-G385),"")</f>
      </c>
    </row>
    <row r="386" spans="2:14" x14ac:dyDescent="0.25">
      <c r="B386">
        <v>19</v>
      </c>
      <c r="C386">
        <v>180</v>
      </c>
      <c r="D386">
        <v>11</v>
      </c>
      <c r="E386" s="18">
        <v>6813.738571802293</v>
      </c>
      <c r="F386" s="18">
        <v>6.407499313354492e-13</v>
      </c>
      <c r="G386" s="18">
        <v>-5104.322117480474</v>
      </c>
      <c r="H386" s="12">
        <f>E387</f>
      </c>
      <c r="I386" s="12">
        <f>F387</f>
      </c>
      <c r="J386" s="12">
        <f>G387</f>
      </c>
      <c r="K386">
        <f>IF(AND(Pu&gt;=MIN(E386,H386),Pu&lt;=MAX(E386,H386),E386&lt;&gt;H386),1,0)</f>
      </c>
      <c r="L386">
        <f>IF(K386=1,(Pu-E386)/(H386-E386),"")</f>
      </c>
      <c r="M386" s="12">
        <f>IF(K386=1,F386+L386*(I386-F386),"")</f>
      </c>
      <c r="N386" s="12">
        <f>IF(K386=1,G386+L386*(J386-G386),"")</f>
      </c>
    </row>
    <row r="387" spans="2:14" x14ac:dyDescent="0.25">
      <c r="B387">
        <v>19</v>
      </c>
      <c r="C387">
        <v>180</v>
      </c>
      <c r="D387">
        <v>12</v>
      </c>
      <c r="E387" s="18">
        <v>6387.7695020610745</v>
      </c>
      <c r="F387" s="18">
        <v>6.440095603466033e-13</v>
      </c>
      <c r="G387" s="18">
        <v>-5278.75725335699</v>
      </c>
      <c r="H387" s="12">
        <f>E388</f>
      </c>
      <c r="I387" s="12">
        <f>F388</f>
      </c>
      <c r="J387" s="12">
        <f>G388</f>
      </c>
      <c r="K387">
        <f>IF(AND(Pu&gt;=MIN(E387,H387),Pu&lt;=MAX(E387,H387),E387&lt;&gt;H387),1,0)</f>
      </c>
      <c r="L387">
        <f>IF(K387=1,(Pu-E387)/(H387-E387),"")</f>
      </c>
      <c r="M387" s="12">
        <f>IF(K387=1,F387+L387*(I387-F387),"")</f>
      </c>
      <c r="N387" s="12">
        <f>IF(K387=1,G387+L387*(J387-G387),"")</f>
      </c>
    </row>
    <row r="388" spans="2:14" x14ac:dyDescent="0.25">
      <c r="B388">
        <v>19</v>
      </c>
      <c r="C388">
        <v>180</v>
      </c>
      <c r="D388">
        <v>13</v>
      </c>
      <c r="E388" s="18">
        <v>6115.948112681749</v>
      </c>
      <c r="F388" s="18">
        <v>4.0270388126373285e-13</v>
      </c>
      <c r="G388" s="18">
        <v>-5437.974372072232</v>
      </c>
      <c r="H388" s="12">
        <f>E389</f>
      </c>
      <c r="I388" s="12">
        <f>F389</f>
      </c>
      <c r="J388" s="12">
        <f>G389</f>
      </c>
      <c r="K388">
        <f>IF(AND(Pu&gt;=MIN(E388,H388),Pu&lt;=MAX(E388,H388),E388&lt;&gt;H388),1,0)</f>
      </c>
      <c r="L388">
        <f>IF(K388=1,(Pu-E388)/(H388-E388),"")</f>
      </c>
      <c r="M388" s="12">
        <f>IF(K388=1,F388+L388*(I388-F388),"")</f>
      </c>
      <c r="N388" s="12">
        <f>IF(K388=1,G388+L388*(J388-G388),"")</f>
      </c>
    </row>
    <row r="389" spans="2:14" x14ac:dyDescent="0.25">
      <c r="B389">
        <v>19</v>
      </c>
      <c r="C389">
        <v>180</v>
      </c>
      <c r="D389">
        <v>14</v>
      </c>
      <c r="E389" s="18">
        <v>5651.216252728246</v>
      </c>
      <c r="F389" s="18">
        <v>7.267110049724578e-13</v>
      </c>
      <c r="G389" s="18">
        <v>-5733.468299427718</v>
      </c>
      <c r="H389" s="12">
        <f>E390</f>
      </c>
      <c r="I389" s="12">
        <f>F390</f>
      </c>
      <c r="J389" s="12">
        <f>G390</f>
      </c>
      <c r="K389">
        <f>IF(AND(Pu&gt;=MIN(E389,H389),Pu&lt;=MAX(E389,H389),E389&lt;&gt;H389),1,0)</f>
      </c>
      <c r="L389">
        <f>IF(K389=1,(Pu-E389)/(H389-E389),"")</f>
      </c>
      <c r="M389" s="12">
        <f>IF(K389=1,F389+L389*(I389-F389),"")</f>
      </c>
      <c r="N389" s="12">
        <f>IF(K389=1,G389+L389*(J389-G389),"")</f>
      </c>
    </row>
    <row r="390" spans="2:14" x14ac:dyDescent="0.25">
      <c r="B390">
        <v>19</v>
      </c>
      <c r="C390">
        <v>180</v>
      </c>
      <c r="D390">
        <v>15</v>
      </c>
      <c r="E390" s="18">
        <v>4911.672282887007</v>
      </c>
      <c r="F390" s="18">
        <v>2.754852175712586e-13</v>
      </c>
      <c r="G390" s="18">
        <v>-5550.13844608314</v>
      </c>
      <c r="H390" s="12">
        <f>E391</f>
      </c>
      <c r="I390" s="12">
        <f>F391</f>
      </c>
      <c r="J390" s="12">
        <f>G391</f>
      </c>
      <c r="K390">
        <f>IF(AND(Pu&gt;=MIN(E390,H390),Pu&lt;=MAX(E390,H390),E390&lt;&gt;H390),1,0)</f>
      </c>
      <c r="L390">
        <f>IF(K390=1,(Pu-E390)/(H390-E390),"")</f>
      </c>
      <c r="M390" s="12">
        <f>IF(K390=1,F390+L390*(I390-F390),"")</f>
      </c>
      <c r="N390" s="12">
        <f>IF(K390=1,G390+L390*(J390-G390),"")</f>
      </c>
    </row>
    <row r="391" spans="2:14" x14ac:dyDescent="0.25">
      <c r="B391">
        <v>19</v>
      </c>
      <c r="C391">
        <v>180</v>
      </c>
      <c r="D391">
        <v>16</v>
      </c>
      <c r="E391" s="18">
        <v>3863.9307841404225</v>
      </c>
      <c r="F391" s="18">
        <v>3.324821591377258e-13</v>
      </c>
      <c r="G391" s="18">
        <v>-5231.7746137257745</v>
      </c>
      <c r="H391" s="12">
        <f>E392</f>
      </c>
      <c r="I391" s="12">
        <f>F392</f>
      </c>
      <c r="J391" s="12">
        <f>G392</f>
      </c>
      <c r="K391">
        <f>IF(AND(Pu&gt;=MIN(E391,H391),Pu&lt;=MAX(E391,H391),E391&lt;&gt;H391),1,0)</f>
      </c>
      <c r="L391">
        <f>IF(K391=1,(Pu-E391)/(H391-E391),"")</f>
      </c>
      <c r="M391" s="12">
        <f>IF(K391=1,F391+L391*(I391-F391),"")</f>
      </c>
      <c r="N391" s="12">
        <f>IF(K391=1,G391+L391*(J391-G391),"")</f>
      </c>
    </row>
    <row r="392" spans="2:14" x14ac:dyDescent="0.25">
      <c r="B392">
        <v>19</v>
      </c>
      <c r="C392">
        <v>180</v>
      </c>
      <c r="D392">
        <v>17</v>
      </c>
      <c r="E392" s="18">
        <v>3078.5106497889424</v>
      </c>
      <c r="F392" s="18">
        <v>4.0187518907215066e-13</v>
      </c>
      <c r="G392" s="18">
        <v>-4941.459462632535</v>
      </c>
      <c r="H392" s="12">
        <f>E393</f>
      </c>
      <c r="I392" s="12">
        <f>F393</f>
      </c>
      <c r="J392" s="12">
        <f>G393</f>
      </c>
      <c r="K392">
        <f>IF(AND(Pu&gt;=MIN(E392,H392),Pu&lt;=MAX(E392,H392),E392&lt;&gt;H392),1,0)</f>
      </c>
      <c r="L392">
        <f>IF(K392=1,(Pu-E392)/(H392-E392),"")</f>
      </c>
      <c r="M392" s="12">
        <f>IF(K392=1,F392+L392*(I392-F392),"")</f>
      </c>
      <c r="N392" s="12">
        <f>IF(K392=1,G392+L392*(J392-G392),"")</f>
      </c>
    </row>
    <row r="393" spans="2:14" x14ac:dyDescent="0.25">
      <c r="B393">
        <v>19</v>
      </c>
      <c r="C393">
        <v>180</v>
      </c>
      <c r="D393">
        <v>18</v>
      </c>
      <c r="E393" s="18">
        <v>1836.3300516777638</v>
      </c>
      <c r="F393" s="18">
        <v>8.676201105117798e-13</v>
      </c>
      <c r="G393" s="18">
        <v>-4363.068796673946</v>
      </c>
      <c r="H393" s="12">
        <f>E394</f>
      </c>
      <c r="I393" s="12">
        <f>F394</f>
      </c>
      <c r="J393" s="12">
        <f>G394</f>
      </c>
      <c r="K393">
        <f>IF(AND(Pu&gt;=MIN(E393,H393),Pu&lt;=MAX(E393,H393),E393&lt;&gt;H393),1,0)</f>
      </c>
      <c r="L393">
        <f>IF(K393=1,(Pu-E393)/(H393-E393),"")</f>
      </c>
      <c r="M393" s="12">
        <f>IF(K393=1,F393+L393*(I393-F393),"")</f>
      </c>
      <c r="N393" s="12">
        <f>IF(K393=1,G393+L393*(J393-G393),"")</f>
      </c>
    </row>
    <row r="394" spans="2:14" x14ac:dyDescent="0.25">
      <c r="B394">
        <v>19</v>
      </c>
      <c r="C394">
        <v>180</v>
      </c>
      <c r="D394">
        <v>19</v>
      </c>
      <c r="E394" s="18">
        <v>574.3755570888028</v>
      </c>
      <c r="F394" s="18">
        <v>5.509704351425172e-13</v>
      </c>
      <c r="G394" s="18">
        <v>-3684.959209896841</v>
      </c>
      <c r="H394" s="12">
        <f>E395</f>
      </c>
      <c r="I394" s="12">
        <f>F395</f>
      </c>
      <c r="J394" s="12">
        <f>G395</f>
      </c>
      <c r="K394">
        <f>IF(AND(Pu&gt;=MIN(E394,H394),Pu&lt;=MAX(E394,H394),E394&lt;&gt;H394),1,0)</f>
      </c>
      <c r="L394">
        <f>IF(K394=1,(Pu-E394)/(H394-E394),"")</f>
      </c>
      <c r="M394" s="12">
        <f>IF(K394=1,F394+L394*(I394-F394),"")</f>
      </c>
      <c r="N394" s="12">
        <f>IF(K394=1,G394+L394*(J394-G394),"")</f>
      </c>
    </row>
    <row r="395" spans="2:7" x14ac:dyDescent="0.25">
      <c r="B395">
        <v>19</v>
      </c>
      <c r="C395">
        <v>180</v>
      </c>
      <c r="D395">
        <v>20</v>
      </c>
      <c r="E395" s="18">
        <v>-1575.8014989798983</v>
      </c>
      <c r="F395" s="18">
        <v>-5.3830444812774654e-14</v>
      </c>
      <c r="G395" s="18">
        <v>-2317.2908365985645</v>
      </c>
    </row>
    <row r="397" spans="2:14" x14ac:dyDescent="0.25">
      <c r="B397">
        <v>20</v>
      </c>
      <c r="C397">
        <v>190</v>
      </c>
      <c r="D397">
        <v>1</v>
      </c>
      <c r="E397" s="18">
        <v>17160.5372918961</v>
      </c>
      <c r="F397" s="18">
        <v>-389.96615088474573</v>
      </c>
      <c r="G397" s="18">
        <v>-2926.298908993572</v>
      </c>
      <c r="H397" s="12">
        <f>E398</f>
      </c>
      <c r="I397" s="12">
        <f>F398</f>
      </c>
      <c r="J397" s="12">
        <f>G398</f>
      </c>
      <c r="K397">
        <f>IF(AND(Pu&gt;=MIN(E397,H397),Pu&lt;=MAX(E397,H397),E397&lt;&gt;H397),1,0)</f>
      </c>
      <c r="L397">
        <f>IF(K397=1,(Pu-E397)/(H397-E397),"")</f>
      </c>
      <c r="M397" s="12">
        <f>IF(K397=1,F397+L397*(I397-F397),"")</f>
      </c>
      <c r="N397" s="12">
        <f>IF(K397=1,G397+L397*(J397-G397),"")</f>
      </c>
    </row>
    <row r="398" spans="2:14" x14ac:dyDescent="0.25">
      <c r="B398">
        <v>20</v>
      </c>
      <c r="C398">
        <v>190</v>
      </c>
      <c r="D398">
        <v>2</v>
      </c>
      <c r="E398" s="18">
        <v>16482.915678103578</v>
      </c>
      <c r="F398" s="18">
        <v>-379.93417592648854</v>
      </c>
      <c r="G398" s="18">
        <v>-3233.0061365175334</v>
      </c>
      <c r="H398" s="12">
        <f>E399</f>
      </c>
      <c r="I398" s="12">
        <f>F399</f>
      </c>
      <c r="J398" s="12">
        <f>G399</f>
      </c>
      <c r="K398">
        <f>IF(AND(Pu&gt;=MIN(E398,H398),Pu&lt;=MAX(E398,H398),E398&lt;&gt;H398),1,0)</f>
      </c>
      <c r="L398">
        <f>IF(K398=1,(Pu-E398)/(H398-E398),"")</f>
      </c>
      <c r="M398" s="12">
        <f>IF(K398=1,F398+L398*(I398-F398),"")</f>
      </c>
      <c r="N398" s="12">
        <f>IF(K398=1,G398+L398*(J398-G398),"")</f>
      </c>
    </row>
    <row r="399" spans="2:14" x14ac:dyDescent="0.25">
      <c r="B399">
        <v>20</v>
      </c>
      <c r="C399">
        <v>190</v>
      </c>
      <c r="D399">
        <v>3</v>
      </c>
      <c r="E399" s="18">
        <v>14953.566463109602</v>
      </c>
      <c r="F399" s="18">
        <v>-409.1672677716046</v>
      </c>
      <c r="G399" s="18">
        <v>-3785.0816502798584</v>
      </c>
      <c r="H399" s="12">
        <f>E400</f>
      </c>
      <c r="I399" s="12">
        <f>F400</f>
      </c>
      <c r="J399" s="12">
        <f>G400</f>
      </c>
      <c r="K399">
        <f>IF(AND(Pu&gt;=MIN(E399,H399),Pu&lt;=MAX(E399,H399),E399&lt;&gt;H399),1,0)</f>
      </c>
      <c r="L399">
        <f>IF(K399=1,(Pu-E399)/(H399-E399),"")</f>
      </c>
      <c r="M399" s="12">
        <f>IF(K399=1,F399+L399*(I399-F399),"")</f>
      </c>
      <c r="N399" s="12">
        <f>IF(K399=1,G399+L399*(J399-G399),"")</f>
      </c>
    </row>
    <row r="400" spans="2:14" x14ac:dyDescent="0.25">
      <c r="B400">
        <v>20</v>
      </c>
      <c r="C400">
        <v>190</v>
      </c>
      <c r="D400">
        <v>4</v>
      </c>
      <c r="E400" s="18">
        <v>14189.916972432497</v>
      </c>
      <c r="F400" s="18">
        <v>-452.4963823426887</v>
      </c>
      <c r="G400" s="18">
        <v>-3985.8088712490335</v>
      </c>
      <c r="H400" s="12">
        <f>E401</f>
      </c>
      <c r="I400" s="12">
        <f>F401</f>
      </c>
      <c r="J400" s="12">
        <f>G401</f>
      </c>
      <c r="K400">
        <f>IF(AND(Pu&gt;=MIN(E400,H400),Pu&lt;=MAX(E400,H400),E400&lt;&gt;H400),1,0)</f>
      </c>
      <c r="L400">
        <f>IF(K400=1,(Pu-E400)/(H400-E400),"")</f>
      </c>
      <c r="M400" s="12">
        <f>IF(K400=1,F400+L400*(I400-F400),"")</f>
      </c>
      <c r="N400" s="12">
        <f>IF(K400=1,G400+L400*(J400-G400),"")</f>
      </c>
    </row>
    <row r="401" spans="2:14" x14ac:dyDescent="0.25">
      <c r="B401">
        <v>20</v>
      </c>
      <c r="C401">
        <v>190</v>
      </c>
      <c r="D401">
        <v>5</v>
      </c>
      <c r="E401" s="18">
        <v>13224.12187353447</v>
      </c>
      <c r="F401" s="18">
        <v>-527.154210205988</v>
      </c>
      <c r="G401" s="18">
        <v>-4176.260623380166</v>
      </c>
      <c r="H401" s="12">
        <f>E402</f>
      </c>
      <c r="I401" s="12">
        <f>F402</f>
      </c>
      <c r="J401" s="12">
        <f>G402</f>
      </c>
      <c r="K401">
        <f>IF(AND(Pu&gt;=MIN(E401,H401),Pu&lt;=MAX(E401,H401),E401&lt;&gt;H401),1,0)</f>
      </c>
      <c r="L401">
        <f>IF(K401=1,(Pu-E401)/(H401-E401),"")</f>
      </c>
      <c r="M401" s="12">
        <f>IF(K401=1,F401+L401*(I401-F401),"")</f>
      </c>
      <c r="N401" s="12">
        <f>IF(K401=1,G401+L401*(J401-G401),"")</f>
      </c>
    </row>
    <row r="402" spans="2:14" x14ac:dyDescent="0.25">
      <c r="B402">
        <v>20</v>
      </c>
      <c r="C402">
        <v>190</v>
      </c>
      <c r="D402">
        <v>6</v>
      </c>
      <c r="E402" s="18">
        <v>12049.303200243863</v>
      </c>
      <c r="F402" s="18">
        <v>-557.3194740297514</v>
      </c>
      <c r="G402" s="18">
        <v>-4357.216258753513</v>
      </c>
      <c r="H402" s="12">
        <f>E403</f>
      </c>
      <c r="I402" s="12">
        <f>F403</f>
      </c>
      <c r="J402" s="12">
        <f>G403</f>
      </c>
      <c r="K402">
        <f>IF(AND(Pu&gt;=MIN(E402,H402),Pu&lt;=MAX(E402,H402),E402&lt;&gt;H402),1,0)</f>
      </c>
      <c r="L402">
        <f>IF(K402=1,(Pu-E402)/(H402-E402),"")</f>
      </c>
      <c r="M402" s="12">
        <f>IF(K402=1,F402+L402*(I402-F402),"")</f>
      </c>
      <c r="N402" s="12">
        <f>IF(K402=1,G402+L402*(J402-G402),"")</f>
      </c>
    </row>
    <row r="403" spans="2:14" x14ac:dyDescent="0.25">
      <c r="B403">
        <v>20</v>
      </c>
      <c r="C403">
        <v>190</v>
      </c>
      <c r="D403">
        <v>7</v>
      </c>
      <c r="E403" s="18">
        <v>10882.03014633719</v>
      </c>
      <c r="F403" s="18">
        <v>-569.1636399553817</v>
      </c>
      <c r="G403" s="18">
        <v>-4495.080660339652</v>
      </c>
      <c r="H403" s="12">
        <f>E404</f>
      </c>
      <c r="I403" s="12">
        <f>F404</f>
      </c>
      <c r="J403" s="12">
        <f>G404</f>
      </c>
      <c r="K403">
        <f>IF(AND(Pu&gt;=MIN(E403,H403),Pu&lt;=MAX(E403,H403),E403&lt;&gt;H403),1,0)</f>
      </c>
      <c r="L403">
        <f>IF(K403=1,(Pu-E403)/(H403-E403),"")</f>
      </c>
      <c r="M403" s="12">
        <f>IF(K403=1,F403+L403*(I403-F403),"")</f>
      </c>
      <c r="N403" s="12">
        <f>IF(K403=1,G403+L403*(J403-G403),"")</f>
      </c>
    </row>
    <row r="404" spans="2:14" x14ac:dyDescent="0.25">
      <c r="B404">
        <v>20</v>
      </c>
      <c r="C404">
        <v>190</v>
      </c>
      <c r="D404">
        <v>8</v>
      </c>
      <c r="E404" s="18">
        <v>9807.204787479057</v>
      </c>
      <c r="F404" s="18">
        <v>-581.0078058810125</v>
      </c>
      <c r="G404" s="18">
        <v>-4590.107387345259</v>
      </c>
      <c r="H404" s="12">
        <f>E405</f>
      </c>
      <c r="I404" s="12">
        <f>F405</f>
      </c>
      <c r="J404" s="12">
        <f>G405</f>
      </c>
      <c r="K404">
        <f>IF(AND(Pu&gt;=MIN(E404,H404),Pu&lt;=MAX(E404,H404),E404&lt;&gt;H404),1,0)</f>
      </c>
      <c r="L404">
        <f>IF(K404=1,(Pu-E404)/(H404-E404),"")</f>
      </c>
      <c r="M404" s="12">
        <f>IF(K404=1,F404+L404*(I404-F404),"")</f>
      </c>
      <c r="N404" s="12">
        <f>IF(K404=1,G404+L404*(J404-G404),"")</f>
      </c>
    </row>
    <row r="405" spans="2:14" x14ac:dyDescent="0.25">
      <c r="B405">
        <v>20</v>
      </c>
      <c r="C405">
        <v>190</v>
      </c>
      <c r="D405">
        <v>9</v>
      </c>
      <c r="E405" s="18">
        <v>8811.744902672026</v>
      </c>
      <c r="F405" s="18">
        <v>-592.8519718066432</v>
      </c>
      <c r="G405" s="18">
        <v>-4653.419777870587</v>
      </c>
      <c r="H405" s="12">
        <f>E406</f>
      </c>
      <c r="I405" s="12">
        <f>F406</f>
      </c>
      <c r="J405" s="12">
        <f>G406</f>
      </c>
      <c r="K405">
        <f>IF(AND(Pu&gt;=MIN(E405,H405),Pu&lt;=MAX(E405,H405),E405&lt;&gt;H405),1,0)</f>
      </c>
      <c r="L405">
        <f>IF(K405=1,(Pu-E405)/(H405-E405),"")</f>
      </c>
      <c r="M405" s="12">
        <f>IF(K405=1,F405+L405*(I405-F405),"")</f>
      </c>
      <c r="N405" s="12">
        <f>IF(K405=1,G405+L405*(J405-G405),"")</f>
      </c>
    </row>
    <row r="406" spans="2:14" x14ac:dyDescent="0.25">
      <c r="B406">
        <v>20</v>
      </c>
      <c r="C406">
        <v>190</v>
      </c>
      <c r="D406">
        <v>10</v>
      </c>
      <c r="E406" s="18">
        <v>7554.821235245547</v>
      </c>
      <c r="F406" s="18">
        <v>-629.2636304450835</v>
      </c>
      <c r="G406" s="18">
        <v>-4872.53436107189</v>
      </c>
      <c r="H406" s="12">
        <f>E407</f>
      </c>
      <c r="I406" s="12">
        <f>F407</f>
      </c>
      <c r="J406" s="12">
        <f>G407</f>
      </c>
      <c r="K406">
        <f>IF(AND(Pu&gt;=MIN(E406,H406),Pu&lt;=MAX(E406,H406),E406&lt;&gt;H406),1,0)</f>
      </c>
      <c r="L406">
        <f>IF(K406=1,(Pu-E406)/(H406-E406),"")</f>
      </c>
      <c r="M406" s="12">
        <f>IF(K406=1,F406+L406*(I406-F406),"")</f>
      </c>
      <c r="N406" s="12">
        <f>IF(K406=1,G406+L406*(J406-G406),"")</f>
      </c>
    </row>
    <row r="407" spans="2:14" x14ac:dyDescent="0.25">
      <c r="B407">
        <v>20</v>
      </c>
      <c r="C407">
        <v>190</v>
      </c>
      <c r="D407">
        <v>11</v>
      </c>
      <c r="E407" s="18">
        <v>6714.2542096046345</v>
      </c>
      <c r="F407" s="18">
        <v>-622.4741719124361</v>
      </c>
      <c r="G407" s="18">
        <v>-5024.666822220722</v>
      </c>
      <c r="H407" s="12">
        <f>E408</f>
      </c>
      <c r="I407" s="12">
        <f>F408</f>
      </c>
      <c r="J407" s="12">
        <f>G408</f>
      </c>
      <c r="K407">
        <f>IF(AND(Pu&gt;=MIN(E407,H407),Pu&lt;=MAX(E407,H407),E407&lt;&gt;H407),1,0)</f>
      </c>
      <c r="L407">
        <f>IF(K407=1,(Pu-E407)/(H407-E407),"")</f>
      </c>
      <c r="M407" s="12">
        <f>IF(K407=1,F407+L407*(I407-F407),"")</f>
      </c>
      <c r="N407" s="12">
        <f>IF(K407=1,G407+L407*(J407-G407),"")</f>
      </c>
    </row>
    <row r="408" spans="2:14" x14ac:dyDescent="0.25">
      <c r="B408">
        <v>20</v>
      </c>
      <c r="C408">
        <v>190</v>
      </c>
      <c r="D408">
        <v>12</v>
      </c>
      <c r="E408" s="18">
        <v>6241.595168470392</v>
      </c>
      <c r="F408" s="18">
        <v>-598.274825924742</v>
      </c>
      <c r="G408" s="18">
        <v>-5177.739773431793</v>
      </c>
      <c r="H408" s="12">
        <f>E409</f>
      </c>
      <c r="I408" s="12">
        <f>F409</f>
      </c>
      <c r="J408" s="12">
        <f>G409</f>
      </c>
      <c r="K408">
        <f>IF(AND(Pu&gt;=MIN(E408,H408),Pu&lt;=MAX(E408,H408),E408&lt;&gt;H408),1,0)</f>
      </c>
      <c r="L408">
        <f>IF(K408=1,(Pu-E408)/(H408-E408),"")</f>
      </c>
      <c r="M408" s="12">
        <f>IF(K408=1,F408+L408*(I408-F408),"")</f>
      </c>
      <c r="N408" s="12">
        <f>IF(K408=1,G408+L408*(J408-G408),"")</f>
      </c>
    </row>
    <row r="409" spans="2:14" x14ac:dyDescent="0.25">
      <c r="B409">
        <v>20</v>
      </c>
      <c r="C409">
        <v>190</v>
      </c>
      <c r="D409">
        <v>13</v>
      </c>
      <c r="E409" s="18">
        <v>5851.642581568083</v>
      </c>
      <c r="F409" s="18">
        <v>-595.646323161165</v>
      </c>
      <c r="G409" s="18">
        <v>-5330.454135196836</v>
      </c>
      <c r="H409" s="12">
        <f>E410</f>
      </c>
      <c r="I409" s="12">
        <f>F410</f>
      </c>
      <c r="J409" s="12">
        <f>G410</f>
      </c>
      <c r="K409">
        <f>IF(AND(Pu&gt;=MIN(E409,H409),Pu&lt;=MAX(E409,H409),E409&lt;&gt;H409),1,0)</f>
      </c>
      <c r="L409">
        <f>IF(K409=1,(Pu-E409)/(H409-E409),"")</f>
      </c>
      <c r="M409" s="12">
        <f>IF(K409=1,F409+L409*(I409-F409),"")</f>
      </c>
      <c r="N409" s="12">
        <f>IF(K409=1,G409+L409*(J409-G409),"")</f>
      </c>
    </row>
    <row r="410" spans="2:14" x14ac:dyDescent="0.25">
      <c r="B410">
        <v>20</v>
      </c>
      <c r="C410">
        <v>190</v>
      </c>
      <c r="D410">
        <v>14</v>
      </c>
      <c r="E410" s="18">
        <v>5343.848383686966</v>
      </c>
      <c r="F410" s="18">
        <v>-620.2554043386104</v>
      </c>
      <c r="G410" s="18">
        <v>-5582.254286576713</v>
      </c>
      <c r="H410" s="12">
        <f>E411</f>
      </c>
      <c r="I410" s="12">
        <f>F411</f>
      </c>
      <c r="J410" s="12">
        <f>G411</f>
      </c>
      <c r="K410">
        <f>IF(AND(Pu&gt;=MIN(E410,H410),Pu&lt;=MAX(E410,H410),E410&lt;&gt;H410),1,0)</f>
      </c>
      <c r="L410">
        <f>IF(K410=1,(Pu-E410)/(H410-E410),"")</f>
      </c>
      <c r="M410" s="12">
        <f>IF(K410=1,F410+L410*(I410-F410),"")</f>
      </c>
      <c r="N410" s="12">
        <f>IF(K410=1,G410+L410*(J410-G410),"")</f>
      </c>
    </row>
    <row r="411" spans="2:14" x14ac:dyDescent="0.25">
      <c r="B411">
        <v>20</v>
      </c>
      <c r="C411">
        <v>190</v>
      </c>
      <c r="D411">
        <v>15</v>
      </c>
      <c r="E411" s="18">
        <v>4531.627976453663</v>
      </c>
      <c r="F411" s="18">
        <v>-608.846098929704</v>
      </c>
      <c r="G411" s="18">
        <v>-5377.676827712433</v>
      </c>
      <c r="H411" s="12">
        <f>E412</f>
      </c>
      <c r="I411" s="12">
        <f>F412</f>
      </c>
      <c r="J411" s="12">
        <f>G412</f>
      </c>
      <c r="K411">
        <f>IF(AND(Pu&gt;=MIN(E411,H411),Pu&lt;=MAX(E411,H411),E411&lt;&gt;H411),1,0)</f>
      </c>
      <c r="L411">
        <f>IF(K411=1,(Pu-E411)/(H411-E411),"")</f>
      </c>
      <c r="M411" s="12">
        <f>IF(K411=1,F411+L411*(I411-F411),"")</f>
      </c>
      <c r="N411" s="12">
        <f>IF(K411=1,G411+L411*(J411-G411),"")</f>
      </c>
    </row>
    <row r="412" spans="2:14" x14ac:dyDescent="0.25">
      <c r="B412">
        <v>20</v>
      </c>
      <c r="C412">
        <v>190</v>
      </c>
      <c r="D412">
        <v>16</v>
      </c>
      <c r="E412" s="18">
        <v>3291.2263651946178</v>
      </c>
      <c r="F412" s="18">
        <v>-600.5467022609324</v>
      </c>
      <c r="G412" s="18">
        <v>-4954.469212448921</v>
      </c>
      <c r="H412" s="12">
        <f>E413</f>
      </c>
      <c r="I412" s="12">
        <f>F413</f>
      </c>
      <c r="J412" s="12">
        <f>G413</f>
      </c>
      <c r="K412">
        <f>IF(AND(Pu&gt;=MIN(E412,H412),Pu&lt;=MAX(E412,H412),E412&lt;&gt;H412),1,0)</f>
      </c>
      <c r="L412">
        <f>IF(K412=1,(Pu-E412)/(H412-E412),"")</f>
      </c>
      <c r="M412" s="12">
        <f>IF(K412=1,F412+L412*(I412-F412),"")</f>
      </c>
      <c r="N412" s="12">
        <f>IF(K412=1,G412+L412*(J412-G412),"")</f>
      </c>
    </row>
    <row r="413" spans="2:14" x14ac:dyDescent="0.25">
      <c r="B413">
        <v>20</v>
      </c>
      <c r="C413">
        <v>190</v>
      </c>
      <c r="D413">
        <v>17</v>
      </c>
      <c r="E413" s="18">
        <v>2460.1843507721555</v>
      </c>
      <c r="F413" s="18">
        <v>-612.893580571989</v>
      </c>
      <c r="G413" s="18">
        <v>-4582.550901470424</v>
      </c>
      <c r="H413" s="12">
        <f>E414</f>
      </c>
      <c r="I413" s="12">
        <f>F414</f>
      </c>
      <c r="J413" s="12">
        <f>G414</f>
      </c>
      <c r="K413">
        <f>IF(AND(Pu&gt;=MIN(E413,H413),Pu&lt;=MAX(E413,H413),E413&lt;&gt;H413),1,0)</f>
      </c>
      <c r="L413">
        <f>IF(K413=1,(Pu-E413)/(H413-E413),"")</f>
      </c>
      <c r="M413" s="12">
        <f>IF(K413=1,F413+L413*(I413-F413),"")</f>
      </c>
      <c r="N413" s="12">
        <f>IF(K413=1,G413+L413*(J413-G413),"")</f>
      </c>
    </row>
    <row r="414" spans="2:14" x14ac:dyDescent="0.25">
      <c r="B414">
        <v>20</v>
      </c>
      <c r="C414">
        <v>190</v>
      </c>
      <c r="D414">
        <v>18</v>
      </c>
      <c r="E414" s="18">
        <v>500.36993141701095</v>
      </c>
      <c r="F414" s="18">
        <v>-581.2281355654471</v>
      </c>
      <c r="G414" s="18">
        <v>-3546.0071740757635</v>
      </c>
      <c r="H414" s="12">
        <f>E415</f>
      </c>
      <c r="I414" s="12">
        <f>F415</f>
      </c>
      <c r="J414" s="12">
        <f>G415</f>
      </c>
      <c r="K414">
        <f>IF(AND(Pu&gt;=MIN(E414,H414),Pu&lt;=MAX(E414,H414),E414&lt;&gt;H414),1,0)</f>
      </c>
      <c r="L414">
        <f>IF(K414=1,(Pu-E414)/(H414-E414),"")</f>
      </c>
      <c r="M414" s="12">
        <f>IF(K414=1,F414+L414*(I414-F414),"")</f>
      </c>
      <c r="N414" s="12">
        <f>IF(K414=1,G414+L414*(J414-G414),"")</f>
      </c>
    </row>
    <row r="415" spans="2:14" x14ac:dyDescent="0.25">
      <c r="B415">
        <v>20</v>
      </c>
      <c r="C415">
        <v>190</v>
      </c>
      <c r="D415">
        <v>19</v>
      </c>
      <c r="E415" s="18">
        <v>-928.4233044960944</v>
      </c>
      <c r="F415" s="18">
        <v>-445.1744594681304</v>
      </c>
      <c r="G415" s="18">
        <v>-2694.0934504567226</v>
      </c>
      <c r="H415" s="12">
        <f>E416</f>
      </c>
      <c r="I415" s="12">
        <f>F416</f>
      </c>
      <c r="J415" s="12">
        <f>G416</f>
      </c>
      <c r="K415">
        <f>IF(AND(Pu&gt;=MIN(E415,H415),Pu&lt;=MAX(E415,H415),E415&lt;&gt;H415),1,0)</f>
      </c>
      <c r="L415">
        <f>IF(K415=1,(Pu-E415)/(H415-E415),"")</f>
      </c>
      <c r="M415" s="12">
        <f>IF(K415=1,F415+L415*(I415-F415),"")</f>
      </c>
      <c r="N415" s="12">
        <f>IF(K415=1,G415+L415*(J415-G415),"")</f>
      </c>
    </row>
    <row r="416" spans="2:7" x14ac:dyDescent="0.25">
      <c r="B416">
        <v>20</v>
      </c>
      <c r="C416">
        <v>190</v>
      </c>
      <c r="D416">
        <v>20</v>
      </c>
      <c r="E416" s="18">
        <v>-3501.2522920059055</v>
      </c>
      <c r="F416" s="18">
        <v>-298.96580223753955</v>
      </c>
      <c r="G416" s="18">
        <v>-987.3053401915696</v>
      </c>
    </row>
    <row r="418" spans="2:14" x14ac:dyDescent="0.25">
      <c r="B418">
        <v>21</v>
      </c>
      <c r="C418">
        <v>199.99999999999997</v>
      </c>
      <c r="D418">
        <v>1</v>
      </c>
      <c r="E418" s="18">
        <v>17661.288682596387</v>
      </c>
      <c r="F418" s="18">
        <v>-755.7966530112395</v>
      </c>
      <c r="G418" s="18">
        <v>-2570.793632571339</v>
      </c>
      <c r="H418" s="12">
        <f>E419</f>
      </c>
      <c r="I418" s="12">
        <f>F419</f>
      </c>
      <c r="J418" s="12">
        <f>G419</f>
      </c>
      <c r="K418">
        <f>IF(AND(Pu&gt;=MIN(E418,H418),Pu&lt;=MAX(E418,H418),E418&lt;&gt;H418),1,0)</f>
      </c>
      <c r="L418">
        <f>IF(K418=1,(Pu-E418)/(H418-E418),"")</f>
      </c>
      <c r="M418" s="12">
        <f>IF(K418=1,F418+L418*(I418-F418),"")</f>
      </c>
      <c r="N418" s="12">
        <f>IF(K418=1,G418+L418*(J418-G418),"")</f>
      </c>
    </row>
    <row r="419" spans="2:14" x14ac:dyDescent="0.25">
      <c r="B419">
        <v>21</v>
      </c>
      <c r="C419">
        <v>199.99999999999997</v>
      </c>
      <c r="D419">
        <v>2</v>
      </c>
      <c r="E419" s="18">
        <v>16743.45083177851</v>
      </c>
      <c r="F419" s="18">
        <v>-770.3842995786213</v>
      </c>
      <c r="G419" s="18">
        <v>-3008.3515358189384</v>
      </c>
      <c r="H419" s="12">
        <f>E420</f>
      </c>
      <c r="I419" s="12">
        <f>F420</f>
      </c>
      <c r="J419" s="12">
        <f>G420</f>
      </c>
      <c r="K419">
        <f>IF(AND(Pu&gt;=MIN(E419,H419),Pu&lt;=MAX(E419,H419),E419&lt;&gt;H419),1,0)</f>
      </c>
      <c r="L419">
        <f>IF(K419=1,(Pu-E419)/(H419-E419),"")</f>
      </c>
      <c r="M419" s="12">
        <f>IF(K419=1,F419+L419*(I419-F419),"")</f>
      </c>
      <c r="N419" s="12">
        <f>IF(K419=1,G419+L419*(J419-G419),"")</f>
      </c>
    </row>
    <row r="420" spans="2:14" x14ac:dyDescent="0.25">
      <c r="B420">
        <v>21</v>
      </c>
      <c r="C420">
        <v>199.99999999999997</v>
      </c>
      <c r="D420">
        <v>3</v>
      </c>
      <c r="E420" s="18">
        <v>14997.463353751456</v>
      </c>
      <c r="F420" s="18">
        <v>-844.8362812468911</v>
      </c>
      <c r="G420" s="18">
        <v>-3631.305618602251</v>
      </c>
      <c r="H420" s="12">
        <f>E421</f>
      </c>
      <c r="I420" s="12">
        <f>F421</f>
      </c>
      <c r="J420" s="12">
        <f>G421</f>
      </c>
      <c r="K420">
        <f>IF(AND(Pu&gt;=MIN(E420,H420),Pu&lt;=MAX(E420,H420),E420&lt;&gt;H420),1,0)</f>
      </c>
      <c r="L420">
        <f>IF(K420=1,(Pu-E420)/(H420-E420),"")</f>
      </c>
      <c r="M420" s="12">
        <f>IF(K420=1,F420+L420*(I420-F420),"")</f>
      </c>
      <c r="N420" s="12">
        <f>IF(K420=1,G420+L420*(J420-G420),"")</f>
      </c>
    </row>
    <row r="421" spans="2:14" x14ac:dyDescent="0.25">
      <c r="B421">
        <v>21</v>
      </c>
      <c r="C421">
        <v>199.99999999999997</v>
      </c>
      <c r="D421">
        <v>4</v>
      </c>
      <c r="E421" s="18">
        <v>14116.457475587224</v>
      </c>
      <c r="F421" s="18">
        <v>-935.0496609914559</v>
      </c>
      <c r="G421" s="18">
        <v>-3845.336014835607</v>
      </c>
      <c r="H421" s="12">
        <f>E422</f>
      </c>
      <c r="I421" s="12">
        <f>F422</f>
      </c>
      <c r="J421" s="12">
        <f>G422</f>
      </c>
      <c r="K421">
        <f>IF(AND(Pu&gt;=MIN(E421,H421),Pu&lt;=MAX(E421,H421),E421&lt;&gt;H421),1,0)</f>
      </c>
      <c r="L421">
        <f>IF(K421=1,(Pu-E421)/(H421-E421),"")</f>
      </c>
      <c r="M421" s="12">
        <f>IF(K421=1,F421+L421*(I421-F421),"")</f>
      </c>
      <c r="N421" s="12">
        <f>IF(K421=1,G421+L421*(J421-G421),"")</f>
      </c>
    </row>
    <row r="422" spans="2:14" x14ac:dyDescent="0.25">
      <c r="B422">
        <v>21</v>
      </c>
      <c r="C422">
        <v>199.99999999999997</v>
      </c>
      <c r="D422">
        <v>5</v>
      </c>
      <c r="E422" s="18">
        <v>13119.134658210109</v>
      </c>
      <c r="F422" s="18">
        <v>-1033.1924703428472</v>
      </c>
      <c r="G422" s="18">
        <v>-4031.240970789158</v>
      </c>
      <c r="H422" s="12">
        <f>E423</f>
      </c>
      <c r="I422" s="12">
        <f>F423</f>
      </c>
      <c r="J422" s="12">
        <f>G423</f>
      </c>
      <c r="K422">
        <f>IF(AND(Pu&gt;=MIN(E422,H422),Pu&lt;=MAX(E422,H422),E422&lt;&gt;H422),1,0)</f>
      </c>
      <c r="L422">
        <f>IF(K422=1,(Pu-E422)/(H422-E422),"")</f>
      </c>
      <c r="M422" s="12">
        <f>IF(K422=1,F422+L422*(I422-F422),"")</f>
      </c>
      <c r="N422" s="12">
        <f>IF(K422=1,G422+L422*(J422-G422),"")</f>
      </c>
    </row>
    <row r="423" spans="2:14" x14ac:dyDescent="0.25">
      <c r="B423">
        <v>21</v>
      </c>
      <c r="C423">
        <v>199.99999999999997</v>
      </c>
      <c r="D423">
        <v>6</v>
      </c>
      <c r="E423" s="18">
        <v>12026.13458863319</v>
      </c>
      <c r="F423" s="18">
        <v>-1119.884869412357</v>
      </c>
      <c r="G423" s="18">
        <v>-4182.643202301281</v>
      </c>
      <c r="H423" s="12">
        <f>E424</f>
      </c>
      <c r="I423" s="12">
        <f>F424</f>
      </c>
      <c r="J423" s="12">
        <f>G424</f>
      </c>
      <c r="K423">
        <f>IF(AND(Pu&gt;=MIN(E423,H423),Pu&lt;=MAX(E423,H423),E423&lt;&gt;H423),1,0)</f>
      </c>
      <c r="L423">
        <f>IF(K423=1,(Pu-E423)/(H423-E423),"")</f>
      </c>
      <c r="M423" s="12">
        <f>IF(K423=1,F423+L423*(I423-F423),"")</f>
      </c>
      <c r="N423" s="12">
        <f>IF(K423=1,G423+L423*(J423-G423),"")</f>
      </c>
    </row>
    <row r="424" spans="2:14" x14ac:dyDescent="0.25">
      <c r="B424">
        <v>21</v>
      </c>
      <c r="C424">
        <v>199.99999999999997</v>
      </c>
      <c r="D424">
        <v>7</v>
      </c>
      <c r="E424" s="18">
        <v>10842.044474839002</v>
      </c>
      <c r="F424" s="18">
        <v>-1156.5697052873288</v>
      </c>
      <c r="G424" s="18">
        <v>-4310.236130861473</v>
      </c>
      <c r="H424" s="12">
        <f>E425</f>
      </c>
      <c r="I424" s="12">
        <f>F425</f>
      </c>
      <c r="J424" s="12">
        <f>G425</f>
      </c>
      <c r="K424">
        <f>IF(AND(Pu&gt;=MIN(E424,H424),Pu&lt;=MAX(E424,H424),E424&lt;&gt;H424),1,0)</f>
      </c>
      <c r="L424">
        <f>IF(K424=1,(Pu-E424)/(H424-E424),"")</f>
      </c>
      <c r="M424" s="12">
        <f>IF(K424=1,F424+L424*(I424-F424),"")</f>
      </c>
      <c r="N424" s="12">
        <f>IF(K424=1,G424+L424*(J424-G424),"")</f>
      </c>
    </row>
    <row r="425" spans="2:14" x14ac:dyDescent="0.25">
      <c r="B425">
        <v>21</v>
      </c>
      <c r="C425">
        <v>199.99999999999997</v>
      </c>
      <c r="D425">
        <v>8</v>
      </c>
      <c r="E425" s="18">
        <v>9724.273454792436</v>
      </c>
      <c r="F425" s="18">
        <v>-1176.0495099052835</v>
      </c>
      <c r="G425" s="18">
        <v>-4398.4078965645895</v>
      </c>
      <c r="H425" s="12">
        <f>E426</f>
      </c>
      <c r="I425" s="12">
        <f>F426</f>
      </c>
      <c r="J425" s="12">
        <f>G426</f>
      </c>
      <c r="K425">
        <f>IF(AND(Pu&gt;=MIN(E425,H425),Pu&lt;=MAX(E425,H425),E425&lt;&gt;H425),1,0)</f>
      </c>
      <c r="L425">
        <f>IF(K425=1,(Pu-E425)/(H425-E425),"")</f>
      </c>
      <c r="M425" s="12">
        <f>IF(K425=1,F425+L425*(I425-F425),"")</f>
      </c>
      <c r="N425" s="12">
        <f>IF(K425=1,G425+L425*(J425-G425),"")</f>
      </c>
    </row>
    <row r="426" spans="2:14" x14ac:dyDescent="0.25">
      <c r="B426">
        <v>21</v>
      </c>
      <c r="C426">
        <v>199.99999999999997</v>
      </c>
      <c r="D426">
        <v>9</v>
      </c>
      <c r="E426" s="18">
        <v>8674.594833372263</v>
      </c>
      <c r="F426" s="18">
        <v>-1192.979138481095</v>
      </c>
      <c r="G426" s="18">
        <v>-4451.136389177951</v>
      </c>
      <c r="H426" s="12">
        <f>E427</f>
      </c>
      <c r="I426" s="12">
        <f>F427</f>
      </c>
      <c r="J426" s="12">
        <f>G427</f>
      </c>
      <c r="K426">
        <f>IF(AND(Pu&gt;=MIN(E426,H426),Pu&lt;=MAX(E426,H426),E426&lt;&gt;H426),1,0)</f>
      </c>
      <c r="L426">
        <f>IF(K426=1,(Pu-E426)/(H426-E426),"")</f>
      </c>
      <c r="M426" s="12">
        <f>IF(K426=1,F426+L426*(I426-F426),"")</f>
      </c>
      <c r="N426" s="12">
        <f>IF(K426=1,G426+L426*(J426-G426),"")</f>
      </c>
    </row>
    <row r="427" spans="2:14" x14ac:dyDescent="0.25">
      <c r="B427">
        <v>21</v>
      </c>
      <c r="C427">
        <v>199.99999999999997</v>
      </c>
      <c r="D427">
        <v>10</v>
      </c>
      <c r="E427" s="18">
        <v>7474.884744198225</v>
      </c>
      <c r="F427" s="18">
        <v>-1204.6625259261405</v>
      </c>
      <c r="G427" s="18">
        <v>-4706.622224603462</v>
      </c>
      <c r="H427" s="12">
        <f>E428</f>
      </c>
      <c r="I427" s="12">
        <f>F428</f>
      </c>
      <c r="J427" s="12">
        <f>G428</f>
      </c>
      <c r="K427">
        <f>IF(AND(Pu&gt;=MIN(E427,H427),Pu&lt;=MAX(E427,H427),E427&lt;&gt;H427),1,0)</f>
      </c>
      <c r="L427">
        <f>IF(K427=1,(Pu-E427)/(H427-E427),"")</f>
      </c>
      <c r="M427" s="12">
        <f>IF(K427=1,F427+L427*(I427-F427),"")</f>
      </c>
      <c r="N427" s="12">
        <f>IF(K427=1,G427+L427*(J427-G427),"")</f>
      </c>
    </row>
    <row r="428" spans="2:14" x14ac:dyDescent="0.25">
      <c r="B428">
        <v>21</v>
      </c>
      <c r="C428">
        <v>199.99999999999997</v>
      </c>
      <c r="D428">
        <v>11</v>
      </c>
      <c r="E428" s="18">
        <v>6683.147634954877</v>
      </c>
      <c r="F428" s="18">
        <v>-1191.584619864226</v>
      </c>
      <c r="G428" s="18">
        <v>-4870.856005963086</v>
      </c>
      <c r="H428" s="12">
        <f>E429</f>
      </c>
      <c r="I428" s="12">
        <f>F429</f>
      </c>
      <c r="J428" s="12">
        <f>G429</f>
      </c>
      <c r="K428">
        <f>IF(AND(Pu&gt;=MIN(E428,H428),Pu&lt;=MAX(E428,H428),E428&lt;&gt;H428),1,0)</f>
      </c>
      <c r="L428">
        <f>IF(K428=1,(Pu-E428)/(H428-E428),"")</f>
      </c>
      <c r="M428" s="12">
        <f>IF(K428=1,F428+L428*(I428-F428),"")</f>
      </c>
      <c r="N428" s="12">
        <f>IF(K428=1,G428+L428*(J428-G428),"")</f>
      </c>
    </row>
    <row r="429" spans="2:14" x14ac:dyDescent="0.25">
      <c r="B429">
        <v>21</v>
      </c>
      <c r="C429">
        <v>199.99999999999997</v>
      </c>
      <c r="D429">
        <v>12</v>
      </c>
      <c r="E429" s="18">
        <v>6151.460452514535</v>
      </c>
      <c r="F429" s="18">
        <v>-1199.0158494810698</v>
      </c>
      <c r="G429" s="18">
        <v>-5005.025565601779</v>
      </c>
      <c r="H429" s="12">
        <f>E430</f>
      </c>
      <c r="I429" s="12">
        <f>F430</f>
      </c>
      <c r="J429" s="12">
        <f>G430</f>
      </c>
      <c r="K429">
        <f>IF(AND(Pu&gt;=MIN(E429,H429),Pu&lt;=MAX(E429,H429),E429&lt;&gt;H429),1,0)</f>
      </c>
      <c r="L429">
        <f>IF(K429=1,(Pu-E429)/(H429-E429),"")</f>
      </c>
      <c r="M429" s="12">
        <f>IF(K429=1,F429+L429*(I429-F429),"")</f>
      </c>
      <c r="N429" s="12">
        <f>IF(K429=1,G429+L429*(J429-G429),"")</f>
      </c>
    </row>
    <row r="430" spans="2:14" x14ac:dyDescent="0.25">
      <c r="B430">
        <v>21</v>
      </c>
      <c r="C430">
        <v>199.99999999999997</v>
      </c>
      <c r="D430">
        <v>13</v>
      </c>
      <c r="E430" s="18">
        <v>5728.343520434134</v>
      </c>
      <c r="F430" s="18">
        <v>-1218.9073693314704</v>
      </c>
      <c r="G430" s="18">
        <v>-5116.654692717469</v>
      </c>
      <c r="H430" s="12">
        <f>E431</f>
      </c>
      <c r="I430" s="12">
        <f>F431</f>
      </c>
      <c r="J430" s="12">
        <f>G431</f>
      </c>
      <c r="K430">
        <f>IF(AND(Pu&gt;=MIN(E430,H430),Pu&lt;=MAX(E430,H430),E430&lt;&gt;H430),1,0)</f>
      </c>
      <c r="L430">
        <f>IF(K430=1,(Pu-E430)/(H430-E430),"")</f>
      </c>
      <c r="M430" s="12">
        <f>IF(K430=1,F430+L430*(I430-F430),"")</f>
      </c>
      <c r="N430" s="12">
        <f>IF(K430=1,G430+L430*(J430-G430),"")</f>
      </c>
    </row>
    <row r="431" spans="2:14" x14ac:dyDescent="0.25">
      <c r="B431">
        <v>21</v>
      </c>
      <c r="C431">
        <v>199.99999999999997</v>
      </c>
      <c r="D431">
        <v>14</v>
      </c>
      <c r="E431" s="18">
        <v>4975.555954215022</v>
      </c>
      <c r="F431" s="18">
        <v>-1273.3932198357477</v>
      </c>
      <c r="G431" s="18">
        <v>-5293.524447100558</v>
      </c>
      <c r="H431" s="12">
        <f>E432</f>
      </c>
      <c r="I431" s="12">
        <f>F432</f>
      </c>
      <c r="J431" s="12">
        <f>G432</f>
      </c>
      <c r="K431">
        <f>IF(AND(Pu&gt;=MIN(E431,H431),Pu&lt;=MAX(E431,H431),E431&lt;&gt;H431),1,0)</f>
      </c>
      <c r="L431">
        <f>IF(K431=1,(Pu-E431)/(H431-E431),"")</f>
      </c>
      <c r="M431" s="12">
        <f>IF(K431=1,F431+L431*(I431-F431),"")</f>
      </c>
      <c r="N431" s="12">
        <f>IF(K431=1,G431+L431*(J431-G431),"")</f>
      </c>
    </row>
    <row r="432" spans="2:14" x14ac:dyDescent="0.25">
      <c r="B432">
        <v>21</v>
      </c>
      <c r="C432">
        <v>199.99999999999997</v>
      </c>
      <c r="D432">
        <v>15</v>
      </c>
      <c r="E432" s="18">
        <v>4095.865080124987</v>
      </c>
      <c r="F432" s="18">
        <v>-1250.1774789449917</v>
      </c>
      <c r="G432" s="18">
        <v>-5025.044388982337</v>
      </c>
      <c r="H432" s="12">
        <f>E433</f>
      </c>
      <c r="I432" s="12">
        <f>F433</f>
      </c>
      <c r="J432" s="12">
        <f>G433</f>
      </c>
      <c r="K432">
        <f>IF(AND(Pu&gt;=MIN(E432,H432),Pu&lt;=MAX(E432,H432),E432&lt;&gt;H432),1,0)</f>
      </c>
      <c r="L432">
        <f>IF(K432=1,(Pu-E432)/(H432-E432),"")</f>
      </c>
      <c r="M432" s="12">
        <f>IF(K432=1,F432+L432*(I432-F432),"")</f>
      </c>
      <c r="N432" s="12">
        <f>IF(K432=1,G432+L432*(J432-G432),"")</f>
      </c>
    </row>
    <row r="433" spans="2:14" x14ac:dyDescent="0.25">
      <c r="B433">
        <v>21</v>
      </c>
      <c r="C433">
        <v>199.99999999999997</v>
      </c>
      <c r="D433">
        <v>16</v>
      </c>
      <c r="E433" s="18">
        <v>2696.1416014966867</v>
      </c>
      <c r="F433" s="18">
        <v>-1200.358443061905</v>
      </c>
      <c r="G433" s="18">
        <v>-4486.872835850124</v>
      </c>
      <c r="H433" s="12">
        <f>E434</f>
      </c>
      <c r="I433" s="12">
        <f>F434</f>
      </c>
      <c r="J433" s="12">
        <f>G434</f>
      </c>
      <c r="K433">
        <f>IF(AND(Pu&gt;=MIN(E433,H433),Pu&lt;=MAX(E433,H433),E433&lt;&gt;H433),1,0)</f>
      </c>
      <c r="L433">
        <f>IF(K433=1,(Pu-E433)/(H433-E433),"")</f>
      </c>
      <c r="M433" s="12">
        <f>IF(K433=1,F433+L433*(I433-F433),"")</f>
      </c>
      <c r="N433" s="12">
        <f>IF(K433=1,G433+L433*(J433-G433),"")</f>
      </c>
    </row>
    <row r="434" spans="2:14" x14ac:dyDescent="0.25">
      <c r="B434">
        <v>21</v>
      </c>
      <c r="C434">
        <v>199.99999999999997</v>
      </c>
      <c r="D434">
        <v>17</v>
      </c>
      <c r="E434" s="18">
        <v>1509.3047649668238</v>
      </c>
      <c r="F434" s="18">
        <v>-1156.9332903073278</v>
      </c>
      <c r="G434" s="18">
        <v>-3927.2364508109968</v>
      </c>
      <c r="H434" s="12">
        <f>E435</f>
      </c>
      <c r="I434" s="12">
        <f>F435</f>
      </c>
      <c r="J434" s="12">
        <f>G435</f>
      </c>
      <c r="K434">
        <f>IF(AND(Pu&gt;=MIN(E434,H434),Pu&lt;=MAX(E434,H434),E434&lt;&gt;H434),1,0)</f>
      </c>
      <c r="L434">
        <f>IF(K434=1,(Pu-E434)/(H434-E434),"")</f>
      </c>
      <c r="M434" s="12">
        <f>IF(K434=1,F434+L434*(I434-F434),"")</f>
      </c>
      <c r="N434" s="12">
        <f>IF(K434=1,G434+L434*(J434-G434),"")</f>
      </c>
    </row>
    <row r="435" spans="2:14" x14ac:dyDescent="0.25">
      <c r="B435">
        <v>21</v>
      </c>
      <c r="C435">
        <v>199.99999999999997</v>
      </c>
      <c r="D435">
        <v>18</v>
      </c>
      <c r="E435" s="18">
        <v>-548.8293482471041</v>
      </c>
      <c r="F435" s="18">
        <v>-932.2241061775345</v>
      </c>
      <c r="G435" s="18">
        <v>-2790.7528392457157</v>
      </c>
      <c r="H435" s="12">
        <f>E436</f>
      </c>
      <c r="I435" s="12">
        <f>F436</f>
      </c>
      <c r="J435" s="12">
        <f>G436</f>
      </c>
      <c r="K435">
        <f>IF(AND(Pu&gt;=MIN(E435,H435),Pu&lt;=MAX(E435,H435),E435&lt;&gt;H435),1,0)</f>
      </c>
      <c r="L435">
        <f>IF(K435=1,(Pu-E435)/(H435-E435),"")</f>
      </c>
      <c r="M435" s="12">
        <f>IF(K435=1,F435+L435*(I435-F435),"")</f>
      </c>
      <c r="N435" s="12">
        <f>IF(K435=1,G435+L435*(J435-G435),"")</f>
      </c>
    </row>
    <row r="436" spans="2:14" x14ac:dyDescent="0.25">
      <c r="B436">
        <v>21</v>
      </c>
      <c r="C436">
        <v>199.99999999999997</v>
      </c>
      <c r="D436">
        <v>19</v>
      </c>
      <c r="E436" s="18">
        <v>-1899.7628894055867</v>
      </c>
      <c r="F436" s="18">
        <v>-722.4243459519845</v>
      </c>
      <c r="G436" s="18">
        <v>-1973.9777904676166</v>
      </c>
      <c r="H436" s="12">
        <f>E437</f>
      </c>
      <c r="I436" s="12">
        <f>F437</f>
      </c>
      <c r="J436" s="12">
        <f>G437</f>
      </c>
      <c r="K436">
        <f>IF(AND(Pu&gt;=MIN(E436,H436),Pu&lt;=MAX(E436,H436),E436&lt;&gt;H436),1,0)</f>
      </c>
      <c r="L436">
        <f>IF(K436=1,(Pu-E436)/(H436-E436),"")</f>
      </c>
      <c r="M436" s="12">
        <f>IF(K436=1,F436+L436*(I436-F436),"")</f>
      </c>
      <c r="N436" s="12">
        <f>IF(K436=1,G436+L436*(J436-G436),"")</f>
      </c>
    </row>
    <row r="437" spans="2:7" x14ac:dyDescent="0.25">
      <c r="B437">
        <v>21</v>
      </c>
      <c r="C437">
        <v>199.99999999999997</v>
      </c>
      <c r="D437">
        <v>20</v>
      </c>
      <c r="E437" s="18">
        <v>-3982.282724002072</v>
      </c>
      <c r="F437" s="18">
        <v>-292.438645739626</v>
      </c>
      <c r="G437" s="18">
        <v>-646.9904106743116</v>
      </c>
    </row>
    <row r="439" spans="2:14" x14ac:dyDescent="0.25">
      <c r="B439">
        <v>22</v>
      </c>
      <c r="C439">
        <v>209.99999999999997</v>
      </c>
      <c r="D439">
        <v>1</v>
      </c>
      <c r="E439" s="18">
        <v>16998.009337410243</v>
      </c>
      <c r="F439" s="18">
        <v>-1133.6483233342226</v>
      </c>
      <c r="G439" s="18">
        <v>-2709.872655296522</v>
      </c>
      <c r="H439" s="12">
        <f>E440</f>
      </c>
      <c r="I439" s="12">
        <f>F440</f>
      </c>
      <c r="J439" s="12">
        <f>G440</f>
      </c>
      <c r="K439">
        <f>IF(AND(Pu&gt;=MIN(E439,H439),Pu&lt;=MAX(E439,H439),E439&lt;&gt;H439),1,0)</f>
      </c>
      <c r="L439">
        <f>IF(K439=1,(Pu-E439)/(H439-E439),"")</f>
      </c>
      <c r="M439" s="12">
        <f>IF(K439=1,F439+L439*(I439-F439),"")</f>
      </c>
      <c r="N439" s="12">
        <f>IF(K439=1,G439+L439*(J439-G439),"")</f>
      </c>
    </row>
    <row r="440" spans="2:14" x14ac:dyDescent="0.25">
      <c r="B440">
        <v>22</v>
      </c>
      <c r="C440">
        <v>209.99999999999997</v>
      </c>
      <c r="D440">
        <v>2</v>
      </c>
      <c r="E440" s="18">
        <v>15021.685687512978</v>
      </c>
      <c r="F440" s="18">
        <v>-1322.3102911534045</v>
      </c>
      <c r="G440" s="18">
        <v>-3396.369321909576</v>
      </c>
      <c r="H440" s="12">
        <f>E441</f>
      </c>
      <c r="I440" s="12">
        <f>F441</f>
      </c>
      <c r="J440" s="12">
        <f>G441</f>
      </c>
      <c r="K440">
        <f>IF(AND(Pu&gt;=MIN(E440,H440),Pu&lt;=MAX(E440,H440),E440&lt;&gt;H440),1,0)</f>
      </c>
      <c r="L440">
        <f>IF(K440=1,(Pu-E440)/(H440-E440),"")</f>
      </c>
      <c r="M440" s="12">
        <f>IF(K440=1,F440+L440*(I440-F440),"")</f>
      </c>
      <c r="N440" s="12">
        <f>IF(K440=1,G440+L440*(J440-G440),"")</f>
      </c>
    </row>
    <row r="441" spans="2:14" x14ac:dyDescent="0.25">
      <c r="B441">
        <v>22</v>
      </c>
      <c r="C441">
        <v>209.99999999999997</v>
      </c>
      <c r="D441">
        <v>3</v>
      </c>
      <c r="E441" s="18">
        <v>14002.391562563787</v>
      </c>
      <c r="F441" s="18">
        <v>-1447.9367613454658</v>
      </c>
      <c r="G441" s="18">
        <v>-3620.980749971828</v>
      </c>
      <c r="H441" s="12">
        <f>E442</f>
      </c>
      <c r="I441" s="12">
        <f>F442</f>
      </c>
      <c r="J441" s="12">
        <f>G442</f>
      </c>
      <c r="K441">
        <f>IF(AND(Pu&gt;=MIN(E441,H441),Pu&lt;=MAX(E441,H441),E441&lt;&gt;H441),1,0)</f>
      </c>
      <c r="L441">
        <f>IF(K441=1,(Pu-E441)/(H441-E441),"")</f>
      </c>
      <c r="M441" s="12">
        <f>IF(K441=1,F441+L441*(I441-F441),"")</f>
      </c>
      <c r="N441" s="12">
        <f>IF(K441=1,G441+L441*(J441-G441),"")</f>
      </c>
    </row>
    <row r="442" spans="2:14" x14ac:dyDescent="0.25">
      <c r="B442">
        <v>22</v>
      </c>
      <c r="C442">
        <v>209.99999999999997</v>
      </c>
      <c r="D442">
        <v>4</v>
      </c>
      <c r="E442" s="18">
        <v>12917.191162616702</v>
      </c>
      <c r="F442" s="18">
        <v>-1568.6732710273866</v>
      </c>
      <c r="G442" s="18">
        <v>-3801.68155668044</v>
      </c>
      <c r="H442" s="12">
        <f>E443</f>
      </c>
      <c r="I442" s="12">
        <f>F443</f>
      </c>
      <c r="J442" s="12">
        <f>G443</f>
      </c>
      <c r="K442">
        <f>IF(AND(Pu&gt;=MIN(E442,H442),Pu&lt;=MAX(E442,H442),E442&lt;&gt;H442),1,0)</f>
      </c>
      <c r="L442">
        <f>IF(K442=1,(Pu-E442)/(H442-E442),"")</f>
      </c>
      <c r="M442" s="12">
        <f>IF(K442=1,F442+L442*(I442-F442),"")</f>
      </c>
      <c r="N442" s="12">
        <f>IF(K442=1,G442+L442*(J442-G442),"")</f>
      </c>
    </row>
    <row r="443" spans="2:14" x14ac:dyDescent="0.25">
      <c r="B443">
        <v>22</v>
      </c>
      <c r="C443">
        <v>209.99999999999997</v>
      </c>
      <c r="D443">
        <v>5</v>
      </c>
      <c r="E443" s="18">
        <v>11836.053318345908</v>
      </c>
      <c r="F443" s="18">
        <v>-1678.6753427579442</v>
      </c>
      <c r="G443" s="18">
        <v>-3932.1634549807936</v>
      </c>
      <c r="H443" s="12">
        <f>E444</f>
      </c>
      <c r="I443" s="12">
        <f>F444</f>
      </c>
      <c r="J443" s="12">
        <f>G444</f>
      </c>
      <c r="K443">
        <f>IF(AND(Pu&gt;=MIN(E443,H443),Pu&lt;=MAX(E443,H443),E443&lt;&gt;H443),1,0)</f>
      </c>
      <c r="L443">
        <f>IF(K443=1,(Pu-E443)/(H443-E443),"")</f>
      </c>
      <c r="M443" s="12">
        <f>IF(K443=1,F443+L443*(I443-F443),"")</f>
      </c>
      <c r="N443" s="12">
        <f>IF(K443=1,G443+L443*(J443-G443),"")</f>
      </c>
    </row>
    <row r="444" spans="2:14" x14ac:dyDescent="0.25">
      <c r="B444">
        <v>22</v>
      </c>
      <c r="C444">
        <v>209.99999999999997</v>
      </c>
      <c r="D444">
        <v>6</v>
      </c>
      <c r="E444" s="18">
        <v>10727.012526339859</v>
      </c>
      <c r="F444" s="18">
        <v>-1769.9478393561392</v>
      </c>
      <c r="G444" s="18">
        <v>-4024.5058086536574</v>
      </c>
      <c r="H444" s="12">
        <f>E445</f>
      </c>
      <c r="I444" s="12">
        <f>F445</f>
      </c>
      <c r="J444" s="12">
        <f>G445</f>
      </c>
      <c r="K444">
        <f>IF(AND(Pu&gt;=MIN(E444,H444),Pu&lt;=MAX(E444,H444),E444&lt;&gt;H444),1,0)</f>
      </c>
      <c r="L444">
        <f>IF(K444=1,(Pu-E444)/(H444-E444),"")</f>
      </c>
      <c r="M444" s="12">
        <f>IF(K444=1,F444+L444*(I444-F444),"")</f>
      </c>
      <c r="N444" s="12">
        <f>IF(K444=1,G444+L444*(J444-G444),"")</f>
      </c>
    </row>
    <row r="445" spans="2:14" x14ac:dyDescent="0.25">
      <c r="B445">
        <v>22</v>
      </c>
      <c r="C445">
        <v>209.99999999999997</v>
      </c>
      <c r="D445">
        <v>7</v>
      </c>
      <c r="E445" s="18">
        <v>9665.022708480563</v>
      </c>
      <c r="F445" s="18">
        <v>-1805.482595355891</v>
      </c>
      <c r="G445" s="18">
        <v>-4101.97390960985</v>
      </c>
      <c r="H445" s="12">
        <f>E446</f>
      </c>
      <c r="I445" s="12">
        <f>F446</f>
      </c>
      <c r="J445" s="12">
        <f>G446</f>
      </c>
      <c r="K445">
        <f>IF(AND(Pu&gt;=MIN(E445,H445),Pu&lt;=MAX(E445,H445),E445&lt;&gt;H445),1,0)</f>
      </c>
      <c r="L445">
        <f>IF(K445=1,(Pu-E445)/(H445-E445),"")</f>
      </c>
      <c r="M445" s="12">
        <f>IF(K445=1,F445+L445*(I445-F445),"")</f>
      </c>
      <c r="N445" s="12">
        <f>IF(K445=1,G445+L445*(J445-G445),"")</f>
      </c>
    </row>
    <row r="446" spans="2:14" x14ac:dyDescent="0.25">
      <c r="B446">
        <v>22</v>
      </c>
      <c r="C446">
        <v>209.99999999999997</v>
      </c>
      <c r="D446">
        <v>8</v>
      </c>
      <c r="E446" s="18">
        <v>8691.318748508631</v>
      </c>
      <c r="F446" s="18">
        <v>-1787.0400065559852</v>
      </c>
      <c r="G446" s="18">
        <v>-4169.332745253193</v>
      </c>
      <c r="H446" s="12">
        <f>E447</f>
      </c>
      <c r="I446" s="12">
        <f>F447</f>
      </c>
      <c r="J446" s="12">
        <f>G447</f>
      </c>
      <c r="K446">
        <f>IF(AND(Pu&gt;=MIN(E446,H446),Pu&lt;=MAX(E446,H446),E446&lt;&gt;H446),1,0)</f>
      </c>
      <c r="L446">
        <f>IF(K446=1,(Pu-E446)/(H446-E446),"")</f>
      </c>
      <c r="M446" s="12">
        <f>IF(K446=1,F446+L446*(I446-F446),"")</f>
      </c>
      <c r="N446" s="12">
        <f>IF(K446=1,G446+L446*(J446-G446),"")</f>
      </c>
    </row>
    <row r="447" spans="2:14" x14ac:dyDescent="0.25">
      <c r="B447">
        <v>22</v>
      </c>
      <c r="C447">
        <v>209.99999999999997</v>
      </c>
      <c r="D447">
        <v>9</v>
      </c>
      <c r="E447" s="18">
        <v>7538.850561970991</v>
      </c>
      <c r="F447" s="18">
        <v>-1814.5178557291326</v>
      </c>
      <c r="G447" s="18">
        <v>-4423.59085013043</v>
      </c>
      <c r="H447" s="12">
        <f>E448</f>
      </c>
      <c r="I447" s="12">
        <f>F448</f>
      </c>
      <c r="J447" s="12">
        <f>G448</f>
      </c>
      <c r="K447">
        <f>IF(AND(Pu&gt;=MIN(E447,H447),Pu&lt;=MAX(E447,H447),E447&lt;&gt;H447),1,0)</f>
      </c>
      <c r="L447">
        <f>IF(K447=1,(Pu-E447)/(H447-E447),"")</f>
      </c>
      <c r="M447" s="12">
        <f>IF(K447=1,F447+L447*(I447-F447),"")</f>
      </c>
      <c r="N447" s="12">
        <f>IF(K447=1,G447+L447*(J447-G447),"")</f>
      </c>
    </row>
    <row r="448" spans="2:14" x14ac:dyDescent="0.25">
      <c r="B448">
        <v>22</v>
      </c>
      <c r="C448">
        <v>209.99999999999997</v>
      </c>
      <c r="D448">
        <v>10</v>
      </c>
      <c r="E448" s="18">
        <v>6664.820375148367</v>
      </c>
      <c r="F448" s="18">
        <v>-1823.3477417543456</v>
      </c>
      <c r="G448" s="18">
        <v>-4579.5157997130445</v>
      </c>
      <c r="H448" s="12">
        <f>E449</f>
      </c>
      <c r="I448" s="12">
        <f>F449</f>
      </c>
      <c r="J448" s="12">
        <f>G449</f>
      </c>
      <c r="K448">
        <f>IF(AND(Pu&gt;=MIN(E448,H448),Pu&lt;=MAX(E448,H448),E448&lt;&gt;H448),1,0)</f>
      </c>
      <c r="L448">
        <f>IF(K448=1,(Pu-E448)/(H448-E448),"")</f>
      </c>
      <c r="M448" s="12">
        <f>IF(K448=1,F448+L448*(I448-F448),"")</f>
      </c>
      <c r="N448" s="12">
        <f>IF(K448=1,G448+L448*(J448-G448),"")</f>
      </c>
    </row>
    <row r="449" spans="2:14" x14ac:dyDescent="0.25">
      <c r="B449">
        <v>22</v>
      </c>
      <c r="C449">
        <v>209.99999999999997</v>
      </c>
      <c r="D449">
        <v>11</v>
      </c>
      <c r="E449" s="18">
        <v>6015.583142120547</v>
      </c>
      <c r="F449" s="18">
        <v>-1839.7091926541054</v>
      </c>
      <c r="G449" s="18">
        <v>-4680.595031632149</v>
      </c>
      <c r="H449" s="12">
        <f>E450</f>
      </c>
      <c r="I449" s="12">
        <f>F450</f>
      </c>
      <c r="J449" s="12">
        <f>G450</f>
      </c>
      <c r="K449">
        <f>IF(AND(Pu&gt;=MIN(E449,H449),Pu&lt;=MAX(E449,H449),E449&lt;&gt;H449),1,0)</f>
      </c>
      <c r="L449">
        <f>IF(K449=1,(Pu-E449)/(H449-E449),"")</f>
      </c>
      <c r="M449" s="12">
        <f>IF(K449=1,F449+L449*(I449-F449),"")</f>
      </c>
      <c r="N449" s="12">
        <f>IF(K449=1,G449+L449*(J449-G449),"")</f>
      </c>
    </row>
    <row r="450" spans="2:14" x14ac:dyDescent="0.25">
      <c r="B450">
        <v>22</v>
      </c>
      <c r="C450">
        <v>209.99999999999997</v>
      </c>
      <c r="D450">
        <v>12</v>
      </c>
      <c r="E450" s="18">
        <v>5523.813323565004</v>
      </c>
      <c r="F450" s="18">
        <v>-1876.9741645261372</v>
      </c>
      <c r="G450" s="18">
        <v>-4748.332897726922</v>
      </c>
      <c r="H450" s="12">
        <f>E451</f>
      </c>
      <c r="I450" s="12">
        <f>F451</f>
      </c>
      <c r="J450" s="12">
        <f>G451</f>
      </c>
      <c r="K450">
        <f>IF(AND(Pu&gt;=MIN(E450,H450),Pu&lt;=MAX(E450,H450),E450&lt;&gt;H450),1,0)</f>
      </c>
      <c r="L450">
        <f>IF(K450=1,(Pu-E450)/(H450-E450),"")</f>
      </c>
      <c r="M450" s="12">
        <f>IF(K450=1,F450+L450*(I450-F450),"")</f>
      </c>
      <c r="N450" s="12">
        <f>IF(K450=1,G450+L450*(J450-G450),"")</f>
      </c>
    </row>
    <row r="451" spans="2:14" x14ac:dyDescent="0.25">
      <c r="B451">
        <v>22</v>
      </c>
      <c r="C451">
        <v>209.99999999999997</v>
      </c>
      <c r="D451">
        <v>13</v>
      </c>
      <c r="E451" s="18">
        <v>4712.473903860884</v>
      </c>
      <c r="F451" s="18">
        <v>-1932.003926087627</v>
      </c>
      <c r="G451" s="18">
        <v>-4863.813696206678</v>
      </c>
      <c r="H451" s="12">
        <f>E452</f>
      </c>
      <c r="I451" s="12">
        <f>F452</f>
      </c>
      <c r="J451" s="12">
        <f>G452</f>
      </c>
      <c r="K451">
        <f>IF(AND(Pu&gt;=MIN(E451,H451),Pu&lt;=MAX(E451,H451),E451&lt;&gt;H451),1,0)</f>
      </c>
      <c r="L451">
        <f>IF(K451=1,(Pu-E451)/(H451-E451),"")</f>
      </c>
      <c r="M451" s="12">
        <f>IF(K451=1,F451+L451*(I451-F451),"")</f>
      </c>
      <c r="N451" s="12">
        <f>IF(K451=1,G451+L451*(J451-G451),"")</f>
      </c>
    </row>
    <row r="452" spans="2:14" x14ac:dyDescent="0.25">
      <c r="B452">
        <v>22</v>
      </c>
      <c r="C452">
        <v>209.99999999999997</v>
      </c>
      <c r="D452">
        <v>14</v>
      </c>
      <c r="E452" s="18">
        <v>3655.5890284883076</v>
      </c>
      <c r="F452" s="18">
        <v>-1848.0920579585452</v>
      </c>
      <c r="G452" s="18">
        <v>-4552.941779706577</v>
      </c>
      <c r="H452" s="12">
        <f>E453</f>
      </c>
      <c r="I452" s="12">
        <f>F453</f>
      </c>
      <c r="J452" s="12">
        <f>G453</f>
      </c>
      <c r="K452">
        <f>IF(AND(Pu&gt;=MIN(E452,H452),Pu&lt;=MAX(E452,H452),E452&lt;&gt;H452),1,0)</f>
      </c>
      <c r="L452">
        <f>IF(K452=1,(Pu-E452)/(H452-E452),"")</f>
      </c>
      <c r="M452" s="12">
        <f>IF(K452=1,F452+L452*(I452-F452),"")</f>
      </c>
      <c r="N452" s="12">
        <f>IF(K452=1,G452+L452*(J452-G452),"")</f>
      </c>
    </row>
    <row r="453" spans="2:14" x14ac:dyDescent="0.25">
      <c r="B453">
        <v>22</v>
      </c>
      <c r="C453">
        <v>209.99999999999997</v>
      </c>
      <c r="D453">
        <v>15</v>
      </c>
      <c r="E453" s="18">
        <v>2045.6972224165545</v>
      </c>
      <c r="F453" s="18">
        <v>-1711.849317139988</v>
      </c>
      <c r="G453" s="18">
        <v>-3907.482836324861</v>
      </c>
      <c r="H453" s="12">
        <f>E454</f>
      </c>
      <c r="I453" s="12">
        <f>F454</f>
      </c>
      <c r="J453" s="12">
        <f>G454</f>
      </c>
      <c r="K453">
        <f>IF(AND(Pu&gt;=MIN(E453,H453),Pu&lt;=MAX(E453,H453),E453&lt;&gt;H453),1,0)</f>
      </c>
      <c r="L453">
        <f>IF(K453=1,(Pu-E453)/(H453-E453),"")</f>
      </c>
      <c r="M453" s="12">
        <f>IF(K453=1,F453+L453*(I453-F453),"")</f>
      </c>
      <c r="N453" s="12">
        <f>IF(K453=1,G453+L453*(J453-G453),"")</f>
      </c>
    </row>
    <row r="454" spans="2:14" x14ac:dyDescent="0.25">
      <c r="B454">
        <v>22</v>
      </c>
      <c r="C454">
        <v>209.99999999999997</v>
      </c>
      <c r="D454">
        <v>16</v>
      </c>
      <c r="E454" s="18">
        <v>909.6960597465915</v>
      </c>
      <c r="F454" s="18">
        <v>-1537.2891152390166</v>
      </c>
      <c r="G454" s="18">
        <v>-3370.6779025496494</v>
      </c>
      <c r="H454" s="12">
        <f>E455</f>
      </c>
      <c r="I454" s="12">
        <f>F455</f>
      </c>
      <c r="J454" s="12">
        <f>G455</f>
      </c>
      <c r="K454">
        <f>IF(AND(Pu&gt;=MIN(E454,H454),Pu&lt;=MAX(E454,H454),E454&lt;&gt;H454),1,0)</f>
      </c>
      <c r="L454">
        <f>IF(K454=1,(Pu-E454)/(H454-E454),"")</f>
      </c>
      <c r="M454" s="12">
        <f>IF(K454=1,F454+L454*(I454-F454),"")</f>
      </c>
      <c r="N454" s="12">
        <f>IF(K454=1,G454+L454*(J454-G454),"")</f>
      </c>
    </row>
    <row r="455" spans="2:14" x14ac:dyDescent="0.25">
      <c r="B455">
        <v>22</v>
      </c>
      <c r="C455">
        <v>209.99999999999997</v>
      </c>
      <c r="D455">
        <v>17</v>
      </c>
      <c r="E455" s="18">
        <v>-1001.6965113812648</v>
      </c>
      <c r="F455" s="18">
        <v>-1175.524287222431</v>
      </c>
      <c r="G455" s="18">
        <v>-2376.213534492661</v>
      </c>
      <c r="H455" s="12">
        <f>E456</f>
      </c>
      <c r="I455" s="12">
        <f>F456</f>
      </c>
      <c r="J455" s="12">
        <f>G456</f>
      </c>
      <c r="K455">
        <f>IF(AND(Pu&gt;=MIN(E455,H455),Pu&lt;=MAX(E455,H455),E455&lt;&gt;H455),1,0)</f>
      </c>
      <c r="L455">
        <f>IF(K455=1,(Pu-E455)/(H455-E455),"")</f>
      </c>
      <c r="M455" s="12">
        <f>IF(K455=1,F455+L455*(I455-F455),"")</f>
      </c>
      <c r="N455" s="12">
        <f>IF(K455=1,G455+L455*(J455-G455),"")</f>
      </c>
    </row>
    <row r="456" spans="2:14" x14ac:dyDescent="0.25">
      <c r="B456">
        <v>22</v>
      </c>
      <c r="C456">
        <v>209.99999999999997</v>
      </c>
      <c r="D456">
        <v>18</v>
      </c>
      <c r="E456" s="18">
        <v>-2257.32715587094</v>
      </c>
      <c r="F456" s="18">
        <v>-876.3487677854166</v>
      </c>
      <c r="G456" s="18">
        <v>-1667.2597478327227</v>
      </c>
      <c r="H456" s="12">
        <f>E457</f>
      </c>
      <c r="I456" s="12">
        <f>F457</f>
      </c>
      <c r="J456" s="12">
        <f>G457</f>
      </c>
      <c r="K456">
        <f>IF(AND(Pu&gt;=MIN(E456,H456),Pu&lt;=MAX(E456,H456),E456&lt;&gt;H456),1,0)</f>
      </c>
      <c r="L456">
        <f>IF(K456=1,(Pu-E456)/(H456-E456),"")</f>
      </c>
      <c r="M456" s="12">
        <f>IF(K456=1,F456+L456*(I456-F456),"")</f>
      </c>
      <c r="N456" s="12">
        <f>IF(K456=1,G456+L456*(J456-G456),"")</f>
      </c>
    </row>
    <row r="457" spans="2:7" x14ac:dyDescent="0.25">
      <c r="B457">
        <v>22</v>
      </c>
      <c r="C457">
        <v>209.99999999999997</v>
      </c>
      <c r="D457">
        <v>19</v>
      </c>
      <c r="E457" s="18">
        <v>-4073.363030721496</v>
      </c>
      <c r="F457" s="18">
        <v>-317.1119100570362</v>
      </c>
      <c r="G457" s="18">
        <v>-570.0336548953576</v>
      </c>
    </row>
    <row r="459" spans="2:14" x14ac:dyDescent="0.25">
      <c r="B459">
        <v>23</v>
      </c>
      <c r="C459">
        <v>219.99999999999994</v>
      </c>
      <c r="D459">
        <v>1</v>
      </c>
      <c r="E459" s="18">
        <v>17112.228279488492</v>
      </c>
      <c r="F459" s="18">
        <v>-1471.5214998189306</v>
      </c>
      <c r="G459" s="18">
        <v>-2419.4336695631077</v>
      </c>
      <c r="H459" s="12">
        <f>E460</f>
      </c>
      <c r="I459" s="12">
        <f>F460</f>
      </c>
      <c r="J459" s="12">
        <f>G460</f>
      </c>
      <c r="K459">
        <f>IF(AND(Pu&gt;=MIN(E459,H459),Pu&lt;=MAX(E459,H459),E459&lt;&gt;H459),1,0)</f>
      </c>
      <c r="L459">
        <f>IF(K459=1,(Pu-E459)/(H459-E459),"")</f>
      </c>
      <c r="M459" s="12">
        <f>IF(K459=1,F459+L459*(I459-F459),"")</f>
      </c>
      <c r="N459" s="12">
        <f>IF(K459=1,G459+L459*(J459-G459),"")</f>
      </c>
    </row>
    <row r="460" spans="2:14" x14ac:dyDescent="0.25">
      <c r="B460">
        <v>23</v>
      </c>
      <c r="C460">
        <v>219.99999999999994</v>
      </c>
      <c r="D460">
        <v>2</v>
      </c>
      <c r="E460" s="18">
        <v>14865.400510667387</v>
      </c>
      <c r="F460" s="18">
        <v>-1819.1798900975793</v>
      </c>
      <c r="G460" s="18">
        <v>-3107.811160873315</v>
      </c>
      <c r="H460" s="12">
        <f>E461</f>
      </c>
      <c r="I460" s="12">
        <f>F461</f>
      </c>
      <c r="J460" s="12">
        <f>G461</f>
      </c>
      <c r="K460">
        <f>IF(AND(Pu&gt;=MIN(E460,H460),Pu&lt;=MAX(E460,H460),E460&lt;&gt;H460),1,0)</f>
      </c>
      <c r="L460">
        <f>IF(K460=1,(Pu-E460)/(H460-E460),"")</f>
      </c>
      <c r="M460" s="12">
        <f>IF(K460=1,F460+L460*(I460-F460),"")</f>
      </c>
      <c r="N460" s="12">
        <f>IF(K460=1,G460+L460*(J460-G460),"")</f>
      </c>
    </row>
    <row r="461" spans="2:14" x14ac:dyDescent="0.25">
      <c r="B461">
        <v>23</v>
      </c>
      <c r="C461">
        <v>219.99999999999994</v>
      </c>
      <c r="D461">
        <v>3</v>
      </c>
      <c r="E461" s="18">
        <v>13775.257882634029</v>
      </c>
      <c r="F461" s="18">
        <v>-2003.697678879807</v>
      </c>
      <c r="G461" s="18">
        <v>-3299.5526880485127</v>
      </c>
      <c r="H461" s="12">
        <f>E462</f>
      </c>
      <c r="I461" s="12">
        <f>F462</f>
      </c>
      <c r="J461" s="12">
        <f>G462</f>
      </c>
      <c r="K461">
        <f>IF(AND(Pu&gt;=MIN(E461,H461),Pu&lt;=MAX(E461,H461),E461&lt;&gt;H461),1,0)</f>
      </c>
      <c r="L461">
        <f>IF(K461=1,(Pu-E461)/(H461-E461),"")</f>
      </c>
      <c r="M461" s="12">
        <f>IF(K461=1,F461+L461*(I461-F461),"")</f>
      </c>
      <c r="N461" s="12">
        <f>IF(K461=1,G461+L461*(J461-G461),"")</f>
      </c>
    </row>
    <row r="462" spans="2:14" x14ac:dyDescent="0.25">
      <c r="B462">
        <v>23</v>
      </c>
      <c r="C462">
        <v>219.99999999999994</v>
      </c>
      <c r="D462">
        <v>4</v>
      </c>
      <c r="E462" s="18">
        <v>12639.898240646944</v>
      </c>
      <c r="F462" s="18">
        <v>-2179.612247759734</v>
      </c>
      <c r="G462" s="18">
        <v>-3427.51762507578</v>
      </c>
      <c r="H462" s="12">
        <f>E463</f>
      </c>
      <c r="I462" s="12">
        <f>F463</f>
      </c>
      <c r="J462" s="12">
        <f>G463</f>
      </c>
      <c r="K462">
        <f>IF(AND(Pu&gt;=MIN(E462,H462),Pu&lt;=MAX(E462,H462),E462&lt;&gt;H462),1,0)</f>
      </c>
      <c r="L462">
        <f>IF(K462=1,(Pu-E462)/(H462-E462),"")</f>
      </c>
      <c r="M462" s="12">
        <f>IF(K462=1,F462+L462*(I462-F462),"")</f>
      </c>
      <c r="N462" s="12">
        <f>IF(K462=1,G462+L462*(J462-G462),"")</f>
      </c>
    </row>
    <row r="463" spans="2:14" x14ac:dyDescent="0.25">
      <c r="B463">
        <v>23</v>
      </c>
      <c r="C463">
        <v>219.99999999999994</v>
      </c>
      <c r="D463">
        <v>5</v>
      </c>
      <c r="E463" s="18">
        <v>11518.941584801732</v>
      </c>
      <c r="F463" s="18">
        <v>-2326.0661526474773</v>
      </c>
      <c r="G463" s="18">
        <v>-3512.9389555241214</v>
      </c>
      <c r="H463" s="12">
        <f>E464</f>
      </c>
      <c r="I463" s="12">
        <f>F464</f>
      </c>
      <c r="J463" s="12">
        <f>G464</f>
      </c>
      <c r="K463">
        <f>IF(AND(Pu&gt;=MIN(E463,H463),Pu&lt;=MAX(E463,H463),E463&lt;&gt;H463),1,0)</f>
      </c>
      <c r="L463">
        <f>IF(K463=1,(Pu-E463)/(H463-E463),"")</f>
      </c>
      <c r="M463" s="12">
        <f>IF(K463=1,F463+L463*(I463-F463),"")</f>
      </c>
      <c r="N463" s="12">
        <f>IF(K463=1,G463+L463*(J463-G463),"")</f>
      </c>
    </row>
    <row r="464" spans="2:14" x14ac:dyDescent="0.25">
      <c r="B464">
        <v>23</v>
      </c>
      <c r="C464">
        <v>219.99999999999994</v>
      </c>
      <c r="D464">
        <v>6</v>
      </c>
      <c r="E464" s="18">
        <v>10541.575676235632</v>
      </c>
      <c r="F464" s="18">
        <v>-2386.299615680997</v>
      </c>
      <c r="G464" s="18">
        <v>-3605.6728549537443</v>
      </c>
      <c r="H464" s="12">
        <f>E465</f>
      </c>
      <c r="I464" s="12">
        <f>F465</f>
      </c>
      <c r="J464" s="12">
        <f>G465</f>
      </c>
      <c r="K464">
        <f>IF(AND(Pu&gt;=MIN(E464,H464),Pu&lt;=MAX(E464,H464),E464&lt;&gt;H464),1,0)</f>
      </c>
      <c r="L464">
        <f>IF(K464=1,(Pu-E464)/(H464-E464),"")</f>
      </c>
      <c r="M464" s="12">
        <f>IF(K464=1,F464+L464*(I464-F464),"")</f>
      </c>
      <c r="N464" s="12">
        <f>IF(K464=1,G464+L464*(J464-G464),"")</f>
      </c>
    </row>
    <row r="465" spans="2:14" x14ac:dyDescent="0.25">
      <c r="B465">
        <v>23</v>
      </c>
      <c r="C465">
        <v>219.99999999999994</v>
      </c>
      <c r="D465">
        <v>7</v>
      </c>
      <c r="E465" s="18">
        <v>9620.045170491354</v>
      </c>
      <c r="F465" s="18">
        <v>-2424.8727353558997</v>
      </c>
      <c r="G465" s="18">
        <v>-3673.568518749327</v>
      </c>
      <c r="H465" s="12">
        <f>E466</f>
      </c>
      <c r="I465" s="12">
        <f>F466</f>
      </c>
      <c r="J465" s="12">
        <f>G466</f>
      </c>
      <c r="K465">
        <f>IF(AND(Pu&gt;=MIN(E465,H465),Pu&lt;=MAX(E465,H465),E465&lt;&gt;H465),1,0)</f>
      </c>
      <c r="L465">
        <f>IF(K465=1,(Pu-E465)/(H465-E465),"")</f>
      </c>
      <c r="M465" s="12">
        <f>IF(K465=1,F465+L465*(I465-F465),"")</f>
      </c>
      <c r="N465" s="12">
        <f>IF(K465=1,G465+L465*(J465-G465),"")</f>
      </c>
    </row>
    <row r="466" spans="2:14" x14ac:dyDescent="0.25">
      <c r="B466">
        <v>23</v>
      </c>
      <c r="C466">
        <v>219.99999999999994</v>
      </c>
      <c r="D466">
        <v>8</v>
      </c>
      <c r="E466" s="18">
        <v>8782.186506898615</v>
      </c>
      <c r="F466" s="18">
        <v>-2449.1198202977685</v>
      </c>
      <c r="G466" s="18">
        <v>-3721.9875404786144</v>
      </c>
      <c r="H466" s="12">
        <f>E467</f>
      </c>
      <c r="I466" s="12">
        <f>F467</f>
      </c>
      <c r="J466" s="12">
        <f>G467</f>
      </c>
      <c r="K466">
        <f>IF(AND(Pu&gt;=MIN(E466,H466),Pu&lt;=MAX(E466,H466),E466&lt;&gt;H466),1,0)</f>
      </c>
      <c r="L466">
        <f>IF(K466=1,(Pu-E466)/(H466-E466),"")</f>
      </c>
      <c r="M466" s="12">
        <f>IF(K466=1,F466+L466*(I466-F466),"")</f>
      </c>
      <c r="N466" s="12">
        <f>IF(K466=1,G466+L466*(J466-G466),"")</f>
      </c>
    </row>
    <row r="467" spans="2:14" x14ac:dyDescent="0.25">
      <c r="B467">
        <v>23</v>
      </c>
      <c r="C467">
        <v>219.99999999999994</v>
      </c>
      <c r="D467">
        <v>9</v>
      </c>
      <c r="E467" s="18">
        <v>7640.78441670778</v>
      </c>
      <c r="F467" s="18">
        <v>-2486.7712569545224</v>
      </c>
      <c r="G467" s="18">
        <v>-3974.000479045064</v>
      </c>
      <c r="H467" s="12">
        <f>E468</f>
      </c>
      <c r="I467" s="12">
        <f>F468</f>
      </c>
      <c r="J467" s="12">
        <f>G468</f>
      </c>
      <c r="K467">
        <f>IF(AND(Pu&gt;=MIN(E467,H467),Pu&lt;=MAX(E467,H467),E467&lt;&gt;H467),1,0)</f>
      </c>
      <c r="L467">
        <f>IF(K467=1,(Pu-E467)/(H467-E467),"")</f>
      </c>
      <c r="M467" s="12">
        <f>IF(K467=1,F467+L467*(I467-F467),"")</f>
      </c>
      <c r="N467" s="12">
        <f>IF(K467=1,G467+L467*(J467-G467),"")</f>
      </c>
    </row>
    <row r="468" spans="2:14" x14ac:dyDescent="0.25">
      <c r="B468">
        <v>23</v>
      </c>
      <c r="C468">
        <v>219.99999999999994</v>
      </c>
      <c r="D468">
        <v>10</v>
      </c>
      <c r="E468" s="18">
        <v>6726.065799583823</v>
      </c>
      <c r="F468" s="18">
        <v>-2492.210594896144</v>
      </c>
      <c r="G468" s="18">
        <v>-4140.104856423921</v>
      </c>
      <c r="H468" s="12">
        <f>E469</f>
      </c>
      <c r="I468" s="12">
        <f>F469</f>
      </c>
      <c r="J468" s="12">
        <f>G469</f>
      </c>
      <c r="K468">
        <f>IF(AND(Pu&gt;=MIN(E468,H468),Pu&lt;=MAX(E468,H468),E468&lt;&gt;H468),1,0)</f>
      </c>
      <c r="L468">
        <f>IF(K468=1,(Pu-E468)/(H468-E468),"")</f>
      </c>
      <c r="M468" s="12">
        <f>IF(K468=1,F468+L468*(I468-F468),"")</f>
      </c>
      <c r="N468" s="12">
        <f>IF(K468=1,G468+L468*(J468-G468),"")</f>
      </c>
    </row>
    <row r="469" spans="2:14" x14ac:dyDescent="0.25">
      <c r="B469">
        <v>23</v>
      </c>
      <c r="C469">
        <v>219.99999999999994</v>
      </c>
      <c r="D469">
        <v>11</v>
      </c>
      <c r="E469" s="18">
        <v>6025.579860073114</v>
      </c>
      <c r="F469" s="18">
        <v>-2501.341967181489</v>
      </c>
      <c r="G469" s="18">
        <v>-4239.676966393978</v>
      </c>
      <c r="H469" s="12">
        <f>E470</f>
      </c>
      <c r="I469" s="12">
        <f>F470</f>
      </c>
      <c r="J469" s="12">
        <f>G470</f>
      </c>
      <c r="K469">
        <f>IF(AND(Pu&gt;=MIN(E469,H469),Pu&lt;=MAX(E469,H469),E469&lt;&gt;H469),1,0)</f>
      </c>
      <c r="L469">
        <f>IF(K469=1,(Pu-E469)/(H469-E469),"")</f>
      </c>
      <c r="M469" s="12">
        <f>IF(K469=1,F469+L469*(I469-F469),"")</f>
      </c>
      <c r="N469" s="12">
        <f>IF(K469=1,G469+L469*(J469-G469),"")</f>
      </c>
    </row>
    <row r="470" spans="2:14" x14ac:dyDescent="0.25">
      <c r="B470">
        <v>23</v>
      </c>
      <c r="C470">
        <v>219.99999999999994</v>
      </c>
      <c r="D470">
        <v>12</v>
      </c>
      <c r="E470" s="18">
        <v>5435.175188264597</v>
      </c>
      <c r="F470" s="18">
        <v>-2515.115484077006</v>
      </c>
      <c r="G470" s="18">
        <v>-4295.768188199267</v>
      </c>
      <c r="H470" s="12">
        <f>E471</f>
      </c>
      <c r="I470" s="12">
        <f>F471</f>
      </c>
      <c r="J470" s="12">
        <f>G471</f>
      </c>
      <c r="K470">
        <f>IF(AND(Pu&gt;=MIN(E470,H470),Pu&lt;=MAX(E470,H470),E470&lt;&gt;H470),1,0)</f>
      </c>
      <c r="L470">
        <f>IF(K470=1,(Pu-E470)/(H470-E470),"")</f>
      </c>
      <c r="M470" s="12">
        <f>IF(K470=1,F470+L470*(I470-F470),"")</f>
      </c>
      <c r="N470" s="12">
        <f>IF(K470=1,G470+L470*(J470-G470),"")</f>
      </c>
    </row>
    <row r="471" spans="2:14" x14ac:dyDescent="0.25">
      <c r="B471">
        <v>23</v>
      </c>
      <c r="C471">
        <v>219.99999999999994</v>
      </c>
      <c r="D471">
        <v>13</v>
      </c>
      <c r="E471" s="18">
        <v>4472.067339974688</v>
      </c>
      <c r="F471" s="18">
        <v>-2573.0390250102323</v>
      </c>
      <c r="G471" s="18">
        <v>-4315.698449719171</v>
      </c>
      <c r="H471" s="12">
        <f>E472</f>
      </c>
      <c r="I471" s="12">
        <f>F472</f>
      </c>
      <c r="J471" s="12">
        <f>G472</f>
      </c>
      <c r="K471">
        <f>IF(AND(Pu&gt;=MIN(E471,H471),Pu&lt;=MAX(E471,H471),E471&lt;&gt;H471),1,0)</f>
      </c>
      <c r="L471">
        <f>IF(K471=1,(Pu-E471)/(H471-E471),"")</f>
      </c>
      <c r="M471" s="12">
        <f>IF(K471=1,F471+L471*(I471-F471),"")</f>
      </c>
      <c r="N471" s="12">
        <f>IF(K471=1,G471+L471*(J471-G471),"")</f>
      </c>
    </row>
    <row r="472" spans="2:14" x14ac:dyDescent="0.25">
      <c r="B472">
        <v>23</v>
      </c>
      <c r="C472">
        <v>219.99999999999994</v>
      </c>
      <c r="D472">
        <v>14</v>
      </c>
      <c r="E472" s="18">
        <v>3369.79928335847</v>
      </c>
      <c r="F472" s="18">
        <v>-2422.014231332508</v>
      </c>
      <c r="G472" s="18">
        <v>-3987.3653072509387</v>
      </c>
      <c r="H472" s="12">
        <f>E473</f>
      </c>
      <c r="I472" s="12">
        <f>F473</f>
      </c>
      <c r="J472" s="12">
        <f>G473</f>
      </c>
      <c r="K472">
        <f>IF(AND(Pu&gt;=MIN(E472,H472),Pu&lt;=MAX(E472,H472),E472&lt;&gt;H472),1,0)</f>
      </c>
      <c r="L472">
        <f>IF(K472=1,(Pu-E472)/(H472-E472),"")</f>
      </c>
      <c r="M472" s="12">
        <f>IF(K472=1,F472+L472*(I472-F472),"")</f>
      </c>
      <c r="N472" s="12">
        <f>IF(K472=1,G472+L472*(J472-G472),"")</f>
      </c>
    </row>
    <row r="473" spans="2:14" x14ac:dyDescent="0.25">
      <c r="B473">
        <v>23</v>
      </c>
      <c r="C473">
        <v>219.99999999999994</v>
      </c>
      <c r="D473">
        <v>15</v>
      </c>
      <c r="E473" s="18">
        <v>1845.9001683335339</v>
      </c>
      <c r="F473" s="18">
        <v>-2099.841969983423</v>
      </c>
      <c r="G473" s="18">
        <v>-3484.2446361682673</v>
      </c>
      <c r="H473" s="12">
        <f>E474</f>
      </c>
      <c r="I473" s="12">
        <f>F474</f>
      </c>
      <c r="J473" s="12">
        <f>G474</f>
      </c>
      <c r="K473">
        <f>IF(AND(Pu&gt;=MIN(E473,H473),Pu&lt;=MAX(E473,H473),E473&lt;&gt;H473),1,0)</f>
      </c>
      <c r="L473">
        <f>IF(K473=1,(Pu-E473)/(H473-E473),"")</f>
      </c>
      <c r="M473" s="12">
        <f>IF(K473=1,F473+L473*(I473-F473),"")</f>
      </c>
      <c r="N473" s="12">
        <f>IF(K473=1,G473+L473*(J473-G473),"")</f>
      </c>
    </row>
    <row r="474" spans="2:14" x14ac:dyDescent="0.25">
      <c r="B474">
        <v>23</v>
      </c>
      <c r="C474">
        <v>219.99999999999994</v>
      </c>
      <c r="D474">
        <v>16</v>
      </c>
      <c r="E474" s="18">
        <v>730.9479314222024</v>
      </c>
      <c r="F474" s="18">
        <v>-1846.8120070719779</v>
      </c>
      <c r="G474" s="18">
        <v>-3034.7443903708213</v>
      </c>
      <c r="H474" s="12">
        <f>E475</f>
      </c>
      <c r="I474" s="12">
        <f>F475</f>
      </c>
      <c r="J474" s="12">
        <f>G475</f>
      </c>
      <c r="K474">
        <f>IF(AND(Pu&gt;=MIN(E474,H474),Pu&lt;=MAX(E474,H474),E474&lt;&gt;H474),1,0)</f>
      </c>
      <c r="L474">
        <f>IF(K474=1,(Pu-E474)/(H474-E474),"")</f>
      </c>
      <c r="M474" s="12">
        <f>IF(K474=1,F474+L474*(I474-F474),"")</f>
      </c>
      <c r="N474" s="12">
        <f>IF(K474=1,G474+L474*(J474-G474),"")</f>
      </c>
    </row>
    <row r="475" spans="2:14" x14ac:dyDescent="0.25">
      <c r="B475">
        <v>23</v>
      </c>
      <c r="C475">
        <v>219.99999999999994</v>
      </c>
      <c r="D475">
        <v>17</v>
      </c>
      <c r="E475" s="18">
        <v>-1094.6889118879353</v>
      </c>
      <c r="F475" s="18">
        <v>-1389.8270094752313</v>
      </c>
      <c r="G475" s="18">
        <v>-2176.4568739463252</v>
      </c>
      <c r="H475" s="12">
        <f>E476</f>
      </c>
      <c r="I475" s="12">
        <f>F476</f>
      </c>
      <c r="J475" s="12">
        <f>G476</f>
      </c>
      <c r="K475">
        <f>IF(AND(Pu&gt;=MIN(E475,H475),Pu&lt;=MAX(E475,H475),E475&lt;&gt;H475),1,0)</f>
      </c>
      <c r="L475">
        <f>IF(K475=1,(Pu-E475)/(H475-E475),"")</f>
      </c>
      <c r="M475" s="12">
        <f>IF(K475=1,F475+L475*(I475-F475),"")</f>
      </c>
      <c r="N475" s="12">
        <f>IF(K475=1,G475+L475*(J475-G475),"")</f>
      </c>
    </row>
    <row r="476" spans="2:14" x14ac:dyDescent="0.25">
      <c r="B476">
        <v>23</v>
      </c>
      <c r="C476">
        <v>219.99999999999994</v>
      </c>
      <c r="D476">
        <v>18</v>
      </c>
      <c r="E476" s="18">
        <v>-2272.739613988697</v>
      </c>
      <c r="F476" s="18">
        <v>-1025.2596002454134</v>
      </c>
      <c r="G476" s="18">
        <v>-1563.9597976104462</v>
      </c>
      <c r="H476" s="12">
        <f>E477</f>
      </c>
      <c r="I476" s="12">
        <f>F477</f>
      </c>
      <c r="J476" s="12">
        <f>G477</f>
      </c>
      <c r="K476">
        <f>IF(AND(Pu&gt;=MIN(E476,H476),Pu&lt;=MAX(E476,H476),E476&lt;&gt;H476),1,0)</f>
      </c>
      <c r="L476">
        <f>IF(K476=1,(Pu-E476)/(H476-E476),"")</f>
      </c>
      <c r="M476" s="12">
        <f>IF(K476=1,F476+L476*(I476-F476),"")</f>
      </c>
      <c r="N476" s="12">
        <f>IF(K476=1,G476+L476*(J476-G476),"")</f>
      </c>
    </row>
    <row r="477" spans="2:7" x14ac:dyDescent="0.25">
      <c r="B477">
        <v>23</v>
      </c>
      <c r="C477">
        <v>219.99999999999994</v>
      </c>
      <c r="D477">
        <v>19</v>
      </c>
      <c r="E477" s="18">
        <v>-3972.532659016866</v>
      </c>
      <c r="F477" s="18">
        <v>-389.2546634469313</v>
      </c>
      <c r="G477" s="18">
        <v>-609.8221466339485</v>
      </c>
    </row>
    <row r="479" spans="2:14" x14ac:dyDescent="0.25">
      <c r="B479">
        <v>24</v>
      </c>
      <c r="C479">
        <v>229.99999999999994</v>
      </c>
      <c r="D479">
        <v>1</v>
      </c>
      <c r="E479" s="18">
        <v>16852.86011644447</v>
      </c>
      <c r="F479" s="18">
        <v>-1821.9093463293843</v>
      </c>
      <c r="G479" s="18">
        <v>-2219.1784111428383</v>
      </c>
      <c r="H479" s="12">
        <f>E480</f>
      </c>
      <c r="I479" s="12">
        <f>F480</f>
      </c>
      <c r="J479" s="12">
        <f>G480</f>
      </c>
      <c r="K479">
        <f>IF(AND(Pu&gt;=MIN(E479,H479),Pu&lt;=MAX(E479,H479),E479&lt;&gt;H479),1,0)</f>
      </c>
      <c r="L479">
        <f>IF(K479=1,(Pu-E479)/(H479-E479),"")</f>
      </c>
      <c r="M479" s="12">
        <f>IF(K479=1,F479+L479*(I479-F479),"")</f>
      </c>
      <c r="N479" s="12">
        <f>IF(K479=1,G479+L479*(J479-G479),"")</f>
      </c>
    </row>
    <row r="480" spans="2:14" x14ac:dyDescent="0.25">
      <c r="B480">
        <v>24</v>
      </c>
      <c r="C480">
        <v>229.99999999999994</v>
      </c>
      <c r="D480">
        <v>2</v>
      </c>
      <c r="E480" s="18">
        <v>14365.804360764834</v>
      </c>
      <c r="F480" s="18">
        <v>-2404.642402426316</v>
      </c>
      <c r="G480" s="18">
        <v>-2695.4792370605155</v>
      </c>
      <c r="H480" s="12">
        <f>E481</f>
      </c>
      <c r="I480" s="12">
        <f>F481</f>
      </c>
      <c r="J480" s="12">
        <f>G481</f>
      </c>
      <c r="K480">
        <f>IF(AND(Pu&gt;=MIN(E480,H480),Pu&lt;=MAX(E480,H480),E480&lt;&gt;H480),1,0)</f>
      </c>
      <c r="L480">
        <f>IF(K480=1,(Pu-E480)/(H480-E480),"")</f>
      </c>
      <c r="M480" s="12">
        <f>IF(K480=1,F480+L480*(I480-F480),"")</f>
      </c>
      <c r="N480" s="12">
        <f>IF(K480=1,G480+L480*(J480-G480),"")</f>
      </c>
    </row>
    <row r="481" spans="2:14" x14ac:dyDescent="0.25">
      <c r="B481">
        <v>24</v>
      </c>
      <c r="C481">
        <v>229.99999999999994</v>
      </c>
      <c r="D481">
        <v>3</v>
      </c>
      <c r="E481" s="18">
        <v>13084.773123757817</v>
      </c>
      <c r="F481" s="18">
        <v>-2661.763493942214</v>
      </c>
      <c r="G481" s="18">
        <v>-2813.6006068865836</v>
      </c>
      <c r="H481" s="12">
        <f>E482</f>
      </c>
      <c r="I481" s="12">
        <f>F482</f>
      </c>
      <c r="J481" s="12">
        <f>G482</f>
      </c>
      <c r="K481">
        <f>IF(AND(Pu&gt;=MIN(E481,H481),Pu&lt;=MAX(E481,H481),E481&lt;&gt;H481),1,0)</f>
      </c>
      <c r="L481">
        <f>IF(K481=1,(Pu-E481)/(H481-E481),"")</f>
      </c>
      <c r="M481" s="12">
        <f>IF(K481=1,F481+L481*(I481-F481),"")</f>
      </c>
      <c r="N481" s="12">
        <f>IF(K481=1,G481+L481*(J481-G481),"")</f>
      </c>
    </row>
    <row r="482" spans="2:14" x14ac:dyDescent="0.25">
      <c r="B482">
        <v>24</v>
      </c>
      <c r="C482">
        <v>229.99999999999994</v>
      </c>
      <c r="D482">
        <v>4</v>
      </c>
      <c r="E482" s="18">
        <v>11986.815993789121</v>
      </c>
      <c r="F482" s="18">
        <v>-2843.623456449093</v>
      </c>
      <c r="G482" s="18">
        <v>-2889.062414313303</v>
      </c>
      <c r="H482" s="12">
        <f>E483</f>
      </c>
      <c r="I482" s="12">
        <f>F483</f>
      </c>
      <c r="J482" s="12">
        <f>G483</f>
      </c>
      <c r="K482">
        <f>IF(AND(Pu&gt;=MIN(E482,H482),Pu&lt;=MAX(E482,H482),E482&lt;&gt;H482),1,0)</f>
      </c>
      <c r="L482">
        <f>IF(K482=1,(Pu-E482)/(H482-E482),"")</f>
      </c>
      <c r="M482" s="12">
        <f>IF(K482=1,F482+L482*(I482-F482),"")</f>
      </c>
      <c r="N482" s="12">
        <f>IF(K482=1,G482+L482*(J482-G482),"")</f>
      </c>
    </row>
    <row r="483" spans="2:14" x14ac:dyDescent="0.25">
      <c r="B483">
        <v>24</v>
      </c>
      <c r="C483">
        <v>229.99999999999994</v>
      </c>
      <c r="D483">
        <v>5</v>
      </c>
      <c r="E483" s="18">
        <v>11025.618904907271</v>
      </c>
      <c r="F483" s="18">
        <v>-2964.1870222900548</v>
      </c>
      <c r="G483" s="18">
        <v>-2946.3917010793266</v>
      </c>
      <c r="H483" s="12">
        <f>E484</f>
      </c>
      <c r="I483" s="12">
        <f>F484</f>
      </c>
      <c r="J483" s="12">
        <f>G484</f>
      </c>
      <c r="K483">
        <f>IF(AND(Pu&gt;=MIN(E483,H483),Pu&lt;=MAX(E483,H483),E483&lt;&gt;H483),1,0)</f>
      </c>
      <c r="L483">
        <f>IF(K483=1,(Pu-E483)/(H483-E483),"")</f>
      </c>
      <c r="M483" s="12">
        <f>IF(K483=1,F483+L483*(I483-F483),"")</f>
      </c>
      <c r="N483" s="12">
        <f>IF(K483=1,G483+L483*(J483-G483),"")</f>
      </c>
    </row>
    <row r="484" spans="2:14" x14ac:dyDescent="0.25">
      <c r="B484">
        <v>24</v>
      </c>
      <c r="C484">
        <v>229.99999999999994</v>
      </c>
      <c r="D484">
        <v>6</v>
      </c>
      <c r="E484" s="18">
        <v>10174.158446499012</v>
      </c>
      <c r="F484" s="18">
        <v>-3032.6215205910444</v>
      </c>
      <c r="G484" s="18">
        <v>-3006.8976473210632</v>
      </c>
      <c r="H484" s="12">
        <f>E485</f>
      </c>
      <c r="I484" s="12">
        <f>F485</f>
      </c>
      <c r="J484" s="12">
        <f>G485</f>
      </c>
      <c r="K484">
        <f>IF(AND(Pu&gt;=MIN(E484,H484),Pu&lt;=MAX(E484,H484),E484&lt;&gt;H484),1,0)</f>
      </c>
      <c r="L484">
        <f>IF(K484=1,(Pu-E484)/(H484-E484),"")</f>
      </c>
      <c r="M484" s="12">
        <f>IF(K484=1,F484+L484*(I484-F484),"")</f>
      </c>
      <c r="N484" s="12">
        <f>IF(K484=1,G484+L484*(J484-G484),"")</f>
      </c>
    </row>
    <row r="485" spans="2:14" x14ac:dyDescent="0.25">
      <c r="B485">
        <v>24</v>
      </c>
      <c r="C485">
        <v>229.99999999999994</v>
      </c>
      <c r="D485">
        <v>7</v>
      </c>
      <c r="E485" s="18">
        <v>9380.52095634344</v>
      </c>
      <c r="F485" s="18">
        <v>-3069.040312494038</v>
      </c>
      <c r="G485" s="18">
        <v>-3063.439993789887</v>
      </c>
      <c r="H485" s="12">
        <f>E486</f>
      </c>
      <c r="I485" s="12">
        <f>F486</f>
      </c>
      <c r="J485" s="12">
        <f>G486</f>
      </c>
      <c r="K485">
        <f>IF(AND(Pu&gt;=MIN(E485,H485),Pu&lt;=MAX(E485,H485),E485&lt;&gt;H485),1,0)</f>
      </c>
      <c r="L485">
        <f>IF(K485=1,(Pu-E485)/(H485-E485),"")</f>
      </c>
      <c r="M485" s="12">
        <f>IF(K485=1,F485+L485*(I485-F485),"")</f>
      </c>
      <c r="N485" s="12">
        <f>IF(K485=1,G485+L485*(J485-G485),"")</f>
      </c>
    </row>
    <row r="486" spans="2:14" x14ac:dyDescent="0.25">
      <c r="B486">
        <v>24</v>
      </c>
      <c r="C486">
        <v>229.99999999999994</v>
      </c>
      <c r="D486">
        <v>8</v>
      </c>
      <c r="E486" s="18">
        <v>8615.873340150305</v>
      </c>
      <c r="F486" s="18">
        <v>-3078.1487202853255</v>
      </c>
      <c r="G486" s="18">
        <v>-3122.2144408228473</v>
      </c>
      <c r="H486" s="12">
        <f>E487</f>
      </c>
      <c r="I486" s="12">
        <f>F487</f>
      </c>
      <c r="J486" s="12">
        <f>G487</f>
      </c>
      <c r="K486">
        <f>IF(AND(Pu&gt;=MIN(E486,H486),Pu&lt;=MAX(E486,H486),E486&lt;&gt;H486),1,0)</f>
      </c>
      <c r="L486">
        <f>IF(K486=1,(Pu-E486)/(H486-E486),"")</f>
      </c>
      <c r="M486" s="12">
        <f>IF(K486=1,F486+L486*(I486-F486),"")</f>
      </c>
      <c r="N486" s="12">
        <f>IF(K486=1,G486+L486*(J486-G486),"")</f>
      </c>
    </row>
    <row r="487" spans="2:14" x14ac:dyDescent="0.25">
      <c r="B487">
        <v>24</v>
      </c>
      <c r="C487">
        <v>229.99999999999994</v>
      </c>
      <c r="D487">
        <v>9</v>
      </c>
      <c r="E487" s="18">
        <v>7644.217505764198</v>
      </c>
      <c r="F487" s="18">
        <v>-3154.7003405309947</v>
      </c>
      <c r="G487" s="18">
        <v>-3342.342952822868</v>
      </c>
      <c r="H487" s="12">
        <f>E488</f>
      </c>
      <c r="I487" s="12">
        <f>F488</f>
      </c>
      <c r="J487" s="12">
        <f>G488</f>
      </c>
      <c r="K487">
        <f>IF(AND(Pu&gt;=MIN(E487,H487),Pu&lt;=MAX(E487,H487),E487&lt;&gt;H487),1,0)</f>
      </c>
      <c r="L487">
        <f>IF(K487=1,(Pu-E487)/(H487-E487),"")</f>
      </c>
      <c r="M487" s="12">
        <f>IF(K487=1,F487+L487*(I487-F487),"")</f>
      </c>
      <c r="N487" s="12">
        <f>IF(K487=1,G487+L487*(J487-G487),"")</f>
      </c>
    </row>
    <row r="488" spans="2:14" x14ac:dyDescent="0.25">
      <c r="B488">
        <v>24</v>
      </c>
      <c r="C488">
        <v>229.99999999999994</v>
      </c>
      <c r="D488">
        <v>10</v>
      </c>
      <c r="E488" s="18">
        <v>6688.32463427844</v>
      </c>
      <c r="F488" s="18">
        <v>-3159.1822899865847</v>
      </c>
      <c r="G488" s="18">
        <v>-3489.1686694325076</v>
      </c>
      <c r="H488" s="12">
        <f>E489</f>
      </c>
      <c r="I488" s="12">
        <f>F489</f>
      </c>
      <c r="J488" s="12">
        <f>G489</f>
      </c>
      <c r="K488">
        <f>IF(AND(Pu&gt;=MIN(E488,H488),Pu&lt;=MAX(E488,H488),E488&lt;&gt;H488),1,0)</f>
      </c>
      <c r="L488">
        <f>IF(K488=1,(Pu-E488)/(H488-E488),"")</f>
      </c>
      <c r="M488" s="12">
        <f>IF(K488=1,F488+L488*(I488-F488),"")</f>
      </c>
      <c r="N488" s="12">
        <f>IF(K488=1,G488+L488*(J488-G488),"")</f>
      </c>
    </row>
    <row r="489" spans="2:14" x14ac:dyDescent="0.25">
      <c r="B489">
        <v>24</v>
      </c>
      <c r="C489">
        <v>229.99999999999994</v>
      </c>
      <c r="D489">
        <v>11</v>
      </c>
      <c r="E489" s="18">
        <v>5891.239077013843</v>
      </c>
      <c r="F489" s="18">
        <v>-3142.87905245302</v>
      </c>
      <c r="G489" s="18">
        <v>-3591.5916887426906</v>
      </c>
      <c r="H489" s="12">
        <f>E490</f>
      </c>
      <c r="I489" s="12">
        <f>F490</f>
      </c>
      <c r="J489" s="12">
        <f>G490</f>
      </c>
      <c r="K489">
        <f>IF(AND(Pu&gt;=MIN(E489,H489),Pu&lt;=MAX(E489,H489),E489&lt;&gt;H489),1,0)</f>
      </c>
      <c r="L489">
        <f>IF(K489=1,(Pu-E489)/(H489-E489),"")</f>
      </c>
      <c r="M489" s="12">
        <f>IF(K489=1,F489+L489*(I489-F489),"")</f>
      </c>
      <c r="N489" s="12">
        <f>IF(K489=1,G489+L489*(J489-G489),"")</f>
      </c>
    </row>
    <row r="490" spans="2:14" x14ac:dyDescent="0.25">
      <c r="B490">
        <v>24</v>
      </c>
      <c r="C490">
        <v>229.99999999999994</v>
      </c>
      <c r="D490">
        <v>12</v>
      </c>
      <c r="E490" s="18">
        <v>5231.9999462024025</v>
      </c>
      <c r="F490" s="18">
        <v>-3136.2840927056022</v>
      </c>
      <c r="G490" s="18">
        <v>-3634.1436048105697</v>
      </c>
      <c r="H490" s="12">
        <f>E491</f>
      </c>
      <c r="I490" s="12">
        <f>F491</f>
      </c>
      <c r="J490" s="12">
        <f>G491</f>
      </c>
      <c r="K490">
        <f>IF(AND(Pu&gt;=MIN(E490,H490),Pu&lt;=MAX(E490,H490),E490&lt;&gt;H490),1,0)</f>
      </c>
      <c r="L490">
        <f>IF(K490=1,(Pu-E490)/(H490-E490),"")</f>
      </c>
      <c r="M490" s="12">
        <f>IF(K490=1,F490+L490*(I490-F490),"")</f>
      </c>
      <c r="N490" s="12">
        <f>IF(K490=1,G490+L490*(J490-G490),"")</f>
      </c>
    </row>
    <row r="491" spans="2:14" x14ac:dyDescent="0.25">
      <c r="B491">
        <v>24</v>
      </c>
      <c r="C491">
        <v>229.99999999999994</v>
      </c>
      <c r="D491">
        <v>13</v>
      </c>
      <c r="E491" s="18">
        <v>4199.657271846662</v>
      </c>
      <c r="F491" s="18">
        <v>-3102.679123961513</v>
      </c>
      <c r="G491" s="18">
        <v>-3673.8564123534024</v>
      </c>
      <c r="H491" s="12">
        <f>E492</f>
      </c>
      <c r="I491" s="12">
        <f>F492</f>
      </c>
      <c r="J491" s="12">
        <f>G492</f>
      </c>
      <c r="K491">
        <f>IF(AND(Pu&gt;=MIN(E491,H491),Pu&lt;=MAX(E491,H491),E491&lt;&gt;H491),1,0)</f>
      </c>
      <c r="L491">
        <f>IF(K491=1,(Pu-E491)/(H491-E491),"")</f>
      </c>
      <c r="M491" s="12">
        <f>IF(K491=1,F491+L491*(I491-F491),"")</f>
      </c>
      <c r="N491" s="12">
        <f>IF(K491=1,G491+L491*(J491-G491),"")</f>
      </c>
    </row>
    <row r="492" spans="2:14" x14ac:dyDescent="0.25">
      <c r="B492">
        <v>24</v>
      </c>
      <c r="C492">
        <v>229.99999999999994</v>
      </c>
      <c r="D492">
        <v>14</v>
      </c>
      <c r="E492" s="18">
        <v>3169.153903921282</v>
      </c>
      <c r="F492" s="18">
        <v>-2831.0249960131864</v>
      </c>
      <c r="G492" s="18">
        <v>-3435.3864648898207</v>
      </c>
      <c r="H492" s="12">
        <f>E493</f>
      </c>
      <c r="I492" s="12">
        <f>F493</f>
      </c>
      <c r="J492" s="12">
        <f>G493</f>
      </c>
      <c r="K492">
        <f>IF(AND(Pu&gt;=MIN(E492,H492),Pu&lt;=MAX(E492,H492),E492&lt;&gt;H492),1,0)</f>
      </c>
      <c r="L492">
        <f>IF(K492=1,(Pu-E492)/(H492-E492),"")</f>
      </c>
      <c r="M492" s="12">
        <f>IF(K492=1,F492+L492*(I492-F492),"")</f>
      </c>
      <c r="N492" s="12">
        <f>IF(K492=1,G492+L492*(J492-G492),"")</f>
      </c>
    </row>
    <row r="493" spans="2:14" x14ac:dyDescent="0.25">
      <c r="B493">
        <v>24</v>
      </c>
      <c r="C493">
        <v>229.99999999999994</v>
      </c>
      <c r="D493">
        <v>15</v>
      </c>
      <c r="E493" s="18">
        <v>1599.264114617607</v>
      </c>
      <c r="F493" s="18">
        <v>-2409.338847373215</v>
      </c>
      <c r="G493" s="18">
        <v>-3000.286664370283</v>
      </c>
      <c r="H493" s="12">
        <f>E494</f>
      </c>
      <c r="I493" s="12">
        <f>F494</f>
      </c>
      <c r="J493" s="12">
        <f>G494</f>
      </c>
      <c r="K493">
        <f>IF(AND(Pu&gt;=MIN(E493,H493),Pu&lt;=MAX(E493,H493),E493&lt;&gt;H493),1,0)</f>
      </c>
      <c r="L493">
        <f>IF(K493=1,(Pu-E493)/(H493-E493),"")</f>
      </c>
      <c r="M493" s="12">
        <f>IF(K493=1,F493+L493*(I493-F493),"")</f>
      </c>
      <c r="N493" s="12">
        <f>IF(K493=1,G493+L493*(J493-G493),"")</f>
      </c>
    </row>
    <row r="494" spans="2:14" x14ac:dyDescent="0.25">
      <c r="B494">
        <v>24</v>
      </c>
      <c r="C494">
        <v>229.99999999999994</v>
      </c>
      <c r="D494">
        <v>16</v>
      </c>
      <c r="E494" s="18">
        <v>475.17867776597996</v>
      </c>
      <c r="F494" s="18">
        <v>-2096.966730397108</v>
      </c>
      <c r="G494" s="18">
        <v>-2621.527354646377</v>
      </c>
      <c r="H494" s="12">
        <f>E495</f>
      </c>
      <c r="I494" s="12">
        <f>F495</f>
      </c>
      <c r="J494" s="12">
        <f>G495</f>
      </c>
      <c r="K494">
        <f>IF(AND(Pu&gt;=MIN(E494,H494),Pu&lt;=MAX(E494,H494),E494&lt;&gt;H494),1,0)</f>
      </c>
      <c r="L494">
        <f>IF(K494=1,(Pu-E494)/(H494-E494),"")</f>
      </c>
      <c r="M494" s="12">
        <f>IF(K494=1,F494+L494*(I494-F494),"")</f>
      </c>
      <c r="N494" s="12">
        <f>IF(K494=1,G494+L494*(J494-G494),"")</f>
      </c>
    </row>
    <row r="495" spans="2:14" x14ac:dyDescent="0.25">
      <c r="B495">
        <v>24</v>
      </c>
      <c r="C495">
        <v>229.99999999999994</v>
      </c>
      <c r="D495">
        <v>17</v>
      </c>
      <c r="E495" s="18">
        <v>-1358.132977872709</v>
      </c>
      <c r="F495" s="18">
        <v>-1484.6277047437484</v>
      </c>
      <c r="G495" s="18">
        <v>-1871.934848484639</v>
      </c>
      <c r="H495" s="12">
        <f>E496</f>
      </c>
      <c r="I495" s="12">
        <f>F496</f>
      </c>
      <c r="J495" s="12">
        <f>G496</f>
      </c>
      <c r="K495">
        <f>IF(AND(Pu&gt;=MIN(E495,H495),Pu&lt;=MAX(E495,H495),E495&lt;&gt;H495),1,0)</f>
      </c>
      <c r="L495">
        <f>IF(K495=1,(Pu-E495)/(H495-E495),"")</f>
      </c>
      <c r="M495" s="12">
        <f>IF(K495=1,F495+L495*(I495-F495),"")</f>
      </c>
      <c r="N495" s="12">
        <f>IF(K495=1,G495+L495*(J495-G495),"")</f>
      </c>
    </row>
    <row r="496" spans="2:14" x14ac:dyDescent="0.25">
      <c r="B496">
        <v>24</v>
      </c>
      <c r="C496">
        <v>229.99999999999994</v>
      </c>
      <c r="D496">
        <v>18</v>
      </c>
      <c r="E496" s="18">
        <v>-2442.04585574527</v>
      </c>
      <c r="F496" s="18">
        <v>-1074.4367210190003</v>
      </c>
      <c r="G496" s="18">
        <v>-1355.7859349430717</v>
      </c>
      <c r="H496" s="12">
        <f>E497</f>
      </c>
      <c r="I496" s="12">
        <f>F497</f>
      </c>
      <c r="J496" s="12">
        <f>G497</f>
      </c>
      <c r="K496">
        <f>IF(AND(Pu&gt;=MIN(E496,H496),Pu&lt;=MAX(E496,H496),E496&lt;&gt;H496),1,0)</f>
      </c>
      <c r="L496">
        <f>IF(K496=1,(Pu-E496)/(H496-E496),"")</f>
      </c>
      <c r="M496" s="12">
        <f>IF(K496=1,F496+L496*(I496-F496),"")</f>
      </c>
      <c r="N496" s="12">
        <f>IF(K496=1,G496+L496*(J496-G496),"")</f>
      </c>
    </row>
    <row r="497" spans="2:7" x14ac:dyDescent="0.25">
      <c r="B497">
        <v>24</v>
      </c>
      <c r="C497">
        <v>229.99999999999994</v>
      </c>
      <c r="D497">
        <v>19</v>
      </c>
      <c r="E497" s="18">
        <v>-4037.7307392732573</v>
      </c>
      <c r="F497" s="18">
        <v>-408.538953933158</v>
      </c>
      <c r="G497" s="18">
        <v>-519.2061290227838</v>
      </c>
    </row>
    <row r="499" spans="2:14" x14ac:dyDescent="0.25">
      <c r="B499">
        <v>25</v>
      </c>
      <c r="C499">
        <v>239.99999999999994</v>
      </c>
      <c r="D499">
        <v>1</v>
      </c>
      <c r="E499" s="18">
        <v>16822.91130402749</v>
      </c>
      <c r="F499" s="18">
        <v>-2091.0772565373004</v>
      </c>
      <c r="G499" s="18">
        <v>-1846.3121376499744</v>
      </c>
      <c r="H499" s="12">
        <f>E500</f>
      </c>
      <c r="I499" s="12">
        <f>F500</f>
      </c>
      <c r="J499" s="12">
        <f>G500</f>
      </c>
      <c r="K499">
        <f>IF(AND(Pu&gt;=MIN(E499,H499),Pu&lt;=MAX(E499,H499),E499&lt;&gt;H499),1,0)</f>
      </c>
      <c r="L499">
        <f>IF(K499=1,(Pu-E499)/(H499-E499),"")</f>
      </c>
      <c r="M499" s="12">
        <f>IF(K499=1,F499+L499*(I499-F499),"")</f>
      </c>
      <c r="N499" s="12">
        <f>IF(K499=1,G499+L499*(J499-G499),"")</f>
      </c>
    </row>
    <row r="500" spans="2:14" x14ac:dyDescent="0.25">
      <c r="B500">
        <v>25</v>
      </c>
      <c r="C500">
        <v>239.99999999999994</v>
      </c>
      <c r="D500">
        <v>2</v>
      </c>
      <c r="E500" s="18">
        <v>14070.917898113932</v>
      </c>
      <c r="F500" s="18">
        <v>-2928.0348018955283</v>
      </c>
      <c r="G500" s="18">
        <v>-2047.8332989882997</v>
      </c>
      <c r="H500" s="12">
        <f>E501</f>
      </c>
      <c r="I500" s="12">
        <f>F501</f>
      </c>
      <c r="J500" s="12">
        <f>G501</f>
      </c>
      <c r="K500">
        <f>IF(AND(Pu&gt;=MIN(E500,H500),Pu&lt;=MAX(E500,H500),E500&lt;&gt;H500),1,0)</f>
      </c>
      <c r="L500">
        <f>IF(K500=1,(Pu-E500)/(H500-E500),"")</f>
      </c>
      <c r="M500" s="12">
        <f>IF(K500=1,F500+L500*(I500-F500),"")</f>
      </c>
      <c r="N500" s="12">
        <f>IF(K500=1,G500+L500*(J500-G500),"")</f>
      </c>
    </row>
    <row r="501" spans="2:14" x14ac:dyDescent="0.25">
      <c r="B501">
        <v>25</v>
      </c>
      <c r="C501">
        <v>239.99999999999994</v>
      </c>
      <c r="D501">
        <v>3</v>
      </c>
      <c r="E501" s="18">
        <v>12901.856153672323</v>
      </c>
      <c r="F501" s="18">
        <v>-3190.019900931154</v>
      </c>
      <c r="G501" s="18">
        <v>-2099.054010254754</v>
      </c>
      <c r="H501" s="12">
        <f>E502</f>
      </c>
      <c r="I501" s="12">
        <f>F502</f>
      </c>
      <c r="J501" s="12">
        <f>G502</f>
      </c>
      <c r="K501">
        <f>IF(AND(Pu&gt;=MIN(E501,H501),Pu&lt;=MAX(E501,H501),E501&lt;&gt;H501),1,0)</f>
      </c>
      <c r="L501">
        <f>IF(K501=1,(Pu-E501)/(H501-E501),"")</f>
      </c>
      <c r="M501" s="12">
        <f>IF(K501=1,F501+L501*(I501-F501),"")</f>
      </c>
      <c r="N501" s="12">
        <f>IF(K501=1,G501+L501*(J501-G501),"")</f>
      </c>
    </row>
    <row r="502" spans="2:14" x14ac:dyDescent="0.25">
      <c r="B502">
        <v>25</v>
      </c>
      <c r="C502">
        <v>239.99999999999994</v>
      </c>
      <c r="D502">
        <v>4</v>
      </c>
      <c r="E502" s="18">
        <v>11935.566040529277</v>
      </c>
      <c r="F502" s="18">
        <v>-3346.4962168695924</v>
      </c>
      <c r="G502" s="18">
        <v>-2169.9074877760977</v>
      </c>
      <c r="H502" s="12">
        <f>E503</f>
      </c>
      <c r="I502" s="12">
        <f>F503</f>
      </c>
      <c r="J502" s="12">
        <f>G503</f>
      </c>
      <c r="K502">
        <f>IF(AND(Pu&gt;=MIN(E502,H502),Pu&lt;=MAX(E502,H502),E502&lt;&gt;H502),1,0)</f>
      </c>
      <c r="L502">
        <f>IF(K502=1,(Pu-E502)/(H502-E502),"")</f>
      </c>
      <c r="M502" s="12">
        <f>IF(K502=1,F502+L502*(I502-F502),"")</f>
      </c>
      <c r="N502" s="12">
        <f>IF(K502=1,G502+L502*(J502-G502),"")</f>
      </c>
    </row>
    <row r="503" spans="2:14" x14ac:dyDescent="0.25">
      <c r="B503">
        <v>25</v>
      </c>
      <c r="C503">
        <v>239.99999999999994</v>
      </c>
      <c r="D503">
        <v>5</v>
      </c>
      <c r="E503" s="18">
        <v>11067.978856668196</v>
      </c>
      <c r="F503" s="18">
        <v>-3453.745620467174</v>
      </c>
      <c r="G503" s="18">
        <v>-2228.184326941016</v>
      </c>
      <c r="H503" s="12">
        <f>E504</f>
      </c>
      <c r="I503" s="12">
        <f>F504</f>
      </c>
      <c r="J503" s="12">
        <f>G504</f>
      </c>
      <c r="K503">
        <f>IF(AND(Pu&gt;=MIN(E503,H503),Pu&lt;=MAX(E503,H503),E503&lt;&gt;H503),1,0)</f>
      </c>
      <c r="L503">
        <f>IF(K503=1,(Pu-E503)/(H503-E503),"")</f>
      </c>
      <c r="M503" s="12">
        <f>IF(K503=1,F503+L503*(I503-F503),"")</f>
      </c>
      <c r="N503" s="12">
        <f>IF(K503=1,G503+L503*(J503-G503),"")</f>
      </c>
    </row>
    <row r="504" spans="2:14" x14ac:dyDescent="0.25">
      <c r="B504">
        <v>25</v>
      </c>
      <c r="C504">
        <v>239.99999999999994</v>
      </c>
      <c r="D504">
        <v>6</v>
      </c>
      <c r="E504" s="18">
        <v>10256.541858725841</v>
      </c>
      <c r="F504" s="18">
        <v>-3525.165508161797</v>
      </c>
      <c r="G504" s="18">
        <v>-2285.8786708221046</v>
      </c>
      <c r="H504" s="12">
        <f>E505</f>
      </c>
      <c r="I504" s="12">
        <f>F505</f>
      </c>
      <c r="J504" s="12">
        <f>G505</f>
      </c>
      <c r="K504">
        <f>IF(AND(Pu&gt;=MIN(E504,H504),Pu&lt;=MAX(E504,H504),E504&lt;&gt;H504),1,0)</f>
      </c>
      <c r="L504">
        <f>IF(K504=1,(Pu-E504)/(H504-E504),"")</f>
      </c>
      <c r="M504" s="12">
        <f>IF(K504=1,F504+L504*(I504-F504),"")</f>
      </c>
      <c r="N504" s="12">
        <f>IF(K504=1,G504+L504*(J504-G504),"")</f>
      </c>
    </row>
    <row r="505" spans="2:14" x14ac:dyDescent="0.25">
      <c r="B505">
        <v>25</v>
      </c>
      <c r="C505">
        <v>239.99999999999994</v>
      </c>
      <c r="D505">
        <v>7</v>
      </c>
      <c r="E505" s="18">
        <v>9504.385690919622</v>
      </c>
      <c r="F505" s="18">
        <v>-3577.1883787229185</v>
      </c>
      <c r="G505" s="18">
        <v>-2330.6042740806247</v>
      </c>
      <c r="H505" s="12">
        <f>E506</f>
      </c>
      <c r="I505" s="12">
        <f>F506</f>
      </c>
      <c r="J505" s="12">
        <f>G506</f>
      </c>
      <c r="K505">
        <f>IF(AND(Pu&gt;=MIN(E505,H505),Pu&lt;=MAX(E505,H505),E505&lt;&gt;H505),1,0)</f>
      </c>
      <c r="L505">
        <f>IF(K505=1,(Pu-E505)/(H505-E505),"")</f>
      </c>
      <c r="M505" s="12">
        <f>IF(K505=1,F505+L505*(I505-F505),"")</f>
      </c>
      <c r="N505" s="12">
        <f>IF(K505=1,G505+L505*(J505-G505),"")</f>
      </c>
    </row>
    <row r="506" spans="2:14" x14ac:dyDescent="0.25">
      <c r="B506">
        <v>25</v>
      </c>
      <c r="C506">
        <v>239.99999999999994</v>
      </c>
      <c r="D506">
        <v>8</v>
      </c>
      <c r="E506" s="18">
        <v>8792.157526062834</v>
      </c>
      <c r="F506" s="18">
        <v>-3613.0310474925127</v>
      </c>
      <c r="G506" s="18">
        <v>-2365.295964650825</v>
      </c>
      <c r="H506" s="12">
        <f>E507</f>
      </c>
      <c r="I506" s="12">
        <f>F507</f>
      </c>
      <c r="J506" s="12">
        <f>G507</f>
      </c>
      <c r="K506">
        <f>IF(AND(Pu&gt;=MIN(E506,H506),Pu&lt;=MAX(E506,H506),E506&lt;&gt;H506),1,0)</f>
      </c>
      <c r="L506">
        <f>IF(K506=1,(Pu-E506)/(H506-E506),"")</f>
      </c>
      <c r="M506" s="12">
        <f>IF(K506=1,F506+L506*(I506-F506),"")</f>
      </c>
      <c r="N506" s="12">
        <f>IF(K506=1,G506+L506*(J506-G506),"")</f>
      </c>
    </row>
    <row r="507" spans="2:14" x14ac:dyDescent="0.25">
      <c r="B507">
        <v>25</v>
      </c>
      <c r="C507">
        <v>239.99999999999994</v>
      </c>
      <c r="D507">
        <v>9</v>
      </c>
      <c r="E507" s="18">
        <v>7972.608173647168</v>
      </c>
      <c r="F507" s="18">
        <v>-3784.124341451534</v>
      </c>
      <c r="G507" s="18">
        <v>-2517.212543447239</v>
      </c>
      <c r="H507" s="12">
        <f>E508</f>
      </c>
      <c r="I507" s="12">
        <f>F508</f>
      </c>
      <c r="J507" s="12">
        <f>G508</f>
      </c>
      <c r="K507">
        <f>IF(AND(Pu&gt;=MIN(E507,H507),Pu&lt;=MAX(E507,H507),E507&lt;&gt;H507),1,0)</f>
      </c>
      <c r="L507">
        <f>IF(K507=1,(Pu-E507)/(H507-E507),"")</f>
      </c>
      <c r="M507" s="12">
        <f>IF(K507=1,F507+L507*(I507-F507),"")</f>
      </c>
      <c r="N507" s="12">
        <f>IF(K507=1,G507+L507*(J507-G507),"")</f>
      </c>
    </row>
    <row r="508" spans="2:14" x14ac:dyDescent="0.25">
      <c r="B508">
        <v>25</v>
      </c>
      <c r="C508">
        <v>239.99999999999994</v>
      </c>
      <c r="D508">
        <v>10</v>
      </c>
      <c r="E508" s="18">
        <v>7180.825741674879</v>
      </c>
      <c r="F508" s="18">
        <v>-3862.7924438875825</v>
      </c>
      <c r="G508" s="18">
        <v>-2652.807421861855</v>
      </c>
      <c r="H508" s="12">
        <f>E509</f>
      </c>
      <c r="I508" s="12">
        <f>F509</f>
      </c>
      <c r="J508" s="12">
        <f>G509</f>
      </c>
      <c r="K508">
        <f>IF(AND(Pu&gt;=MIN(E508,H508),Pu&lt;=MAX(E508,H508),E508&lt;&gt;H508),1,0)</f>
      </c>
      <c r="L508">
        <f>IF(K508=1,(Pu-E508)/(H508-E508),"")</f>
      </c>
      <c r="M508" s="12">
        <f>IF(K508=1,F508+L508*(I508-F508),"")</f>
      </c>
      <c r="N508" s="12">
        <f>IF(K508=1,G508+L508*(J508-G508),"")</f>
      </c>
    </row>
    <row r="509" spans="2:14" x14ac:dyDescent="0.25">
      <c r="B509">
        <v>25</v>
      </c>
      <c r="C509">
        <v>239.99999999999994</v>
      </c>
      <c r="D509">
        <v>11</v>
      </c>
      <c r="E509" s="18">
        <v>6383.263770283874</v>
      </c>
      <c r="F509" s="18">
        <v>-3840.9967854390607</v>
      </c>
      <c r="G509" s="18">
        <v>-2781.6542011786682</v>
      </c>
      <c r="H509" s="12">
        <f>E510</f>
      </c>
      <c r="I509" s="12">
        <f>F510</f>
      </c>
      <c r="J509" s="12">
        <f>G510</f>
      </c>
      <c r="K509">
        <f>IF(AND(Pu&gt;=MIN(E509,H509),Pu&lt;=MAX(E509,H509),E509&lt;&gt;H509),1,0)</f>
      </c>
      <c r="L509">
        <f>IF(K509=1,(Pu-E509)/(H509-E509),"")</f>
      </c>
      <c r="M509" s="12">
        <f>IF(K509=1,F509+L509*(I509-F509),"")</f>
      </c>
      <c r="N509" s="12">
        <f>IF(K509=1,G509+L509*(J509-G509),"")</f>
      </c>
    </row>
    <row r="510" spans="2:14" x14ac:dyDescent="0.25">
      <c r="B510">
        <v>25</v>
      </c>
      <c r="C510">
        <v>239.99999999999994</v>
      </c>
      <c r="D510">
        <v>12</v>
      </c>
      <c r="E510" s="18">
        <v>5652.587608389084</v>
      </c>
      <c r="F510" s="18">
        <v>-3777.7941585667713</v>
      </c>
      <c r="G510" s="18">
        <v>-2915.9941830047437</v>
      </c>
      <c r="H510" s="12">
        <f>E511</f>
      </c>
      <c r="I510" s="12">
        <f>F511</f>
      </c>
      <c r="J510" s="12">
        <f>G511</f>
      </c>
      <c r="K510">
        <f>IF(AND(Pu&gt;=MIN(E510,H510),Pu&lt;=MAX(E510,H510),E510&lt;&gt;H510),1,0)</f>
      </c>
      <c r="L510">
        <f>IF(K510=1,(Pu-E510)/(H510-E510),"")</f>
      </c>
      <c r="M510" s="12">
        <f>IF(K510=1,F510+L510*(I510-F510),"")</f>
      </c>
      <c r="N510" s="12">
        <f>IF(K510=1,G510+L510*(J510-G510),"")</f>
      </c>
    </row>
    <row r="511" spans="2:14" x14ac:dyDescent="0.25">
      <c r="B511">
        <v>25</v>
      </c>
      <c r="C511">
        <v>239.99999999999994</v>
      </c>
      <c r="D511">
        <v>13</v>
      </c>
      <c r="E511" s="18">
        <v>4514.101072206957</v>
      </c>
      <c r="F511" s="18">
        <v>-3636.599231115671</v>
      </c>
      <c r="G511" s="18">
        <v>-3075.558700827431</v>
      </c>
      <c r="H511" s="12">
        <f>E512</f>
      </c>
      <c r="I511" s="12">
        <f>F512</f>
      </c>
      <c r="J511" s="12">
        <f>G512</f>
      </c>
      <c r="K511">
        <f>IF(AND(Pu&gt;=MIN(E511,H511),Pu&lt;=MAX(E511,H511),E511&lt;&gt;H511),1,0)</f>
      </c>
      <c r="L511">
        <f>IF(K511=1,(Pu-E511)/(H511-E511),"")</f>
      </c>
      <c r="M511" s="12">
        <f>IF(K511=1,F511+L511*(I511-F511),"")</f>
      </c>
      <c r="N511" s="12">
        <f>IF(K511=1,G511+L511*(J511-G511),"")</f>
      </c>
    </row>
    <row r="512" spans="2:14" x14ac:dyDescent="0.25">
      <c r="B512">
        <v>25</v>
      </c>
      <c r="C512">
        <v>239.99999999999994</v>
      </c>
      <c r="D512">
        <v>14</v>
      </c>
      <c r="E512" s="18">
        <v>3331.785765319131</v>
      </c>
      <c r="F512" s="18">
        <v>-3288.9994358440276</v>
      </c>
      <c r="G512" s="18">
        <v>-2907.662440757471</v>
      </c>
      <c r="H512" s="12">
        <f>E513</f>
      </c>
      <c r="I512" s="12">
        <f>F513</f>
      </c>
      <c r="J512" s="12">
        <f>G513</f>
      </c>
      <c r="K512">
        <f>IF(AND(Pu&gt;=MIN(E512,H512),Pu&lt;=MAX(E512,H512),E512&lt;&gt;H512),1,0)</f>
      </c>
      <c r="L512">
        <f>IF(K512=1,(Pu-E512)/(H512-E512),"")</f>
      </c>
      <c r="M512" s="12">
        <f>IF(K512=1,F512+L512*(I512-F512),"")</f>
      </c>
      <c r="N512" s="12">
        <f>IF(K512=1,G512+L512*(J512-G512),"")</f>
      </c>
    </row>
    <row r="513" spans="2:14" x14ac:dyDescent="0.25">
      <c r="B513">
        <v>25</v>
      </c>
      <c r="C513">
        <v>239.99999999999994</v>
      </c>
      <c r="D513">
        <v>15</v>
      </c>
      <c r="E513" s="18">
        <v>1637.5892091143146</v>
      </c>
      <c r="F513" s="18">
        <v>-2758.96119421957</v>
      </c>
      <c r="G513" s="18">
        <v>-2523.68274266991</v>
      </c>
      <c r="H513" s="12">
        <f>E514</f>
      </c>
      <c r="I513" s="12">
        <f>F514</f>
      </c>
      <c r="J513" s="12">
        <f>G514</f>
      </c>
      <c r="K513">
        <f>IF(AND(Pu&gt;=MIN(E513,H513),Pu&lt;=MAX(E513,H513),E513&lt;&gt;H513),1,0)</f>
      </c>
      <c r="L513">
        <f>IF(K513=1,(Pu-E513)/(H513-E513),"")</f>
      </c>
      <c r="M513" s="12">
        <f>IF(K513=1,F513+L513*(I513-F513),"")</f>
      </c>
      <c r="N513" s="12">
        <f>IF(K513=1,G513+L513*(J513-G513),"")</f>
      </c>
    </row>
    <row r="514" spans="2:14" x14ac:dyDescent="0.25">
      <c r="B514">
        <v>25</v>
      </c>
      <c r="C514">
        <v>239.99999999999994</v>
      </c>
      <c r="D514">
        <v>16</v>
      </c>
      <c r="E514" s="18">
        <v>454.5145945618349</v>
      </c>
      <c r="F514" s="18">
        <v>-2337.694081553411</v>
      </c>
      <c r="G514" s="18">
        <v>-2221.03163631109</v>
      </c>
      <c r="H514" s="12">
        <f>E515</f>
      </c>
      <c r="I514" s="12">
        <f>F515</f>
      </c>
      <c r="J514" s="12">
        <f>G515</f>
      </c>
      <c r="K514">
        <f>IF(AND(Pu&gt;=MIN(E514,H514),Pu&lt;=MAX(E514,H514),E514&lt;&gt;H514),1,0)</f>
      </c>
      <c r="L514">
        <f>IF(K514=1,(Pu-E514)/(H514-E514),"")</f>
      </c>
      <c r="M514" s="12">
        <f>IF(K514=1,F514+L514*(I514-F514),"")</f>
      </c>
      <c r="N514" s="12">
        <f>IF(K514=1,G514+L514*(J514-G514),"")</f>
      </c>
    </row>
    <row r="515" spans="2:14" x14ac:dyDescent="0.25">
      <c r="B515">
        <v>25</v>
      </c>
      <c r="C515">
        <v>239.99999999999994</v>
      </c>
      <c r="D515">
        <v>17</v>
      </c>
      <c r="E515" s="18">
        <v>-1552.097392240688</v>
      </c>
      <c r="F515" s="18">
        <v>-1541.74004355525</v>
      </c>
      <c r="G515" s="18">
        <v>-1576.7650024787329</v>
      </c>
      <c r="H515" s="12">
        <f>E516</f>
      </c>
      <c r="I515" s="12">
        <f>F516</f>
      </c>
      <c r="J515" s="12">
        <f>G516</f>
      </c>
      <c r="K515">
        <f>IF(AND(Pu&gt;=MIN(E515,H515),Pu&lt;=MAX(E515,H515),E515&lt;&gt;H515),1,0)</f>
      </c>
      <c r="L515">
        <f>IF(K515=1,(Pu-E515)/(H515-E515),"")</f>
      </c>
      <c r="M515" s="12">
        <f>IF(K515=1,F515+L515*(I515-F515),"")</f>
      </c>
      <c r="N515" s="12">
        <f>IF(K515=1,G515+L515*(J515-G515),"")</f>
      </c>
    </row>
    <row r="516" spans="2:14" x14ac:dyDescent="0.25">
      <c r="B516">
        <v>25</v>
      </c>
      <c r="C516">
        <v>239.99999999999994</v>
      </c>
      <c r="D516">
        <v>18</v>
      </c>
      <c r="E516" s="18">
        <v>-2685.9307749147324</v>
      </c>
      <c r="F516" s="18">
        <v>-1059.2867167057905</v>
      </c>
      <c r="G516" s="18">
        <v>-1117.6191978244199</v>
      </c>
      <c r="H516" s="12">
        <f>E517</f>
      </c>
      <c r="I516" s="12">
        <f>F517</f>
      </c>
      <c r="J516" s="12">
        <f>G517</f>
      </c>
      <c r="K516">
        <f>IF(AND(Pu&gt;=MIN(E516,H516),Pu&lt;=MAX(E516,H516),E516&lt;&gt;H516),1,0)</f>
      </c>
      <c r="L516">
        <f>IF(K516=1,(Pu-E516)/(H516-E516),"")</f>
      </c>
      <c r="M516" s="12">
        <f>IF(K516=1,F516+L516*(I516-F516),"")</f>
      </c>
      <c r="N516" s="12">
        <f>IF(K516=1,G516+L516*(J516-G516),"")</f>
      </c>
    </row>
    <row r="517" spans="2:7" x14ac:dyDescent="0.25">
      <c r="B517">
        <v>25</v>
      </c>
      <c r="C517">
        <v>239.99999999999994</v>
      </c>
      <c r="D517">
        <v>19</v>
      </c>
      <c r="E517" s="18">
        <v>-4292.7116678587445</v>
      </c>
      <c r="F517" s="18">
        <v>-329.75830878064994</v>
      </c>
      <c r="G517" s="18">
        <v>-328.5824510703778</v>
      </c>
    </row>
    <row r="519" spans="2:14" x14ac:dyDescent="0.25">
      <c r="B519">
        <v>26</v>
      </c>
      <c r="C519">
        <v>250.00000000000003</v>
      </c>
      <c r="D519">
        <v>1</v>
      </c>
      <c r="E519" s="18">
        <v>16402.86017384153</v>
      </c>
      <c r="F519" s="18">
        <v>-2466.171030639909</v>
      </c>
      <c r="G519" s="18">
        <v>-1379.482518206768</v>
      </c>
      <c r="H519" s="12">
        <f>E520</f>
      </c>
      <c r="I519" s="12">
        <f>F520</f>
      </c>
      <c r="J519" s="12">
        <f>G520</f>
      </c>
      <c r="K519">
        <f>IF(AND(Pu&gt;=MIN(E519,H519),Pu&lt;=MAX(E519,H519),E519&lt;&gt;H519),1,0)</f>
      </c>
      <c r="L519">
        <f>IF(K519=1,(Pu-E519)/(H519-E519),"")</f>
      </c>
      <c r="M519" s="12">
        <f>IF(K519=1,F519+L519*(I519-F519),"")</f>
      </c>
      <c r="N519" s="12">
        <f>IF(K519=1,G519+L519*(J519-G519),"")</f>
      </c>
    </row>
    <row r="520" spans="2:14" x14ac:dyDescent="0.25">
      <c r="B520">
        <v>26</v>
      </c>
      <c r="C520">
        <v>250.00000000000003</v>
      </c>
      <c r="D520">
        <v>2</v>
      </c>
      <c r="E520" s="18">
        <v>13718.869376902876</v>
      </c>
      <c r="F520" s="18">
        <v>-3324.228520240989</v>
      </c>
      <c r="G520" s="18">
        <v>-1376.0762869814698</v>
      </c>
      <c r="H520" s="12">
        <f>E521</f>
      </c>
      <c r="I520" s="12">
        <f>F521</f>
      </c>
      <c r="J520" s="12">
        <f>G521</f>
      </c>
      <c r="K520">
        <f>IF(AND(Pu&gt;=MIN(E520,H520),Pu&lt;=MAX(E520,H520),E520&lt;&gt;H520),1,0)</f>
      </c>
      <c r="L520">
        <f>IF(K520=1,(Pu-E520)/(H520-E520),"")</f>
      </c>
      <c r="M520" s="12">
        <f>IF(K520=1,F520+L520*(I520-F520),"")</f>
      </c>
      <c r="N520" s="12">
        <f>IF(K520=1,G520+L520*(J520-G520),"")</f>
      </c>
    </row>
    <row r="521" spans="2:14" x14ac:dyDescent="0.25">
      <c r="B521">
        <v>26</v>
      </c>
      <c r="C521">
        <v>250.00000000000003</v>
      </c>
      <c r="D521">
        <v>3</v>
      </c>
      <c r="E521" s="18">
        <v>12744.95786852382</v>
      </c>
      <c r="F521" s="18">
        <v>-3542.008358309781</v>
      </c>
      <c r="G521" s="18">
        <v>-1410.9333713563678</v>
      </c>
      <c r="H521" s="12">
        <f>E522</f>
      </c>
      <c r="I521" s="12">
        <f>F522</f>
      </c>
      <c r="J521" s="12">
        <f>G522</f>
      </c>
      <c r="K521">
        <f>IF(AND(Pu&gt;=MIN(E521,H521),Pu&lt;=MAX(E521,H521),E521&lt;&gt;H521),1,0)</f>
      </c>
      <c r="L521">
        <f>IF(K521=1,(Pu-E521)/(H521-E521),"")</f>
      </c>
      <c r="M521" s="12">
        <f>IF(K521=1,F521+L521*(I521-F521),"")</f>
      </c>
      <c r="N521" s="12">
        <f>IF(K521=1,G521+L521*(J521-G521),"")</f>
      </c>
    </row>
    <row r="522" spans="2:14" x14ac:dyDescent="0.25">
      <c r="B522">
        <v>26</v>
      </c>
      <c r="C522">
        <v>250.00000000000003</v>
      </c>
      <c r="D522">
        <v>4</v>
      </c>
      <c r="E522" s="18">
        <v>11872.925768562733</v>
      </c>
      <c r="F522" s="18">
        <v>-3706.337711125449</v>
      </c>
      <c r="G522" s="18">
        <v>-1428.5243211475022</v>
      </c>
      <c r="H522" s="12">
        <f>E523</f>
      </c>
      <c r="I522" s="12">
        <f>F523</f>
      </c>
      <c r="J522" s="12">
        <f>G523</f>
      </c>
      <c r="K522">
        <f>IF(AND(Pu&gt;=MIN(E522,H522),Pu&lt;=MAX(E522,H522),E522&lt;&gt;H522),1,0)</f>
      </c>
      <c r="L522">
        <f>IF(K522=1,(Pu-E522)/(H522-E522),"")</f>
      </c>
      <c r="M522" s="12">
        <f>IF(K522=1,F522+L522*(I522-F522),"")</f>
      </c>
      <c r="N522" s="12">
        <f>IF(K522=1,G522+L522*(J522-G522),"")</f>
      </c>
    </row>
    <row r="523" spans="2:14" x14ac:dyDescent="0.25">
      <c r="B523">
        <v>26</v>
      </c>
      <c r="C523">
        <v>250.00000000000003</v>
      </c>
      <c r="D523">
        <v>5</v>
      </c>
      <c r="E523" s="18">
        <v>11068.391549557175</v>
      </c>
      <c r="F523" s="18">
        <v>-3824.0399705365303</v>
      </c>
      <c r="G523" s="18">
        <v>-1457.8706348871594</v>
      </c>
      <c r="H523" s="12">
        <f>E524</f>
      </c>
      <c r="I523" s="12">
        <f>F524</f>
      </c>
      <c r="J523" s="12">
        <f>G524</f>
      </c>
      <c r="K523">
        <f>IF(AND(Pu&gt;=MIN(E523,H523),Pu&lt;=MAX(E523,H523),E523&lt;&gt;H523),1,0)</f>
      </c>
      <c r="L523">
        <f>IF(K523=1,(Pu-E523)/(H523-E523),"")</f>
      </c>
      <c r="M523" s="12">
        <f>IF(K523=1,F523+L523*(I523-F523),"")</f>
      </c>
      <c r="N523" s="12">
        <f>IF(K523=1,G523+L523*(J523-G523),"")</f>
      </c>
    </row>
    <row r="524" spans="2:14" x14ac:dyDescent="0.25">
      <c r="B524">
        <v>26</v>
      </c>
      <c r="C524">
        <v>250.00000000000003</v>
      </c>
      <c r="D524">
        <v>6</v>
      </c>
      <c r="E524" s="18">
        <v>10332.108876569117</v>
      </c>
      <c r="F524" s="18">
        <v>-3905.486047511334</v>
      </c>
      <c r="G524" s="18">
        <v>-1498.5915706692597</v>
      </c>
      <c r="H524" s="12">
        <f>E525</f>
      </c>
      <c r="I524" s="12">
        <f>F525</f>
      </c>
      <c r="J524" s="12">
        <f>G525</f>
      </c>
      <c r="K524">
        <f>IF(AND(Pu&gt;=MIN(E524,H524),Pu&lt;=MAX(E524,H524),E524&lt;&gt;H524),1,0)</f>
      </c>
      <c r="L524">
        <f>IF(K524=1,(Pu-E524)/(H524-E524),"")</f>
      </c>
      <c r="M524" s="12">
        <f>IF(K524=1,F524+L524*(I524-F524),"")</f>
      </c>
      <c r="N524" s="12">
        <f>IF(K524=1,G524+L524*(J524-G524),"")</f>
      </c>
    </row>
    <row r="525" spans="2:14" x14ac:dyDescent="0.25">
      <c r="B525">
        <v>26</v>
      </c>
      <c r="C525">
        <v>250.00000000000003</v>
      </c>
      <c r="D525">
        <v>7</v>
      </c>
      <c r="E525" s="18">
        <v>9631.833173417352</v>
      </c>
      <c r="F525" s="18">
        <v>-3968.433504874083</v>
      </c>
      <c r="G525" s="18">
        <v>-1531.0056507951028</v>
      </c>
      <c r="H525" s="12">
        <f>E526</f>
      </c>
      <c r="I525" s="12">
        <f>F526</f>
      </c>
      <c r="J525" s="12">
        <f>G526</f>
      </c>
      <c r="K525">
        <f>IF(AND(Pu&gt;=MIN(E525,H525),Pu&lt;=MAX(E525,H525),E525&lt;&gt;H525),1,0)</f>
      </c>
      <c r="L525">
        <f>IF(K525=1,(Pu-E525)/(H525-E525),"")</f>
      </c>
      <c r="M525" s="12">
        <f>IF(K525=1,F525+L525*(I525-F525),"")</f>
      </c>
      <c r="N525" s="12">
        <f>IF(K525=1,G525+L525*(J525-G525),"")</f>
      </c>
    </row>
    <row r="526" spans="2:14" x14ac:dyDescent="0.25">
      <c r="B526">
        <v>26</v>
      </c>
      <c r="C526">
        <v>250.00000000000003</v>
      </c>
      <c r="D526">
        <v>8</v>
      </c>
      <c r="E526" s="18">
        <v>8988.870002011941</v>
      </c>
      <c r="F526" s="18">
        <v>-4019.592675333385</v>
      </c>
      <c r="G526" s="18">
        <v>-1554.3550548765008</v>
      </c>
      <c r="H526" s="12">
        <f>E527</f>
      </c>
      <c r="I526" s="12">
        <f>F527</f>
      </c>
      <c r="J526" s="12">
        <f>G527</f>
      </c>
      <c r="K526">
        <f>IF(AND(Pu&gt;=MIN(E526,H526),Pu&lt;=MAX(E526,H526),E526&lt;&gt;H526),1,0)</f>
      </c>
      <c r="L526">
        <f>IF(K526=1,(Pu-E526)/(H526-E526),"")</f>
      </c>
      <c r="M526" s="12">
        <f>IF(K526=1,F526+L526*(I526-F526),"")</f>
      </c>
      <c r="N526" s="12">
        <f>IF(K526=1,G526+L526*(J526-G526),"")</f>
      </c>
    </row>
    <row r="527" spans="2:14" x14ac:dyDescent="0.25">
      <c r="B527">
        <v>26</v>
      </c>
      <c r="C527">
        <v>250.00000000000003</v>
      </c>
      <c r="D527">
        <v>9</v>
      </c>
      <c r="E527" s="18">
        <v>8252.707873920064</v>
      </c>
      <c r="F527" s="18">
        <v>-4245.674202980199</v>
      </c>
      <c r="G527" s="18">
        <v>-1679.4218659264632</v>
      </c>
      <c r="H527" s="12">
        <f>E528</f>
      </c>
      <c r="I527" s="12">
        <f>F528</f>
      </c>
      <c r="J527" s="12">
        <f>G528</f>
      </c>
      <c r="K527">
        <f>IF(AND(Pu&gt;=MIN(E527,H527),Pu&lt;=MAX(E527,H527),E527&lt;&gt;H527),1,0)</f>
      </c>
      <c r="L527">
        <f>IF(K527=1,(Pu-E527)/(H527-E527),"")</f>
      </c>
      <c r="M527" s="12">
        <f>IF(K527=1,F527+L527*(I527-F527),"")</f>
      </c>
      <c r="N527" s="12">
        <f>IF(K527=1,G527+L527*(J527-G527),"")</f>
      </c>
    </row>
    <row r="528" spans="2:14" x14ac:dyDescent="0.25">
      <c r="B528">
        <v>26</v>
      </c>
      <c r="C528">
        <v>250.00000000000003</v>
      </c>
      <c r="D528">
        <v>10</v>
      </c>
      <c r="E528" s="18">
        <v>7655.125540397144</v>
      </c>
      <c r="F528" s="18">
        <v>-4378.323743754365</v>
      </c>
      <c r="G528" s="18">
        <v>-1783.6000502295408</v>
      </c>
      <c r="H528" s="12">
        <f>E529</f>
      </c>
      <c r="I528" s="12">
        <f>F529</f>
      </c>
      <c r="J528" s="12">
        <f>G529</f>
      </c>
      <c r="K528">
        <f>IF(AND(Pu&gt;=MIN(E528,H528),Pu&lt;=MAX(E528,H528),E528&lt;&gt;H528),1,0)</f>
      </c>
      <c r="L528">
        <f>IF(K528=1,(Pu-E528)/(H528-E528),"")</f>
      </c>
      <c r="M528" s="12">
        <f>IF(K528=1,F528+L528*(I528-F528),"")</f>
      </c>
      <c r="N528" s="12">
        <f>IF(K528=1,G528+L528*(J528-G528),"")</f>
      </c>
    </row>
    <row r="529" spans="2:14" x14ac:dyDescent="0.25">
      <c r="B529">
        <v>26</v>
      </c>
      <c r="C529">
        <v>250.00000000000003</v>
      </c>
      <c r="D529">
        <v>11</v>
      </c>
      <c r="E529" s="18">
        <v>7128.5135400788</v>
      </c>
      <c r="F529" s="18">
        <v>-4456.497378530791</v>
      </c>
      <c r="G529" s="18">
        <v>-1887.5318161874104</v>
      </c>
      <c r="H529" s="12">
        <f>E530</f>
      </c>
      <c r="I529" s="12">
        <f>F530</f>
      </c>
      <c r="J529" s="12">
        <f>G530</f>
      </c>
      <c r="K529">
        <f>IF(AND(Pu&gt;=MIN(E529,H529),Pu&lt;=MAX(E529,H529),E529&lt;&gt;H529),1,0)</f>
      </c>
      <c r="L529">
        <f>IF(K529=1,(Pu-E529)/(H529-E529),"")</f>
      </c>
      <c r="M529" s="12">
        <f>IF(K529=1,F529+L529*(I529-F529),"")</f>
      </c>
      <c r="N529" s="12">
        <f>IF(K529=1,G529+L529*(J529-G529),"")</f>
      </c>
    </row>
    <row r="530" spans="2:14" x14ac:dyDescent="0.25">
      <c r="B530">
        <v>26</v>
      </c>
      <c r="C530">
        <v>250.00000000000003</v>
      </c>
      <c r="D530">
        <v>12</v>
      </c>
      <c r="E530" s="18">
        <v>6661.153873931227</v>
      </c>
      <c r="F530" s="18">
        <v>-4486.661048542756</v>
      </c>
      <c r="G530" s="18">
        <v>-1976.8965861315053</v>
      </c>
      <c r="H530" s="12">
        <f>E531</f>
      </c>
      <c r="I530" s="12">
        <f>F531</f>
      </c>
      <c r="J530" s="12">
        <f>G531</f>
      </c>
      <c r="K530">
        <f>IF(AND(Pu&gt;=MIN(E530,H530),Pu&lt;=MAX(E530,H530),E530&lt;&gt;H530),1,0)</f>
      </c>
      <c r="L530">
        <f>IF(K530=1,(Pu-E530)/(H530-E530),"")</f>
      </c>
      <c r="M530" s="12">
        <f>IF(K530=1,F530+L530*(I530-F530),"")</f>
      </c>
      <c r="N530" s="12">
        <f>IF(K530=1,G530+L530*(J530-G530),"")</f>
      </c>
    </row>
    <row r="531" spans="2:14" x14ac:dyDescent="0.25">
      <c r="B531">
        <v>26</v>
      </c>
      <c r="C531">
        <v>250.00000000000003</v>
      </c>
      <c r="D531">
        <v>13</v>
      </c>
      <c r="E531" s="18">
        <v>5508.708329790149</v>
      </c>
      <c r="F531" s="18">
        <v>-4409.065284635748</v>
      </c>
      <c r="G531" s="18">
        <v>-2188.501569054943</v>
      </c>
      <c r="H531" s="12">
        <f>E532</f>
      </c>
      <c r="I531" s="12">
        <f>F532</f>
      </c>
      <c r="J531" s="12">
        <f>G532</f>
      </c>
      <c r="K531">
        <f>IF(AND(Pu&gt;=MIN(E531,H531),Pu&lt;=MAX(E531,H531),E531&lt;&gt;H531),1,0)</f>
      </c>
      <c r="L531">
        <f>IF(K531=1,(Pu-E531)/(H531-E531),"")</f>
      </c>
      <c r="M531" s="12">
        <f>IF(K531=1,F531+L531*(I531-F531),"")</f>
      </c>
      <c r="N531" s="12">
        <f>IF(K531=1,G531+L531*(J531-G531),"")</f>
      </c>
    </row>
    <row r="532" spans="2:14" x14ac:dyDescent="0.25">
      <c r="B532">
        <v>26</v>
      </c>
      <c r="C532">
        <v>250.00000000000003</v>
      </c>
      <c r="D532">
        <v>14</v>
      </c>
      <c r="E532" s="18">
        <v>4141.388778317831</v>
      </c>
      <c r="F532" s="18">
        <v>-3979.1241367274433</v>
      </c>
      <c r="G532" s="18">
        <v>-2166.779263684449</v>
      </c>
      <c r="H532" s="12">
        <f>E533</f>
      </c>
      <c r="I532" s="12">
        <f>F533</f>
      </c>
      <c r="J532" s="12">
        <f>G533</f>
      </c>
      <c r="K532">
        <f>IF(AND(Pu&gt;=MIN(E532,H532),Pu&lt;=MAX(E532,H532),E532&lt;&gt;H532),1,0)</f>
      </c>
      <c r="L532">
        <f>IF(K532=1,(Pu-E532)/(H532-E532),"")</f>
      </c>
      <c r="M532" s="12">
        <f>IF(K532=1,F532+L532*(I532-F532),"")</f>
      </c>
      <c r="N532" s="12">
        <f>IF(K532=1,G532+L532*(J532-G532),"")</f>
      </c>
    </row>
    <row r="533" spans="2:14" x14ac:dyDescent="0.25">
      <c r="B533">
        <v>26</v>
      </c>
      <c r="C533">
        <v>250.00000000000003</v>
      </c>
      <c r="D533">
        <v>15</v>
      </c>
      <c r="E533" s="18">
        <v>2174.9563385955594</v>
      </c>
      <c r="F533" s="18">
        <v>-3254.75139592961</v>
      </c>
      <c r="G533" s="18">
        <v>-2039.5887020591163</v>
      </c>
      <c r="H533" s="12">
        <f>E534</f>
      </c>
      <c r="I533" s="12">
        <f>F534</f>
      </c>
      <c r="J533" s="12">
        <f>G534</f>
      </c>
      <c r="K533">
        <f>IF(AND(Pu&gt;=MIN(E533,H533),Pu&lt;=MAX(E533,H533),E533&lt;&gt;H533),1,0)</f>
      </c>
      <c r="L533">
        <f>IF(K533=1,(Pu-E533)/(H533-E533),"")</f>
      </c>
      <c r="M533" s="12">
        <f>IF(K533=1,F533+L533*(I533-F533),"")</f>
      </c>
      <c r="N533" s="12">
        <f>IF(K533=1,G533+L533*(J533-G533),"")</f>
      </c>
    </row>
    <row r="534" spans="2:14" x14ac:dyDescent="0.25">
      <c r="B534">
        <v>26</v>
      </c>
      <c r="C534">
        <v>250.00000000000003</v>
      </c>
      <c r="D534">
        <v>16</v>
      </c>
      <c r="E534" s="18">
        <v>922.3508553688713</v>
      </c>
      <c r="F534" s="18">
        <v>-2750.4170666280233</v>
      </c>
      <c r="G534" s="18">
        <v>-1834.6814242562607</v>
      </c>
      <c r="H534" s="12">
        <f>E535</f>
      </c>
      <c r="I534" s="12">
        <f>F535</f>
      </c>
      <c r="J534" s="12">
        <f>G535</f>
      </c>
      <c r="K534">
        <f>IF(AND(Pu&gt;=MIN(E534,H534),Pu&lt;=MAX(E534,H534),E534&lt;&gt;H534),1,0)</f>
      </c>
      <c r="L534">
        <f>IF(K534=1,(Pu-E534)/(H534-E534),"")</f>
      </c>
      <c r="M534" s="12">
        <f>IF(K534=1,F534+L534*(I534-F534),"")</f>
      </c>
      <c r="N534" s="12">
        <f>IF(K534=1,G534+L534*(J534-G534),"")</f>
      </c>
    </row>
    <row r="535" spans="2:14" x14ac:dyDescent="0.25">
      <c r="B535">
        <v>26</v>
      </c>
      <c r="C535">
        <v>250.00000000000003</v>
      </c>
      <c r="D535">
        <v>17</v>
      </c>
      <c r="E535" s="18">
        <v>-1331.0326370325402</v>
      </c>
      <c r="F535" s="18">
        <v>-1772.3147137848664</v>
      </c>
      <c r="G535" s="18">
        <v>-1328.4318999337586</v>
      </c>
      <c r="H535" s="12">
        <f>E536</f>
      </c>
      <c r="I535" s="12">
        <f>F536</f>
      </c>
      <c r="J535" s="12">
        <f>G536</f>
      </c>
      <c r="K535">
        <f>IF(AND(Pu&gt;=MIN(E535,H535),Pu&lt;=MAX(E535,H535),E535&lt;&gt;H535),1,0)</f>
      </c>
      <c r="L535">
        <f>IF(K535=1,(Pu-E535)/(H535-E535),"")</f>
      </c>
      <c r="M535" s="12">
        <f>IF(K535=1,F535+L535*(I535-F535),"")</f>
      </c>
      <c r="N535" s="12">
        <f>IF(K535=1,G535+L535*(J535-G535),"")</f>
      </c>
    </row>
    <row r="536" spans="2:14" x14ac:dyDescent="0.25">
      <c r="B536">
        <v>26</v>
      </c>
      <c r="C536">
        <v>250.00000000000003</v>
      </c>
      <c r="D536">
        <v>18</v>
      </c>
      <c r="E536" s="18">
        <v>-2582.9617941584797</v>
      </c>
      <c r="F536" s="18">
        <v>-1179.876733401427</v>
      </c>
      <c r="G536" s="18">
        <v>-969.9984270243795</v>
      </c>
      <c r="H536" s="12">
        <f>E537</f>
      </c>
      <c r="I536" s="12">
        <f>F537</f>
      </c>
      <c r="J536" s="12">
        <f>G537</f>
      </c>
      <c r="K536">
        <f>IF(AND(Pu&gt;=MIN(E536,H536),Pu&lt;=MAX(E536,H536),E536&lt;&gt;H536),1,0)</f>
      </c>
      <c r="L536">
        <f>IF(K536=1,(Pu-E536)/(H536-E536),"")</f>
      </c>
      <c r="M536" s="12">
        <f>IF(K536=1,F536+L536*(I536-F536),"")</f>
      </c>
      <c r="N536" s="12">
        <f>IF(K536=1,G536+L536*(J536-G536),"")</f>
      </c>
    </row>
    <row r="537" spans="2:7" x14ac:dyDescent="0.25">
      <c r="B537">
        <v>26</v>
      </c>
      <c r="C537">
        <v>250.00000000000003</v>
      </c>
      <c r="D537">
        <v>19</v>
      </c>
      <c r="E537" s="18">
        <v>-4318.169758120958</v>
      </c>
      <c r="F537" s="18">
        <v>-328.68616400667617</v>
      </c>
      <c r="G537" s="18">
        <v>-285.0232226410464</v>
      </c>
    </row>
    <row r="539" spans="2:14" x14ac:dyDescent="0.25">
      <c r="B539">
        <v>27</v>
      </c>
      <c r="C539">
        <v>260</v>
      </c>
      <c r="D539">
        <v>1</v>
      </c>
      <c r="E539" s="18">
        <v>17113.049469113812</v>
      </c>
      <c r="F539" s="18">
        <v>-2364.0849734805097</v>
      </c>
      <c r="G539" s="18">
        <v>-755.0916055121613</v>
      </c>
      <c r="H539" s="12">
        <f>E540</f>
      </c>
      <c r="I539" s="12">
        <f>F540</f>
      </c>
      <c r="J539" s="12">
        <f>G540</f>
      </c>
      <c r="K539">
        <f>IF(AND(Pu&gt;=MIN(E539,H539),Pu&lt;=MAX(E539,H539),E539&lt;&gt;H539),1,0)</f>
      </c>
      <c r="L539">
        <f>IF(K539=1,(Pu-E539)/(H539-E539),"")</f>
      </c>
      <c r="M539" s="12">
        <f>IF(K539=1,F539+L539*(I539-F539),"")</f>
      </c>
      <c r="N539" s="12">
        <f>IF(K539=1,G539+L539*(J539-G539),"")</f>
      </c>
    </row>
    <row r="540" spans="2:14" x14ac:dyDescent="0.25">
      <c r="B540">
        <v>27</v>
      </c>
      <c r="C540">
        <v>260</v>
      </c>
      <c r="D540">
        <v>2</v>
      </c>
      <c r="E540" s="18">
        <v>15584.57958501061</v>
      </c>
      <c r="F540" s="18">
        <v>-2957.0743911130207</v>
      </c>
      <c r="G540" s="18">
        <v>-694.6412418661445</v>
      </c>
      <c r="H540" s="12">
        <f>E541</f>
      </c>
      <c r="I540" s="12">
        <f>F541</f>
      </c>
      <c r="J540" s="12">
        <f>G541</f>
      </c>
      <c r="K540">
        <f>IF(AND(Pu&gt;=MIN(E540,H540),Pu&lt;=MAX(E540,H540),E540&lt;&gt;H540),1,0)</f>
      </c>
      <c r="L540">
        <f>IF(K540=1,(Pu-E540)/(H540-E540),"")</f>
      </c>
      <c r="M540" s="12">
        <f>IF(K540=1,F540+L540*(I540-F540),"")</f>
      </c>
      <c r="N540" s="12">
        <f>IF(K540=1,G540+L540*(J540-G540),"")</f>
      </c>
    </row>
    <row r="541" spans="2:14" x14ac:dyDescent="0.25">
      <c r="B541">
        <v>27</v>
      </c>
      <c r="C541">
        <v>260</v>
      </c>
      <c r="D541">
        <v>3</v>
      </c>
      <c r="E541" s="18">
        <v>13401.396220702609</v>
      </c>
      <c r="F541" s="18">
        <v>-3597.3655587769877</v>
      </c>
      <c r="G541" s="18">
        <v>-672.86347763251</v>
      </c>
      <c r="H541" s="12">
        <f>E542</f>
      </c>
      <c r="I541" s="12">
        <f>F542</f>
      </c>
      <c r="J541" s="12">
        <f>G542</f>
      </c>
      <c r="K541">
        <f>IF(AND(Pu&gt;=MIN(E541,H541),Pu&lt;=MAX(E541,H541),E541&lt;&gt;H541),1,0)</f>
      </c>
      <c r="L541">
        <f>IF(K541=1,(Pu-E541)/(H541-E541),"")</f>
      </c>
      <c r="M541" s="12">
        <f>IF(K541=1,F541+L541*(I541-F541),"")</f>
      </c>
      <c r="N541" s="12">
        <f>IF(K541=1,G541+L541*(J541-G541),"")</f>
      </c>
    </row>
    <row r="542" spans="2:14" x14ac:dyDescent="0.25">
      <c r="B542">
        <v>27</v>
      </c>
      <c r="C542">
        <v>260</v>
      </c>
      <c r="D542">
        <v>4</v>
      </c>
      <c r="E542" s="18">
        <v>12538.777426234723</v>
      </c>
      <c r="F542" s="18">
        <v>-3782.635160338895</v>
      </c>
      <c r="G542" s="18">
        <v>-700.2764126649993</v>
      </c>
      <c r="H542" s="12">
        <f>E543</f>
      </c>
      <c r="I542" s="12">
        <f>F543</f>
      </c>
      <c r="J542" s="12">
        <f>G543</f>
      </c>
      <c r="K542">
        <f>IF(AND(Pu&gt;=MIN(E542,H542),Pu&lt;=MAX(E542,H542),E542&lt;&gt;H542),1,0)</f>
      </c>
      <c r="L542">
        <f>IF(K542=1,(Pu-E542)/(H542-E542),"")</f>
      </c>
      <c r="M542" s="12">
        <f>IF(K542=1,F542+L542*(I542-F542),"")</f>
      </c>
      <c r="N542" s="12">
        <f>IF(K542=1,G542+L542*(J542-G542),"")</f>
      </c>
    </row>
    <row r="543" spans="2:14" x14ac:dyDescent="0.25">
      <c r="B543">
        <v>27</v>
      </c>
      <c r="C543">
        <v>260</v>
      </c>
      <c r="D543">
        <v>5</v>
      </c>
      <c r="E543" s="18">
        <v>11737.913111242176</v>
      </c>
      <c r="F543" s="18">
        <v>-3928.739095650866</v>
      </c>
      <c r="G543" s="18">
        <v>-718.6325722833384</v>
      </c>
      <c r="H543" s="12">
        <f>E544</f>
      </c>
      <c r="I543" s="12">
        <f>F544</f>
      </c>
      <c r="J543" s="12">
        <f>G544</f>
      </c>
      <c r="K543">
        <f>IF(AND(Pu&gt;=MIN(E543,H543),Pu&lt;=MAX(E543,H543),E543&lt;&gt;H543),1,0)</f>
      </c>
      <c r="L543">
        <f>IF(K543=1,(Pu-E543)/(H543-E543),"")</f>
      </c>
      <c r="M543" s="12">
        <f>IF(K543=1,F543+L543*(I543-F543),"")</f>
      </c>
      <c r="N543" s="12">
        <f>IF(K543=1,G543+L543*(J543-G543),"")</f>
      </c>
    </row>
    <row r="544" spans="2:14" x14ac:dyDescent="0.25">
      <c r="B544">
        <v>27</v>
      </c>
      <c r="C544">
        <v>260</v>
      </c>
      <c r="D544">
        <v>6</v>
      </c>
      <c r="E544" s="18">
        <v>10999.74504641058</v>
      </c>
      <c r="F544" s="18">
        <v>-4043.4548573568986</v>
      </c>
      <c r="G544" s="18">
        <v>-736.9887319016777</v>
      </c>
      <c r="H544" s="12">
        <f>E545</f>
      </c>
      <c r="I544" s="12">
        <f>F545</f>
      </c>
      <c r="J544" s="12">
        <f>G545</f>
      </c>
      <c r="K544">
        <f>IF(AND(Pu&gt;=MIN(E544,H544),Pu&lt;=MAX(E544,H544),E544&lt;&gt;H544),1,0)</f>
      </c>
      <c r="L544">
        <f>IF(K544=1,(Pu-E544)/(H544-E544),"")</f>
      </c>
      <c r="M544" s="12">
        <f>IF(K544=1,F544+L544*(I544-F544),"")</f>
      </c>
      <c r="N544" s="12">
        <f>IF(K544=1,G544+L544*(J544-G544),"")</f>
      </c>
    </row>
    <row r="545" spans="2:14" x14ac:dyDescent="0.25">
      <c r="B545">
        <v>27</v>
      </c>
      <c r="C545">
        <v>260</v>
      </c>
      <c r="D545">
        <v>7</v>
      </c>
      <c r="E545" s="18">
        <v>10327.807348599994</v>
      </c>
      <c r="F545" s="18">
        <v>-4136.515355219281</v>
      </c>
      <c r="G545" s="18">
        <v>-746.2802154755725</v>
      </c>
      <c r="H545" s="12">
        <f>E546</f>
      </c>
      <c r="I545" s="12">
        <f>F546</f>
      </c>
      <c r="J545" s="12">
        <f>G546</f>
      </c>
      <c r="K545">
        <f>IF(AND(Pu&gt;=MIN(E545,H545),Pu&lt;=MAX(E545,H545),E545&lt;&gt;H545),1,0)</f>
      </c>
      <c r="L545">
        <f>IF(K545=1,(Pu-E545)/(H545-E545),"")</f>
      </c>
      <c r="M545" s="12">
        <f>IF(K545=1,F545+L545*(I545-F545),"")</f>
      </c>
      <c r="N545" s="12">
        <f>IF(K545=1,G545+L545*(J545-G545),"")</f>
      </c>
    </row>
    <row r="546" spans="2:14" x14ac:dyDescent="0.25">
      <c r="B546">
        <v>27</v>
      </c>
      <c r="C546">
        <v>260</v>
      </c>
      <c r="D546">
        <v>8</v>
      </c>
      <c r="E546" s="18">
        <v>9687.582776052623</v>
      </c>
      <c r="F546" s="18">
        <v>-4211.3331310207</v>
      </c>
      <c r="G546" s="18">
        <v>-764.6363750939113</v>
      </c>
      <c r="H546" s="12">
        <f>E547</f>
      </c>
      <c r="I546" s="12">
        <f>F547</f>
      </c>
      <c r="J546" s="12">
        <f>G547</f>
      </c>
      <c r="K546">
        <f>IF(AND(Pu&gt;=MIN(E546,H546),Pu&lt;=MAX(E546,H546),E546&lt;&gt;H546),1,0)</f>
      </c>
      <c r="L546">
        <f>IF(K546=1,(Pu-E546)/(H546-E546),"")</f>
      </c>
      <c r="M546" s="12">
        <f>IF(K546=1,F546+L546*(I546-F546),"")</f>
      </c>
      <c r="N546" s="12">
        <f>IF(K546=1,G546+L546*(J546-G546),"")</f>
      </c>
    </row>
    <row r="547" spans="2:14" x14ac:dyDescent="0.25">
      <c r="B547">
        <v>27</v>
      </c>
      <c r="C547">
        <v>260</v>
      </c>
      <c r="D547">
        <v>9</v>
      </c>
      <c r="E547" s="18">
        <v>9099.358056058567</v>
      </c>
      <c r="F547" s="18">
        <v>-4272.360872545278</v>
      </c>
      <c r="G547" s="18">
        <v>-792.0572107566946</v>
      </c>
      <c r="H547" s="12">
        <f>E548</f>
      </c>
      <c r="I547" s="12">
        <f>F548</f>
      </c>
      <c r="J547" s="12">
        <f>G548</f>
      </c>
      <c r="K547">
        <f>IF(AND(Pu&gt;=MIN(E547,H547),Pu&lt;=MAX(E547,H547),E547&lt;&gt;H547),1,0)</f>
      </c>
      <c r="L547">
        <f>IF(K547=1,(Pu-E547)/(H547-E547),"")</f>
      </c>
      <c r="M547" s="12">
        <f>IF(K547=1,F547+L547*(I547-F547),"")</f>
      </c>
      <c r="N547" s="12">
        <f>IF(K547=1,G547+L547*(J547-G547),"")</f>
      </c>
    </row>
    <row r="548" spans="2:14" x14ac:dyDescent="0.25">
      <c r="B548">
        <v>27</v>
      </c>
      <c r="C548">
        <v>260</v>
      </c>
      <c r="D548">
        <v>10</v>
      </c>
      <c r="E548" s="18">
        <v>8517.98085262741</v>
      </c>
      <c r="F548" s="18">
        <v>-4534.8598497159655</v>
      </c>
      <c r="G548" s="18">
        <v>-842.3570419294941</v>
      </c>
      <c r="H548" s="12">
        <f>E549</f>
      </c>
      <c r="I548" s="12">
        <f>F549</f>
      </c>
      <c r="J548" s="12">
        <f>G549</f>
      </c>
      <c r="K548">
        <f>IF(AND(Pu&gt;=MIN(E548,H548),Pu&lt;=MAX(E548,H548),E548&lt;&gt;H548),1,0)</f>
      </c>
      <c r="L548">
        <f>IF(K548=1,(Pu-E548)/(H548-E548),"")</f>
      </c>
      <c r="M548" s="12">
        <f>IF(K548=1,F548+L548*(I548-F548),"")</f>
      </c>
      <c r="N548" s="12">
        <f>IF(K548=1,G548+L548*(J548-G548),"")</f>
      </c>
    </row>
    <row r="549" spans="2:14" x14ac:dyDescent="0.25">
      <c r="B549">
        <v>27</v>
      </c>
      <c r="C549">
        <v>260</v>
      </c>
      <c r="D549">
        <v>11</v>
      </c>
      <c r="E549" s="18">
        <v>8092.39633747415</v>
      </c>
      <c r="F549" s="18">
        <v>-4701.845133697934</v>
      </c>
      <c r="G549" s="18">
        <v>-901.5792235639831</v>
      </c>
      <c r="H549" s="12">
        <f>E550</f>
      </c>
      <c r="I549" s="12">
        <f>F550</f>
      </c>
      <c r="J549" s="12">
        <f>G550</f>
      </c>
      <c r="K549">
        <f>IF(AND(Pu&gt;=MIN(E549,H549),Pu&lt;=MAX(E549,H549),E549&lt;&gt;H549),1,0)</f>
      </c>
      <c r="L549">
        <f>IF(K549=1,(Pu-E549)/(H549-E549),"")</f>
      </c>
      <c r="M549" s="12">
        <f>IF(K549=1,F549+L549*(I549-F549),"")</f>
      </c>
      <c r="N549" s="12">
        <f>IF(K549=1,G549+L549*(J549-G549),"")</f>
      </c>
    </row>
    <row r="550" spans="2:14" x14ac:dyDescent="0.25">
      <c r="B550">
        <v>27</v>
      </c>
      <c r="C550">
        <v>260</v>
      </c>
      <c r="D550">
        <v>12</v>
      </c>
      <c r="E550" s="18">
        <v>7741.657323242599</v>
      </c>
      <c r="F550" s="18">
        <v>-4835.4408718466875</v>
      </c>
      <c r="G550" s="18">
        <v>-928.0698766942227</v>
      </c>
      <c r="H550" s="12">
        <f>E551</f>
      </c>
      <c r="I550" s="12">
        <f>F551</f>
      </c>
      <c r="J550" s="12">
        <f>G551</f>
      </c>
      <c r="K550">
        <f>IF(AND(Pu&gt;=MIN(E550,H550),Pu&lt;=MAX(E550,H550),E550&lt;&gt;H550),1,0)</f>
      </c>
      <c r="L550">
        <f>IF(K550=1,(Pu-E550)/(H550-E550),"")</f>
      </c>
      <c r="M550" s="12">
        <f>IF(K550=1,F550+L550*(I550-F550),"")</f>
      </c>
      <c r="N550" s="12">
        <f>IF(K550=1,G550+L550*(J550-G550),"")</f>
      </c>
    </row>
    <row r="551" spans="2:14" x14ac:dyDescent="0.25">
      <c r="B551">
        <v>27</v>
      </c>
      <c r="C551">
        <v>260</v>
      </c>
      <c r="D551">
        <v>13</v>
      </c>
      <c r="E551" s="18">
        <v>7393.101573813022</v>
      </c>
      <c r="F551" s="18">
        <v>-4949.502093730552</v>
      </c>
      <c r="G551" s="18">
        <v>-979.6819943520029</v>
      </c>
      <c r="H551" s="12">
        <f>E552</f>
      </c>
      <c r="I551" s="12">
        <f>F552</f>
      </c>
      <c r="J551" s="12">
        <f>G552</f>
      </c>
      <c r="K551">
        <f>IF(AND(Pu&gt;=MIN(E551,H551),Pu&lt;=MAX(E551,H551),E551&lt;&gt;H551),1,0)</f>
      </c>
      <c r="L551">
        <f>IF(K551=1,(Pu-E551)/(H551-E551),"")</f>
      </c>
      <c r="M551" s="12">
        <f>IF(K551=1,F551+L551*(I551-F551),"")</f>
      </c>
      <c r="N551" s="12">
        <f>IF(K551=1,G551+L551*(J551-G551),"")</f>
      </c>
    </row>
    <row r="552" spans="2:14" x14ac:dyDescent="0.25">
      <c r="B552">
        <v>27</v>
      </c>
      <c r="C552">
        <v>260</v>
      </c>
      <c r="D552">
        <v>14</v>
      </c>
      <c r="E552" s="18">
        <v>6735.183205085433</v>
      </c>
      <c r="F552" s="18">
        <v>-5105.2945014178495</v>
      </c>
      <c r="G552" s="18">
        <v>-1065.458054409239</v>
      </c>
      <c r="H552" s="12">
        <f>E553</f>
      </c>
      <c r="I552" s="12">
        <f>F553</f>
      </c>
      <c r="J552" s="12">
        <f>G553</f>
      </c>
      <c r="K552">
        <f>IF(AND(Pu&gt;=MIN(E552,H552),Pu&lt;=MAX(E552,H552),E552&lt;&gt;H552),1,0)</f>
      </c>
      <c r="L552">
        <f>IF(K552=1,(Pu-E552)/(H552-E552),"")</f>
      </c>
      <c r="M552" s="12">
        <f>IF(K552=1,F552+L552*(I552-F552),"")</f>
      </c>
      <c r="N552" s="12">
        <f>IF(K552=1,G552+L552*(J552-G552),"")</f>
      </c>
    </row>
    <row r="553" spans="2:14" x14ac:dyDescent="0.25">
      <c r="B553">
        <v>27</v>
      </c>
      <c r="C553">
        <v>260</v>
      </c>
      <c r="D553">
        <v>15</v>
      </c>
      <c r="E553" s="18">
        <v>5640.820596567974</v>
      </c>
      <c r="F553" s="18">
        <v>-4810.121397692056</v>
      </c>
      <c r="G553" s="18">
        <v>-1093.0845729616935</v>
      </c>
      <c r="H553" s="12">
        <f>E554</f>
      </c>
      <c r="I553" s="12">
        <f>F554</f>
      </c>
      <c r="J553" s="12">
        <f>G554</f>
      </c>
      <c r="K553">
        <f>IF(AND(Pu&gt;=MIN(E553,H553),Pu&lt;=MAX(E553,H553),E553&lt;&gt;H553),1,0)</f>
      </c>
      <c r="L553">
        <f>IF(K553=1,(Pu-E553)/(H553-E553),"")</f>
      </c>
      <c r="M553" s="12">
        <f>IF(K553=1,F553+L553*(I553-F553),"")</f>
      </c>
      <c r="N553" s="12">
        <f>IF(K553=1,G553+L553*(J553-G553),"")</f>
      </c>
    </row>
    <row r="554" spans="2:14" x14ac:dyDescent="0.25">
      <c r="B554">
        <v>27</v>
      </c>
      <c r="C554">
        <v>260</v>
      </c>
      <c r="D554">
        <v>16</v>
      </c>
      <c r="E554" s="18">
        <v>3747.6401687195876</v>
      </c>
      <c r="F554" s="18">
        <v>-4159.4290819482085</v>
      </c>
      <c r="G554" s="18">
        <v>-1156.1548022636166</v>
      </c>
      <c r="H554" s="12">
        <f>E555</f>
      </c>
      <c r="I554" s="12">
        <f>F555</f>
      </c>
      <c r="J554" s="12">
        <f>G555</f>
      </c>
      <c r="K554">
        <f>IF(AND(Pu&gt;=MIN(E554,H554),Pu&lt;=MAX(E554,H554),E554&lt;&gt;H554),1,0)</f>
      </c>
      <c r="L554">
        <f>IF(K554=1,(Pu-E554)/(H554-E554),"")</f>
      </c>
      <c r="M554" s="12">
        <f>IF(K554=1,F554+L554*(I554-F554),"")</f>
      </c>
      <c r="N554" s="12">
        <f>IF(K554=1,G554+L554*(J554-G554),"")</f>
      </c>
    </row>
    <row r="555" spans="2:14" x14ac:dyDescent="0.25">
      <c r="B555">
        <v>27</v>
      </c>
      <c r="C555">
        <v>260</v>
      </c>
      <c r="D555">
        <v>17</v>
      </c>
      <c r="E555" s="18">
        <v>2301.2354813671905</v>
      </c>
      <c r="F555" s="18">
        <v>-3586.139228931098</v>
      </c>
      <c r="G555" s="18">
        <v>-1186.7326106249532</v>
      </c>
      <c r="H555" s="12">
        <f>E556</f>
      </c>
      <c r="I555" s="12">
        <f>F556</f>
      </c>
      <c r="J555" s="12">
        <f>G556</f>
      </c>
      <c r="K555">
        <f>IF(AND(Pu&gt;=MIN(E555,H555),Pu&lt;=MAX(E555,H555),E555&lt;&gt;H555),1,0)</f>
      </c>
      <c r="L555">
        <f>IF(K555=1,(Pu-E555)/(H555-E555),"")</f>
      </c>
      <c r="M555" s="12">
        <f>IF(K555=1,F555+L555*(I555-F555),"")</f>
      </c>
      <c r="N555" s="12">
        <f>IF(K555=1,G555+L555*(J555-G555),"")</f>
      </c>
    </row>
    <row r="556" spans="2:14" x14ac:dyDescent="0.25">
      <c r="B556">
        <v>27</v>
      </c>
      <c r="C556">
        <v>260</v>
      </c>
      <c r="D556">
        <v>18</v>
      </c>
      <c r="E556" s="18">
        <v>-162.9387266837961</v>
      </c>
      <c r="F556" s="18">
        <v>-2464.4599413390483</v>
      </c>
      <c r="G556" s="18">
        <v>-960.8067111597832</v>
      </c>
      <c r="H556" s="12">
        <f>E557</f>
      </c>
      <c r="I556" s="12">
        <f>F557</f>
      </c>
      <c r="J556" s="12">
        <f>G557</f>
      </c>
      <c r="K556">
        <f>IF(AND(Pu&gt;=MIN(E556,H556),Pu&lt;=MAX(E556,H556),E556&lt;&gt;H556),1,0)</f>
      </c>
      <c r="L556">
        <f>IF(K556=1,(Pu-E556)/(H556-E556),"")</f>
      </c>
      <c r="M556" s="12">
        <f>IF(K556=1,F556+L556*(I556-F556),"")</f>
      </c>
      <c r="N556" s="12">
        <f>IF(K556=1,G556+L556*(J556-G556),"")</f>
      </c>
    </row>
    <row r="557" spans="2:14" x14ac:dyDescent="0.25">
      <c r="B557">
        <v>27</v>
      </c>
      <c r="C557">
        <v>260</v>
      </c>
      <c r="D557">
        <v>19</v>
      </c>
      <c r="E557" s="18">
        <v>-1726.4291297732852</v>
      </c>
      <c r="F557" s="18">
        <v>-1700.3912982838133</v>
      </c>
      <c r="G557" s="18">
        <v>-727.6224822136058</v>
      </c>
      <c r="H557" s="12">
        <f>E558</f>
      </c>
      <c r="I557" s="12">
        <f>F558</f>
      </c>
      <c r="J557" s="12">
        <f>G558</f>
      </c>
      <c r="K557">
        <f>IF(AND(Pu&gt;=MIN(E557,H557),Pu&lt;=MAX(E557,H557),E557&lt;&gt;H557),1,0)</f>
      </c>
      <c r="L557">
        <f>IF(K557=1,(Pu-E557)/(H557-E557),"")</f>
      </c>
      <c r="M557" s="12">
        <f>IF(K557=1,F557+L557*(I557-F557),"")</f>
      </c>
      <c r="N557" s="12">
        <f>IF(K557=1,G557+L557*(J557-G557),"")</f>
      </c>
    </row>
    <row r="558" spans="2:7" x14ac:dyDescent="0.25">
      <c r="B558">
        <v>27</v>
      </c>
      <c r="C558">
        <v>260</v>
      </c>
      <c r="D558">
        <v>20</v>
      </c>
      <c r="E558" s="18">
        <v>-4046.776418624003</v>
      </c>
      <c r="F558" s="18">
        <v>-481.6051814657576</v>
      </c>
      <c r="G558" s="18">
        <v>-340.51611774503925</v>
      </c>
    </row>
    <row r="560" spans="2:14" x14ac:dyDescent="0.25">
      <c r="B560">
        <v>28</v>
      </c>
      <c r="C560">
        <v>270</v>
      </c>
      <c r="D560">
        <v>1</v>
      </c>
      <c r="E560" s="18">
        <v>15831.862746689701</v>
      </c>
      <c r="F560" s="18">
        <v>-2940.658855894904</v>
      </c>
      <c r="G560" s="18">
        <v>-1.3317912817001343e-12</v>
      </c>
      <c r="H560" s="12">
        <f>E561</f>
      </c>
      <c r="I560" s="12">
        <f>F561</f>
      </c>
      <c r="J560" s="12">
        <f>G561</f>
      </c>
      <c r="K560">
        <f>IF(AND(Pu&gt;=MIN(E560,H560),Pu&lt;=MAX(E560,H560),E560&lt;&gt;H560),1,0)</f>
      </c>
      <c r="L560">
        <f>IF(K560=1,(Pu-E560)/(H560-E560),"")</f>
      </c>
      <c r="M560" s="12">
        <f>IF(K560=1,F560+L560*(I560-F560),"")</f>
      </c>
      <c r="N560" s="12">
        <f>IF(K560=1,G560+L560*(J560-G560),"")</f>
      </c>
    </row>
    <row r="561" spans="2:14" x14ac:dyDescent="0.25">
      <c r="B561">
        <v>28</v>
      </c>
      <c r="C561">
        <v>270</v>
      </c>
      <c r="D561">
        <v>2</v>
      </c>
      <c r="E561" s="18">
        <v>14887.875937058567</v>
      </c>
      <c r="F561" s="18">
        <v>-3260.4526071625673</v>
      </c>
      <c r="G561" s="18">
        <v>-1.1816620826721192e-12</v>
      </c>
      <c r="H561" s="12">
        <f>E562</f>
      </c>
      <c r="I561" s="12">
        <f>F562</f>
      </c>
      <c r="J561" s="12">
        <f>G562</f>
      </c>
      <c r="K561">
        <f>IF(AND(Pu&gt;=MIN(E561,H561),Pu&lt;=MAX(E561,H561),E561&lt;&gt;H561),1,0)</f>
      </c>
      <c r="L561">
        <f>IF(K561=1,(Pu-E561)/(H561-E561),"")</f>
      </c>
      <c r="M561" s="12">
        <f>IF(K561=1,F561+L561*(I561-F561),"")</f>
      </c>
      <c r="N561" s="12">
        <f>IF(K561=1,G561+L561*(J561-G561),"")</f>
      </c>
    </row>
    <row r="562" spans="2:14" x14ac:dyDescent="0.25">
      <c r="B562">
        <v>28</v>
      </c>
      <c r="C562">
        <v>270</v>
      </c>
      <c r="D562">
        <v>3</v>
      </c>
      <c r="E562" s="18">
        <v>13078.23844287175</v>
      </c>
      <c r="F562" s="18">
        <v>-3755.446100048312</v>
      </c>
      <c r="G562" s="18">
        <v>-4.4070184230804444e-13</v>
      </c>
      <c r="H562" s="12">
        <f>E563</f>
      </c>
      <c r="I562" s="12">
        <f>F563</f>
      </c>
      <c r="J562" s="12">
        <f>G563</f>
      </c>
      <c r="K562">
        <f>IF(AND(Pu&gt;=MIN(E562,H562),Pu&lt;=MAX(E562,H562),E562&lt;&gt;H562),1,0)</f>
      </c>
      <c r="L562">
        <f>IF(K562=1,(Pu-E562)/(H562-E562),"")</f>
      </c>
      <c r="M562" s="12">
        <f>IF(K562=1,F562+L562*(I562-F562),"")</f>
      </c>
      <c r="N562" s="12">
        <f>IF(K562=1,G562+L562*(J562-G562),"")</f>
      </c>
    </row>
    <row r="563" spans="2:14" x14ac:dyDescent="0.25">
      <c r="B563">
        <v>28</v>
      </c>
      <c r="C563">
        <v>270</v>
      </c>
      <c r="D563">
        <v>4</v>
      </c>
      <c r="E563" s="18">
        <v>12288.140308544082</v>
      </c>
      <c r="F563" s="18">
        <v>-3928.5516618640017</v>
      </c>
      <c r="G563" s="18">
        <v>-6.683170795440674e-13</v>
      </c>
      <c r="H563" s="12">
        <f>E564</f>
      </c>
      <c r="I563" s="12">
        <f>F564</f>
      </c>
      <c r="J563" s="12">
        <f>G564</f>
      </c>
      <c r="K563">
        <f>IF(AND(Pu&gt;=MIN(E563,H563),Pu&lt;=MAX(E563,H563),E563&lt;&gt;H563),1,0)</f>
      </c>
      <c r="L563">
        <f>IF(K563=1,(Pu-E563)/(H563-E563),"")</f>
      </c>
      <c r="M563" s="12">
        <f>IF(K563=1,F563+L563*(I563-F563),"")</f>
      </c>
      <c r="N563" s="12">
        <f>IF(K563=1,G563+L563*(J563-G563),"")</f>
      </c>
    </row>
    <row r="564" spans="2:14" x14ac:dyDescent="0.25">
      <c r="B564">
        <v>28</v>
      </c>
      <c r="C564">
        <v>270</v>
      </c>
      <c r="D564">
        <v>5</v>
      </c>
      <c r="E564" s="18">
        <v>11590.081777081512</v>
      </c>
      <c r="F564" s="18">
        <v>-4065.7979162699176</v>
      </c>
      <c r="G564" s="18">
        <v>-6.029382348060608e-13</v>
      </c>
      <c r="H564" s="12">
        <f>E565</f>
      </c>
      <c r="I564" s="12">
        <f>F565</f>
      </c>
      <c r="J564" s="12">
        <f>G565</f>
      </c>
      <c r="K564">
        <f>IF(AND(Pu&gt;=MIN(E564,H564),Pu&lt;=MAX(E564,H564),E564&lt;&gt;H564),1,0)</f>
      </c>
      <c r="L564">
        <f>IF(K564=1,(Pu-E564)/(H564-E564),"")</f>
      </c>
      <c r="M564" s="12">
        <f>IF(K564=1,F564+L564*(I564-F564),"")</f>
      </c>
      <c r="N564" s="12">
        <f>IF(K564=1,G564+L564*(J564-G564),"")</f>
      </c>
    </row>
    <row r="565" spans="2:14" x14ac:dyDescent="0.25">
      <c r="B565">
        <v>28</v>
      </c>
      <c r="C565">
        <v>270</v>
      </c>
      <c r="D565">
        <v>6</v>
      </c>
      <c r="E565" s="18">
        <v>10919.964500906975</v>
      </c>
      <c r="F565" s="18">
        <v>-4181.5213071538665</v>
      </c>
      <c r="G565" s="18">
        <v>-6.610527634620667e-13</v>
      </c>
      <c r="H565" s="12">
        <f>E566</f>
      </c>
      <c r="I565" s="12">
        <f>F566</f>
      </c>
      <c r="J565" s="12">
        <f>G566</f>
      </c>
      <c r="K565">
        <f>IF(AND(Pu&gt;=MIN(E565,H565),Pu&lt;=MAX(E565,H565),E565&lt;&gt;H565),1,0)</f>
      </c>
      <c r="L565">
        <f>IF(K565=1,(Pu-E565)/(H565-E565),"")</f>
      </c>
      <c r="M565" s="12">
        <f>IF(K565=1,F565+L565*(I565-F565),"")</f>
      </c>
      <c r="N565" s="12">
        <f>IF(K565=1,G565+L565*(J565-G565),"")</f>
      </c>
    </row>
    <row r="566" spans="2:14" x14ac:dyDescent="0.25">
      <c r="B566">
        <v>28</v>
      </c>
      <c r="C566">
        <v>270</v>
      </c>
      <c r="D566">
        <v>7</v>
      </c>
      <c r="E566" s="18">
        <v>10295.917718918488</v>
      </c>
      <c r="F566" s="18">
        <v>-4279.486462246424</v>
      </c>
      <c r="G566" s="18">
        <v>-2.324581146240235e-13</v>
      </c>
      <c r="H566" s="12">
        <f>E567</f>
      </c>
      <c r="I566" s="12">
        <f>F567</f>
      </c>
      <c r="J566" s="12">
        <f>G567</f>
      </c>
      <c r="K566">
        <f>IF(AND(Pu&gt;=MIN(E566,H566),Pu&lt;=MAX(E566,H566),E566&lt;&gt;H566),1,0)</f>
      </c>
      <c r="L566">
        <f>IF(K566=1,(Pu-E566)/(H566-E566),"")</f>
      </c>
      <c r="M566" s="12">
        <f>IF(K566=1,F566+L566*(I566-F566),"")</f>
      </c>
      <c r="N566" s="12">
        <f>IF(K566=1,G566+L566*(J566-G566),"")</f>
      </c>
    </row>
    <row r="567" spans="2:14" x14ac:dyDescent="0.25">
      <c r="B567">
        <v>28</v>
      </c>
      <c r="C567">
        <v>270</v>
      </c>
      <c r="D567">
        <v>8</v>
      </c>
      <c r="E567" s="18">
        <v>9702.587063714995</v>
      </c>
      <c r="F567" s="18">
        <v>-4361.79802040775</v>
      </c>
      <c r="G567" s="18">
        <v>-5.763024091720582e-13</v>
      </c>
      <c r="H567" s="12">
        <f>E568</f>
      </c>
      <c r="I567" s="12">
        <f>F568</f>
      </c>
      <c r="J567" s="12">
        <f>G568</f>
      </c>
      <c r="K567">
        <f>IF(AND(Pu&gt;=MIN(E567,H567),Pu&lt;=MAX(E567,H567),E567&lt;&gt;H567),1,0)</f>
      </c>
      <c r="L567">
        <f>IF(K567=1,(Pu-E567)/(H567-E567),"")</f>
      </c>
      <c r="M567" s="12">
        <f>IF(K567=1,F567+L567*(I567-F567),"")</f>
      </c>
      <c r="N567" s="12">
        <f>IF(K567=1,G567+L567*(J567-G567),"")</f>
      </c>
    </row>
    <row r="568" spans="2:14" x14ac:dyDescent="0.25">
      <c r="B568">
        <v>28</v>
      </c>
      <c r="C568">
        <v>270</v>
      </c>
      <c r="D568">
        <v>9</v>
      </c>
      <c r="E568" s="18">
        <v>9137.567173396383</v>
      </c>
      <c r="F568" s="18">
        <v>-4432.815781922306</v>
      </c>
      <c r="G568" s="18">
        <v>-6.53788447380066e-13</v>
      </c>
      <c r="H568" s="12">
        <f>E569</f>
      </c>
      <c r="I568" s="12">
        <f>F569</f>
      </c>
      <c r="J568" s="12">
        <f>G569</f>
      </c>
      <c r="K568">
        <f>IF(AND(Pu&gt;=MIN(E568,H568),Pu&lt;=MAX(E568,H568),E568&lt;&gt;H568),1,0)</f>
      </c>
      <c r="L568">
        <f>IF(K568=1,(Pu-E568)/(H568-E568),"")</f>
      </c>
      <c r="M568" s="12">
        <f>IF(K568=1,F568+L568*(I568-F568),"")</f>
      </c>
      <c r="N568" s="12">
        <f>IF(K568=1,G568+L568*(J568-G568),"")</f>
      </c>
    </row>
    <row r="569" spans="2:14" x14ac:dyDescent="0.25">
      <c r="B569">
        <v>28</v>
      </c>
      <c r="C569">
        <v>270</v>
      </c>
      <c r="D569">
        <v>10</v>
      </c>
      <c r="E569" s="18">
        <v>8780.854531128345</v>
      </c>
      <c r="F569" s="18">
        <v>-4643.256988390346</v>
      </c>
      <c r="G569" s="18">
        <v>-5.167598525683085e-13</v>
      </c>
      <c r="H569" s="12">
        <f>E570</f>
      </c>
      <c r="I569" s="12">
        <f>F570</f>
      </c>
      <c r="J569" s="12">
        <f>G570</f>
      </c>
      <c r="K569">
        <f>IF(AND(Pu&gt;=MIN(E569,H569),Pu&lt;=MAX(E569,H569),E569&lt;&gt;H569),1,0)</f>
      </c>
      <c r="L569">
        <f>IF(K569=1,(Pu-E569)/(H569-E569),"")</f>
      </c>
      <c r="M569" s="12">
        <f>IF(K569=1,F569+L569*(I569-F569),"")</f>
      </c>
      <c r="N569" s="12">
        <f>IF(K569=1,G569+L569*(J569-G569),"")</f>
      </c>
    </row>
    <row r="570" spans="2:14" x14ac:dyDescent="0.25">
      <c r="B570">
        <v>28</v>
      </c>
      <c r="C570">
        <v>270</v>
      </c>
      <c r="D570">
        <v>11</v>
      </c>
      <c r="E570" s="18">
        <v>8471.548345055582</v>
      </c>
      <c r="F570" s="18">
        <v>-4837.71179556643</v>
      </c>
      <c r="G570" s="18">
        <v>-1.0866050918896992e-12</v>
      </c>
      <c r="H570" s="12">
        <f>E571</f>
      </c>
      <c r="I570" s="12">
        <f>F571</f>
      </c>
      <c r="J570" s="12">
        <f>G571</f>
      </c>
      <c r="K570">
        <f>IF(AND(Pu&gt;=MIN(E570,H570),Pu&lt;=MAX(E570,H570),E570&lt;&gt;H570),1,0)</f>
      </c>
      <c r="L570">
        <f>IF(K570=1,(Pu-E570)/(H570-E570),"")</f>
      </c>
      <c r="M570" s="12">
        <f>IF(K570=1,F570+L570*(I570-F570),"")</f>
      </c>
      <c r="N570" s="12">
        <f>IF(K570=1,G570+L570*(J570-G570),"")</f>
      </c>
    </row>
    <row r="571" spans="2:14" x14ac:dyDescent="0.25">
      <c r="B571">
        <v>28</v>
      </c>
      <c r="C571">
        <v>270</v>
      </c>
      <c r="D571">
        <v>12</v>
      </c>
      <c r="E571" s="18">
        <v>8171.19907639217</v>
      </c>
      <c r="F571" s="18">
        <v>-5008.613666669041</v>
      </c>
      <c r="G571" s="18">
        <v>-4.777684807777405e-13</v>
      </c>
      <c r="H571" s="12">
        <f>E572</f>
      </c>
      <c r="I571" s="12">
        <f>F572</f>
      </c>
      <c r="J571" s="12">
        <f>G572</f>
      </c>
      <c r="K571">
        <f>IF(AND(Pu&gt;=MIN(E571,H571),Pu&lt;=MAX(E571,H571),E571&lt;&gt;H571),1,0)</f>
      </c>
      <c r="L571">
        <f>IF(K571=1,(Pu-E571)/(H571-E571),"")</f>
      </c>
      <c r="M571" s="12">
        <f>IF(K571=1,F571+L571*(I571-F571),"")</f>
      </c>
      <c r="N571" s="12">
        <f>IF(K571=1,G571+L571*(J571-G571),"")</f>
      </c>
    </row>
    <row r="572" spans="2:14" x14ac:dyDescent="0.25">
      <c r="B572">
        <v>28</v>
      </c>
      <c r="C572">
        <v>270</v>
      </c>
      <c r="D572">
        <v>13</v>
      </c>
      <c r="E572" s="18">
        <v>7946.957395717584</v>
      </c>
      <c r="F572" s="18">
        <v>-5149.33317113616</v>
      </c>
      <c r="G572" s="18">
        <v>-1.117649177710215e-12</v>
      </c>
      <c r="H572" s="12">
        <f>E573</f>
      </c>
      <c r="I572" s="12">
        <f>F573</f>
      </c>
      <c r="J572" s="12">
        <f>G573</f>
      </c>
      <c r="K572">
        <f>IF(AND(Pu&gt;=MIN(E572,H572),Pu&lt;=MAX(E572,H572),E572&lt;&gt;H572),1,0)</f>
      </c>
      <c r="L572">
        <f>IF(K572=1,(Pu-E572)/(H572-E572),"")</f>
      </c>
      <c r="M572" s="12">
        <f>IF(K572=1,F572+L572*(I572-F572),"")</f>
      </c>
      <c r="N572" s="12">
        <f>IF(K572=1,G572+L572*(J572-G572),"")</f>
      </c>
    </row>
    <row r="573" spans="2:14" x14ac:dyDescent="0.25">
      <c r="B573">
        <v>28</v>
      </c>
      <c r="C573">
        <v>270</v>
      </c>
      <c r="D573">
        <v>14</v>
      </c>
      <c r="E573" s="18">
        <v>7513.284240003964</v>
      </c>
      <c r="F573" s="18">
        <v>-5409.306186011452</v>
      </c>
      <c r="G573" s="18">
        <v>-1.0845251381397247e-12</v>
      </c>
      <c r="H573" s="12">
        <f>E574</f>
      </c>
      <c r="I573" s="12">
        <f>F574</f>
      </c>
      <c r="J573" s="12">
        <f>G574</f>
      </c>
      <c r="K573">
        <f>IF(AND(Pu&gt;=MIN(E573,H573),Pu&lt;=MAX(E573,H573),E573&lt;&gt;H573),1,0)</f>
      </c>
      <c r="L573">
        <f>IF(K573=1,(Pu-E573)/(H573-E573),"")</f>
      </c>
      <c r="M573" s="12">
        <f>IF(K573=1,F573+L573*(I573-F573),"")</f>
      </c>
      <c r="N573" s="12">
        <f>IF(K573=1,G573+L573*(J573-G573),"")</f>
      </c>
    </row>
    <row r="574" spans="2:14" x14ac:dyDescent="0.25">
      <c r="B574">
        <v>28</v>
      </c>
      <c r="C574">
        <v>270</v>
      </c>
      <c r="D574">
        <v>15</v>
      </c>
      <c r="E574" s="18">
        <v>6690.0008168353415</v>
      </c>
      <c r="F574" s="18">
        <v>-5227.358557105921</v>
      </c>
      <c r="G574" s="18">
        <v>-5.185138434171676e-13</v>
      </c>
      <c r="H574" s="12">
        <f>E575</f>
      </c>
      <c r="I574" s="12">
        <f>F575</f>
      </c>
      <c r="J574" s="12">
        <f>G575</f>
      </c>
      <c r="K574">
        <f>IF(AND(Pu&gt;=MIN(E574,H574),Pu&lt;=MAX(E574,H574),E574&lt;&gt;H574),1,0)</f>
      </c>
      <c r="L574">
        <f>IF(K574=1,(Pu-E574)/(H574-E574),"")</f>
      </c>
      <c r="M574" s="12">
        <f>IF(K574=1,F574+L574*(I574-F574),"")</f>
      </c>
      <c r="N574" s="12">
        <f>IF(K574=1,G574+L574*(J574-G574),"")</f>
      </c>
    </row>
    <row r="575" spans="2:14" x14ac:dyDescent="0.25">
      <c r="B575">
        <v>28</v>
      </c>
      <c r="C575">
        <v>270</v>
      </c>
      <c r="D575">
        <v>16</v>
      </c>
      <c r="E575" s="18">
        <v>5420.099240749144</v>
      </c>
      <c r="F575" s="18">
        <v>-4886.879129814068</v>
      </c>
      <c r="G575" s="18">
        <v>-7.409602403640747e-13</v>
      </c>
      <c r="H575" s="12">
        <f>E576</f>
      </c>
      <c r="I575" s="12">
        <f>F576</f>
      </c>
      <c r="J575" s="12">
        <f>G576</f>
      </c>
      <c r="K575">
        <f>IF(AND(Pu&gt;=MIN(E575,H575),Pu&lt;=MAX(E575,H575),E575&lt;&gt;H575),1,0)</f>
      </c>
      <c r="L575">
        <f>IF(K575=1,(Pu-E575)/(H575-E575),"")</f>
      </c>
      <c r="M575" s="12">
        <f>IF(K575=1,F575+L575*(I575-F575),"")</f>
      </c>
      <c r="N575" s="12">
        <f>IF(K575=1,G575+L575*(J575-G575),"")</f>
      </c>
    </row>
    <row r="576" spans="2:14" x14ac:dyDescent="0.25">
      <c r="B576">
        <v>28</v>
      </c>
      <c r="C576">
        <v>270</v>
      </c>
      <c r="D576">
        <v>17</v>
      </c>
      <c r="E576" s="18">
        <v>4398.307300813494</v>
      </c>
      <c r="F576" s="18">
        <v>-4551.919882185922</v>
      </c>
      <c r="G576" s="18">
        <v>-9.634066373109819e-13</v>
      </c>
      <c r="H576" s="12">
        <f>E577</f>
      </c>
      <c r="I576" s="12">
        <f>F577</f>
      </c>
      <c r="J576" s="12">
        <f>G577</f>
      </c>
      <c r="K576">
        <f>IF(AND(Pu&gt;=MIN(E576,H576),Pu&lt;=MAX(E576,H576),E576&lt;&gt;H576),1,0)</f>
      </c>
      <c r="L576">
        <f>IF(K576=1,(Pu-E576)/(H576-E576),"")</f>
      </c>
      <c r="M576" s="12">
        <f>IF(K576=1,F576+L576*(I576-F576),"")</f>
      </c>
      <c r="N576" s="12">
        <f>IF(K576=1,G576+L576*(J576-G576),"")</f>
      </c>
    </row>
    <row r="577" spans="2:14" x14ac:dyDescent="0.25">
      <c r="B577">
        <v>28</v>
      </c>
      <c r="C577">
        <v>270</v>
      </c>
      <c r="D577">
        <v>18</v>
      </c>
      <c r="E577" s="18">
        <v>2308.7541689183035</v>
      </c>
      <c r="F577" s="18">
        <v>-3737.5175014467472</v>
      </c>
      <c r="G577" s="18">
        <v>-9.257395429598583e-13</v>
      </c>
      <c r="H577" s="12">
        <f>E578</f>
      </c>
      <c r="I577" s="12">
        <f>F578</f>
      </c>
      <c r="J577" s="12">
        <f>G578</f>
      </c>
      <c r="K577">
        <f>IF(AND(Pu&gt;=MIN(E577,H577),Pu&lt;=MAX(E577,H577),E577&lt;&gt;H577),1,0)</f>
      </c>
      <c r="L577">
        <f>IF(K577=1,(Pu-E577)/(H577-E577),"")</f>
      </c>
      <c r="M577" s="12">
        <f>IF(K577=1,F577+L577*(I577-F577),"")</f>
      </c>
      <c r="N577" s="12">
        <f>IF(K577=1,G577+L577*(J577-G577),"")</f>
      </c>
    </row>
    <row r="578" spans="2:14" x14ac:dyDescent="0.25">
      <c r="B578">
        <v>28</v>
      </c>
      <c r="C578">
        <v>270</v>
      </c>
      <c r="D578">
        <v>19</v>
      </c>
      <c r="E578" s="18">
        <v>1035.2538797972836</v>
      </c>
      <c r="F578" s="18">
        <v>-3170.1497271545063</v>
      </c>
      <c r="G578" s="18">
        <v>-1.2412025877582214e-12</v>
      </c>
      <c r="H578" s="12">
        <f>E579</f>
      </c>
      <c r="I578" s="12">
        <f>F579</f>
      </c>
      <c r="J578" s="12">
        <f>G579</f>
      </c>
      <c r="K578">
        <f>IF(AND(Pu&gt;=MIN(E578,H578),Pu&lt;=MAX(E578,H578),E578&lt;&gt;H578),1,0)</f>
      </c>
      <c r="L578">
        <f>IF(K578=1,(Pu-E578)/(H578-E578),"")</f>
      </c>
      <c r="M578" s="12">
        <f>IF(K578=1,F578+L578*(I578-F578),"")</f>
      </c>
      <c r="N578" s="12">
        <f>IF(K578=1,G578+L578*(J578-G578),"")</f>
      </c>
    </row>
    <row r="579" spans="2:7" x14ac:dyDescent="0.25">
      <c r="B579">
        <v>28</v>
      </c>
      <c r="C579">
        <v>270</v>
      </c>
      <c r="D579">
        <v>20</v>
      </c>
      <c r="E579" s="18">
        <v>-1386.9705879741575</v>
      </c>
      <c r="F579" s="18">
        <v>-1934.4394333303612</v>
      </c>
      <c r="G579" s="18">
        <v>-9.862744211254962e-13</v>
      </c>
    </row>
    <row r="581" spans="2:14" x14ac:dyDescent="0.25">
      <c r="B581">
        <v>29</v>
      </c>
      <c r="C581">
        <v>280</v>
      </c>
      <c r="D581">
        <v>1</v>
      </c>
      <c r="E581" s="18">
        <v>17113.049469113812</v>
      </c>
      <c r="F581" s="18">
        <v>-2364.084973480511</v>
      </c>
      <c r="G581" s="18">
        <v>755.0916055121608</v>
      </c>
      <c r="H581" s="12">
        <f>E582</f>
      </c>
      <c r="I581" s="12">
        <f>F582</f>
      </c>
      <c r="J581" s="12">
        <f>G582</f>
      </c>
      <c r="K581">
        <f>IF(AND(Pu&gt;=MIN(E581,H581),Pu&lt;=MAX(E581,H581),E581&lt;&gt;H581),1,0)</f>
      </c>
      <c r="L581">
        <f>IF(K581=1,(Pu-E581)/(H581-E581),"")</f>
      </c>
      <c r="M581" s="12">
        <f>IF(K581=1,F581+L581*(I581-F581),"")</f>
      </c>
      <c r="N581" s="12">
        <f>IF(K581=1,G581+L581*(J581-G581),"")</f>
      </c>
    </row>
    <row r="582" spans="2:14" x14ac:dyDescent="0.25">
      <c r="B582">
        <v>29</v>
      </c>
      <c r="C582">
        <v>280</v>
      </c>
      <c r="D582">
        <v>2</v>
      </c>
      <c r="E582" s="18">
        <v>15584.579585010602</v>
      </c>
      <c r="F582" s="18">
        <v>-2957.074391113024</v>
      </c>
      <c r="G582" s="18">
        <v>694.6412418661431</v>
      </c>
      <c r="H582" s="12">
        <f>E583</f>
      </c>
      <c r="I582" s="12">
        <f>F583</f>
      </c>
      <c r="J582" s="12">
        <f>G583</f>
      </c>
      <c r="K582">
        <f>IF(AND(Pu&gt;=MIN(E582,H582),Pu&lt;=MAX(E582,H582),E582&lt;&gt;H582),1,0)</f>
      </c>
      <c r="L582">
        <f>IF(K582=1,(Pu-E582)/(H582-E582),"")</f>
      </c>
      <c r="M582" s="12">
        <f>IF(K582=1,F582+L582*(I582-F582),"")</f>
      </c>
      <c r="N582" s="12">
        <f>IF(K582=1,G582+L582*(J582-G582),"")</f>
      </c>
    </row>
    <row r="583" spans="2:14" x14ac:dyDescent="0.25">
      <c r="B583">
        <v>29</v>
      </c>
      <c r="C583">
        <v>280</v>
      </c>
      <c r="D583">
        <v>3</v>
      </c>
      <c r="E583" s="18">
        <v>13401.39622070261</v>
      </c>
      <c r="F583" s="18">
        <v>-3597.3655587769886</v>
      </c>
      <c r="G583" s="18">
        <v>672.8634776325082</v>
      </c>
      <c r="H583" s="12">
        <f>E584</f>
      </c>
      <c r="I583" s="12">
        <f>F584</f>
      </c>
      <c r="J583" s="12">
        <f>G584</f>
      </c>
      <c r="K583">
        <f>IF(AND(Pu&gt;=MIN(E583,H583),Pu&lt;=MAX(E583,H583),E583&lt;&gt;H583),1,0)</f>
      </c>
      <c r="L583">
        <f>IF(K583=1,(Pu-E583)/(H583-E583),"")</f>
      </c>
      <c r="M583" s="12">
        <f>IF(K583=1,F583+L583*(I583-F583),"")</f>
      </c>
      <c r="N583" s="12">
        <f>IF(K583=1,G583+L583*(J583-G583),"")</f>
      </c>
    </row>
    <row r="584" spans="2:14" x14ac:dyDescent="0.25">
      <c r="B584">
        <v>29</v>
      </c>
      <c r="C584">
        <v>280</v>
      </c>
      <c r="D584">
        <v>4</v>
      </c>
      <c r="E584" s="18">
        <v>12538.777426234723</v>
      </c>
      <c r="F584" s="18">
        <v>-3782.6351603388953</v>
      </c>
      <c r="G584" s="18">
        <v>700.2764126649976</v>
      </c>
      <c r="H584" s="12">
        <f>E585</f>
      </c>
      <c r="I584" s="12">
        <f>F585</f>
      </c>
      <c r="J584" s="12">
        <f>G585</f>
      </c>
      <c r="K584">
        <f>IF(AND(Pu&gt;=MIN(E584,H584),Pu&lt;=MAX(E584,H584),E584&lt;&gt;H584),1,0)</f>
      </c>
      <c r="L584">
        <f>IF(K584=1,(Pu-E584)/(H584-E584),"")</f>
      </c>
      <c r="M584" s="12">
        <f>IF(K584=1,F584+L584*(I584-F584),"")</f>
      </c>
      <c r="N584" s="12">
        <f>IF(K584=1,G584+L584*(J584-G584),"")</f>
      </c>
    </row>
    <row r="585" spans="2:14" x14ac:dyDescent="0.25">
      <c r="B585">
        <v>29</v>
      </c>
      <c r="C585">
        <v>280</v>
      </c>
      <c r="D585">
        <v>5</v>
      </c>
      <c r="E585" s="18">
        <v>11737.913111242178</v>
      </c>
      <c r="F585" s="18">
        <v>-3928.7390956508675</v>
      </c>
      <c r="G585" s="18">
        <v>718.6325722833366</v>
      </c>
      <c r="H585" s="12">
        <f>E586</f>
      </c>
      <c r="I585" s="12">
        <f>F586</f>
      </c>
      <c r="J585" s="12">
        <f>G586</f>
      </c>
      <c r="K585">
        <f>IF(AND(Pu&gt;=MIN(E585,H585),Pu&lt;=MAX(E585,H585),E585&lt;&gt;H585),1,0)</f>
      </c>
      <c r="L585">
        <f>IF(K585=1,(Pu-E585)/(H585-E585),"")</f>
      </c>
      <c r="M585" s="12">
        <f>IF(K585=1,F585+L585*(I585-F585),"")</f>
      </c>
      <c r="N585" s="12">
        <f>IF(K585=1,G585+L585*(J585-G585),"")</f>
      </c>
    </row>
    <row r="586" spans="2:14" x14ac:dyDescent="0.25">
      <c r="B586">
        <v>29</v>
      </c>
      <c r="C586">
        <v>280</v>
      </c>
      <c r="D586">
        <v>6</v>
      </c>
      <c r="E586" s="18">
        <v>10999.745046410577</v>
      </c>
      <c r="F586" s="18">
        <v>-4043.4548573568986</v>
      </c>
      <c r="G586" s="18">
        <v>736.988731901676</v>
      </c>
      <c r="H586" s="12">
        <f>E587</f>
      </c>
      <c r="I586" s="12">
        <f>F587</f>
      </c>
      <c r="J586" s="12">
        <f>G587</f>
      </c>
      <c r="K586">
        <f>IF(AND(Pu&gt;=MIN(E586,H586),Pu&lt;=MAX(E586,H586),E586&lt;&gt;H586),1,0)</f>
      </c>
      <c r="L586">
        <f>IF(K586=1,(Pu-E586)/(H586-E586),"")</f>
      </c>
      <c r="M586" s="12">
        <f>IF(K586=1,F586+L586*(I586-F586),"")</f>
      </c>
      <c r="N586" s="12">
        <f>IF(K586=1,G586+L586*(J586-G586),"")</f>
      </c>
    </row>
    <row r="587" spans="2:14" x14ac:dyDescent="0.25">
      <c r="B587">
        <v>29</v>
      </c>
      <c r="C587">
        <v>280</v>
      </c>
      <c r="D587">
        <v>7</v>
      </c>
      <c r="E587" s="18">
        <v>10327.807348599992</v>
      </c>
      <c r="F587" s="18">
        <v>-4136.515355219281</v>
      </c>
      <c r="G587" s="18">
        <v>746.2802154755701</v>
      </c>
      <c r="H587" s="12">
        <f>E588</f>
      </c>
      <c r="I587" s="12">
        <f>F588</f>
      </c>
      <c r="J587" s="12">
        <f>G588</f>
      </c>
      <c r="K587">
        <f>IF(AND(Pu&gt;=MIN(E587,H587),Pu&lt;=MAX(E587,H587),E587&lt;&gt;H587),1,0)</f>
      </c>
      <c r="L587">
        <f>IF(K587=1,(Pu-E587)/(H587-E587),"")</f>
      </c>
      <c r="M587" s="12">
        <f>IF(K587=1,F587+L587*(I587-F587),"")</f>
      </c>
      <c r="N587" s="12">
        <f>IF(K587=1,G587+L587*(J587-G587),"")</f>
      </c>
    </row>
    <row r="588" spans="2:14" x14ac:dyDescent="0.25">
      <c r="B588">
        <v>29</v>
      </c>
      <c r="C588">
        <v>280</v>
      </c>
      <c r="D588">
        <v>8</v>
      </c>
      <c r="E588" s="18">
        <v>9687.582776052615</v>
      </c>
      <c r="F588" s="18">
        <v>-4211.333131020702</v>
      </c>
      <c r="G588" s="18">
        <v>764.6363750939097</v>
      </c>
      <c r="H588" s="12">
        <f>E589</f>
      </c>
      <c r="I588" s="12">
        <f>F589</f>
      </c>
      <c r="J588" s="12">
        <f>G589</f>
      </c>
      <c r="K588">
        <f>IF(AND(Pu&gt;=MIN(E588,H588),Pu&lt;=MAX(E588,H588),E588&lt;&gt;H588),1,0)</f>
      </c>
      <c r="L588">
        <f>IF(K588=1,(Pu-E588)/(H588-E588),"")</f>
      </c>
      <c r="M588" s="12">
        <f>IF(K588=1,F588+L588*(I588-F588),"")</f>
      </c>
      <c r="N588" s="12">
        <f>IF(K588=1,G588+L588*(J588-G588),"")</f>
      </c>
    </row>
    <row r="589" spans="2:14" x14ac:dyDescent="0.25">
      <c r="B589">
        <v>29</v>
      </c>
      <c r="C589">
        <v>280</v>
      </c>
      <c r="D589">
        <v>9</v>
      </c>
      <c r="E589" s="18">
        <v>9099.358056058563</v>
      </c>
      <c r="F589" s="18">
        <v>-4272.36087254528</v>
      </c>
      <c r="G589" s="18">
        <v>792.0572107566936</v>
      </c>
      <c r="H589" s="12">
        <f>E590</f>
      </c>
      <c r="I589" s="12">
        <f>F590</f>
      </c>
      <c r="J589" s="12">
        <f>G590</f>
      </c>
      <c r="K589">
        <f>IF(AND(Pu&gt;=MIN(E589,H589),Pu&lt;=MAX(E589,H589),E589&lt;&gt;H589),1,0)</f>
      </c>
      <c r="L589">
        <f>IF(K589=1,(Pu-E589)/(H589-E589),"")</f>
      </c>
      <c r="M589" s="12">
        <f>IF(K589=1,F589+L589*(I589-F589),"")</f>
      </c>
      <c r="N589" s="12">
        <f>IF(K589=1,G589+L589*(J589-G589),"")</f>
      </c>
    </row>
    <row r="590" spans="2:14" x14ac:dyDescent="0.25">
      <c r="B590">
        <v>29</v>
      </c>
      <c r="C590">
        <v>280</v>
      </c>
      <c r="D590">
        <v>10</v>
      </c>
      <c r="E590" s="18">
        <v>8517.980852627412</v>
      </c>
      <c r="F590" s="18">
        <v>-4534.859849715966</v>
      </c>
      <c r="G590" s="18">
        <v>842.3570419294921</v>
      </c>
      <c r="H590" s="12">
        <f>E591</f>
      </c>
      <c r="I590" s="12">
        <f>F591</f>
      </c>
      <c r="J590" s="12">
        <f>G591</f>
      </c>
      <c r="K590">
        <f>IF(AND(Pu&gt;=MIN(E590,H590),Pu&lt;=MAX(E590,H590),E590&lt;&gt;H590),1,0)</f>
      </c>
      <c r="L590">
        <f>IF(K590=1,(Pu-E590)/(H590-E590),"")</f>
      </c>
      <c r="M590" s="12">
        <f>IF(K590=1,F590+L590*(I590-F590),"")</f>
      </c>
      <c r="N590" s="12">
        <f>IF(K590=1,G590+L590*(J590-G590),"")</f>
      </c>
    </row>
    <row r="591" spans="2:14" x14ac:dyDescent="0.25">
      <c r="B591">
        <v>29</v>
      </c>
      <c r="C591">
        <v>280</v>
      </c>
      <c r="D591">
        <v>11</v>
      </c>
      <c r="E591" s="18">
        <v>8092.396337474147</v>
      </c>
      <c r="F591" s="18">
        <v>-4701.845133697934</v>
      </c>
      <c r="G591" s="18">
        <v>901.5792235639803</v>
      </c>
      <c r="H591" s="12">
        <f>E592</f>
      </c>
      <c r="I591" s="12">
        <f>F592</f>
      </c>
      <c r="J591" s="12">
        <f>G592</f>
      </c>
      <c r="K591">
        <f>IF(AND(Pu&gt;=MIN(E591,H591),Pu&lt;=MAX(E591,H591),E591&lt;&gt;H591),1,0)</f>
      </c>
      <c r="L591">
        <f>IF(K591=1,(Pu-E591)/(H591-E591),"")</f>
      </c>
      <c r="M591" s="12">
        <f>IF(K591=1,F591+L591*(I591-F591),"")</f>
      </c>
      <c r="N591" s="12">
        <f>IF(K591=1,G591+L591*(J591-G591),"")</f>
      </c>
    </row>
    <row r="592" spans="2:14" x14ac:dyDescent="0.25">
      <c r="B592">
        <v>29</v>
      </c>
      <c r="C592">
        <v>280</v>
      </c>
      <c r="D592">
        <v>12</v>
      </c>
      <c r="E592" s="18">
        <v>7741.657323242597</v>
      </c>
      <c r="F592" s="18">
        <v>-4835.4408718466875</v>
      </c>
      <c r="G592" s="18">
        <v>928.0698766942209</v>
      </c>
      <c r="H592" s="12">
        <f>E593</f>
      </c>
      <c r="I592" s="12">
        <f>F593</f>
      </c>
      <c r="J592" s="12">
        <f>G593</f>
      </c>
      <c r="K592">
        <f>IF(AND(Pu&gt;=MIN(E592,H592),Pu&lt;=MAX(E592,H592),E592&lt;&gt;H592),1,0)</f>
      </c>
      <c r="L592">
        <f>IF(K592=1,(Pu-E592)/(H592-E592),"")</f>
      </c>
      <c r="M592" s="12">
        <f>IF(K592=1,F592+L592*(I592-F592),"")</f>
      </c>
      <c r="N592" s="12">
        <f>IF(K592=1,G592+L592*(J592-G592),"")</f>
      </c>
    </row>
    <row r="593" spans="2:14" x14ac:dyDescent="0.25">
      <c r="B593">
        <v>29</v>
      </c>
      <c r="C593">
        <v>280</v>
      </c>
      <c r="D593">
        <v>13</v>
      </c>
      <c r="E593" s="18">
        <v>7393.1015738130245</v>
      </c>
      <c r="F593" s="18">
        <v>-4949.502093730552</v>
      </c>
      <c r="G593" s="18">
        <v>979.6819943519996</v>
      </c>
      <c r="H593" s="12">
        <f>E594</f>
      </c>
      <c r="I593" s="12">
        <f>F594</f>
      </c>
      <c r="J593" s="12">
        <f>G594</f>
      </c>
      <c r="K593">
        <f>IF(AND(Pu&gt;=MIN(E593,H593),Pu&lt;=MAX(E593,H593),E593&lt;&gt;H593),1,0)</f>
      </c>
      <c r="L593">
        <f>IF(K593=1,(Pu-E593)/(H593-E593),"")</f>
      </c>
      <c r="M593" s="12">
        <f>IF(K593=1,F593+L593*(I593-F593),"")</f>
      </c>
      <c r="N593" s="12">
        <f>IF(K593=1,G593+L593*(J593-G593),"")</f>
      </c>
    </row>
    <row r="594" spans="2:14" x14ac:dyDescent="0.25">
      <c r="B594">
        <v>29</v>
      </c>
      <c r="C594">
        <v>280</v>
      </c>
      <c r="D594">
        <v>14</v>
      </c>
      <c r="E594" s="18">
        <v>6735.183205085431</v>
      </c>
      <c r="F594" s="18">
        <v>-5105.2945014178495</v>
      </c>
      <c r="G594" s="18">
        <v>1065.4580544092362</v>
      </c>
      <c r="H594" s="12">
        <f>E595</f>
      </c>
      <c r="I594" s="12">
        <f>F595</f>
      </c>
      <c r="J594" s="12">
        <f>G595</f>
      </c>
      <c r="K594">
        <f>IF(AND(Pu&gt;=MIN(E594,H594),Pu&lt;=MAX(E594,H594),E594&lt;&gt;H594),1,0)</f>
      </c>
      <c r="L594">
        <f>IF(K594=1,(Pu-E594)/(H594-E594),"")</f>
      </c>
      <c r="M594" s="12">
        <f>IF(K594=1,F594+L594*(I594-F594),"")</f>
      </c>
      <c r="N594" s="12">
        <f>IF(K594=1,G594+L594*(J594-G594),"")</f>
      </c>
    </row>
    <row r="595" spans="2:14" x14ac:dyDescent="0.25">
      <c r="B595">
        <v>29</v>
      </c>
      <c r="C595">
        <v>280</v>
      </c>
      <c r="D595">
        <v>15</v>
      </c>
      <c r="E595" s="18">
        <v>5640.820596567974</v>
      </c>
      <c r="F595" s="18">
        <v>-4810.121397692058</v>
      </c>
      <c r="G595" s="18">
        <v>1093.0845729616917</v>
      </c>
      <c r="H595" s="12">
        <f>E596</f>
      </c>
      <c r="I595" s="12">
        <f>F596</f>
      </c>
      <c r="J595" s="12">
        <f>G596</f>
      </c>
      <c r="K595">
        <f>IF(AND(Pu&gt;=MIN(E595,H595),Pu&lt;=MAX(E595,H595),E595&lt;&gt;H595),1,0)</f>
      </c>
      <c r="L595">
        <f>IF(K595=1,(Pu-E595)/(H595-E595),"")</f>
      </c>
      <c r="M595" s="12">
        <f>IF(K595=1,F595+L595*(I595-F595),"")</f>
      </c>
      <c r="N595" s="12">
        <f>IF(K595=1,G595+L595*(J595-G595),"")</f>
      </c>
    </row>
    <row r="596" spans="2:14" x14ac:dyDescent="0.25">
      <c r="B596">
        <v>29</v>
      </c>
      <c r="C596">
        <v>280</v>
      </c>
      <c r="D596">
        <v>16</v>
      </c>
      <c r="E596" s="18">
        <v>3747.6401687195876</v>
      </c>
      <c r="F596" s="18">
        <v>-4159.4290819482085</v>
      </c>
      <c r="G596" s="18">
        <v>1156.1548022636136</v>
      </c>
      <c r="H596" s="12">
        <f>E597</f>
      </c>
      <c r="I596" s="12">
        <f>F597</f>
      </c>
      <c r="J596" s="12">
        <f>G597</f>
      </c>
      <c r="K596">
        <f>IF(AND(Pu&gt;=MIN(E596,H596),Pu&lt;=MAX(E596,H596),E596&lt;&gt;H596),1,0)</f>
      </c>
      <c r="L596">
        <f>IF(K596=1,(Pu-E596)/(H596-E596),"")</f>
      </c>
      <c r="M596" s="12">
        <f>IF(K596=1,F596+L596*(I596-F596),"")</f>
      </c>
      <c r="N596" s="12">
        <f>IF(K596=1,G596+L596*(J596-G596),"")</f>
      </c>
    </row>
    <row r="597" spans="2:14" x14ac:dyDescent="0.25">
      <c r="B597">
        <v>29</v>
      </c>
      <c r="C597">
        <v>280</v>
      </c>
      <c r="D597">
        <v>17</v>
      </c>
      <c r="E597" s="18">
        <v>2301.235481367188</v>
      </c>
      <c r="F597" s="18">
        <v>-3586.1392289310966</v>
      </c>
      <c r="G597" s="18">
        <v>1186.7326106249511</v>
      </c>
      <c r="H597" s="12">
        <f>E598</f>
      </c>
      <c r="I597" s="12">
        <f>F598</f>
      </c>
      <c r="J597" s="12">
        <f>G598</f>
      </c>
      <c r="K597">
        <f>IF(AND(Pu&gt;=MIN(E597,H597),Pu&lt;=MAX(E597,H597),E597&lt;&gt;H597),1,0)</f>
      </c>
      <c r="L597">
        <f>IF(K597=1,(Pu-E597)/(H597-E597),"")</f>
      </c>
      <c r="M597" s="12">
        <f>IF(K597=1,F597+L597*(I597-F597),"")</f>
      </c>
      <c r="N597" s="12">
        <f>IF(K597=1,G597+L597*(J597-G597),"")</f>
      </c>
    </row>
    <row r="598" spans="2:14" x14ac:dyDescent="0.25">
      <c r="B598">
        <v>29</v>
      </c>
      <c r="C598">
        <v>280</v>
      </c>
      <c r="D598">
        <v>18</v>
      </c>
      <c r="E598" s="18">
        <v>-162.93872668379885</v>
      </c>
      <c r="F598" s="18">
        <v>-2464.4599413390465</v>
      </c>
      <c r="G598" s="18">
        <v>960.8067111597811</v>
      </c>
      <c r="H598" s="12">
        <f>E599</f>
      </c>
      <c r="I598" s="12">
        <f>F599</f>
      </c>
      <c r="J598" s="12">
        <f>G599</f>
      </c>
      <c r="K598">
        <f>IF(AND(Pu&gt;=MIN(E598,H598),Pu&lt;=MAX(E598,H598),E598&lt;&gt;H598),1,0)</f>
      </c>
      <c r="L598">
        <f>IF(K598=1,(Pu-E598)/(H598-E598),"")</f>
      </c>
      <c r="M598" s="12">
        <f>IF(K598=1,F598+L598*(I598-F598),"")</f>
      </c>
      <c r="N598" s="12">
        <f>IF(K598=1,G598+L598*(J598-G598),"")</f>
      </c>
    </row>
    <row r="599" spans="2:14" x14ac:dyDescent="0.25">
      <c r="B599">
        <v>29</v>
      </c>
      <c r="C599">
        <v>280</v>
      </c>
      <c r="D599">
        <v>19</v>
      </c>
      <c r="E599" s="18">
        <v>-1726.4291297732848</v>
      </c>
      <c r="F599" s="18">
        <v>-1700.3912982838137</v>
      </c>
      <c r="G599" s="18">
        <v>727.6224822136047</v>
      </c>
      <c r="H599" s="12">
        <f>E600</f>
      </c>
      <c r="I599" s="12">
        <f>F600</f>
      </c>
      <c r="J599" s="12">
        <f>G600</f>
      </c>
      <c r="K599">
        <f>IF(AND(Pu&gt;=MIN(E599,H599),Pu&lt;=MAX(E599,H599),E599&lt;&gt;H599),1,0)</f>
      </c>
      <c r="L599">
        <f>IF(K599=1,(Pu-E599)/(H599-E599),"")</f>
      </c>
      <c r="M599" s="12">
        <f>IF(K599=1,F599+L599*(I599-F599),"")</f>
      </c>
      <c r="N599" s="12">
        <f>IF(K599=1,G599+L599*(J599-G599),"")</f>
      </c>
    </row>
    <row r="600" spans="2:7" x14ac:dyDescent="0.25">
      <c r="B600">
        <v>29</v>
      </c>
      <c r="C600">
        <v>280</v>
      </c>
      <c r="D600">
        <v>20</v>
      </c>
      <c r="E600" s="18">
        <v>-4046.776418624003</v>
      </c>
      <c r="F600" s="18">
        <v>-481.6051814657576</v>
      </c>
      <c r="G600" s="18">
        <v>340.51611774503897</v>
      </c>
    </row>
    <row r="602" spans="2:14" x14ac:dyDescent="0.25">
      <c r="B602">
        <v>30</v>
      </c>
      <c r="C602">
        <v>290.00000000000006</v>
      </c>
      <c r="D602">
        <v>1</v>
      </c>
      <c r="E602" s="18">
        <v>16402.860173841535</v>
      </c>
      <c r="F602" s="18">
        <v>-2466.1710306399073</v>
      </c>
      <c r="G602" s="18">
        <v>1379.48251820677</v>
      </c>
      <c r="H602" s="12">
        <f>E603</f>
      </c>
      <c r="I602" s="12">
        <f>F603</f>
      </c>
      <c r="J602" s="12">
        <f>G603</f>
      </c>
      <c r="K602">
        <f>IF(AND(Pu&gt;=MIN(E602,H602),Pu&lt;=MAX(E602,H602),E602&lt;&gt;H602),1,0)</f>
      </c>
      <c r="L602">
        <f>IF(K602=1,(Pu-E602)/(H602-E602),"")</f>
      </c>
      <c r="M602" s="12">
        <f>IF(K602=1,F602+L602*(I602-F602),"")</f>
      </c>
      <c r="N602" s="12">
        <f>IF(K602=1,G602+L602*(J602-G602),"")</f>
      </c>
    </row>
    <row r="603" spans="2:14" x14ac:dyDescent="0.25">
      <c r="B603">
        <v>30</v>
      </c>
      <c r="C603">
        <v>290.00000000000006</v>
      </c>
      <c r="D603">
        <v>2</v>
      </c>
      <c r="E603" s="18">
        <v>13718.869376902878</v>
      </c>
      <c r="F603" s="18">
        <v>-3324.2285202409867</v>
      </c>
      <c r="G603" s="18">
        <v>1376.0762869814719</v>
      </c>
      <c r="H603" s="12">
        <f>E604</f>
      </c>
      <c r="I603" s="12">
        <f>F604</f>
      </c>
      <c r="J603" s="12">
        <f>G604</f>
      </c>
      <c r="K603">
        <f>IF(AND(Pu&gt;=MIN(E603,H603),Pu&lt;=MAX(E603,H603),E603&lt;&gt;H603),1,0)</f>
      </c>
      <c r="L603">
        <f>IF(K603=1,(Pu-E603)/(H603-E603),"")</f>
      </c>
      <c r="M603" s="12">
        <f>IF(K603=1,F603+L603*(I603-F603),"")</f>
      </c>
      <c r="N603" s="12">
        <f>IF(K603=1,G603+L603*(J603-G603),"")</f>
      </c>
    </row>
    <row r="604" spans="2:14" x14ac:dyDescent="0.25">
      <c r="B604">
        <v>30</v>
      </c>
      <c r="C604">
        <v>290.00000000000006</v>
      </c>
      <c r="D604">
        <v>3</v>
      </c>
      <c r="E604" s="18">
        <v>12744.957868523814</v>
      </c>
      <c r="F604" s="18">
        <v>-3542.008358309781</v>
      </c>
      <c r="G604" s="18">
        <v>1410.9333713563692</v>
      </c>
      <c r="H604" s="12">
        <f>E605</f>
      </c>
      <c r="I604" s="12">
        <f>F605</f>
      </c>
      <c r="J604" s="12">
        <f>G605</f>
      </c>
      <c r="K604">
        <f>IF(AND(Pu&gt;=MIN(E604,H604),Pu&lt;=MAX(E604,H604),E604&lt;&gt;H604),1,0)</f>
      </c>
      <c r="L604">
        <f>IF(K604=1,(Pu-E604)/(H604-E604),"")</f>
      </c>
      <c r="M604" s="12">
        <f>IF(K604=1,F604+L604*(I604-F604),"")</f>
      </c>
      <c r="N604" s="12">
        <f>IF(K604=1,G604+L604*(J604-G604),"")</f>
      </c>
    </row>
    <row r="605" spans="2:14" x14ac:dyDescent="0.25">
      <c r="B605">
        <v>30</v>
      </c>
      <c r="C605">
        <v>290.00000000000006</v>
      </c>
      <c r="D605">
        <v>4</v>
      </c>
      <c r="E605" s="18">
        <v>11872.925768562733</v>
      </c>
      <c r="F605" s="18">
        <v>-3706.3377111254467</v>
      </c>
      <c r="G605" s="18">
        <v>1428.5243211475042</v>
      </c>
      <c r="H605" s="12">
        <f>E606</f>
      </c>
      <c r="I605" s="12">
        <f>F606</f>
      </c>
      <c r="J605" s="12">
        <f>G606</f>
      </c>
      <c r="K605">
        <f>IF(AND(Pu&gt;=MIN(E605,H605),Pu&lt;=MAX(E605,H605),E605&lt;&gt;H605),1,0)</f>
      </c>
      <c r="L605">
        <f>IF(K605=1,(Pu-E605)/(H605-E605),"")</f>
      </c>
      <c r="M605" s="12">
        <f>IF(K605=1,F605+L605*(I605-F605),"")</f>
      </c>
      <c r="N605" s="12">
        <f>IF(K605=1,G605+L605*(J605-G605),"")</f>
      </c>
    </row>
    <row r="606" spans="2:14" x14ac:dyDescent="0.25">
      <c r="B606">
        <v>30</v>
      </c>
      <c r="C606">
        <v>290.00000000000006</v>
      </c>
      <c r="D606">
        <v>5</v>
      </c>
      <c r="E606" s="18">
        <v>11068.391549557175</v>
      </c>
      <c r="F606" s="18">
        <v>-3824.0399705365303</v>
      </c>
      <c r="G606" s="18">
        <v>1457.8706348871613</v>
      </c>
      <c r="H606" s="12">
        <f>E607</f>
      </c>
      <c r="I606" s="12">
        <f>F607</f>
      </c>
      <c r="J606" s="12">
        <f>G607</f>
      </c>
      <c r="K606">
        <f>IF(AND(Pu&gt;=MIN(E606,H606),Pu&lt;=MAX(E606,H606),E606&lt;&gt;H606),1,0)</f>
      </c>
      <c r="L606">
        <f>IF(K606=1,(Pu-E606)/(H606-E606),"")</f>
      </c>
      <c r="M606" s="12">
        <f>IF(K606=1,F606+L606*(I606-F606),"")</f>
      </c>
      <c r="N606" s="12">
        <f>IF(K606=1,G606+L606*(J606-G606),"")</f>
      </c>
    </row>
    <row r="607" spans="2:14" x14ac:dyDescent="0.25">
      <c r="B607">
        <v>30</v>
      </c>
      <c r="C607">
        <v>290.00000000000006</v>
      </c>
      <c r="D607">
        <v>6</v>
      </c>
      <c r="E607" s="18">
        <v>10332.108876569117</v>
      </c>
      <c r="F607" s="18">
        <v>-3905.486047511333</v>
      </c>
      <c r="G607" s="18">
        <v>1498.591570669262</v>
      </c>
      <c r="H607" s="12">
        <f>E608</f>
      </c>
      <c r="I607" s="12">
        <f>F608</f>
      </c>
      <c r="J607" s="12">
        <f>G608</f>
      </c>
      <c r="K607">
        <f>IF(AND(Pu&gt;=MIN(E607,H607),Pu&lt;=MAX(E607,H607),E607&lt;&gt;H607),1,0)</f>
      </c>
      <c r="L607">
        <f>IF(K607=1,(Pu-E607)/(H607-E607),"")</f>
      </c>
      <c r="M607" s="12">
        <f>IF(K607=1,F607+L607*(I607-F607),"")</f>
      </c>
      <c r="N607" s="12">
        <f>IF(K607=1,G607+L607*(J607-G607),"")</f>
      </c>
    </row>
    <row r="608" spans="2:14" x14ac:dyDescent="0.25">
      <c r="B608">
        <v>30</v>
      </c>
      <c r="C608">
        <v>290.00000000000006</v>
      </c>
      <c r="D608">
        <v>7</v>
      </c>
      <c r="E608" s="18">
        <v>9631.833173417348</v>
      </c>
      <c r="F608" s="18">
        <v>-3968.4335048740827</v>
      </c>
      <c r="G608" s="18">
        <v>1531.0056507951042</v>
      </c>
      <c r="H608" s="12">
        <f>E609</f>
      </c>
      <c r="I608" s="12">
        <f>F609</f>
      </c>
      <c r="J608" s="12">
        <f>G609</f>
      </c>
      <c r="K608">
        <f>IF(AND(Pu&gt;=MIN(E608,H608),Pu&lt;=MAX(E608,H608),E608&lt;&gt;H608),1,0)</f>
      </c>
      <c r="L608">
        <f>IF(K608=1,(Pu-E608)/(H608-E608),"")</f>
      </c>
      <c r="M608" s="12">
        <f>IF(K608=1,F608+L608*(I608-F608),"")</f>
      </c>
      <c r="N608" s="12">
        <f>IF(K608=1,G608+L608*(J608-G608),"")</f>
      </c>
    </row>
    <row r="609" spans="2:14" x14ac:dyDescent="0.25">
      <c r="B609">
        <v>30</v>
      </c>
      <c r="C609">
        <v>290.00000000000006</v>
      </c>
      <c r="D609">
        <v>8</v>
      </c>
      <c r="E609" s="18">
        <v>8988.87000201194</v>
      </c>
      <c r="F609" s="18">
        <v>-4019.5926753333842</v>
      </c>
      <c r="G609" s="18">
        <v>1554.355054876503</v>
      </c>
      <c r="H609" s="12">
        <f>E610</f>
      </c>
      <c r="I609" s="12">
        <f>F610</f>
      </c>
      <c r="J609" s="12">
        <f>G610</f>
      </c>
      <c r="K609">
        <f>IF(AND(Pu&gt;=MIN(E609,H609),Pu&lt;=MAX(E609,H609),E609&lt;&gt;H609),1,0)</f>
      </c>
      <c r="L609">
        <f>IF(K609=1,(Pu-E609)/(H609-E609),"")</f>
      </c>
      <c r="M609" s="12">
        <f>IF(K609=1,F609+L609*(I609-F609),"")</f>
      </c>
      <c r="N609" s="12">
        <f>IF(K609=1,G609+L609*(J609-G609),"")</f>
      </c>
    </row>
    <row r="610" spans="2:14" x14ac:dyDescent="0.25">
      <c r="B610">
        <v>30</v>
      </c>
      <c r="C610">
        <v>290.00000000000006</v>
      </c>
      <c r="D610">
        <v>9</v>
      </c>
      <c r="E610" s="18">
        <v>8252.707873920059</v>
      </c>
      <c r="F610" s="18">
        <v>-4245.674202980197</v>
      </c>
      <c r="G610" s="18">
        <v>1679.4218659264657</v>
      </c>
      <c r="H610" s="12">
        <f>E611</f>
      </c>
      <c r="I610" s="12">
        <f>F611</f>
      </c>
      <c r="J610" s="12">
        <f>G611</f>
      </c>
      <c r="K610">
        <f>IF(AND(Pu&gt;=MIN(E610,H610),Pu&lt;=MAX(E610,H610),E610&lt;&gt;H610),1,0)</f>
      </c>
      <c r="L610">
        <f>IF(K610=1,(Pu-E610)/(H610-E610),"")</f>
      </c>
      <c r="M610" s="12">
        <f>IF(K610=1,F610+L610*(I610-F610),"")</f>
      </c>
      <c r="N610" s="12">
        <f>IF(K610=1,G610+L610*(J610-G610),"")</f>
      </c>
    </row>
    <row r="611" spans="2:14" x14ac:dyDescent="0.25">
      <c r="B611">
        <v>30</v>
      </c>
      <c r="C611">
        <v>290.00000000000006</v>
      </c>
      <c r="D611">
        <v>10</v>
      </c>
      <c r="E611" s="18">
        <v>7655.125540397136</v>
      </c>
      <c r="F611" s="18">
        <v>-4378.323743754362</v>
      </c>
      <c r="G611" s="18">
        <v>1783.600050229543</v>
      </c>
      <c r="H611" s="12">
        <f>E612</f>
      </c>
      <c r="I611" s="12">
        <f>F612</f>
      </c>
      <c r="J611" s="12">
        <f>G612</f>
      </c>
      <c r="K611">
        <f>IF(AND(Pu&gt;=MIN(E611,H611),Pu&lt;=MAX(E611,H611),E611&lt;&gt;H611),1,0)</f>
      </c>
      <c r="L611">
        <f>IF(K611=1,(Pu-E611)/(H611-E611),"")</f>
      </c>
      <c r="M611" s="12">
        <f>IF(K611=1,F611+L611*(I611-F611),"")</f>
      </c>
      <c r="N611" s="12">
        <f>IF(K611=1,G611+L611*(J611-G611),"")</f>
      </c>
    </row>
    <row r="612" spans="2:14" x14ac:dyDescent="0.25">
      <c r="B612">
        <v>30</v>
      </c>
      <c r="C612">
        <v>290.00000000000006</v>
      </c>
      <c r="D612">
        <v>11</v>
      </c>
      <c r="E612" s="18">
        <v>7128.513540078797</v>
      </c>
      <c r="F612" s="18">
        <v>-4456.497378530788</v>
      </c>
      <c r="G612" s="18">
        <v>1887.5318161874127</v>
      </c>
      <c r="H612" s="12">
        <f>E613</f>
      </c>
      <c r="I612" s="12">
        <f>F613</f>
      </c>
      <c r="J612" s="12">
        <f>G613</f>
      </c>
      <c r="K612">
        <f>IF(AND(Pu&gt;=MIN(E612,H612),Pu&lt;=MAX(E612,H612),E612&lt;&gt;H612),1,0)</f>
      </c>
      <c r="L612">
        <f>IF(K612=1,(Pu-E612)/(H612-E612),"")</f>
      </c>
      <c r="M612" s="12">
        <f>IF(K612=1,F612+L612*(I612-F612),"")</f>
      </c>
      <c r="N612" s="12">
        <f>IF(K612=1,G612+L612*(J612-G612),"")</f>
      </c>
    </row>
    <row r="613" spans="2:14" x14ac:dyDescent="0.25">
      <c r="B613">
        <v>30</v>
      </c>
      <c r="C613">
        <v>290.00000000000006</v>
      </c>
      <c r="D613">
        <v>12</v>
      </c>
      <c r="E613" s="18">
        <v>6661.153873931218</v>
      </c>
      <c r="F613" s="18">
        <v>-4486.6610485427545</v>
      </c>
      <c r="G613" s="18">
        <v>1976.8965861315078</v>
      </c>
      <c r="H613" s="12">
        <f>E614</f>
      </c>
      <c r="I613" s="12">
        <f>F614</f>
      </c>
      <c r="J613" s="12">
        <f>G614</f>
      </c>
      <c r="K613">
        <f>IF(AND(Pu&gt;=MIN(E613,H613),Pu&lt;=MAX(E613,H613),E613&lt;&gt;H613),1,0)</f>
      </c>
      <c r="L613">
        <f>IF(K613=1,(Pu-E613)/(H613-E613),"")</f>
      </c>
      <c r="M613" s="12">
        <f>IF(K613=1,F613+L613*(I613-F613),"")</f>
      </c>
      <c r="N613" s="12">
        <f>IF(K613=1,G613+L613*(J613-G613),"")</f>
      </c>
    </row>
    <row r="614" spans="2:14" x14ac:dyDescent="0.25">
      <c r="B614">
        <v>30</v>
      </c>
      <c r="C614">
        <v>290.00000000000006</v>
      </c>
      <c r="D614">
        <v>13</v>
      </c>
      <c r="E614" s="18">
        <v>5508.708329790143</v>
      </c>
      <c r="F614" s="18">
        <v>-4409.065284635744</v>
      </c>
      <c r="G614" s="18">
        <v>2188.501569054946</v>
      </c>
      <c r="H614" s="12">
        <f>E615</f>
      </c>
      <c r="I614" s="12">
        <f>F615</f>
      </c>
      <c r="J614" s="12">
        <f>G615</f>
      </c>
      <c r="K614">
        <f>IF(AND(Pu&gt;=MIN(E614,H614),Pu&lt;=MAX(E614,H614),E614&lt;&gt;H614),1,0)</f>
      </c>
      <c r="L614">
        <f>IF(K614=1,(Pu-E614)/(H614-E614),"")</f>
      </c>
      <c r="M614" s="12">
        <f>IF(K614=1,F614+L614*(I614-F614),"")</f>
      </c>
      <c r="N614" s="12">
        <f>IF(K614=1,G614+L614*(J614-G614),"")</f>
      </c>
    </row>
    <row r="615" spans="2:14" x14ac:dyDescent="0.25">
      <c r="B615">
        <v>30</v>
      </c>
      <c r="C615">
        <v>290.00000000000006</v>
      </c>
      <c r="D615">
        <v>14</v>
      </c>
      <c r="E615" s="18">
        <v>4141.388778317824</v>
      </c>
      <c r="F615" s="18">
        <v>-3979.124136727441</v>
      </c>
      <c r="G615" s="18">
        <v>2166.7792636844506</v>
      </c>
      <c r="H615" s="12">
        <f>E616</f>
      </c>
      <c r="I615" s="12">
        <f>F616</f>
      </c>
      <c r="J615" s="12">
        <f>G616</f>
      </c>
      <c r="K615">
        <f>IF(AND(Pu&gt;=MIN(E615,H615),Pu&lt;=MAX(E615,H615),E615&lt;&gt;H615),1,0)</f>
      </c>
      <c r="L615">
        <f>IF(K615=1,(Pu-E615)/(H615-E615),"")</f>
      </c>
      <c r="M615" s="12">
        <f>IF(K615=1,F615+L615*(I615-F615),"")</f>
      </c>
      <c r="N615" s="12">
        <f>IF(K615=1,G615+L615*(J615-G615),"")</f>
      </c>
    </row>
    <row r="616" spans="2:14" x14ac:dyDescent="0.25">
      <c r="B616">
        <v>30</v>
      </c>
      <c r="C616">
        <v>290.00000000000006</v>
      </c>
      <c r="D616">
        <v>15</v>
      </c>
      <c r="E616" s="18">
        <v>2174.956338595555</v>
      </c>
      <c r="F616" s="18">
        <v>-3254.7513959296084</v>
      </c>
      <c r="G616" s="18">
        <v>2039.5887020591172</v>
      </c>
      <c r="H616" s="12">
        <f>E617</f>
      </c>
      <c r="I616" s="12">
        <f>F617</f>
      </c>
      <c r="J616" s="12">
        <f>G617</f>
      </c>
      <c r="K616">
        <f>IF(AND(Pu&gt;=MIN(E616,H616),Pu&lt;=MAX(E616,H616),E616&lt;&gt;H616),1,0)</f>
      </c>
      <c r="L616">
        <f>IF(K616=1,(Pu-E616)/(H616-E616),"")</f>
      </c>
      <c r="M616" s="12">
        <f>IF(K616=1,F616+L616*(I616-F616),"")</f>
      </c>
      <c r="N616" s="12">
        <f>IF(K616=1,G616+L616*(J616-G616),"")</f>
      </c>
    </row>
    <row r="617" spans="2:14" x14ac:dyDescent="0.25">
      <c r="B617">
        <v>30</v>
      </c>
      <c r="C617">
        <v>290.00000000000006</v>
      </c>
      <c r="D617">
        <v>16</v>
      </c>
      <c r="E617" s="18">
        <v>922.3508553688686</v>
      </c>
      <c r="F617" s="18">
        <v>-2750.417066628022</v>
      </c>
      <c r="G617" s="18">
        <v>1834.6814242562616</v>
      </c>
      <c r="H617" s="12">
        <f>E618</f>
      </c>
      <c r="I617" s="12">
        <f>F618</f>
      </c>
      <c r="J617" s="12">
        <f>G618</f>
      </c>
      <c r="K617">
        <f>IF(AND(Pu&gt;=MIN(E617,H617),Pu&lt;=MAX(E617,H617),E617&lt;&gt;H617),1,0)</f>
      </c>
      <c r="L617">
        <f>IF(K617=1,(Pu-E617)/(H617-E617),"")</f>
      </c>
      <c r="M617" s="12">
        <f>IF(K617=1,F617+L617*(I617-F617),"")</f>
      </c>
      <c r="N617" s="12">
        <f>IF(K617=1,G617+L617*(J617-G617),"")</f>
      </c>
    </row>
    <row r="618" spans="2:14" x14ac:dyDescent="0.25">
      <c r="B618">
        <v>30</v>
      </c>
      <c r="C618">
        <v>290.00000000000006</v>
      </c>
      <c r="D618">
        <v>17</v>
      </c>
      <c r="E618" s="18">
        <v>-1331.0326370325452</v>
      </c>
      <c r="F618" s="18">
        <v>-1772.3147137848641</v>
      </c>
      <c r="G618" s="18">
        <v>1328.431899933759</v>
      </c>
      <c r="H618" s="12">
        <f>E619</f>
      </c>
      <c r="I618" s="12">
        <f>F619</f>
      </c>
      <c r="J618" s="12">
        <f>G619</f>
      </c>
      <c r="K618">
        <f>IF(AND(Pu&gt;=MIN(E618,H618),Pu&lt;=MAX(E618,H618),E618&lt;&gt;H618),1,0)</f>
      </c>
      <c r="L618">
        <f>IF(K618=1,(Pu-E618)/(H618-E618),"")</f>
      </c>
      <c r="M618" s="12">
        <f>IF(K618=1,F618+L618*(I618-F618),"")</f>
      </c>
      <c r="N618" s="12">
        <f>IF(K618=1,G618+L618*(J618-G618),"")</f>
      </c>
    </row>
    <row r="619" spans="2:14" x14ac:dyDescent="0.25">
      <c r="B619">
        <v>30</v>
      </c>
      <c r="C619">
        <v>290.00000000000006</v>
      </c>
      <c r="D619">
        <v>18</v>
      </c>
      <c r="E619" s="18">
        <v>-2582.9617941584816</v>
      </c>
      <c r="F619" s="18">
        <v>-1179.8767334014258</v>
      </c>
      <c r="G619" s="18">
        <v>969.9984270243798</v>
      </c>
      <c r="H619" s="12">
        <f>E620</f>
      </c>
      <c r="I619" s="12">
        <f>F620</f>
      </c>
      <c r="J619" s="12">
        <f>G620</f>
      </c>
      <c r="K619">
        <f>IF(AND(Pu&gt;=MIN(E619,H619),Pu&lt;=MAX(E619,H619),E619&lt;&gt;H619),1,0)</f>
      </c>
      <c r="L619">
        <f>IF(K619=1,(Pu-E619)/(H619-E619),"")</f>
      </c>
      <c r="M619" s="12">
        <f>IF(K619=1,F619+L619*(I619-F619),"")</f>
      </c>
      <c r="N619" s="12">
        <f>IF(K619=1,G619+L619*(J619-G619),"")</f>
      </c>
    </row>
    <row r="620" spans="2:7" x14ac:dyDescent="0.25">
      <c r="B620">
        <v>30</v>
      </c>
      <c r="C620">
        <v>290.00000000000006</v>
      </c>
      <c r="D620">
        <v>19</v>
      </c>
      <c r="E620" s="18">
        <v>-4318.169758120962</v>
      </c>
      <c r="F620" s="18">
        <v>-328.686164006675</v>
      </c>
      <c r="G620" s="18">
        <v>285.023222641046</v>
      </c>
    </row>
    <row r="622" spans="2:14" x14ac:dyDescent="0.25">
      <c r="B622">
        <v>31</v>
      </c>
      <c r="C622">
        <v>299.99999999999994</v>
      </c>
      <c r="D622">
        <v>1</v>
      </c>
      <c r="E622" s="18">
        <v>16822.911304027486</v>
      </c>
      <c r="F622" s="18">
        <v>-2091.077256537302</v>
      </c>
      <c r="G622" s="18">
        <v>1846.3121376499714</v>
      </c>
      <c r="H622" s="12">
        <f>E623</f>
      </c>
      <c r="I622" s="12">
        <f>F623</f>
      </c>
      <c r="J622" s="12">
        <f>G623</f>
      </c>
      <c r="K622">
        <f>IF(AND(Pu&gt;=MIN(E622,H622),Pu&lt;=MAX(E622,H622),E622&lt;&gt;H622),1,0)</f>
      </c>
      <c r="L622">
        <f>IF(K622=1,(Pu-E622)/(H622-E622),"")</f>
      </c>
      <c r="M622" s="12">
        <f>IF(K622=1,F622+L622*(I622-F622),"")</f>
      </c>
      <c r="N622" s="12">
        <f>IF(K622=1,G622+L622*(J622-G622),"")</f>
      </c>
    </row>
    <row r="623" spans="2:14" x14ac:dyDescent="0.25">
      <c r="B623">
        <v>31</v>
      </c>
      <c r="C623">
        <v>299.99999999999994</v>
      </c>
      <c r="D623">
        <v>2</v>
      </c>
      <c r="E623" s="18">
        <v>14070.917898113932</v>
      </c>
      <c r="F623" s="18">
        <v>-2928.034801895532</v>
      </c>
      <c r="G623" s="18">
        <v>2047.8332989882947</v>
      </c>
      <c r="H623" s="12">
        <f>E624</f>
      </c>
      <c r="I623" s="12">
        <f>F624</f>
      </c>
      <c r="J623" s="12">
        <f>G624</f>
      </c>
      <c r="K623">
        <f>IF(AND(Pu&gt;=MIN(E623,H623),Pu&lt;=MAX(E623,H623),E623&lt;&gt;H623),1,0)</f>
      </c>
      <c r="L623">
        <f>IF(K623=1,(Pu-E623)/(H623-E623),"")</f>
      </c>
      <c r="M623" s="12">
        <f>IF(K623=1,F623+L623*(I623-F623),"")</f>
      </c>
      <c r="N623" s="12">
        <f>IF(K623=1,G623+L623*(J623-G623),"")</f>
      </c>
    </row>
    <row r="624" spans="2:14" x14ac:dyDescent="0.25">
      <c r="B624">
        <v>31</v>
      </c>
      <c r="C624">
        <v>299.99999999999994</v>
      </c>
      <c r="D624">
        <v>3</v>
      </c>
      <c r="E624" s="18">
        <v>12901.856153672325</v>
      </c>
      <c r="F624" s="18">
        <v>-3190.0199009311577</v>
      </c>
      <c r="G624" s="18">
        <v>2099.0540102547484</v>
      </c>
      <c r="H624" s="12">
        <f>E625</f>
      </c>
      <c r="I624" s="12">
        <f>F625</f>
      </c>
      <c r="J624" s="12">
        <f>G625</f>
      </c>
      <c r="K624">
        <f>IF(AND(Pu&gt;=MIN(E624,H624),Pu&lt;=MAX(E624,H624),E624&lt;&gt;H624),1,0)</f>
      </c>
      <c r="L624">
        <f>IF(K624=1,(Pu-E624)/(H624-E624),"")</f>
      </c>
      <c r="M624" s="12">
        <f>IF(K624=1,F624+L624*(I624-F624),"")</f>
      </c>
      <c r="N624" s="12">
        <f>IF(K624=1,G624+L624*(J624-G624),"")</f>
      </c>
    </row>
    <row r="625" spans="2:14" x14ac:dyDescent="0.25">
      <c r="B625">
        <v>31</v>
      </c>
      <c r="C625">
        <v>299.99999999999994</v>
      </c>
      <c r="D625">
        <v>4</v>
      </c>
      <c r="E625" s="18">
        <v>11935.566040529275</v>
      </c>
      <c r="F625" s="18">
        <v>-3346.4962168695965</v>
      </c>
      <c r="G625" s="18">
        <v>2169.907487776093</v>
      </c>
      <c r="H625" s="12">
        <f>E626</f>
      </c>
      <c r="I625" s="12">
        <f>F626</f>
      </c>
      <c r="J625" s="12">
        <f>G626</f>
      </c>
      <c r="K625">
        <f>IF(AND(Pu&gt;=MIN(E625,H625),Pu&lt;=MAX(E625,H625),E625&lt;&gt;H625),1,0)</f>
      </c>
      <c r="L625">
        <f>IF(K625=1,(Pu-E625)/(H625-E625),"")</f>
      </c>
      <c r="M625" s="12">
        <f>IF(K625=1,F625+L625*(I625-F625),"")</f>
      </c>
      <c r="N625" s="12">
        <f>IF(K625=1,G625+L625*(J625-G625),"")</f>
      </c>
    </row>
    <row r="626" spans="2:14" x14ac:dyDescent="0.25">
      <c r="B626">
        <v>31</v>
      </c>
      <c r="C626">
        <v>299.99999999999994</v>
      </c>
      <c r="D626">
        <v>5</v>
      </c>
      <c r="E626" s="18">
        <v>11067.978856668195</v>
      </c>
      <c r="F626" s="18">
        <v>-3453.7456204671785</v>
      </c>
      <c r="G626" s="18">
        <v>2228.18432694101</v>
      </c>
      <c r="H626" s="12">
        <f>E627</f>
      </c>
      <c r="I626" s="12">
        <f>F627</f>
      </c>
      <c r="J626" s="12">
        <f>G627</f>
      </c>
      <c r="K626">
        <f>IF(AND(Pu&gt;=MIN(E626,H626),Pu&lt;=MAX(E626,H626),E626&lt;&gt;H626),1,0)</f>
      </c>
      <c r="L626">
        <f>IF(K626=1,(Pu-E626)/(H626-E626),"")</f>
      </c>
      <c r="M626" s="12">
        <f>IF(K626=1,F626+L626*(I626-F626),"")</f>
      </c>
      <c r="N626" s="12">
        <f>IF(K626=1,G626+L626*(J626-G626),"")</f>
      </c>
    </row>
    <row r="627" spans="2:14" x14ac:dyDescent="0.25">
      <c r="B627">
        <v>31</v>
      </c>
      <c r="C627">
        <v>299.99999999999994</v>
      </c>
      <c r="D627">
        <v>6</v>
      </c>
      <c r="E627" s="18">
        <v>10256.541858725835</v>
      </c>
      <c r="F627" s="18">
        <v>-3525.165508161801</v>
      </c>
      <c r="G627" s="18">
        <v>2285.8786708220973</v>
      </c>
      <c r="H627" s="12">
        <f>E628</f>
      </c>
      <c r="I627" s="12">
        <f>F628</f>
      </c>
      <c r="J627" s="12">
        <f>G628</f>
      </c>
      <c r="K627">
        <f>IF(AND(Pu&gt;=MIN(E627,H627),Pu&lt;=MAX(E627,H627),E627&lt;&gt;H627),1,0)</f>
      </c>
      <c r="L627">
        <f>IF(K627=1,(Pu-E627)/(H627-E627),"")</f>
      </c>
      <c r="M627" s="12">
        <f>IF(K627=1,F627+L627*(I627-F627),"")</f>
      </c>
      <c r="N627" s="12">
        <f>IF(K627=1,G627+L627*(J627-G627),"")</f>
      </c>
    </row>
    <row r="628" spans="2:14" x14ac:dyDescent="0.25">
      <c r="B628">
        <v>31</v>
      </c>
      <c r="C628">
        <v>299.99999999999994</v>
      </c>
      <c r="D628">
        <v>7</v>
      </c>
      <c r="E628" s="18">
        <v>9504.385690919626</v>
      </c>
      <c r="F628" s="18">
        <v>-3577.1883787229217</v>
      </c>
      <c r="G628" s="18">
        <v>2330.6042740806192</v>
      </c>
      <c r="H628" s="12">
        <f>E629</f>
      </c>
      <c r="I628" s="12">
        <f>F629</f>
      </c>
      <c r="J628" s="12">
        <f>G629</f>
      </c>
      <c r="K628">
        <f>IF(AND(Pu&gt;=MIN(E628,H628),Pu&lt;=MAX(E628,H628),E628&lt;&gt;H628),1,0)</f>
      </c>
      <c r="L628">
        <f>IF(K628=1,(Pu-E628)/(H628-E628),"")</f>
      </c>
      <c r="M628" s="12">
        <f>IF(K628=1,F628+L628*(I628-F628),"")</f>
      </c>
      <c r="N628" s="12">
        <f>IF(K628=1,G628+L628*(J628-G628),"")</f>
      </c>
    </row>
    <row r="629" spans="2:14" x14ac:dyDescent="0.25">
      <c r="B629">
        <v>31</v>
      </c>
      <c r="C629">
        <v>299.99999999999994</v>
      </c>
      <c r="D629">
        <v>8</v>
      </c>
      <c r="E629" s="18">
        <v>8792.157526062832</v>
      </c>
      <c r="F629" s="18">
        <v>-3613.0310474925163</v>
      </c>
      <c r="G629" s="18">
        <v>2365.295964650819</v>
      </c>
      <c r="H629" s="12">
        <f>E630</f>
      </c>
      <c r="I629" s="12">
        <f>F630</f>
      </c>
      <c r="J629" s="12">
        <f>G630</f>
      </c>
      <c r="K629">
        <f>IF(AND(Pu&gt;=MIN(E629,H629),Pu&lt;=MAX(E629,H629),E629&lt;&gt;H629),1,0)</f>
      </c>
      <c r="L629">
        <f>IF(K629=1,(Pu-E629)/(H629-E629),"")</f>
      </c>
      <c r="M629" s="12">
        <f>IF(K629=1,F629+L629*(I629-F629),"")</f>
      </c>
      <c r="N629" s="12">
        <f>IF(K629=1,G629+L629*(J629-G629),"")</f>
      </c>
    </row>
    <row r="630" spans="2:14" x14ac:dyDescent="0.25">
      <c r="B630">
        <v>31</v>
      </c>
      <c r="C630">
        <v>299.99999999999994</v>
      </c>
      <c r="D630">
        <v>9</v>
      </c>
      <c r="E630" s="18">
        <v>7972.608173647171</v>
      </c>
      <c r="F630" s="18">
        <v>-3784.124341451537</v>
      </c>
      <c r="G630" s="18">
        <v>2517.2125434472337</v>
      </c>
      <c r="H630" s="12">
        <f>E631</f>
      </c>
      <c r="I630" s="12">
        <f>F631</f>
      </c>
      <c r="J630" s="12">
        <f>G631</f>
      </c>
      <c r="K630">
        <f>IF(AND(Pu&gt;=MIN(E630,H630),Pu&lt;=MAX(E630,H630),E630&lt;&gt;H630),1,0)</f>
      </c>
      <c r="L630">
        <f>IF(K630=1,(Pu-E630)/(H630-E630),"")</f>
      </c>
      <c r="M630" s="12">
        <f>IF(K630=1,F630+L630*(I630-F630),"")</f>
      </c>
      <c r="N630" s="12">
        <f>IF(K630=1,G630+L630*(J630-G630),"")</f>
      </c>
    </row>
    <row r="631" spans="2:14" x14ac:dyDescent="0.25">
      <c r="B631">
        <v>31</v>
      </c>
      <c r="C631">
        <v>299.99999999999994</v>
      </c>
      <c r="D631">
        <v>10</v>
      </c>
      <c r="E631" s="18">
        <v>7180.825741674879</v>
      </c>
      <c r="F631" s="18">
        <v>-3862.792443887587</v>
      </c>
      <c r="G631" s="18">
        <v>2652.8074218618494</v>
      </c>
      <c r="H631" s="12">
        <f>E632</f>
      </c>
      <c r="I631" s="12">
        <f>F632</f>
      </c>
      <c r="J631" s="12">
        <f>G632</f>
      </c>
      <c r="K631">
        <f>IF(AND(Pu&gt;=MIN(E631,H631),Pu&lt;=MAX(E631,H631),E631&lt;&gt;H631),1,0)</f>
      </c>
      <c r="L631">
        <f>IF(K631=1,(Pu-E631)/(H631-E631),"")</f>
      </c>
      <c r="M631" s="12">
        <f>IF(K631=1,F631+L631*(I631-F631),"")</f>
      </c>
      <c r="N631" s="12">
        <f>IF(K631=1,G631+L631*(J631-G631),"")</f>
      </c>
    </row>
    <row r="632" spans="2:14" x14ac:dyDescent="0.25">
      <c r="B632">
        <v>31</v>
      </c>
      <c r="C632">
        <v>299.99999999999994</v>
      </c>
      <c r="D632">
        <v>11</v>
      </c>
      <c r="E632" s="18">
        <v>6383.263770283877</v>
      </c>
      <c r="F632" s="18">
        <v>-3840.996785439065</v>
      </c>
      <c r="G632" s="18">
        <v>2781.654201178661</v>
      </c>
      <c r="H632" s="12">
        <f>E633</f>
      </c>
      <c r="I632" s="12">
        <f>F633</f>
      </c>
      <c r="J632" s="12">
        <f>G633</f>
      </c>
      <c r="K632">
        <f>IF(AND(Pu&gt;=MIN(E632,H632),Pu&lt;=MAX(E632,H632),E632&lt;&gt;H632),1,0)</f>
      </c>
      <c r="L632">
        <f>IF(K632=1,(Pu-E632)/(H632-E632),"")</f>
      </c>
      <c r="M632" s="12">
        <f>IF(K632=1,F632+L632*(I632-F632),"")</f>
      </c>
      <c r="N632" s="12">
        <f>IF(K632=1,G632+L632*(J632-G632),"")</f>
      </c>
    </row>
    <row r="633" spans="2:14" x14ac:dyDescent="0.25">
      <c r="B633">
        <v>31</v>
      </c>
      <c r="C633">
        <v>299.99999999999994</v>
      </c>
      <c r="D633">
        <v>12</v>
      </c>
      <c r="E633" s="18">
        <v>5652.587608389086</v>
      </c>
      <c r="F633" s="18">
        <v>-3777.7941585667754</v>
      </c>
      <c r="G633" s="18">
        <v>2915.994183004738</v>
      </c>
      <c r="H633" s="12">
        <f>E634</f>
      </c>
      <c r="I633" s="12">
        <f>F634</f>
      </c>
      <c r="J633" s="12">
        <f>G634</f>
      </c>
      <c r="K633">
        <f>IF(AND(Pu&gt;=MIN(E633,H633),Pu&lt;=MAX(E633,H633),E633&lt;&gt;H633),1,0)</f>
      </c>
      <c r="L633">
        <f>IF(K633=1,(Pu-E633)/(H633-E633),"")</f>
      </c>
      <c r="M633" s="12">
        <f>IF(K633=1,F633+L633*(I633-F633),"")</f>
      </c>
      <c r="N633" s="12">
        <f>IF(K633=1,G633+L633*(J633-G633),"")</f>
      </c>
    </row>
    <row r="634" spans="2:14" x14ac:dyDescent="0.25">
      <c r="B634">
        <v>31</v>
      </c>
      <c r="C634">
        <v>299.99999999999994</v>
      </c>
      <c r="D634">
        <v>13</v>
      </c>
      <c r="E634" s="18">
        <v>4514.10107220696</v>
      </c>
      <c r="F634" s="18">
        <v>-3636.5992311156765</v>
      </c>
      <c r="G634" s="18">
        <v>3075.5587008274256</v>
      </c>
      <c r="H634" s="12">
        <f>E635</f>
      </c>
      <c r="I634" s="12">
        <f>F635</f>
      </c>
      <c r="J634" s="12">
        <f>G635</f>
      </c>
      <c r="K634">
        <f>IF(AND(Pu&gt;=MIN(E634,H634),Pu&lt;=MAX(E634,H634),E634&lt;&gt;H634),1,0)</f>
      </c>
      <c r="L634">
        <f>IF(K634=1,(Pu-E634)/(H634-E634),"")</f>
      </c>
      <c r="M634" s="12">
        <f>IF(K634=1,F634+L634*(I634-F634),"")</f>
      </c>
      <c r="N634" s="12">
        <f>IF(K634=1,G634+L634*(J634-G634),"")</f>
      </c>
    </row>
    <row r="635" spans="2:14" x14ac:dyDescent="0.25">
      <c r="B635">
        <v>31</v>
      </c>
      <c r="C635">
        <v>299.99999999999994</v>
      </c>
      <c r="D635">
        <v>14</v>
      </c>
      <c r="E635" s="18">
        <v>3331.7857653191327</v>
      </c>
      <c r="F635" s="18">
        <v>-3288.999435844031</v>
      </c>
      <c r="G635" s="18">
        <v>2907.6624407574673</v>
      </c>
      <c r="H635" s="12">
        <f>E636</f>
      </c>
      <c r="I635" s="12">
        <f>F636</f>
      </c>
      <c r="J635" s="12">
        <f>G636</f>
      </c>
      <c r="K635">
        <f>IF(AND(Pu&gt;=MIN(E635,H635),Pu&lt;=MAX(E635,H635),E635&lt;&gt;H635),1,0)</f>
      </c>
      <c r="L635">
        <f>IF(K635=1,(Pu-E635)/(H635-E635),"")</f>
      </c>
      <c r="M635" s="12">
        <f>IF(K635=1,F635+L635*(I635-F635),"")</f>
      </c>
      <c r="N635" s="12">
        <f>IF(K635=1,G635+L635*(J635-G635),"")</f>
      </c>
    </row>
    <row r="636" spans="2:14" x14ac:dyDescent="0.25">
      <c r="B636">
        <v>31</v>
      </c>
      <c r="C636">
        <v>299.99999999999994</v>
      </c>
      <c r="D636">
        <v>15</v>
      </c>
      <c r="E636" s="18">
        <v>1637.5892091143169</v>
      </c>
      <c r="F636" s="18">
        <v>-2758.9611942195725</v>
      </c>
      <c r="G636" s="18">
        <v>2523.682742669908</v>
      </c>
      <c r="H636" s="12">
        <f>E637</f>
      </c>
      <c r="I636" s="12">
        <f>F637</f>
      </c>
      <c r="J636" s="12">
        <f>G637</f>
      </c>
      <c r="K636">
        <f>IF(AND(Pu&gt;=MIN(E636,H636),Pu&lt;=MAX(E636,H636),E636&lt;&gt;H636),1,0)</f>
      </c>
      <c r="L636">
        <f>IF(K636=1,(Pu-E636)/(H636-E636),"")</f>
      </c>
      <c r="M636" s="12">
        <f>IF(K636=1,F636+L636*(I636-F636),"")</f>
      </c>
      <c r="N636" s="12">
        <f>IF(K636=1,G636+L636*(J636-G636),"")</f>
      </c>
    </row>
    <row r="637" spans="2:14" x14ac:dyDescent="0.25">
      <c r="B637">
        <v>31</v>
      </c>
      <c r="C637">
        <v>299.99999999999994</v>
      </c>
      <c r="D637">
        <v>16</v>
      </c>
      <c r="E637" s="18">
        <v>454.51459456183653</v>
      </c>
      <c r="F637" s="18">
        <v>-2337.694081553414</v>
      </c>
      <c r="G637" s="18">
        <v>2221.031636311087</v>
      </c>
      <c r="H637" s="12">
        <f>E638</f>
      </c>
      <c r="I637" s="12">
        <f>F638</f>
      </c>
      <c r="J637" s="12">
        <f>G638</f>
      </c>
      <c r="K637">
        <f>IF(AND(Pu&gt;=MIN(E637,H637),Pu&lt;=MAX(E637,H637),E637&lt;&gt;H637),1,0)</f>
      </c>
      <c r="L637">
        <f>IF(K637=1,(Pu-E637)/(H637-E637),"")</f>
      </c>
      <c r="M637" s="12">
        <f>IF(K637=1,F637+L637*(I637-F637),"")</f>
      </c>
      <c r="N637" s="12">
        <f>IF(K637=1,G637+L637*(J637-G637),"")</f>
      </c>
    </row>
    <row r="638" spans="2:14" x14ac:dyDescent="0.25">
      <c r="B638">
        <v>31</v>
      </c>
      <c r="C638">
        <v>299.99999999999994</v>
      </c>
      <c r="D638">
        <v>17</v>
      </c>
      <c r="E638" s="18">
        <v>-1552.097392240691</v>
      </c>
      <c r="F638" s="18">
        <v>-1541.7400435552497</v>
      </c>
      <c r="G638" s="18">
        <v>1576.7650024787304</v>
      </c>
      <c r="H638" s="12">
        <f>E639</f>
      </c>
      <c r="I638" s="12">
        <f>F639</f>
      </c>
      <c r="J638" s="12">
        <f>G639</f>
      </c>
      <c r="K638">
        <f>IF(AND(Pu&gt;=MIN(E638,H638),Pu&lt;=MAX(E638,H638),E638&lt;&gt;H638),1,0)</f>
      </c>
      <c r="L638">
        <f>IF(K638=1,(Pu-E638)/(H638-E638),"")</f>
      </c>
      <c r="M638" s="12">
        <f>IF(K638=1,F638+L638*(I638-F638),"")</f>
      </c>
      <c r="N638" s="12">
        <f>IF(K638=1,G638+L638*(J638-G638),"")</f>
      </c>
    </row>
    <row r="639" spans="2:14" x14ac:dyDescent="0.25">
      <c r="B639">
        <v>31</v>
      </c>
      <c r="C639">
        <v>299.99999999999994</v>
      </c>
      <c r="D639">
        <v>18</v>
      </c>
      <c r="E639" s="18">
        <v>-2685.9307749147333</v>
      </c>
      <c r="F639" s="18">
        <v>-1059.286716705791</v>
      </c>
      <c r="G639" s="18">
        <v>1117.6191978244192</v>
      </c>
      <c r="H639" s="12">
        <f>E640</f>
      </c>
      <c r="I639" s="12">
        <f>F640</f>
      </c>
      <c r="J639" s="12">
        <f>G640</f>
      </c>
      <c r="K639">
        <f>IF(AND(Pu&gt;=MIN(E639,H639),Pu&lt;=MAX(E639,H639),E639&lt;&gt;H639),1,0)</f>
      </c>
      <c r="L639">
        <f>IF(K639=1,(Pu-E639)/(H639-E639),"")</f>
      </c>
      <c r="M639" s="12">
        <f>IF(K639=1,F639+L639*(I639-F639),"")</f>
      </c>
      <c r="N639" s="12">
        <f>IF(K639=1,G639+L639*(J639-G639),"")</f>
      </c>
    </row>
    <row r="640" spans="2:7" x14ac:dyDescent="0.25">
      <c r="B640">
        <v>31</v>
      </c>
      <c r="C640">
        <v>299.99999999999994</v>
      </c>
      <c r="D640">
        <v>19</v>
      </c>
      <c r="E640" s="18">
        <v>-4292.711667858746</v>
      </c>
      <c r="F640" s="18">
        <v>-329.7583087806496</v>
      </c>
      <c r="G640" s="18">
        <v>328.5824510703776</v>
      </c>
    </row>
    <row r="642" spans="2:14" x14ac:dyDescent="0.25">
      <c r="B642">
        <v>32</v>
      </c>
      <c r="C642">
        <v>310.00000000000006</v>
      </c>
      <c r="D642">
        <v>1</v>
      </c>
      <c r="E642" s="18">
        <v>16852.86011644447</v>
      </c>
      <c r="F642" s="18">
        <v>-1821.9093463293848</v>
      </c>
      <c r="G642" s="18">
        <v>2219.1784111428374</v>
      </c>
      <c r="H642" s="12">
        <f>E643</f>
      </c>
      <c r="I642" s="12">
        <f>F643</f>
      </c>
      <c r="J642" s="12">
        <f>G643</f>
      </c>
      <c r="K642">
        <f>IF(AND(Pu&gt;=MIN(E642,H642),Pu&lt;=MAX(E642,H642),E642&lt;&gt;H642),1,0)</f>
      </c>
      <c r="L642">
        <f>IF(K642=1,(Pu-E642)/(H642-E642),"")</f>
      </c>
      <c r="M642" s="12">
        <f>IF(K642=1,F642+L642*(I642-F642),"")</f>
      </c>
      <c r="N642" s="12">
        <f>IF(K642=1,G642+L642*(J642-G642),"")</f>
      </c>
    </row>
    <row r="643" spans="2:14" x14ac:dyDescent="0.25">
      <c r="B643">
        <v>32</v>
      </c>
      <c r="C643">
        <v>310.00000000000006</v>
      </c>
      <c r="D643">
        <v>2</v>
      </c>
      <c r="E643" s="18">
        <v>14365.804360764834</v>
      </c>
      <c r="F643" s="18">
        <v>-2404.642402426316</v>
      </c>
      <c r="G643" s="18">
        <v>2695.4792370605146</v>
      </c>
      <c r="H643" s="12">
        <f>E644</f>
      </c>
      <c r="I643" s="12">
        <f>F644</f>
      </c>
      <c r="J643" s="12">
        <f>G644</f>
      </c>
      <c r="K643">
        <f>IF(AND(Pu&gt;=MIN(E643,H643),Pu&lt;=MAX(E643,H643),E643&lt;&gt;H643),1,0)</f>
      </c>
      <c r="L643">
        <f>IF(K643=1,(Pu-E643)/(H643-E643),"")</f>
      </c>
      <c r="M643" s="12">
        <f>IF(K643=1,F643+L643*(I643-F643),"")</f>
      </c>
      <c r="N643" s="12">
        <f>IF(K643=1,G643+L643*(J643-G643),"")</f>
      </c>
    </row>
    <row r="644" spans="2:14" x14ac:dyDescent="0.25">
      <c r="B644">
        <v>32</v>
      </c>
      <c r="C644">
        <v>310.00000000000006</v>
      </c>
      <c r="D644">
        <v>3</v>
      </c>
      <c r="E644" s="18">
        <v>13084.773123757817</v>
      </c>
      <c r="F644" s="18">
        <v>-2661.7634939422146</v>
      </c>
      <c r="G644" s="18">
        <v>2813.600606886583</v>
      </c>
      <c r="H644" s="12">
        <f>E645</f>
      </c>
      <c r="I644" s="12">
        <f>F645</f>
      </c>
      <c r="J644" s="12">
        <f>G645</f>
      </c>
      <c r="K644">
        <f>IF(AND(Pu&gt;=MIN(E644,H644),Pu&lt;=MAX(E644,H644),E644&lt;&gt;H644),1,0)</f>
      </c>
      <c r="L644">
        <f>IF(K644=1,(Pu-E644)/(H644-E644),"")</f>
      </c>
      <c r="M644" s="12">
        <f>IF(K644=1,F644+L644*(I644-F644),"")</f>
      </c>
      <c r="N644" s="12">
        <f>IF(K644=1,G644+L644*(J644-G644),"")</f>
      </c>
    </row>
    <row r="645" spans="2:14" x14ac:dyDescent="0.25">
      <c r="B645">
        <v>32</v>
      </c>
      <c r="C645">
        <v>310.00000000000006</v>
      </c>
      <c r="D645">
        <v>4</v>
      </c>
      <c r="E645" s="18">
        <v>11986.815993789121</v>
      </c>
      <c r="F645" s="18">
        <v>-2843.6234564490946</v>
      </c>
      <c r="G645" s="18">
        <v>2889.062414313302</v>
      </c>
      <c r="H645" s="12">
        <f>E646</f>
      </c>
      <c r="I645" s="12">
        <f>F646</f>
      </c>
      <c r="J645" s="12">
        <f>G646</f>
      </c>
      <c r="K645">
        <f>IF(AND(Pu&gt;=MIN(E645,H645),Pu&lt;=MAX(E645,H645),E645&lt;&gt;H645),1,0)</f>
      </c>
      <c r="L645">
        <f>IF(K645=1,(Pu-E645)/(H645-E645),"")</f>
      </c>
      <c r="M645" s="12">
        <f>IF(K645=1,F645+L645*(I645-F645),"")</f>
      </c>
      <c r="N645" s="12">
        <f>IF(K645=1,G645+L645*(J645-G645),"")</f>
      </c>
    </row>
    <row r="646" spans="2:14" x14ac:dyDescent="0.25">
      <c r="B646">
        <v>32</v>
      </c>
      <c r="C646">
        <v>310.00000000000006</v>
      </c>
      <c r="D646">
        <v>5</v>
      </c>
      <c r="E646" s="18">
        <v>11025.618904907271</v>
      </c>
      <c r="F646" s="18">
        <v>-2964.187022290057</v>
      </c>
      <c r="G646" s="18">
        <v>2946.391701079325</v>
      </c>
      <c r="H646" s="12">
        <f>E647</f>
      </c>
      <c r="I646" s="12">
        <f>F647</f>
      </c>
      <c r="J646" s="12">
        <f>G647</f>
      </c>
      <c r="K646">
        <f>IF(AND(Pu&gt;=MIN(E646,H646),Pu&lt;=MAX(E646,H646),E646&lt;&gt;H646),1,0)</f>
      </c>
      <c r="L646">
        <f>IF(K646=1,(Pu-E646)/(H646-E646),"")</f>
      </c>
      <c r="M646" s="12">
        <f>IF(K646=1,F646+L646*(I646-F646),"")</f>
      </c>
      <c r="N646" s="12">
        <f>IF(K646=1,G646+L646*(J646-G646),"")</f>
      </c>
    </row>
    <row r="647" spans="2:14" x14ac:dyDescent="0.25">
      <c r="B647">
        <v>32</v>
      </c>
      <c r="C647">
        <v>310.00000000000006</v>
      </c>
      <c r="D647">
        <v>6</v>
      </c>
      <c r="E647" s="18">
        <v>10174.158446499008</v>
      </c>
      <c r="F647" s="18">
        <v>-3032.621520591046</v>
      </c>
      <c r="G647" s="18">
        <v>3006.897647321061</v>
      </c>
      <c r="H647" s="12">
        <f>E648</f>
      </c>
      <c r="I647" s="12">
        <f>F648</f>
      </c>
      <c r="J647" s="12">
        <f>G648</f>
      </c>
      <c r="K647">
        <f>IF(AND(Pu&gt;=MIN(E647,H647),Pu&lt;=MAX(E647,H647),E647&lt;&gt;H647),1,0)</f>
      </c>
      <c r="L647">
        <f>IF(K647=1,(Pu-E647)/(H647-E647),"")</f>
      </c>
      <c r="M647" s="12">
        <f>IF(K647=1,F647+L647*(I647-F647),"")</f>
      </c>
      <c r="N647" s="12">
        <f>IF(K647=1,G647+L647*(J647-G647),"")</f>
      </c>
    </row>
    <row r="648" spans="2:14" x14ac:dyDescent="0.25">
      <c r="B648">
        <v>32</v>
      </c>
      <c r="C648">
        <v>310.00000000000006</v>
      </c>
      <c r="D648">
        <v>7</v>
      </c>
      <c r="E648" s="18">
        <v>9380.52095634344</v>
      </c>
      <c r="F648" s="18">
        <v>-3069.0403124940394</v>
      </c>
      <c r="G648" s="18">
        <v>3063.4399937898856</v>
      </c>
      <c r="H648" s="12">
        <f>E649</f>
      </c>
      <c r="I648" s="12">
        <f>F649</f>
      </c>
      <c r="J648" s="12">
        <f>G649</f>
      </c>
      <c r="K648">
        <f>IF(AND(Pu&gt;=MIN(E648,H648),Pu&lt;=MAX(E648,H648),E648&lt;&gt;H648),1,0)</f>
      </c>
      <c r="L648">
        <f>IF(K648=1,(Pu-E648)/(H648-E648),"")</f>
      </c>
      <c r="M648" s="12">
        <f>IF(K648=1,F648+L648*(I648-F648),"")</f>
      </c>
      <c r="N648" s="12">
        <f>IF(K648=1,G648+L648*(J648-G648),"")</f>
      </c>
    </row>
    <row r="649" spans="2:14" x14ac:dyDescent="0.25">
      <c r="B649">
        <v>32</v>
      </c>
      <c r="C649">
        <v>310.00000000000006</v>
      </c>
      <c r="D649">
        <v>8</v>
      </c>
      <c r="E649" s="18">
        <v>8615.873340150305</v>
      </c>
      <c r="F649" s="18">
        <v>-3078.1487202853264</v>
      </c>
      <c r="G649" s="18">
        <v>3122.214440822845</v>
      </c>
      <c r="H649" s="12">
        <f>E650</f>
      </c>
      <c r="I649" s="12">
        <f>F650</f>
      </c>
      <c r="J649" s="12">
        <f>G650</f>
      </c>
      <c r="K649">
        <f>IF(AND(Pu&gt;=MIN(E649,H649),Pu&lt;=MAX(E649,H649),E649&lt;&gt;H649),1,0)</f>
      </c>
      <c r="L649">
        <f>IF(K649=1,(Pu-E649)/(H649-E649),"")</f>
      </c>
      <c r="M649" s="12">
        <f>IF(K649=1,F649+L649*(I649-F649),"")</f>
      </c>
      <c r="N649" s="12">
        <f>IF(K649=1,G649+L649*(J649-G649),"")</f>
      </c>
    </row>
    <row r="650" spans="2:14" x14ac:dyDescent="0.25">
      <c r="B650">
        <v>32</v>
      </c>
      <c r="C650">
        <v>310.00000000000006</v>
      </c>
      <c r="D650">
        <v>9</v>
      </c>
      <c r="E650" s="18">
        <v>7644.217505764201</v>
      </c>
      <c r="F650" s="18">
        <v>-3154.700340530996</v>
      </c>
      <c r="G650" s="18">
        <v>3342.342952822867</v>
      </c>
      <c r="H650" s="12">
        <f>E651</f>
      </c>
      <c r="I650" s="12">
        <f>F651</f>
      </c>
      <c r="J650" s="12">
        <f>G651</f>
      </c>
      <c r="K650">
        <f>IF(AND(Pu&gt;=MIN(E650,H650),Pu&lt;=MAX(E650,H650),E650&lt;&gt;H650),1,0)</f>
      </c>
      <c r="L650">
        <f>IF(K650=1,(Pu-E650)/(H650-E650),"")</f>
      </c>
      <c r="M650" s="12">
        <f>IF(K650=1,F650+L650*(I650-F650),"")</f>
      </c>
      <c r="N650" s="12">
        <f>IF(K650=1,G650+L650*(J650-G650),"")</f>
      </c>
    </row>
    <row r="651" spans="2:14" x14ac:dyDescent="0.25">
      <c r="B651">
        <v>32</v>
      </c>
      <c r="C651">
        <v>310.00000000000006</v>
      </c>
      <c r="D651">
        <v>10</v>
      </c>
      <c r="E651" s="18">
        <v>6688.32463427844</v>
      </c>
      <c r="F651" s="18">
        <v>-3159.1822899865847</v>
      </c>
      <c r="G651" s="18">
        <v>3489.1686694325053</v>
      </c>
      <c r="H651" s="12">
        <f>E652</f>
      </c>
      <c r="I651" s="12">
        <f>F652</f>
      </c>
      <c r="J651" s="12">
        <f>G652</f>
      </c>
      <c r="K651">
        <f>IF(AND(Pu&gt;=MIN(E651,H651),Pu&lt;=MAX(E651,H651),E651&lt;&gt;H651),1,0)</f>
      </c>
      <c r="L651">
        <f>IF(K651=1,(Pu-E651)/(H651-E651),"")</f>
      </c>
      <c r="M651" s="12">
        <f>IF(K651=1,F651+L651*(I651-F651),"")</f>
      </c>
      <c r="N651" s="12">
        <f>IF(K651=1,G651+L651*(J651-G651),"")</f>
      </c>
    </row>
    <row r="652" spans="2:14" x14ac:dyDescent="0.25">
      <c r="B652">
        <v>32</v>
      </c>
      <c r="C652">
        <v>310.00000000000006</v>
      </c>
      <c r="D652">
        <v>11</v>
      </c>
      <c r="E652" s="18">
        <v>5891.239077013844</v>
      </c>
      <c r="F652" s="18">
        <v>-3142.87905245302</v>
      </c>
      <c r="G652" s="18">
        <v>3591.5916887426893</v>
      </c>
      <c r="H652" s="12">
        <f>E653</f>
      </c>
      <c r="I652" s="12">
        <f>F653</f>
      </c>
      <c r="J652" s="12">
        <f>G653</f>
      </c>
      <c r="K652">
        <f>IF(AND(Pu&gt;=MIN(E652,H652),Pu&lt;=MAX(E652,H652),E652&lt;&gt;H652),1,0)</f>
      </c>
      <c r="L652">
        <f>IF(K652=1,(Pu-E652)/(H652-E652),"")</f>
      </c>
      <c r="M652" s="12">
        <f>IF(K652=1,F652+L652*(I652-F652),"")</f>
      </c>
      <c r="N652" s="12">
        <f>IF(K652=1,G652+L652*(J652-G652),"")</f>
      </c>
    </row>
    <row r="653" spans="2:14" x14ac:dyDescent="0.25">
      <c r="B653">
        <v>32</v>
      </c>
      <c r="C653">
        <v>310.00000000000006</v>
      </c>
      <c r="D653">
        <v>12</v>
      </c>
      <c r="E653" s="18">
        <v>5231.999946202404</v>
      </c>
      <c r="F653" s="18">
        <v>-3136.284092705603</v>
      </c>
      <c r="G653" s="18">
        <v>3634.143604810569</v>
      </c>
      <c r="H653" s="12">
        <f>E654</f>
      </c>
      <c r="I653" s="12">
        <f>F654</f>
      </c>
      <c r="J653" s="12">
        <f>G654</f>
      </c>
      <c r="K653">
        <f>IF(AND(Pu&gt;=MIN(E653,H653),Pu&lt;=MAX(E653,H653),E653&lt;&gt;H653),1,0)</f>
      </c>
      <c r="L653">
        <f>IF(K653=1,(Pu-E653)/(H653-E653),"")</f>
      </c>
      <c r="M653" s="12">
        <f>IF(K653=1,F653+L653*(I653-F653),"")</f>
      </c>
      <c r="N653" s="12">
        <f>IF(K653=1,G653+L653*(J653-G653),"")</f>
      </c>
    </row>
    <row r="654" spans="2:14" x14ac:dyDescent="0.25">
      <c r="B654">
        <v>32</v>
      </c>
      <c r="C654">
        <v>310.00000000000006</v>
      </c>
      <c r="D654">
        <v>13</v>
      </c>
      <c r="E654" s="18">
        <v>4199.657271846663</v>
      </c>
      <c r="F654" s="18">
        <v>-3102.6791239615145</v>
      </c>
      <c r="G654" s="18">
        <v>3673.8564123534006</v>
      </c>
      <c r="H654" s="12">
        <f>E655</f>
      </c>
      <c r="I654" s="12">
        <f>F655</f>
      </c>
      <c r="J654" s="12">
        <f>G655</f>
      </c>
      <c r="K654">
        <f>IF(AND(Pu&gt;=MIN(E654,H654),Pu&lt;=MAX(E654,H654),E654&lt;&gt;H654),1,0)</f>
      </c>
      <c r="L654">
        <f>IF(K654=1,(Pu-E654)/(H654-E654),"")</f>
      </c>
      <c r="M654" s="12">
        <f>IF(K654=1,F654+L654*(I654-F654),"")</f>
      </c>
      <c r="N654" s="12">
        <f>IF(K654=1,G654+L654*(J654-G654),"")</f>
      </c>
    </row>
    <row r="655" spans="2:14" x14ac:dyDescent="0.25">
      <c r="B655">
        <v>32</v>
      </c>
      <c r="C655">
        <v>310.00000000000006</v>
      </c>
      <c r="D655">
        <v>14</v>
      </c>
      <c r="E655" s="18">
        <v>3169.1539039212817</v>
      </c>
      <c r="F655" s="18">
        <v>-2831.024996013187</v>
      </c>
      <c r="G655" s="18">
        <v>3435.3864648898198</v>
      </c>
      <c r="H655" s="12">
        <f>E656</f>
      </c>
      <c r="I655" s="12">
        <f>F656</f>
      </c>
      <c r="J655" s="12">
        <f>G656</f>
      </c>
      <c r="K655">
        <f>IF(AND(Pu&gt;=MIN(E655,H655),Pu&lt;=MAX(E655,H655),E655&lt;&gt;H655),1,0)</f>
      </c>
      <c r="L655">
        <f>IF(K655=1,(Pu-E655)/(H655-E655),"")</f>
      </c>
      <c r="M655" s="12">
        <f>IF(K655=1,F655+L655*(I655-F655),"")</f>
      </c>
      <c r="N655" s="12">
        <f>IF(K655=1,G655+L655*(J655-G655),"")</f>
      </c>
    </row>
    <row r="656" spans="2:14" x14ac:dyDescent="0.25">
      <c r="B656">
        <v>32</v>
      </c>
      <c r="C656">
        <v>310.00000000000006</v>
      </c>
      <c r="D656">
        <v>15</v>
      </c>
      <c r="E656" s="18">
        <v>1599.2641146176054</v>
      </c>
      <c r="F656" s="18">
        <v>-2409.338847373215</v>
      </c>
      <c r="G656" s="18">
        <v>3000.2866643702823</v>
      </c>
      <c r="H656" s="12">
        <f>E657</f>
      </c>
      <c r="I656" s="12">
        <f>F657</f>
      </c>
      <c r="J656" s="12">
        <f>G657</f>
      </c>
      <c r="K656">
        <f>IF(AND(Pu&gt;=MIN(E656,H656),Pu&lt;=MAX(E656,H656),E656&lt;&gt;H656),1,0)</f>
      </c>
      <c r="L656">
        <f>IF(K656=1,(Pu-E656)/(H656-E656),"")</f>
      </c>
      <c r="M656" s="12">
        <f>IF(K656=1,F656+L656*(I656-F656),"")</f>
      </c>
      <c r="N656" s="12">
        <f>IF(K656=1,G656+L656*(J656-G656),"")</f>
      </c>
    </row>
    <row r="657" spans="2:14" x14ac:dyDescent="0.25">
      <c r="B657">
        <v>32</v>
      </c>
      <c r="C657">
        <v>310.00000000000006</v>
      </c>
      <c r="D657">
        <v>16</v>
      </c>
      <c r="E657" s="18">
        <v>475.1786777659796</v>
      </c>
      <c r="F657" s="18">
        <v>-2096.9667303971087</v>
      </c>
      <c r="G657" s="18">
        <v>2621.5273546463754</v>
      </c>
      <c r="H657" s="12">
        <f>E658</f>
      </c>
      <c r="I657" s="12">
        <f>F658</f>
      </c>
      <c r="J657" s="12">
        <f>G658</f>
      </c>
      <c r="K657">
        <f>IF(AND(Pu&gt;=MIN(E657,H657),Pu&lt;=MAX(E657,H657),E657&lt;&gt;H657),1,0)</f>
      </c>
      <c r="L657">
        <f>IF(K657=1,(Pu-E657)/(H657-E657),"")</f>
      </c>
      <c r="M657" s="12">
        <f>IF(K657=1,F657+L657*(I657-F657),"")</f>
      </c>
      <c r="N657" s="12">
        <f>IF(K657=1,G657+L657*(J657-G657),"")</f>
      </c>
    </row>
    <row r="658" spans="2:14" x14ac:dyDescent="0.25">
      <c r="B658">
        <v>32</v>
      </c>
      <c r="C658">
        <v>310.00000000000006</v>
      </c>
      <c r="D658">
        <v>17</v>
      </c>
      <c r="E658" s="18">
        <v>-1358.1329778727088</v>
      </c>
      <c r="F658" s="18">
        <v>-1484.6277047437488</v>
      </c>
      <c r="G658" s="18">
        <v>1871.934848484639</v>
      </c>
      <c r="H658" s="12">
        <f>E659</f>
      </c>
      <c r="I658" s="12">
        <f>F659</f>
      </c>
      <c r="J658" s="12">
        <f>G659</f>
      </c>
      <c r="K658">
        <f>IF(AND(Pu&gt;=MIN(E658,H658),Pu&lt;=MAX(E658,H658),E658&lt;&gt;H658),1,0)</f>
      </c>
      <c r="L658">
        <f>IF(K658=1,(Pu-E658)/(H658-E658),"")</f>
      </c>
      <c r="M658" s="12">
        <f>IF(K658=1,F658+L658*(I658-F658),"")</f>
      </c>
      <c r="N658" s="12">
        <f>IF(K658=1,G658+L658*(J658-G658),"")</f>
      </c>
    </row>
    <row r="659" spans="2:14" x14ac:dyDescent="0.25">
      <c r="B659">
        <v>32</v>
      </c>
      <c r="C659">
        <v>310.00000000000006</v>
      </c>
      <c r="D659">
        <v>18</v>
      </c>
      <c r="E659" s="18">
        <v>-2442.04585574527</v>
      </c>
      <c r="F659" s="18">
        <v>-1074.4367210190005</v>
      </c>
      <c r="G659" s="18">
        <v>1355.7859349430707</v>
      </c>
      <c r="H659" s="12">
        <f>E660</f>
      </c>
      <c r="I659" s="12">
        <f>F660</f>
      </c>
      <c r="J659" s="12">
        <f>G660</f>
      </c>
      <c r="K659">
        <f>IF(AND(Pu&gt;=MIN(E659,H659),Pu&lt;=MAX(E659,H659),E659&lt;&gt;H659),1,0)</f>
      </c>
      <c r="L659">
        <f>IF(K659=1,(Pu-E659)/(H659-E659),"")</f>
      </c>
      <c r="M659" s="12">
        <f>IF(K659=1,F659+L659*(I659-F659),"")</f>
      </c>
      <c r="N659" s="12">
        <f>IF(K659=1,G659+L659*(J659-G659),"")</f>
      </c>
    </row>
    <row r="660" spans="2:7" x14ac:dyDescent="0.25">
      <c r="B660">
        <v>32</v>
      </c>
      <c r="C660">
        <v>310.00000000000006</v>
      </c>
      <c r="D660">
        <v>19</v>
      </c>
      <c r="E660" s="18">
        <v>-4037.730739273256</v>
      </c>
      <c r="F660" s="18">
        <v>-408.5389539331583</v>
      </c>
      <c r="G660" s="18">
        <v>519.2061290227841</v>
      </c>
    </row>
    <row r="662" spans="2:14" x14ac:dyDescent="0.25">
      <c r="B662">
        <v>33</v>
      </c>
      <c r="C662">
        <v>320.00000000000006</v>
      </c>
      <c r="D662">
        <v>1</v>
      </c>
      <c r="E662" s="18">
        <v>17112.228279488492</v>
      </c>
      <c r="F662" s="18">
        <v>-1471.5214998189333</v>
      </c>
      <c r="G662" s="18">
        <v>2419.433669563107</v>
      </c>
      <c r="H662" s="12">
        <f>E663</f>
      </c>
      <c r="I662" s="12">
        <f>F663</f>
      </c>
      <c r="J662" s="12">
        <f>G663</f>
      </c>
      <c r="K662">
        <f>IF(AND(Pu&gt;=MIN(E662,H662),Pu&lt;=MAX(E662,H662),E662&lt;&gt;H662),1,0)</f>
      </c>
      <c r="L662">
        <f>IF(K662=1,(Pu-E662)/(H662-E662),"")</f>
      </c>
      <c r="M662" s="12">
        <f>IF(K662=1,F662+L662*(I662-F662),"")</f>
      </c>
      <c r="N662" s="12">
        <f>IF(K662=1,G662+L662*(J662-G662),"")</f>
      </c>
    </row>
    <row r="663" spans="2:14" x14ac:dyDescent="0.25">
      <c r="B663">
        <v>33</v>
      </c>
      <c r="C663">
        <v>320.00000000000006</v>
      </c>
      <c r="D663">
        <v>2</v>
      </c>
      <c r="E663" s="18">
        <v>14865.40051066738</v>
      </c>
      <c r="F663" s="18">
        <v>-1819.1798900975823</v>
      </c>
      <c r="G663" s="18">
        <v>3107.8111608733143</v>
      </c>
      <c r="H663" s="12">
        <f>E664</f>
      </c>
      <c r="I663" s="12">
        <f>F664</f>
      </c>
      <c r="J663" s="12">
        <f>G664</f>
      </c>
      <c r="K663">
        <f>IF(AND(Pu&gt;=MIN(E663,H663),Pu&lt;=MAX(E663,H663),E663&lt;&gt;H663),1,0)</f>
      </c>
      <c r="L663">
        <f>IF(K663=1,(Pu-E663)/(H663-E663),"")</f>
      </c>
      <c r="M663" s="12">
        <f>IF(K663=1,F663+L663*(I663-F663),"")</f>
      </c>
      <c r="N663" s="12">
        <f>IF(K663=1,G663+L663*(J663-G663),"")</f>
      </c>
    </row>
    <row r="664" spans="2:14" x14ac:dyDescent="0.25">
      <c r="B664">
        <v>33</v>
      </c>
      <c r="C664">
        <v>320.00000000000006</v>
      </c>
      <c r="D664">
        <v>3</v>
      </c>
      <c r="E664" s="18">
        <v>13775.257882634025</v>
      </c>
      <c r="F664" s="18">
        <v>-2003.6976788798092</v>
      </c>
      <c r="G664" s="18">
        <v>3299.5526880485104</v>
      </c>
      <c r="H664" s="12">
        <f>E665</f>
      </c>
      <c r="I664" s="12">
        <f>F665</f>
      </c>
      <c r="J664" s="12">
        <f>G665</f>
      </c>
      <c r="K664">
        <f>IF(AND(Pu&gt;=MIN(E664,H664),Pu&lt;=MAX(E664,H664),E664&lt;&gt;H664),1,0)</f>
      </c>
      <c r="L664">
        <f>IF(K664=1,(Pu-E664)/(H664-E664),"")</f>
      </c>
      <c r="M664" s="12">
        <f>IF(K664=1,F664+L664*(I664-F664),"")</f>
      </c>
      <c r="N664" s="12">
        <f>IF(K664=1,G664+L664*(J664-G664),"")</f>
      </c>
    </row>
    <row r="665" spans="2:14" x14ac:dyDescent="0.25">
      <c r="B665">
        <v>33</v>
      </c>
      <c r="C665">
        <v>320.00000000000006</v>
      </c>
      <c r="D665">
        <v>4</v>
      </c>
      <c r="E665" s="18">
        <v>12639.898240646944</v>
      </c>
      <c r="F665" s="18">
        <v>-2179.6122477597373</v>
      </c>
      <c r="G665" s="18">
        <v>3427.5176250757777</v>
      </c>
      <c r="H665" s="12">
        <f>E666</f>
      </c>
      <c r="I665" s="12">
        <f>F666</f>
      </c>
      <c r="J665" s="12">
        <f>G666</f>
      </c>
      <c r="K665">
        <f>IF(AND(Pu&gt;=MIN(E665,H665),Pu&lt;=MAX(E665,H665),E665&lt;&gt;H665),1,0)</f>
      </c>
      <c r="L665">
        <f>IF(K665=1,(Pu-E665)/(H665-E665),"")</f>
      </c>
      <c r="M665" s="12">
        <f>IF(K665=1,F665+L665*(I665-F665),"")</f>
      </c>
      <c r="N665" s="12">
        <f>IF(K665=1,G665+L665*(J665-G665),"")</f>
      </c>
    </row>
    <row r="666" spans="2:14" x14ac:dyDescent="0.25">
      <c r="B666">
        <v>33</v>
      </c>
      <c r="C666">
        <v>320.00000000000006</v>
      </c>
      <c r="D666">
        <v>5</v>
      </c>
      <c r="E666" s="18">
        <v>11518.94158480173</v>
      </c>
      <c r="F666" s="18">
        <v>-2326.066152647481</v>
      </c>
      <c r="G666" s="18">
        <v>3512.9389555241187</v>
      </c>
      <c r="H666" s="12">
        <f>E667</f>
      </c>
      <c r="I666" s="12">
        <f>F667</f>
      </c>
      <c r="J666" s="12">
        <f>G667</f>
      </c>
      <c r="K666">
        <f>IF(AND(Pu&gt;=MIN(E666,H666),Pu&lt;=MAX(E666,H666),E666&lt;&gt;H666),1,0)</f>
      </c>
      <c r="L666">
        <f>IF(K666=1,(Pu-E666)/(H666-E666),"")</f>
      </c>
      <c r="M666" s="12">
        <f>IF(K666=1,F666+L666*(I666-F666),"")</f>
      </c>
      <c r="N666" s="12">
        <f>IF(K666=1,G666+L666*(J666-G666),"")</f>
      </c>
    </row>
    <row r="667" spans="2:14" x14ac:dyDescent="0.25">
      <c r="B667">
        <v>33</v>
      </c>
      <c r="C667">
        <v>320.00000000000006</v>
      </c>
      <c r="D667">
        <v>6</v>
      </c>
      <c r="E667" s="18">
        <v>10541.57567623563</v>
      </c>
      <c r="F667" s="18">
        <v>-2386.299615681001</v>
      </c>
      <c r="G667" s="18">
        <v>3605.6728549537415</v>
      </c>
      <c r="H667" s="12">
        <f>E668</f>
      </c>
      <c r="I667" s="12">
        <f>F668</f>
      </c>
      <c r="J667" s="12">
        <f>G668</f>
      </c>
      <c r="K667">
        <f>IF(AND(Pu&gt;=MIN(E667,H667),Pu&lt;=MAX(E667,H667),E667&lt;&gt;H667),1,0)</f>
      </c>
      <c r="L667">
        <f>IF(K667=1,(Pu-E667)/(H667-E667),"")</f>
      </c>
      <c r="M667" s="12">
        <f>IF(K667=1,F667+L667*(I667-F667),"")</f>
      </c>
      <c r="N667" s="12">
        <f>IF(K667=1,G667+L667*(J667-G667),"")</f>
      </c>
    </row>
    <row r="668" spans="2:14" x14ac:dyDescent="0.25">
      <c r="B668">
        <v>33</v>
      </c>
      <c r="C668">
        <v>320.00000000000006</v>
      </c>
      <c r="D668">
        <v>7</v>
      </c>
      <c r="E668" s="18">
        <v>9620.045170491354</v>
      </c>
      <c r="F668" s="18">
        <v>-2424.8727353559043</v>
      </c>
      <c r="G668" s="18">
        <v>3673.5685187493236</v>
      </c>
      <c r="H668" s="12">
        <f>E669</f>
      </c>
      <c r="I668" s="12">
        <f>F669</f>
      </c>
      <c r="J668" s="12">
        <f>G669</f>
      </c>
      <c r="K668">
        <f>IF(AND(Pu&gt;=MIN(E668,H668),Pu&lt;=MAX(E668,H668),E668&lt;&gt;H668),1,0)</f>
      </c>
      <c r="L668">
        <f>IF(K668=1,(Pu-E668)/(H668-E668),"")</f>
      </c>
      <c r="M668" s="12">
        <f>IF(K668=1,F668+L668*(I668-F668),"")</f>
      </c>
      <c r="N668" s="12">
        <f>IF(K668=1,G668+L668*(J668-G668),"")</f>
      </c>
    </row>
    <row r="669" spans="2:14" x14ac:dyDescent="0.25">
      <c r="B669">
        <v>33</v>
      </c>
      <c r="C669">
        <v>320.00000000000006</v>
      </c>
      <c r="D669">
        <v>8</v>
      </c>
      <c r="E669" s="18">
        <v>8782.186506898619</v>
      </c>
      <c r="F669" s="18">
        <v>-2449.119820297772</v>
      </c>
      <c r="G669" s="18">
        <v>3721.9875404786117</v>
      </c>
      <c r="H669" s="12">
        <f>E670</f>
      </c>
      <c r="I669" s="12">
        <f>F670</f>
      </c>
      <c r="J669" s="12">
        <f>G670</f>
      </c>
      <c r="K669">
        <f>IF(AND(Pu&gt;=MIN(E669,H669),Pu&lt;=MAX(E669,H669),E669&lt;&gt;H669),1,0)</f>
      </c>
      <c r="L669">
        <f>IF(K669=1,(Pu-E669)/(H669-E669),"")</f>
      </c>
      <c r="M669" s="12">
        <f>IF(K669=1,F669+L669*(I669-F669),"")</f>
      </c>
      <c r="N669" s="12">
        <f>IF(K669=1,G669+L669*(J669-G669),"")</f>
      </c>
    </row>
    <row r="670" spans="2:14" x14ac:dyDescent="0.25">
      <c r="B670">
        <v>33</v>
      </c>
      <c r="C670">
        <v>320.00000000000006</v>
      </c>
      <c r="D670">
        <v>9</v>
      </c>
      <c r="E670" s="18">
        <v>7640.784416707781</v>
      </c>
      <c r="F670" s="18">
        <v>-2486.771256954526</v>
      </c>
      <c r="G670" s="18">
        <v>3974.000479045062</v>
      </c>
      <c r="H670" s="12">
        <f>E671</f>
      </c>
      <c r="I670" s="12">
        <f>F671</f>
      </c>
      <c r="J670" s="12">
        <f>G671</f>
      </c>
      <c r="K670">
        <f>IF(AND(Pu&gt;=MIN(E670,H670),Pu&lt;=MAX(E670,H670),E670&lt;&gt;H670),1,0)</f>
      </c>
      <c r="L670">
        <f>IF(K670=1,(Pu-E670)/(H670-E670),"")</f>
      </c>
      <c r="M670" s="12">
        <f>IF(K670=1,F670+L670*(I670-F670),"")</f>
      </c>
      <c r="N670" s="12">
        <f>IF(K670=1,G670+L670*(J670-G670),"")</f>
      </c>
    </row>
    <row r="671" spans="2:14" x14ac:dyDescent="0.25">
      <c r="B671">
        <v>33</v>
      </c>
      <c r="C671">
        <v>320.00000000000006</v>
      </c>
      <c r="D671">
        <v>10</v>
      </c>
      <c r="E671" s="18">
        <v>6726.065799583826</v>
      </c>
      <c r="F671" s="18">
        <v>-2492.2105948961475</v>
      </c>
      <c r="G671" s="18">
        <v>4140.104856423919</v>
      </c>
      <c r="H671" s="12">
        <f>E672</f>
      </c>
      <c r="I671" s="12">
        <f>F672</f>
      </c>
      <c r="J671" s="12">
        <f>G672</f>
      </c>
      <c r="K671">
        <f>IF(AND(Pu&gt;=MIN(E671,H671),Pu&lt;=MAX(E671,H671),E671&lt;&gt;H671),1,0)</f>
      </c>
      <c r="L671">
        <f>IF(K671=1,(Pu-E671)/(H671-E671),"")</f>
      </c>
      <c r="M671" s="12">
        <f>IF(K671=1,F671+L671*(I671-F671),"")</f>
      </c>
      <c r="N671" s="12">
        <f>IF(K671=1,G671+L671*(J671-G671),"")</f>
      </c>
    </row>
    <row r="672" spans="2:14" x14ac:dyDescent="0.25">
      <c r="B672">
        <v>33</v>
      </c>
      <c r="C672">
        <v>320.00000000000006</v>
      </c>
      <c r="D672">
        <v>11</v>
      </c>
      <c r="E672" s="18">
        <v>6025.579860073118</v>
      </c>
      <c r="F672" s="18">
        <v>-2501.3419671814927</v>
      </c>
      <c r="G672" s="18">
        <v>4239.676966393975</v>
      </c>
      <c r="H672" s="12">
        <f>E673</f>
      </c>
      <c r="I672" s="12">
        <f>F673</f>
      </c>
      <c r="J672" s="12">
        <f>G673</f>
      </c>
      <c r="K672">
        <f>IF(AND(Pu&gt;=MIN(E672,H672),Pu&lt;=MAX(E672,H672),E672&lt;&gt;H672),1,0)</f>
      </c>
      <c r="L672">
        <f>IF(K672=1,(Pu-E672)/(H672-E672),"")</f>
      </c>
      <c r="M672" s="12">
        <f>IF(K672=1,F672+L672*(I672-F672),"")</f>
      </c>
      <c r="N672" s="12">
        <f>IF(K672=1,G672+L672*(J672-G672),"")</f>
      </c>
    </row>
    <row r="673" spans="2:14" x14ac:dyDescent="0.25">
      <c r="B673">
        <v>33</v>
      </c>
      <c r="C673">
        <v>320.00000000000006</v>
      </c>
      <c r="D673">
        <v>12</v>
      </c>
      <c r="E673" s="18">
        <v>5435.175188264599</v>
      </c>
      <c r="F673" s="18">
        <v>-2515.115484077009</v>
      </c>
      <c r="G673" s="18">
        <v>4295.768188199265</v>
      </c>
      <c r="H673" s="12">
        <f>E674</f>
      </c>
      <c r="I673" s="12">
        <f>F674</f>
      </c>
      <c r="J673" s="12">
        <f>G674</f>
      </c>
      <c r="K673">
        <f>IF(AND(Pu&gt;=MIN(E673,H673),Pu&lt;=MAX(E673,H673),E673&lt;&gt;H673),1,0)</f>
      </c>
      <c r="L673">
        <f>IF(K673=1,(Pu-E673)/(H673-E673),"")</f>
      </c>
      <c r="M673" s="12">
        <f>IF(K673=1,F673+L673*(I673-F673),"")</f>
      </c>
      <c r="N673" s="12">
        <f>IF(K673=1,G673+L673*(J673-G673),"")</f>
      </c>
    </row>
    <row r="674" spans="2:14" x14ac:dyDescent="0.25">
      <c r="B674">
        <v>33</v>
      </c>
      <c r="C674">
        <v>320.00000000000006</v>
      </c>
      <c r="D674">
        <v>13</v>
      </c>
      <c r="E674" s="18">
        <v>4472.067339974688</v>
      </c>
      <c r="F674" s="18">
        <v>-2573.039025010237</v>
      </c>
      <c r="G674" s="18">
        <v>4315.698449719168</v>
      </c>
      <c r="H674" s="12">
        <f>E675</f>
      </c>
      <c r="I674" s="12">
        <f>F675</f>
      </c>
      <c r="J674" s="12">
        <f>G675</f>
      </c>
      <c r="K674">
        <f>IF(AND(Pu&gt;=MIN(E674,H674),Pu&lt;=MAX(E674,H674),E674&lt;&gt;H674),1,0)</f>
      </c>
      <c r="L674">
        <f>IF(K674=1,(Pu-E674)/(H674-E674),"")</f>
      </c>
      <c r="M674" s="12">
        <f>IF(K674=1,F674+L674*(I674-F674),"")</f>
      </c>
      <c r="N674" s="12">
        <f>IF(K674=1,G674+L674*(J674-G674),"")</f>
      </c>
    </row>
    <row r="675" spans="2:14" x14ac:dyDescent="0.25">
      <c r="B675">
        <v>33</v>
      </c>
      <c r="C675">
        <v>320.00000000000006</v>
      </c>
      <c r="D675">
        <v>14</v>
      </c>
      <c r="E675" s="18">
        <v>3369.7992833584703</v>
      </c>
      <c r="F675" s="18">
        <v>-2422.0142313325114</v>
      </c>
      <c r="G675" s="18">
        <v>3987.3653072509364</v>
      </c>
      <c r="H675" s="12">
        <f>E676</f>
      </c>
      <c r="I675" s="12">
        <f>F676</f>
      </c>
      <c r="J675" s="12">
        <f>G676</f>
      </c>
      <c r="K675">
        <f>IF(AND(Pu&gt;=MIN(E675,H675),Pu&lt;=MAX(E675,H675),E675&lt;&gt;H675),1,0)</f>
      </c>
      <c r="L675">
        <f>IF(K675=1,(Pu-E675)/(H675-E675),"")</f>
      </c>
      <c r="M675" s="12">
        <f>IF(K675=1,F675+L675*(I675-F675),"")</f>
      </c>
      <c r="N675" s="12">
        <f>IF(K675=1,G675+L675*(J675-G675),"")</f>
      </c>
    </row>
    <row r="676" spans="2:14" x14ac:dyDescent="0.25">
      <c r="B676">
        <v>33</v>
      </c>
      <c r="C676">
        <v>320.00000000000006</v>
      </c>
      <c r="D676">
        <v>15</v>
      </c>
      <c r="E676" s="18">
        <v>1845.900168333538</v>
      </c>
      <c r="F676" s="18">
        <v>-2099.8419699834258</v>
      </c>
      <c r="G676" s="18">
        <v>3484.2446361682664</v>
      </c>
      <c r="H676" s="12">
        <f>E677</f>
      </c>
      <c r="I676" s="12">
        <f>F677</f>
      </c>
      <c r="J676" s="12">
        <f>G677</f>
      </c>
      <c r="K676">
        <f>IF(AND(Pu&gt;=MIN(E676,H676),Pu&lt;=MAX(E676,H676),E676&lt;&gt;H676),1,0)</f>
      </c>
      <c r="L676">
        <f>IF(K676=1,(Pu-E676)/(H676-E676),"")</f>
      </c>
      <c r="M676" s="12">
        <f>IF(K676=1,F676+L676*(I676-F676),"")</f>
      </c>
      <c r="N676" s="12">
        <f>IF(K676=1,G676+L676*(J676-G676),"")</f>
      </c>
    </row>
    <row r="677" spans="2:14" x14ac:dyDescent="0.25">
      <c r="B677">
        <v>33</v>
      </c>
      <c r="C677">
        <v>320.00000000000006</v>
      </c>
      <c r="D677">
        <v>16</v>
      </c>
      <c r="E677" s="18">
        <v>730.9479314222019</v>
      </c>
      <c r="F677" s="18">
        <v>-1846.8120070719795</v>
      </c>
      <c r="G677" s="18">
        <v>3034.7443903708195</v>
      </c>
      <c r="H677" s="12">
        <f>E678</f>
      </c>
      <c r="I677" s="12">
        <f>F678</f>
      </c>
      <c r="J677" s="12">
        <f>G678</f>
      </c>
      <c r="K677">
        <f>IF(AND(Pu&gt;=MIN(E677,H677),Pu&lt;=MAX(E677,H677),E677&lt;&gt;H677),1,0)</f>
      </c>
      <c r="L677">
        <f>IF(K677=1,(Pu-E677)/(H677-E677),"")</f>
      </c>
      <c r="M677" s="12">
        <f>IF(K677=1,F677+L677*(I677-F677),"")</f>
      </c>
      <c r="N677" s="12">
        <f>IF(K677=1,G677+L677*(J677-G677),"")</f>
      </c>
    </row>
    <row r="678" spans="2:14" x14ac:dyDescent="0.25">
      <c r="B678">
        <v>33</v>
      </c>
      <c r="C678">
        <v>320.00000000000006</v>
      </c>
      <c r="D678">
        <v>17</v>
      </c>
      <c r="E678" s="18">
        <v>-1094.6889118879321</v>
      </c>
      <c r="F678" s="18">
        <v>-1389.8270094752334</v>
      </c>
      <c r="G678" s="18">
        <v>2176.4568739463257</v>
      </c>
      <c r="H678" s="12">
        <f>E679</f>
      </c>
      <c r="I678" s="12">
        <f>F679</f>
      </c>
      <c r="J678" s="12">
        <f>G679</f>
      </c>
      <c r="K678">
        <f>IF(AND(Pu&gt;=MIN(E678,H678),Pu&lt;=MAX(E678,H678),E678&lt;&gt;H678),1,0)</f>
      </c>
      <c r="L678">
        <f>IF(K678=1,(Pu-E678)/(H678-E678),"")</f>
      </c>
      <c r="M678" s="12">
        <f>IF(K678=1,F678+L678*(I678-F678),"")</f>
      </c>
      <c r="N678" s="12">
        <f>IF(K678=1,G678+L678*(J678-G678),"")</f>
      </c>
    </row>
    <row r="679" spans="2:14" x14ac:dyDescent="0.25">
      <c r="B679">
        <v>33</v>
      </c>
      <c r="C679">
        <v>320.00000000000006</v>
      </c>
      <c r="D679">
        <v>18</v>
      </c>
      <c r="E679" s="18">
        <v>-2272.739613988694</v>
      </c>
      <c r="F679" s="18">
        <v>-1025.259600245415</v>
      </c>
      <c r="G679" s="18">
        <v>1563.9597976104465</v>
      </c>
      <c r="H679" s="12">
        <f>E680</f>
      </c>
      <c r="I679" s="12">
        <f>F680</f>
      </c>
      <c r="J679" s="12">
        <f>G680</f>
      </c>
      <c r="K679">
        <f>IF(AND(Pu&gt;=MIN(E679,H679),Pu&lt;=MAX(E679,H679),E679&lt;&gt;H679),1,0)</f>
      </c>
      <c r="L679">
        <f>IF(K679=1,(Pu-E679)/(H679-E679),"")</f>
      </c>
      <c r="M679" s="12">
        <f>IF(K679=1,F679+L679*(I679-F679),"")</f>
      </c>
      <c r="N679" s="12">
        <f>IF(K679=1,G679+L679*(J679-G679),"")</f>
      </c>
    </row>
    <row r="680" spans="2:7" x14ac:dyDescent="0.25">
      <c r="B680">
        <v>33</v>
      </c>
      <c r="C680">
        <v>320.00000000000006</v>
      </c>
      <c r="D680">
        <v>19</v>
      </c>
      <c r="E680" s="18">
        <v>-3972.5326590168647</v>
      </c>
      <c r="F680" s="18">
        <v>-389.2546634469325</v>
      </c>
      <c r="G680" s="18">
        <v>609.8221466339494</v>
      </c>
    </row>
    <row r="682" spans="2:14" x14ac:dyDescent="0.25">
      <c r="B682">
        <v>34</v>
      </c>
      <c r="C682">
        <v>330.00000000000006</v>
      </c>
      <c r="D682">
        <v>1</v>
      </c>
      <c r="E682" s="18">
        <v>16998.009337410247</v>
      </c>
      <c r="F682" s="18">
        <v>-1133.6483233342217</v>
      </c>
      <c r="G682" s="18">
        <v>2709.8726552965213</v>
      </c>
      <c r="H682" s="12">
        <f>E683</f>
      </c>
      <c r="I682" s="12">
        <f>F683</f>
      </c>
      <c r="J682" s="12">
        <f>G683</f>
      </c>
      <c r="K682">
        <f>IF(AND(Pu&gt;=MIN(E682,H682),Pu&lt;=MAX(E682,H682),E682&lt;&gt;H682),1,0)</f>
      </c>
      <c r="L682">
        <f>IF(K682=1,(Pu-E682)/(H682-E682),"")</f>
      </c>
      <c r="M682" s="12">
        <f>IF(K682=1,F682+L682*(I682-F682),"")</f>
      </c>
      <c r="N682" s="12">
        <f>IF(K682=1,G682+L682*(J682-G682),"")</f>
      </c>
    </row>
    <row r="683" spans="2:14" x14ac:dyDescent="0.25">
      <c r="B683">
        <v>34</v>
      </c>
      <c r="C683">
        <v>330.00000000000006</v>
      </c>
      <c r="D683">
        <v>2</v>
      </c>
      <c r="E683" s="18">
        <v>15021.685687512982</v>
      </c>
      <c r="F683" s="18">
        <v>-1322.3102911534027</v>
      </c>
      <c r="G683" s="18">
        <v>3396.3693219095753</v>
      </c>
      <c r="H683" s="12">
        <f>E684</f>
      </c>
      <c r="I683" s="12">
        <f>F684</f>
      </c>
      <c r="J683" s="12">
        <f>G684</f>
      </c>
      <c r="K683">
        <f>IF(AND(Pu&gt;=MIN(E683,H683),Pu&lt;=MAX(E683,H683),E683&lt;&gt;H683),1,0)</f>
      </c>
      <c r="L683">
        <f>IF(K683=1,(Pu-E683)/(H683-E683),"")</f>
      </c>
      <c r="M683" s="12">
        <f>IF(K683=1,F683+L683*(I683-F683),"")</f>
      </c>
      <c r="N683" s="12">
        <f>IF(K683=1,G683+L683*(J683-G683),"")</f>
      </c>
    </row>
    <row r="684" spans="2:14" x14ac:dyDescent="0.25">
      <c r="B684">
        <v>34</v>
      </c>
      <c r="C684">
        <v>330.00000000000006</v>
      </c>
      <c r="D684">
        <v>3</v>
      </c>
      <c r="E684" s="18">
        <v>14002.391562563787</v>
      </c>
      <c r="F684" s="18">
        <v>-1447.9367613454633</v>
      </c>
      <c r="G684" s="18">
        <v>3620.9807499718295</v>
      </c>
      <c r="H684" s="12">
        <f>E685</f>
      </c>
      <c r="I684" s="12">
        <f>F685</f>
      </c>
      <c r="J684" s="12">
        <f>G685</f>
      </c>
      <c r="K684">
        <f>IF(AND(Pu&gt;=MIN(E684,H684),Pu&lt;=MAX(E684,H684),E684&lt;&gt;H684),1,0)</f>
      </c>
      <c r="L684">
        <f>IF(K684=1,(Pu-E684)/(H684-E684),"")</f>
      </c>
      <c r="M684" s="12">
        <f>IF(K684=1,F684+L684*(I684-F684),"")</f>
      </c>
      <c r="N684" s="12">
        <f>IF(K684=1,G684+L684*(J684-G684),"")</f>
      </c>
    </row>
    <row r="685" spans="2:14" x14ac:dyDescent="0.25">
      <c r="B685">
        <v>34</v>
      </c>
      <c r="C685">
        <v>330.00000000000006</v>
      </c>
      <c r="D685">
        <v>4</v>
      </c>
      <c r="E685" s="18">
        <v>12917.191162616708</v>
      </c>
      <c r="F685" s="18">
        <v>-1568.6732710273855</v>
      </c>
      <c r="G685" s="18">
        <v>3801.6815566804426</v>
      </c>
      <c r="H685" s="12">
        <f>E686</f>
      </c>
      <c r="I685" s="12">
        <f>F686</f>
      </c>
      <c r="J685" s="12">
        <f>G686</f>
      </c>
      <c r="K685">
        <f>IF(AND(Pu&gt;=MIN(E685,H685),Pu&lt;=MAX(E685,H685),E685&lt;&gt;H685),1,0)</f>
      </c>
      <c r="L685">
        <f>IF(K685=1,(Pu-E685)/(H685-E685),"")</f>
      </c>
      <c r="M685" s="12">
        <f>IF(K685=1,F685+L685*(I685-F685),"")</f>
      </c>
      <c r="N685" s="12">
        <f>IF(K685=1,G685+L685*(J685-G685),"")</f>
      </c>
    </row>
    <row r="686" spans="2:14" x14ac:dyDescent="0.25">
      <c r="B686">
        <v>34</v>
      </c>
      <c r="C686">
        <v>330.00000000000006</v>
      </c>
      <c r="D686">
        <v>5</v>
      </c>
      <c r="E686" s="18">
        <v>11836.053318345912</v>
      </c>
      <c r="F686" s="18">
        <v>-1678.6753427579417</v>
      </c>
      <c r="G686" s="18">
        <v>3932.163454980796</v>
      </c>
      <c r="H686" s="12">
        <f>E687</f>
      </c>
      <c r="I686" s="12">
        <f>F687</f>
      </c>
      <c r="J686" s="12">
        <f>G687</f>
      </c>
      <c r="K686">
        <f>IF(AND(Pu&gt;=MIN(E686,H686),Pu&lt;=MAX(E686,H686),E686&lt;&gt;H686),1,0)</f>
      </c>
      <c r="L686">
        <f>IF(K686=1,(Pu-E686)/(H686-E686),"")</f>
      </c>
      <c r="M686" s="12">
        <f>IF(K686=1,F686+L686*(I686-F686),"")</f>
      </c>
      <c r="N686" s="12">
        <f>IF(K686=1,G686+L686*(J686-G686),"")</f>
      </c>
    </row>
    <row r="687" spans="2:14" x14ac:dyDescent="0.25">
      <c r="B687">
        <v>34</v>
      </c>
      <c r="C687">
        <v>330.00000000000006</v>
      </c>
      <c r="D687">
        <v>6</v>
      </c>
      <c r="E687" s="18">
        <v>10727.012526339864</v>
      </c>
      <c r="F687" s="18">
        <v>-1769.947839356137</v>
      </c>
      <c r="G687" s="18">
        <v>4024.5058086536583</v>
      </c>
      <c r="H687" s="12">
        <f>E688</f>
      </c>
      <c r="I687" s="12">
        <f>F688</f>
      </c>
      <c r="J687" s="12">
        <f>G688</f>
      </c>
      <c r="K687">
        <f>IF(AND(Pu&gt;=MIN(E687,H687),Pu&lt;=MAX(E687,H687),E687&lt;&gt;H687),1,0)</f>
      </c>
      <c r="L687">
        <f>IF(K687=1,(Pu-E687)/(H687-E687),"")</f>
      </c>
      <c r="M687" s="12">
        <f>IF(K687=1,F687+L687*(I687-F687),"")</f>
      </c>
      <c r="N687" s="12">
        <f>IF(K687=1,G687+L687*(J687-G687),"")</f>
      </c>
    </row>
    <row r="688" spans="2:14" x14ac:dyDescent="0.25">
      <c r="B688">
        <v>34</v>
      </c>
      <c r="C688">
        <v>330.00000000000006</v>
      </c>
      <c r="D688">
        <v>7</v>
      </c>
      <c r="E688" s="18">
        <v>9665.022708480567</v>
      </c>
      <c r="F688" s="18">
        <v>-1805.482595355889</v>
      </c>
      <c r="G688" s="18">
        <v>4101.973909609852</v>
      </c>
      <c r="H688" s="12">
        <f>E689</f>
      </c>
      <c r="I688" s="12">
        <f>F689</f>
      </c>
      <c r="J688" s="12">
        <f>G689</f>
      </c>
      <c r="K688">
        <f>IF(AND(Pu&gt;=MIN(E688,H688),Pu&lt;=MAX(E688,H688),E688&lt;&gt;H688),1,0)</f>
      </c>
      <c r="L688">
        <f>IF(K688=1,(Pu-E688)/(H688-E688),"")</f>
      </c>
      <c r="M688" s="12">
        <f>IF(K688=1,F688+L688*(I688-F688),"")</f>
      </c>
      <c r="N688" s="12">
        <f>IF(K688=1,G688+L688*(J688-G688),"")</f>
      </c>
    </row>
    <row r="689" spans="2:14" x14ac:dyDescent="0.25">
      <c r="B689">
        <v>34</v>
      </c>
      <c r="C689">
        <v>330.00000000000006</v>
      </c>
      <c r="D689">
        <v>8</v>
      </c>
      <c r="E689" s="18">
        <v>8691.31874850863</v>
      </c>
      <c r="F689" s="18">
        <v>-1787.0400065559834</v>
      </c>
      <c r="G689" s="18">
        <v>4169.332745253194</v>
      </c>
      <c r="H689" s="12">
        <f>E690</f>
      </c>
      <c r="I689" s="12">
        <f>F690</f>
      </c>
      <c r="J689" s="12">
        <f>G690</f>
      </c>
      <c r="K689">
        <f>IF(AND(Pu&gt;=MIN(E689,H689),Pu&lt;=MAX(E689,H689),E689&lt;&gt;H689),1,0)</f>
      </c>
      <c r="L689">
        <f>IF(K689=1,(Pu-E689)/(H689-E689),"")</f>
      </c>
      <c r="M689" s="12">
        <f>IF(K689=1,F689+L689*(I689-F689),"")</f>
      </c>
      <c r="N689" s="12">
        <f>IF(K689=1,G689+L689*(J689-G689),"")</f>
      </c>
    </row>
    <row r="690" spans="2:14" x14ac:dyDescent="0.25">
      <c r="B690">
        <v>34</v>
      </c>
      <c r="C690">
        <v>330.00000000000006</v>
      </c>
      <c r="D690">
        <v>9</v>
      </c>
      <c r="E690" s="18">
        <v>7538.850561970994</v>
      </c>
      <c r="F690" s="18">
        <v>-1814.5178557291308</v>
      </c>
      <c r="G690" s="18">
        <v>4423.590850130432</v>
      </c>
      <c r="H690" s="12">
        <f>E691</f>
      </c>
      <c r="I690" s="12">
        <f>F691</f>
      </c>
      <c r="J690" s="12">
        <f>G691</f>
      </c>
      <c r="K690">
        <f>IF(AND(Pu&gt;=MIN(E690,H690),Pu&lt;=MAX(E690,H690),E690&lt;&gt;H690),1,0)</f>
      </c>
      <c r="L690">
        <f>IF(K690=1,(Pu-E690)/(H690-E690),"")</f>
      </c>
      <c r="M690" s="12">
        <f>IF(K690=1,F690+L690*(I690-F690),"")</f>
      </c>
      <c r="N690" s="12">
        <f>IF(K690=1,G690+L690*(J690-G690),"")</f>
      </c>
    </row>
    <row r="691" spans="2:14" x14ac:dyDescent="0.25">
      <c r="B691">
        <v>34</v>
      </c>
      <c r="C691">
        <v>330.00000000000006</v>
      </c>
      <c r="D691">
        <v>10</v>
      </c>
      <c r="E691" s="18">
        <v>6664.820375148367</v>
      </c>
      <c r="F691" s="18">
        <v>-1823.347741754344</v>
      </c>
      <c r="G691" s="18">
        <v>4579.5157997130445</v>
      </c>
      <c r="H691" s="12">
        <f>E692</f>
      </c>
      <c r="I691" s="12">
        <f>F692</f>
      </c>
      <c r="J691" s="12">
        <f>G692</f>
      </c>
      <c r="K691">
        <f>IF(AND(Pu&gt;=MIN(E691,H691),Pu&lt;=MAX(E691,H691),E691&lt;&gt;H691),1,0)</f>
      </c>
      <c r="L691">
        <f>IF(K691=1,(Pu-E691)/(H691-E691),"")</f>
      </c>
      <c r="M691" s="12">
        <f>IF(K691=1,F691+L691*(I691-F691),"")</f>
      </c>
      <c r="N691" s="12">
        <f>IF(K691=1,G691+L691*(J691-G691),"")</f>
      </c>
    </row>
    <row r="692" spans="2:14" x14ac:dyDescent="0.25">
      <c r="B692">
        <v>34</v>
      </c>
      <c r="C692">
        <v>330.00000000000006</v>
      </c>
      <c r="D692">
        <v>11</v>
      </c>
      <c r="E692" s="18">
        <v>6015.583142120543</v>
      </c>
      <c r="F692" s="18">
        <v>-1839.7091926541034</v>
      </c>
      <c r="G692" s="18">
        <v>4680.595031632149</v>
      </c>
      <c r="H692" s="12">
        <f>E693</f>
      </c>
      <c r="I692" s="12">
        <f>F693</f>
      </c>
      <c r="J692" s="12">
        <f>G693</f>
      </c>
      <c r="K692">
        <f>IF(AND(Pu&gt;=MIN(E692,H692),Pu&lt;=MAX(E692,H692),E692&lt;&gt;H692),1,0)</f>
      </c>
      <c r="L692">
        <f>IF(K692=1,(Pu-E692)/(H692-E692),"")</f>
      </c>
      <c r="M692" s="12">
        <f>IF(K692=1,F692+L692*(I692-F692),"")</f>
      </c>
      <c r="N692" s="12">
        <f>IF(K692=1,G692+L692*(J692-G692),"")</f>
      </c>
    </row>
    <row r="693" spans="2:14" x14ac:dyDescent="0.25">
      <c r="B693">
        <v>34</v>
      </c>
      <c r="C693">
        <v>330.00000000000006</v>
      </c>
      <c r="D693">
        <v>12</v>
      </c>
      <c r="E693" s="18">
        <v>5523.813323565006</v>
      </c>
      <c r="F693" s="18">
        <v>-1876.9741645261354</v>
      </c>
      <c r="G693" s="18">
        <v>4748.332897726923</v>
      </c>
      <c r="H693" s="12">
        <f>E694</f>
      </c>
      <c r="I693" s="12">
        <f>F694</f>
      </c>
      <c r="J693" s="12">
        <f>G694</f>
      </c>
      <c r="K693">
        <f>IF(AND(Pu&gt;=MIN(E693,H693),Pu&lt;=MAX(E693,H693),E693&lt;&gt;H693),1,0)</f>
      </c>
      <c r="L693">
        <f>IF(K693=1,(Pu-E693)/(H693-E693),"")</f>
      </c>
      <c r="M693" s="12">
        <f>IF(K693=1,F693+L693*(I693-F693),"")</f>
      </c>
      <c r="N693" s="12">
        <f>IF(K693=1,G693+L693*(J693-G693),"")</f>
      </c>
    </row>
    <row r="694" spans="2:14" x14ac:dyDescent="0.25">
      <c r="B694">
        <v>34</v>
      </c>
      <c r="C694">
        <v>330.00000000000006</v>
      </c>
      <c r="D694">
        <v>13</v>
      </c>
      <c r="E694" s="18">
        <v>4712.473903860888</v>
      </c>
      <c r="F694" s="18">
        <v>-1932.0039260876258</v>
      </c>
      <c r="G694" s="18">
        <v>4863.813696206679</v>
      </c>
      <c r="H694" s="12">
        <f>E695</f>
      </c>
      <c r="I694" s="12">
        <f>F695</f>
      </c>
      <c r="J694" s="12">
        <f>G695</f>
      </c>
      <c r="K694">
        <f>IF(AND(Pu&gt;=MIN(E694,H694),Pu&lt;=MAX(E694,H694),E694&lt;&gt;H694),1,0)</f>
      </c>
      <c r="L694">
        <f>IF(K694=1,(Pu-E694)/(H694-E694),"")</f>
      </c>
      <c r="M694" s="12">
        <f>IF(K694=1,F694+L694*(I694-F694),"")</f>
      </c>
      <c r="N694" s="12">
        <f>IF(K694=1,G694+L694*(J694-G694),"")</f>
      </c>
    </row>
    <row r="695" spans="2:14" x14ac:dyDescent="0.25">
      <c r="B695">
        <v>34</v>
      </c>
      <c r="C695">
        <v>330.00000000000006</v>
      </c>
      <c r="D695">
        <v>14</v>
      </c>
      <c r="E695" s="18">
        <v>3655.5890284883108</v>
      </c>
      <c r="F695" s="18">
        <v>-1848.0920579585443</v>
      </c>
      <c r="G695" s="18">
        <v>4552.941779706578</v>
      </c>
      <c r="H695" s="12">
        <f>E696</f>
      </c>
      <c r="I695" s="12">
        <f>F696</f>
      </c>
      <c r="J695" s="12">
        <f>G696</f>
      </c>
      <c r="K695">
        <f>IF(AND(Pu&gt;=MIN(E695,H695),Pu&lt;=MAX(E695,H695),E695&lt;&gt;H695),1,0)</f>
      </c>
      <c r="L695">
        <f>IF(K695=1,(Pu-E695)/(H695-E695),"")</f>
      </c>
      <c r="M695" s="12">
        <f>IF(K695=1,F695+L695*(I695-F695),"")</f>
      </c>
      <c r="N695" s="12">
        <f>IF(K695=1,G695+L695*(J695-G695),"")</f>
      </c>
    </row>
    <row r="696" spans="2:14" x14ac:dyDescent="0.25">
      <c r="B696">
        <v>34</v>
      </c>
      <c r="C696">
        <v>330.00000000000006</v>
      </c>
      <c r="D696">
        <v>15</v>
      </c>
      <c r="E696" s="18">
        <v>2045.6972224165586</v>
      </c>
      <c r="F696" s="18">
        <v>-1711.8493171399873</v>
      </c>
      <c r="G696" s="18">
        <v>3907.4828363248616</v>
      </c>
      <c r="H696" s="12">
        <f>E697</f>
      </c>
      <c r="I696" s="12">
        <f>F697</f>
      </c>
      <c r="J696" s="12">
        <f>G697</f>
      </c>
      <c r="K696">
        <f>IF(AND(Pu&gt;=MIN(E696,H696),Pu&lt;=MAX(E696,H696),E696&lt;&gt;H696),1,0)</f>
      </c>
      <c r="L696">
        <f>IF(K696=1,(Pu-E696)/(H696-E696),"")</f>
      </c>
      <c r="M696" s="12">
        <f>IF(K696=1,F696+L696*(I696-F696),"")</f>
      </c>
      <c r="N696" s="12">
        <f>IF(K696=1,G696+L696*(J696-G696),"")</f>
      </c>
    </row>
    <row r="697" spans="2:14" x14ac:dyDescent="0.25">
      <c r="B697">
        <v>34</v>
      </c>
      <c r="C697">
        <v>330.00000000000006</v>
      </c>
      <c r="D697">
        <v>16</v>
      </c>
      <c r="E697" s="18">
        <v>909.6960597465938</v>
      </c>
      <c r="F697" s="18">
        <v>-1537.289115239016</v>
      </c>
      <c r="G697" s="18">
        <v>3370.677902549651</v>
      </c>
      <c r="H697" s="12">
        <f>E698</f>
      </c>
      <c r="I697" s="12">
        <f>F698</f>
      </c>
      <c r="J697" s="12">
        <f>G698</f>
      </c>
      <c r="K697">
        <f>IF(AND(Pu&gt;=MIN(E697,H697),Pu&lt;=MAX(E697,H697),E697&lt;&gt;H697),1,0)</f>
      </c>
      <c r="L697">
        <f>IF(K697=1,(Pu-E697)/(H697-E697),"")</f>
      </c>
      <c r="M697" s="12">
        <f>IF(K697=1,F697+L697*(I697-F697),"")</f>
      </c>
      <c r="N697" s="12">
        <f>IF(K697=1,G697+L697*(J697-G697),"")</f>
      </c>
    </row>
    <row r="698" spans="2:14" x14ac:dyDescent="0.25">
      <c r="B698">
        <v>34</v>
      </c>
      <c r="C698">
        <v>330.00000000000006</v>
      </c>
      <c r="D698">
        <v>17</v>
      </c>
      <c r="E698" s="18">
        <v>-1001.6965113812608</v>
      </c>
      <c r="F698" s="18">
        <v>-1175.5242872224312</v>
      </c>
      <c r="G698" s="18">
        <v>2376.2135344926633</v>
      </c>
      <c r="H698" s="12">
        <f>E699</f>
      </c>
      <c r="I698" s="12">
        <f>F699</f>
      </c>
      <c r="J698" s="12">
        <f>G699</f>
      </c>
      <c r="K698">
        <f>IF(AND(Pu&gt;=MIN(E698,H698),Pu&lt;=MAX(E698,H698),E698&lt;&gt;H698),1,0)</f>
      </c>
      <c r="L698">
        <f>IF(K698=1,(Pu-E698)/(H698-E698),"")</f>
      </c>
      <c r="M698" s="12">
        <f>IF(K698=1,F698+L698*(I698-F698),"")</f>
      </c>
      <c r="N698" s="12">
        <f>IF(K698=1,G698+L698*(J698-G698),"")</f>
      </c>
    </row>
    <row r="699" spans="2:14" x14ac:dyDescent="0.25">
      <c r="B699">
        <v>34</v>
      </c>
      <c r="C699">
        <v>330.00000000000006</v>
      </c>
      <c r="D699">
        <v>18</v>
      </c>
      <c r="E699" s="18">
        <v>-2257.3271558709394</v>
      </c>
      <c r="F699" s="18">
        <v>-876.3487677854164</v>
      </c>
      <c r="G699" s="18">
        <v>1667.2597478327234</v>
      </c>
      <c r="H699" s="12">
        <f>E700</f>
      </c>
      <c r="I699" s="12">
        <f>F700</f>
      </c>
      <c r="J699" s="12">
        <f>G700</f>
      </c>
      <c r="K699">
        <f>IF(AND(Pu&gt;=MIN(E699,H699),Pu&lt;=MAX(E699,H699),E699&lt;&gt;H699),1,0)</f>
      </c>
      <c r="L699">
        <f>IF(K699=1,(Pu-E699)/(H699-E699),"")</f>
      </c>
      <c r="M699" s="12">
        <f>IF(K699=1,F699+L699*(I699-F699),"")</f>
      </c>
      <c r="N699" s="12">
        <f>IF(K699=1,G699+L699*(J699-G699),"")</f>
      </c>
    </row>
    <row r="700" spans="2:7" x14ac:dyDescent="0.25">
      <c r="B700">
        <v>34</v>
      </c>
      <c r="C700">
        <v>330.00000000000006</v>
      </c>
      <c r="D700">
        <v>19</v>
      </c>
      <c r="E700" s="18">
        <v>-4073.363030721496</v>
      </c>
      <c r="F700" s="18">
        <v>-317.1119100570364</v>
      </c>
      <c r="G700" s="18">
        <v>570.0336548953582</v>
      </c>
    </row>
    <row r="702" spans="2:14" x14ac:dyDescent="0.25">
      <c r="B702">
        <v>35</v>
      </c>
      <c r="C702">
        <v>340</v>
      </c>
      <c r="D702">
        <v>1</v>
      </c>
      <c r="E702" s="18">
        <v>17661.28868259638</v>
      </c>
      <c r="F702" s="18">
        <v>-755.7966530112396</v>
      </c>
      <c r="G702" s="18">
        <v>2570.7936325713395</v>
      </c>
      <c r="H702" s="12">
        <f>E703</f>
      </c>
      <c r="I702" s="12">
        <f>F703</f>
      </c>
      <c r="J702" s="12">
        <f>G703</f>
      </c>
      <c r="K702">
        <f>IF(AND(Pu&gt;=MIN(E702,H702),Pu&lt;=MAX(E702,H702),E702&lt;&gt;H702),1,0)</f>
      </c>
      <c r="L702">
        <f>IF(K702=1,(Pu-E702)/(H702-E702),"")</f>
      </c>
      <c r="M702" s="12">
        <f>IF(K702=1,F702+L702*(I702-F702),"")</f>
      </c>
      <c r="N702" s="12">
        <f>IF(K702=1,G702+L702*(J702-G702),"")</f>
      </c>
    </row>
    <row r="703" spans="2:14" x14ac:dyDescent="0.25">
      <c r="B703">
        <v>35</v>
      </c>
      <c r="C703">
        <v>340</v>
      </c>
      <c r="D703">
        <v>2</v>
      </c>
      <c r="E703" s="18">
        <v>16743.450831778515</v>
      </c>
      <c r="F703" s="18">
        <v>-770.3842995786213</v>
      </c>
      <c r="G703" s="18">
        <v>3008.3515358189384</v>
      </c>
      <c r="H703" s="12">
        <f>E704</f>
      </c>
      <c r="I703" s="12">
        <f>F704</f>
      </c>
      <c r="J703" s="12">
        <f>G704</f>
      </c>
      <c r="K703">
        <f>IF(AND(Pu&gt;=MIN(E703,H703),Pu&lt;=MAX(E703,H703),E703&lt;&gt;H703),1,0)</f>
      </c>
      <c r="L703">
        <f>IF(K703=1,(Pu-E703)/(H703-E703),"")</f>
      </c>
      <c r="M703" s="12">
        <f>IF(K703=1,F703+L703*(I703-F703),"")</f>
      </c>
      <c r="N703" s="12">
        <f>IF(K703=1,G703+L703*(J703-G703),"")</f>
      </c>
    </row>
    <row r="704" spans="2:14" x14ac:dyDescent="0.25">
      <c r="B704">
        <v>35</v>
      </c>
      <c r="C704">
        <v>340</v>
      </c>
      <c r="D704">
        <v>3</v>
      </c>
      <c r="E704" s="18">
        <v>14997.463353751455</v>
      </c>
      <c r="F704" s="18">
        <v>-844.8362812468906</v>
      </c>
      <c r="G704" s="18">
        <v>3631.3056186022504</v>
      </c>
      <c r="H704" s="12">
        <f>E705</f>
      </c>
      <c r="I704" s="12">
        <f>F705</f>
      </c>
      <c r="J704" s="12">
        <f>G705</f>
      </c>
      <c r="K704">
        <f>IF(AND(Pu&gt;=MIN(E704,H704),Pu&lt;=MAX(E704,H704),E704&lt;&gt;H704),1,0)</f>
      </c>
      <c r="L704">
        <f>IF(K704=1,(Pu-E704)/(H704-E704),"")</f>
      </c>
      <c r="M704" s="12">
        <f>IF(K704=1,F704+L704*(I704-F704),"")</f>
      </c>
      <c r="N704" s="12">
        <f>IF(K704=1,G704+L704*(J704-G704),"")</f>
      </c>
    </row>
    <row r="705" spans="2:14" x14ac:dyDescent="0.25">
      <c r="B705">
        <v>35</v>
      </c>
      <c r="C705">
        <v>340</v>
      </c>
      <c r="D705">
        <v>4</v>
      </c>
      <c r="E705" s="18">
        <v>14116.457475587224</v>
      </c>
      <c r="F705" s="18">
        <v>-935.0496609914561</v>
      </c>
      <c r="G705" s="18">
        <v>3845.336014835609</v>
      </c>
      <c r="H705" s="12">
        <f>E706</f>
      </c>
      <c r="I705" s="12">
        <f>F706</f>
      </c>
      <c r="J705" s="12">
        <f>G706</f>
      </c>
      <c r="K705">
        <f>IF(AND(Pu&gt;=MIN(E705,H705),Pu&lt;=MAX(E705,H705),E705&lt;&gt;H705),1,0)</f>
      </c>
      <c r="L705">
        <f>IF(K705=1,(Pu-E705)/(H705-E705),"")</f>
      </c>
      <c r="M705" s="12">
        <f>IF(K705=1,F705+L705*(I705-F705),"")</f>
      </c>
      <c r="N705" s="12">
        <f>IF(K705=1,G705+L705*(J705-G705),"")</f>
      </c>
    </row>
    <row r="706" spans="2:14" x14ac:dyDescent="0.25">
      <c r="B706">
        <v>35</v>
      </c>
      <c r="C706">
        <v>340</v>
      </c>
      <c r="D706">
        <v>5</v>
      </c>
      <c r="E706" s="18">
        <v>13119.134658210109</v>
      </c>
      <c r="F706" s="18">
        <v>-1033.1924703428472</v>
      </c>
      <c r="G706" s="18">
        <v>4031.2409707891575</v>
      </c>
      <c r="H706" s="12">
        <f>E707</f>
      </c>
      <c r="I706" s="12">
        <f>F707</f>
      </c>
      <c r="J706" s="12">
        <f>G707</f>
      </c>
      <c r="K706">
        <f>IF(AND(Pu&gt;=MIN(E706,H706),Pu&lt;=MAX(E706,H706),E706&lt;&gt;H706),1,0)</f>
      </c>
      <c r="L706">
        <f>IF(K706=1,(Pu-E706)/(H706-E706),"")</f>
      </c>
      <c r="M706" s="12">
        <f>IF(K706=1,F706+L706*(I706-F706),"")</f>
      </c>
      <c r="N706" s="12">
        <f>IF(K706=1,G706+L706*(J706-G706),"")</f>
      </c>
    </row>
    <row r="707" spans="2:14" x14ac:dyDescent="0.25">
      <c r="B707">
        <v>35</v>
      </c>
      <c r="C707">
        <v>340</v>
      </c>
      <c r="D707">
        <v>6</v>
      </c>
      <c r="E707" s="18">
        <v>12026.13458863319</v>
      </c>
      <c r="F707" s="18">
        <v>-1119.8848694123562</v>
      </c>
      <c r="G707" s="18">
        <v>4182.643202301281</v>
      </c>
      <c r="H707" s="12">
        <f>E708</f>
      </c>
      <c r="I707" s="12">
        <f>F708</f>
      </c>
      <c r="J707" s="12">
        <f>G708</f>
      </c>
      <c r="K707">
        <f>IF(AND(Pu&gt;=MIN(E707,H707),Pu&lt;=MAX(E707,H707),E707&lt;&gt;H707),1,0)</f>
      </c>
      <c r="L707">
        <f>IF(K707=1,(Pu-E707)/(H707-E707),"")</f>
      </c>
      <c r="M707" s="12">
        <f>IF(K707=1,F707+L707*(I707-F707),"")</f>
      </c>
      <c r="N707" s="12">
        <f>IF(K707=1,G707+L707*(J707-G707),"")</f>
      </c>
    </row>
    <row r="708" spans="2:14" x14ac:dyDescent="0.25">
      <c r="B708">
        <v>35</v>
      </c>
      <c r="C708">
        <v>340</v>
      </c>
      <c r="D708">
        <v>7</v>
      </c>
      <c r="E708" s="18">
        <v>10842.044474839007</v>
      </c>
      <c r="F708" s="18">
        <v>-1156.5697052873281</v>
      </c>
      <c r="G708" s="18">
        <v>4310.236130861473</v>
      </c>
      <c r="H708" s="12">
        <f>E709</f>
      </c>
      <c r="I708" s="12">
        <f>F709</f>
      </c>
      <c r="J708" s="12">
        <f>G709</f>
      </c>
      <c r="K708">
        <f>IF(AND(Pu&gt;=MIN(E708,H708),Pu&lt;=MAX(E708,H708),E708&lt;&gt;H708),1,0)</f>
      </c>
      <c r="L708">
        <f>IF(K708=1,(Pu-E708)/(H708-E708),"")</f>
      </c>
      <c r="M708" s="12">
        <f>IF(K708=1,F708+L708*(I708-F708),"")</f>
      </c>
      <c r="N708" s="12">
        <f>IF(K708=1,G708+L708*(J708-G708),"")</f>
      </c>
    </row>
    <row r="709" spans="2:14" x14ac:dyDescent="0.25">
      <c r="B709">
        <v>35</v>
      </c>
      <c r="C709">
        <v>340</v>
      </c>
      <c r="D709">
        <v>8</v>
      </c>
      <c r="E709" s="18">
        <v>9724.273454792436</v>
      </c>
      <c r="F709" s="18">
        <v>-1176.0495099052832</v>
      </c>
      <c r="G709" s="18">
        <v>4398.407896564589</v>
      </c>
      <c r="H709" s="12">
        <f>E710</f>
      </c>
      <c r="I709" s="12">
        <f>F710</f>
      </c>
      <c r="J709" s="12">
        <f>G710</f>
      </c>
      <c r="K709">
        <f>IF(AND(Pu&gt;=MIN(E709,H709),Pu&lt;=MAX(E709,H709),E709&lt;&gt;H709),1,0)</f>
      </c>
      <c r="L709">
        <f>IF(K709=1,(Pu-E709)/(H709-E709),"")</f>
      </c>
      <c r="M709" s="12">
        <f>IF(K709=1,F709+L709*(I709-F709),"")</f>
      </c>
      <c r="N709" s="12">
        <f>IF(K709=1,G709+L709*(J709-G709),"")</f>
      </c>
    </row>
    <row r="710" spans="2:14" x14ac:dyDescent="0.25">
      <c r="B710">
        <v>35</v>
      </c>
      <c r="C710">
        <v>340</v>
      </c>
      <c r="D710">
        <v>9</v>
      </c>
      <c r="E710" s="18">
        <v>8674.594833372263</v>
      </c>
      <c r="F710" s="18">
        <v>-1192.979138481094</v>
      </c>
      <c r="G710" s="18">
        <v>4451.136389177951</v>
      </c>
      <c r="H710" s="12">
        <f>E711</f>
      </c>
      <c r="I710" s="12">
        <f>F711</f>
      </c>
      <c r="J710" s="12">
        <f>G711</f>
      </c>
      <c r="K710">
        <f>IF(AND(Pu&gt;=MIN(E710,H710),Pu&lt;=MAX(E710,H710),E710&lt;&gt;H710),1,0)</f>
      </c>
      <c r="L710">
        <f>IF(K710=1,(Pu-E710)/(H710-E710),"")</f>
      </c>
      <c r="M710" s="12">
        <f>IF(K710=1,F710+L710*(I710-F710),"")</f>
      </c>
      <c r="N710" s="12">
        <f>IF(K710=1,G710+L710*(J710-G710),"")</f>
      </c>
    </row>
    <row r="711" spans="2:14" x14ac:dyDescent="0.25">
      <c r="B711">
        <v>35</v>
      </c>
      <c r="C711">
        <v>340</v>
      </c>
      <c r="D711">
        <v>10</v>
      </c>
      <c r="E711" s="18">
        <v>7474.884744198228</v>
      </c>
      <c r="F711" s="18">
        <v>-1204.6625259261402</v>
      </c>
      <c r="G711" s="18">
        <v>4706.622224603461</v>
      </c>
      <c r="H711" s="12">
        <f>E712</f>
      </c>
      <c r="I711" s="12">
        <f>F712</f>
      </c>
      <c r="J711" s="12">
        <f>G712</f>
      </c>
      <c r="K711">
        <f>IF(AND(Pu&gt;=MIN(E711,H711),Pu&lt;=MAX(E711,H711),E711&lt;&gt;H711),1,0)</f>
      </c>
      <c r="L711">
        <f>IF(K711=1,(Pu-E711)/(H711-E711),"")</f>
      </c>
      <c r="M711" s="12">
        <f>IF(K711=1,F711+L711*(I711-F711),"")</f>
      </c>
      <c r="N711" s="12">
        <f>IF(K711=1,G711+L711*(J711-G711),"")</f>
      </c>
    </row>
    <row r="712" spans="2:14" x14ac:dyDescent="0.25">
      <c r="B712">
        <v>35</v>
      </c>
      <c r="C712">
        <v>340</v>
      </c>
      <c r="D712">
        <v>11</v>
      </c>
      <c r="E712" s="18">
        <v>6683.147634954877</v>
      </c>
      <c r="F712" s="18">
        <v>-1191.5846198642255</v>
      </c>
      <c r="G712" s="18">
        <v>4870.856005963086</v>
      </c>
      <c r="H712" s="12">
        <f>E713</f>
      </c>
      <c r="I712" s="12">
        <f>F713</f>
      </c>
      <c r="J712" s="12">
        <f>G713</f>
      </c>
      <c r="K712">
        <f>IF(AND(Pu&gt;=MIN(E712,H712),Pu&lt;=MAX(E712,H712),E712&lt;&gt;H712),1,0)</f>
      </c>
      <c r="L712">
        <f>IF(K712=1,(Pu-E712)/(H712-E712),"")</f>
      </c>
      <c r="M712" s="12">
        <f>IF(K712=1,F712+L712*(I712-F712),"")</f>
      </c>
      <c r="N712" s="12">
        <f>IF(K712=1,G712+L712*(J712-G712),"")</f>
      </c>
    </row>
    <row r="713" spans="2:14" x14ac:dyDescent="0.25">
      <c r="B713">
        <v>35</v>
      </c>
      <c r="C713">
        <v>340</v>
      </c>
      <c r="D713">
        <v>12</v>
      </c>
      <c r="E713" s="18">
        <v>6151.460452514533</v>
      </c>
      <c r="F713" s="18">
        <v>-1199.0158494810696</v>
      </c>
      <c r="G713" s="18">
        <v>5005.025565601777</v>
      </c>
      <c r="H713" s="12">
        <f>E714</f>
      </c>
      <c r="I713" s="12">
        <f>F714</f>
      </c>
      <c r="J713" s="12">
        <f>G714</f>
      </c>
      <c r="K713">
        <f>IF(AND(Pu&gt;=MIN(E713,H713),Pu&lt;=MAX(E713,H713),E713&lt;&gt;H713),1,0)</f>
      </c>
      <c r="L713">
        <f>IF(K713=1,(Pu-E713)/(H713-E713),"")</f>
      </c>
      <c r="M713" s="12">
        <f>IF(K713=1,F713+L713*(I713-F713),"")</f>
      </c>
      <c r="N713" s="12">
        <f>IF(K713=1,G713+L713*(J713-G713),"")</f>
      </c>
    </row>
    <row r="714" spans="2:14" x14ac:dyDescent="0.25">
      <c r="B714">
        <v>35</v>
      </c>
      <c r="C714">
        <v>340</v>
      </c>
      <c r="D714">
        <v>13</v>
      </c>
      <c r="E714" s="18">
        <v>5728.343520434133</v>
      </c>
      <c r="F714" s="18">
        <v>-1218.9073693314704</v>
      </c>
      <c r="G714" s="18">
        <v>5116.6546927174695</v>
      </c>
      <c r="H714" s="12">
        <f>E715</f>
      </c>
      <c r="I714" s="12">
        <f>F715</f>
      </c>
      <c r="J714" s="12">
        <f>G715</f>
      </c>
      <c r="K714">
        <f>IF(AND(Pu&gt;=MIN(E714,H714),Pu&lt;=MAX(E714,H714),E714&lt;&gt;H714),1,0)</f>
      </c>
      <c r="L714">
        <f>IF(K714=1,(Pu-E714)/(H714-E714),"")</f>
      </c>
      <c r="M714" s="12">
        <f>IF(K714=1,F714+L714*(I714-F714),"")</f>
      </c>
      <c r="N714" s="12">
        <f>IF(K714=1,G714+L714*(J714-G714),"")</f>
      </c>
    </row>
    <row r="715" spans="2:14" x14ac:dyDescent="0.25">
      <c r="B715">
        <v>35</v>
      </c>
      <c r="C715">
        <v>340</v>
      </c>
      <c r="D715">
        <v>14</v>
      </c>
      <c r="E715" s="18">
        <v>4975.555954215021</v>
      </c>
      <c r="F715" s="18">
        <v>-1273.3932198357475</v>
      </c>
      <c r="G715" s="18">
        <v>5293.524447100558</v>
      </c>
      <c r="H715" s="12">
        <f>E716</f>
      </c>
      <c r="I715" s="12">
        <f>F716</f>
      </c>
      <c r="J715" s="12">
        <f>G716</f>
      </c>
      <c r="K715">
        <f>IF(AND(Pu&gt;=MIN(E715,H715),Pu&lt;=MAX(E715,H715),E715&lt;&gt;H715),1,0)</f>
      </c>
      <c r="L715">
        <f>IF(K715=1,(Pu-E715)/(H715-E715),"")</f>
      </c>
      <c r="M715" s="12">
        <f>IF(K715=1,F715+L715*(I715-F715),"")</f>
      </c>
      <c r="N715" s="12">
        <f>IF(K715=1,G715+L715*(J715-G715),"")</f>
      </c>
    </row>
    <row r="716" spans="2:14" x14ac:dyDescent="0.25">
      <c r="B716">
        <v>35</v>
      </c>
      <c r="C716">
        <v>340</v>
      </c>
      <c r="D716">
        <v>15</v>
      </c>
      <c r="E716" s="18">
        <v>4095.865080124988</v>
      </c>
      <c r="F716" s="18">
        <v>-1250.1774789449912</v>
      </c>
      <c r="G716" s="18">
        <v>5025.044388982337</v>
      </c>
      <c r="H716" s="12">
        <f>E717</f>
      </c>
      <c r="I716" s="12">
        <f>F717</f>
      </c>
      <c r="J716" s="12">
        <f>G717</f>
      </c>
      <c r="K716">
        <f>IF(AND(Pu&gt;=MIN(E716,H716),Pu&lt;=MAX(E716,H716),E716&lt;&gt;H716),1,0)</f>
      </c>
      <c r="L716">
        <f>IF(K716=1,(Pu-E716)/(H716-E716),"")</f>
      </c>
      <c r="M716" s="12">
        <f>IF(K716=1,F716+L716*(I716-F716),"")</f>
      </c>
      <c r="N716" s="12">
        <f>IF(K716=1,G716+L716*(J716-G716),"")</f>
      </c>
    </row>
    <row r="717" spans="2:14" x14ac:dyDescent="0.25">
      <c r="B717">
        <v>35</v>
      </c>
      <c r="C717">
        <v>340</v>
      </c>
      <c r="D717">
        <v>16</v>
      </c>
      <c r="E717" s="18">
        <v>2696.1416014966844</v>
      </c>
      <c r="F717" s="18">
        <v>-1200.3584430619044</v>
      </c>
      <c r="G717" s="18">
        <v>4486.872835850122</v>
      </c>
      <c r="H717" s="12">
        <f>E718</f>
      </c>
      <c r="I717" s="12">
        <f>F718</f>
      </c>
      <c r="J717" s="12">
        <f>G718</f>
      </c>
      <c r="K717">
        <f>IF(AND(Pu&gt;=MIN(E717,H717),Pu&lt;=MAX(E717,H717),E717&lt;&gt;H717),1,0)</f>
      </c>
      <c r="L717">
        <f>IF(K717=1,(Pu-E717)/(H717-E717),"")</f>
      </c>
      <c r="M717" s="12">
        <f>IF(K717=1,F717+L717*(I717-F717),"")</f>
      </c>
      <c r="N717" s="12">
        <f>IF(K717=1,G717+L717*(J717-G717),"")</f>
      </c>
    </row>
    <row r="718" spans="2:14" x14ac:dyDescent="0.25">
      <c r="B718">
        <v>35</v>
      </c>
      <c r="C718">
        <v>340</v>
      </c>
      <c r="D718">
        <v>17</v>
      </c>
      <c r="E718" s="18">
        <v>1509.3047649668233</v>
      </c>
      <c r="F718" s="18">
        <v>-1156.933290307327</v>
      </c>
      <c r="G718" s="18">
        <v>3927.2364508109945</v>
      </c>
      <c r="H718" s="12">
        <f>E719</f>
      </c>
      <c r="I718" s="12">
        <f>F719</f>
      </c>
      <c r="J718" s="12">
        <f>G719</f>
      </c>
      <c r="K718">
        <f>IF(AND(Pu&gt;=MIN(E718,H718),Pu&lt;=MAX(E718,H718),E718&lt;&gt;H718),1,0)</f>
      </c>
      <c r="L718">
        <f>IF(K718=1,(Pu-E718)/(H718-E718),"")</f>
      </c>
      <c r="M718" s="12">
        <f>IF(K718=1,F718+L718*(I718-F718),"")</f>
      </c>
      <c r="N718" s="12">
        <f>IF(K718=1,G718+L718*(J718-G718),"")</f>
      </c>
    </row>
    <row r="719" spans="2:14" x14ac:dyDescent="0.25">
      <c r="B719">
        <v>35</v>
      </c>
      <c r="C719">
        <v>340</v>
      </c>
      <c r="D719">
        <v>18</v>
      </c>
      <c r="E719" s="18">
        <v>-548.8293482471053</v>
      </c>
      <c r="F719" s="18">
        <v>-932.2241061775336</v>
      </c>
      <c r="G719" s="18">
        <v>2790.752839245715</v>
      </c>
      <c r="H719" s="12">
        <f>E720</f>
      </c>
      <c r="I719" s="12">
        <f>F720</f>
      </c>
      <c r="J719" s="12">
        <f>G720</f>
      </c>
      <c r="K719">
        <f>IF(AND(Pu&gt;=MIN(E719,H719),Pu&lt;=MAX(E719,H719),E719&lt;&gt;H719),1,0)</f>
      </c>
      <c r="L719">
        <f>IF(K719=1,(Pu-E719)/(H719-E719),"")</f>
      </c>
      <c r="M719" s="12">
        <f>IF(K719=1,F719+L719*(I719-F719),"")</f>
      </c>
      <c r="N719" s="12">
        <f>IF(K719=1,G719+L719*(J719-G719),"")</f>
      </c>
    </row>
    <row r="720" spans="2:14" x14ac:dyDescent="0.25">
      <c r="B720">
        <v>35</v>
      </c>
      <c r="C720">
        <v>340</v>
      </c>
      <c r="D720">
        <v>19</v>
      </c>
      <c r="E720" s="18">
        <v>-1899.7628894055867</v>
      </c>
      <c r="F720" s="18">
        <v>-722.4243459519845</v>
      </c>
      <c r="G720" s="18">
        <v>1973.9777904676166</v>
      </c>
      <c r="H720" s="12">
        <f>E721</f>
      </c>
      <c r="I720" s="12">
        <f>F721</f>
      </c>
      <c r="J720" s="12">
        <f>G721</f>
      </c>
      <c r="K720">
        <f>IF(AND(Pu&gt;=MIN(E720,H720),Pu&lt;=MAX(E720,H720),E720&lt;&gt;H720),1,0)</f>
      </c>
      <c r="L720">
        <f>IF(K720=1,(Pu-E720)/(H720-E720),"")</f>
      </c>
      <c r="M720" s="12">
        <f>IF(K720=1,F720+L720*(I720-F720),"")</f>
      </c>
      <c r="N720" s="12">
        <f>IF(K720=1,G720+L720*(J720-G720),"")</f>
      </c>
    </row>
    <row r="721" spans="2:7" x14ac:dyDescent="0.25">
      <c r="B721">
        <v>35</v>
      </c>
      <c r="C721">
        <v>340</v>
      </c>
      <c r="D721">
        <v>20</v>
      </c>
      <c r="E721" s="18">
        <v>-3982.282724002073</v>
      </c>
      <c r="F721" s="18">
        <v>-292.4386457396257</v>
      </c>
      <c r="G721" s="18">
        <v>646.9904106743114</v>
      </c>
    </row>
    <row r="723" spans="2:14" x14ac:dyDescent="0.25">
      <c r="B723">
        <v>36</v>
      </c>
      <c r="C723">
        <v>350.00000000000006</v>
      </c>
      <c r="D723">
        <v>1</v>
      </c>
      <c r="E723" s="18">
        <v>17160.537291896107</v>
      </c>
      <c r="F723" s="18">
        <v>-389.966150884746</v>
      </c>
      <c r="G723" s="18">
        <v>2926.298908993572</v>
      </c>
      <c r="H723" s="12">
        <f>E724</f>
      </c>
      <c r="I723" s="12">
        <f>F724</f>
      </c>
      <c r="J723" s="12">
        <f>G724</f>
      </c>
      <c r="K723">
        <f>IF(AND(Pu&gt;=MIN(E723,H723),Pu&lt;=MAX(E723,H723),E723&lt;&gt;H723),1,0)</f>
      </c>
      <c r="L723">
        <f>IF(K723=1,(Pu-E723)/(H723-E723),"")</f>
      </c>
      <c r="M723" s="12">
        <f>IF(K723=1,F723+L723*(I723-F723),"")</f>
      </c>
      <c r="N723" s="12">
        <f>IF(K723=1,G723+L723*(J723-G723),"")</f>
      </c>
    </row>
    <row r="724" spans="2:14" x14ac:dyDescent="0.25">
      <c r="B724">
        <v>36</v>
      </c>
      <c r="C724">
        <v>350.00000000000006</v>
      </c>
      <c r="D724">
        <v>2</v>
      </c>
      <c r="E724" s="18">
        <v>16482.91567810358</v>
      </c>
      <c r="F724" s="18">
        <v>-379.93417592649007</v>
      </c>
      <c r="G724" s="18">
        <v>3233.0061365175334</v>
      </c>
      <c r="H724" s="12">
        <f>E725</f>
      </c>
      <c r="I724" s="12">
        <f>F725</f>
      </c>
      <c r="J724" s="12">
        <f>G725</f>
      </c>
      <c r="K724">
        <f>IF(AND(Pu&gt;=MIN(E724,H724),Pu&lt;=MAX(E724,H724),E724&lt;&gt;H724),1,0)</f>
      </c>
      <c r="L724">
        <f>IF(K724=1,(Pu-E724)/(H724-E724),"")</f>
      </c>
      <c r="M724" s="12">
        <f>IF(K724=1,F724+L724*(I724-F724),"")</f>
      </c>
      <c r="N724" s="12">
        <f>IF(K724=1,G724+L724*(J724-G724),"")</f>
      </c>
    </row>
    <row r="725" spans="2:14" x14ac:dyDescent="0.25">
      <c r="B725">
        <v>36</v>
      </c>
      <c r="C725">
        <v>350.00000000000006</v>
      </c>
      <c r="D725">
        <v>3</v>
      </c>
      <c r="E725" s="18">
        <v>14953.5664631096</v>
      </c>
      <c r="F725" s="18">
        <v>-409.16726777160574</v>
      </c>
      <c r="G725" s="18">
        <v>3785.0816502798584</v>
      </c>
      <c r="H725" s="12">
        <f>E726</f>
      </c>
      <c r="I725" s="12">
        <f>F726</f>
      </c>
      <c r="J725" s="12">
        <f>G726</f>
      </c>
      <c r="K725">
        <f>IF(AND(Pu&gt;=MIN(E725,H725),Pu&lt;=MAX(E725,H725),E725&lt;&gt;H725),1,0)</f>
      </c>
      <c r="L725">
        <f>IF(K725=1,(Pu-E725)/(H725-E725),"")</f>
      </c>
      <c r="M725" s="12">
        <f>IF(K725=1,F725+L725*(I725-F725),"")</f>
      </c>
      <c r="N725" s="12">
        <f>IF(K725=1,G725+L725*(J725-G725),"")</f>
      </c>
    </row>
    <row r="726" spans="2:14" x14ac:dyDescent="0.25">
      <c r="B726">
        <v>36</v>
      </c>
      <c r="C726">
        <v>350.00000000000006</v>
      </c>
      <c r="D726">
        <v>4</v>
      </c>
      <c r="E726" s="18">
        <v>14189.916972432497</v>
      </c>
      <c r="F726" s="18">
        <v>-452.4963823426904</v>
      </c>
      <c r="G726" s="18">
        <v>3985.8088712490335</v>
      </c>
      <c r="H726" s="12">
        <f>E727</f>
      </c>
      <c r="I726" s="12">
        <f>F727</f>
      </c>
      <c r="J726" s="12">
        <f>G727</f>
      </c>
      <c r="K726">
        <f>IF(AND(Pu&gt;=MIN(E726,H726),Pu&lt;=MAX(E726,H726),E726&lt;&gt;H726),1,0)</f>
      </c>
      <c r="L726">
        <f>IF(K726=1,(Pu-E726)/(H726-E726),"")</f>
      </c>
      <c r="M726" s="12">
        <f>IF(K726=1,F726+L726*(I726-F726),"")</f>
      </c>
      <c r="N726" s="12">
        <f>IF(K726=1,G726+L726*(J726-G726),"")</f>
      </c>
    </row>
    <row r="727" spans="2:14" x14ac:dyDescent="0.25">
      <c r="B727">
        <v>36</v>
      </c>
      <c r="C727">
        <v>350.00000000000006</v>
      </c>
      <c r="D727">
        <v>5</v>
      </c>
      <c r="E727" s="18">
        <v>13224.121873534466</v>
      </c>
      <c r="F727" s="18">
        <v>-527.1542102059892</v>
      </c>
      <c r="G727" s="18">
        <v>4176.260623380165</v>
      </c>
      <c r="H727" s="12">
        <f>E728</f>
      </c>
      <c r="I727" s="12">
        <f>F728</f>
      </c>
      <c r="J727" s="12">
        <f>G728</f>
      </c>
      <c r="K727">
        <f>IF(AND(Pu&gt;=MIN(E727,H727),Pu&lt;=MAX(E727,H727),E727&lt;&gt;H727),1,0)</f>
      </c>
      <c r="L727">
        <f>IF(K727=1,(Pu-E727)/(H727-E727),"")</f>
      </c>
      <c r="M727" s="12">
        <f>IF(K727=1,F727+L727*(I727-F727),"")</f>
      </c>
      <c r="N727" s="12">
        <f>IF(K727=1,G727+L727*(J727-G727),"")</f>
      </c>
    </row>
    <row r="728" spans="2:14" x14ac:dyDescent="0.25">
      <c r="B728">
        <v>36</v>
      </c>
      <c r="C728">
        <v>350.00000000000006</v>
      </c>
      <c r="D728">
        <v>6</v>
      </c>
      <c r="E728" s="18">
        <v>12049.303200243863</v>
      </c>
      <c r="F728" s="18">
        <v>-557.3194740297529</v>
      </c>
      <c r="G728" s="18">
        <v>4357.216258753513</v>
      </c>
      <c r="H728" s="12">
        <f>E729</f>
      </c>
      <c r="I728" s="12">
        <f>F729</f>
      </c>
      <c r="J728" s="12">
        <f>G729</f>
      </c>
      <c r="K728">
        <f>IF(AND(Pu&gt;=MIN(E728,H728),Pu&lt;=MAX(E728,H728),E728&lt;&gt;H728),1,0)</f>
      </c>
      <c r="L728">
        <f>IF(K728=1,(Pu-E728)/(H728-E728),"")</f>
      </c>
      <c r="M728" s="12">
        <f>IF(K728=1,F728+L728*(I728-F728),"")</f>
      </c>
      <c r="N728" s="12">
        <f>IF(K728=1,G728+L728*(J728-G728),"")</f>
      </c>
    </row>
    <row r="729" spans="2:14" x14ac:dyDescent="0.25">
      <c r="B729">
        <v>36</v>
      </c>
      <c r="C729">
        <v>350.00000000000006</v>
      </c>
      <c r="D729">
        <v>7</v>
      </c>
      <c r="E729" s="18">
        <v>10882.030146337185</v>
      </c>
      <c r="F729" s="18">
        <v>-569.1636399553831</v>
      </c>
      <c r="G729" s="18">
        <v>4495.080660339652</v>
      </c>
      <c r="H729" s="12">
        <f>E730</f>
      </c>
      <c r="I729" s="12">
        <f>F730</f>
      </c>
      <c r="J729" s="12">
        <f>G730</f>
      </c>
      <c r="K729">
        <f>IF(AND(Pu&gt;=MIN(E729,H729),Pu&lt;=MAX(E729,H729),E729&lt;&gt;H729),1,0)</f>
      </c>
      <c r="L729">
        <f>IF(K729=1,(Pu-E729)/(H729-E729),"")</f>
      </c>
      <c r="M729" s="12">
        <f>IF(K729=1,F729+L729*(I729-F729),"")</f>
      </c>
      <c r="N729" s="12">
        <f>IF(K729=1,G729+L729*(J729-G729),"")</f>
      </c>
    </row>
    <row r="730" spans="2:14" x14ac:dyDescent="0.25">
      <c r="B730">
        <v>36</v>
      </c>
      <c r="C730">
        <v>350.00000000000006</v>
      </c>
      <c r="D730">
        <v>8</v>
      </c>
      <c r="E730" s="18">
        <v>9807.20478747905</v>
      </c>
      <c r="F730" s="18">
        <v>-581.0078058810137</v>
      </c>
      <c r="G730" s="18">
        <v>4590.107387345258</v>
      </c>
      <c r="H730" s="12">
        <f>E731</f>
      </c>
      <c r="I730" s="12">
        <f>F731</f>
      </c>
      <c r="J730" s="12">
        <f>G731</f>
      </c>
      <c r="K730">
        <f>IF(AND(Pu&gt;=MIN(E730,H730),Pu&lt;=MAX(E730,H730),E730&lt;&gt;H730),1,0)</f>
      </c>
      <c r="L730">
        <f>IF(K730=1,(Pu-E730)/(H730-E730),"")</f>
      </c>
      <c r="M730" s="12">
        <f>IF(K730=1,F730+L730*(I730-F730),"")</f>
      </c>
      <c r="N730" s="12">
        <f>IF(K730=1,G730+L730*(J730-G730),"")</f>
      </c>
    </row>
    <row r="731" spans="2:14" x14ac:dyDescent="0.25">
      <c r="B731">
        <v>36</v>
      </c>
      <c r="C731">
        <v>350.00000000000006</v>
      </c>
      <c r="D731">
        <v>9</v>
      </c>
      <c r="E731" s="18">
        <v>8811.744902672026</v>
      </c>
      <c r="F731" s="18">
        <v>-592.8519718066442</v>
      </c>
      <c r="G731" s="18">
        <v>4653.419777870587</v>
      </c>
      <c r="H731" s="12">
        <f>E732</f>
      </c>
      <c r="I731" s="12">
        <f>F732</f>
      </c>
      <c r="J731" s="12">
        <f>G732</f>
      </c>
      <c r="K731">
        <f>IF(AND(Pu&gt;=MIN(E731,H731),Pu&lt;=MAX(E731,H731),E731&lt;&gt;H731),1,0)</f>
      </c>
      <c r="L731">
        <f>IF(K731=1,(Pu-E731)/(H731-E731),"")</f>
      </c>
      <c r="M731" s="12">
        <f>IF(K731=1,F731+L731*(I731-F731),"")</f>
      </c>
      <c r="N731" s="12">
        <f>IF(K731=1,G731+L731*(J731-G731),"")</f>
      </c>
    </row>
    <row r="732" spans="2:14" x14ac:dyDescent="0.25">
      <c r="B732">
        <v>36</v>
      </c>
      <c r="C732">
        <v>350.00000000000006</v>
      </c>
      <c r="D732">
        <v>10</v>
      </c>
      <c r="E732" s="18">
        <v>7554.821235245547</v>
      </c>
      <c r="F732" s="18">
        <v>-629.2636304450851</v>
      </c>
      <c r="G732" s="18">
        <v>4872.53436107189</v>
      </c>
      <c r="H732" s="12">
        <f>E733</f>
      </c>
      <c r="I732" s="12">
        <f>F733</f>
      </c>
      <c r="J732" s="12">
        <f>G733</f>
      </c>
      <c r="K732">
        <f>IF(AND(Pu&gt;=MIN(E732,H732),Pu&lt;=MAX(E732,H732),E732&lt;&gt;H732),1,0)</f>
      </c>
      <c r="L732">
        <f>IF(K732=1,(Pu-E732)/(H732-E732),"")</f>
      </c>
      <c r="M732" s="12">
        <f>IF(K732=1,F732+L732*(I732-F732),"")</f>
      </c>
      <c r="N732" s="12">
        <f>IF(K732=1,G732+L732*(J732-G732),"")</f>
      </c>
    </row>
    <row r="733" spans="2:14" x14ac:dyDescent="0.25">
      <c r="B733">
        <v>36</v>
      </c>
      <c r="C733">
        <v>350.00000000000006</v>
      </c>
      <c r="D733">
        <v>11</v>
      </c>
      <c r="E733" s="18">
        <v>6714.25420960463</v>
      </c>
      <c r="F733" s="18">
        <v>-622.4741719124372</v>
      </c>
      <c r="G733" s="18">
        <v>5024.666822220722</v>
      </c>
      <c r="H733" s="12">
        <f>E734</f>
      </c>
      <c r="I733" s="12">
        <f>F734</f>
      </c>
      <c r="J733" s="12">
        <f>G734</f>
      </c>
      <c r="K733">
        <f>IF(AND(Pu&gt;=MIN(E733,H733),Pu&lt;=MAX(E733,H733),E733&lt;&gt;H733),1,0)</f>
      </c>
      <c r="L733">
        <f>IF(K733=1,(Pu-E733)/(H733-E733),"")</f>
      </c>
      <c r="M733" s="12">
        <f>IF(K733=1,F733+L733*(I733-F733),"")</f>
      </c>
      <c r="N733" s="12">
        <f>IF(K733=1,G733+L733*(J733-G733),"")</f>
      </c>
    </row>
    <row r="734" spans="2:14" x14ac:dyDescent="0.25">
      <c r="B734">
        <v>36</v>
      </c>
      <c r="C734">
        <v>350.00000000000006</v>
      </c>
      <c r="D734">
        <v>12</v>
      </c>
      <c r="E734" s="18">
        <v>6241.5951684703905</v>
      </c>
      <c r="F734" s="18">
        <v>-598.2748259247431</v>
      </c>
      <c r="G734" s="18">
        <v>5177.739773431791</v>
      </c>
      <c r="H734" s="12">
        <f>E735</f>
      </c>
      <c r="I734" s="12">
        <f>F735</f>
      </c>
      <c r="J734" s="12">
        <f>G735</f>
      </c>
      <c r="K734">
        <f>IF(AND(Pu&gt;=MIN(E734,H734),Pu&lt;=MAX(E734,H734),E734&lt;&gt;H734),1,0)</f>
      </c>
      <c r="L734">
        <f>IF(K734=1,(Pu-E734)/(H734-E734),"")</f>
      </c>
      <c r="M734" s="12">
        <f>IF(K734=1,F734+L734*(I734-F734),"")</f>
      </c>
      <c r="N734" s="12">
        <f>IF(K734=1,G734+L734*(J734-G734),"")</f>
      </c>
    </row>
    <row r="735" spans="2:14" x14ac:dyDescent="0.25">
      <c r="B735">
        <v>36</v>
      </c>
      <c r="C735">
        <v>350.00000000000006</v>
      </c>
      <c r="D735">
        <v>13</v>
      </c>
      <c r="E735" s="18">
        <v>5851.642581568081</v>
      </c>
      <c r="F735" s="18">
        <v>-595.6463231611663</v>
      </c>
      <c r="G735" s="18">
        <v>5330.454135196836</v>
      </c>
      <c r="H735" s="12">
        <f>E736</f>
      </c>
      <c r="I735" s="12">
        <f>F736</f>
      </c>
      <c r="J735" s="12">
        <f>G736</f>
      </c>
      <c r="K735">
        <f>IF(AND(Pu&gt;=MIN(E735,H735),Pu&lt;=MAX(E735,H735),E735&lt;&gt;H735),1,0)</f>
      </c>
      <c r="L735">
        <f>IF(K735=1,(Pu-E735)/(H735-E735),"")</f>
      </c>
      <c r="M735" s="12">
        <f>IF(K735=1,F735+L735*(I735-F735),"")</f>
      </c>
      <c r="N735" s="12">
        <f>IF(K735=1,G735+L735*(J735-G735),"")</f>
      </c>
    </row>
    <row r="736" spans="2:14" x14ac:dyDescent="0.25">
      <c r="B736">
        <v>36</v>
      </c>
      <c r="C736">
        <v>350.00000000000006</v>
      </c>
      <c r="D736">
        <v>14</v>
      </c>
      <c r="E736" s="18">
        <v>5343.848383686961</v>
      </c>
      <c r="F736" s="18">
        <v>-620.2554043386118</v>
      </c>
      <c r="G736" s="18">
        <v>5582.254286576712</v>
      </c>
      <c r="H736" s="12">
        <f>E737</f>
      </c>
      <c r="I736" s="12">
        <f>F737</f>
      </c>
      <c r="J736" s="12">
        <f>G737</f>
      </c>
      <c r="K736">
        <f>IF(AND(Pu&gt;=MIN(E736,H736),Pu&lt;=MAX(E736,H736),E736&lt;&gt;H736),1,0)</f>
      </c>
      <c r="L736">
        <f>IF(K736=1,(Pu-E736)/(H736-E736),"")</f>
      </c>
      <c r="M736" s="12">
        <f>IF(K736=1,F736+L736*(I736-F736),"")</f>
      </c>
      <c r="N736" s="12">
        <f>IF(K736=1,G736+L736*(J736-G736),"")</f>
      </c>
    </row>
    <row r="737" spans="2:14" x14ac:dyDescent="0.25">
      <c r="B737">
        <v>36</v>
      </c>
      <c r="C737">
        <v>350.00000000000006</v>
      </c>
      <c r="D737">
        <v>15</v>
      </c>
      <c r="E737" s="18">
        <v>4531.627976453661</v>
      </c>
      <c r="F737" s="18">
        <v>-608.8460989297042</v>
      </c>
      <c r="G737" s="18">
        <v>5377.676827712432</v>
      </c>
      <c r="H737" s="12">
        <f>E738</f>
      </c>
      <c r="I737" s="12">
        <f>F738</f>
      </c>
      <c r="J737" s="12">
        <f>G738</f>
      </c>
      <c r="K737">
        <f>IF(AND(Pu&gt;=MIN(E737,H737),Pu&lt;=MAX(E737,H737),E737&lt;&gt;H737),1,0)</f>
      </c>
      <c r="L737">
        <f>IF(K737=1,(Pu-E737)/(H737-E737),"")</f>
      </c>
      <c r="M737" s="12">
        <f>IF(K737=1,F737+L737*(I737-F737),"")</f>
      </c>
      <c r="N737" s="12">
        <f>IF(K737=1,G737+L737*(J737-G737),"")</f>
      </c>
    </row>
    <row r="738" spans="2:14" x14ac:dyDescent="0.25">
      <c r="B738">
        <v>36</v>
      </c>
      <c r="C738">
        <v>350.00000000000006</v>
      </c>
      <c r="D738">
        <v>16</v>
      </c>
      <c r="E738" s="18">
        <v>3291.2263651946137</v>
      </c>
      <c r="F738" s="18">
        <v>-600.5467022609341</v>
      </c>
      <c r="G738" s="18">
        <v>4954.469212448918</v>
      </c>
      <c r="H738" s="12">
        <f>E739</f>
      </c>
      <c r="I738" s="12">
        <f>F739</f>
      </c>
      <c r="J738" s="12">
        <f>G739</f>
      </c>
      <c r="K738">
        <f>IF(AND(Pu&gt;=MIN(E738,H738),Pu&lt;=MAX(E738,H738),E738&lt;&gt;H738),1,0)</f>
      </c>
      <c r="L738">
        <f>IF(K738=1,(Pu-E738)/(H738-E738),"")</f>
      </c>
      <c r="M738" s="12">
        <f>IF(K738=1,F738+L738*(I738-F738),"")</f>
      </c>
      <c r="N738" s="12">
        <f>IF(K738=1,G738+L738*(J738-G738),"")</f>
      </c>
    </row>
    <row r="739" spans="2:14" x14ac:dyDescent="0.25">
      <c r="B739">
        <v>36</v>
      </c>
      <c r="C739">
        <v>350.00000000000006</v>
      </c>
      <c r="D739">
        <v>17</v>
      </c>
      <c r="E739" s="18">
        <v>2460.184350772147</v>
      </c>
      <c r="F739" s="18">
        <v>-612.8935805719902</v>
      </c>
      <c r="G739" s="18">
        <v>4582.550901470419</v>
      </c>
      <c r="H739" s="12">
        <f>E740</f>
      </c>
      <c r="I739" s="12">
        <f>F740</f>
      </c>
      <c r="J739" s="12">
        <f>G740</f>
      </c>
      <c r="K739">
        <f>IF(AND(Pu&gt;=MIN(E739,H739),Pu&lt;=MAX(E739,H739),E739&lt;&gt;H739),1,0)</f>
      </c>
      <c r="L739">
        <f>IF(K739=1,(Pu-E739)/(H739-E739),"")</f>
      </c>
      <c r="M739" s="12">
        <f>IF(K739=1,F739+L739*(I739-F739),"")</f>
      </c>
      <c r="N739" s="12">
        <f>IF(K739=1,G739+L739*(J739-G739),"")</f>
      </c>
    </row>
    <row r="740" spans="2:14" x14ac:dyDescent="0.25">
      <c r="B740">
        <v>36</v>
      </c>
      <c r="C740">
        <v>350.00000000000006</v>
      </c>
      <c r="D740">
        <v>18</v>
      </c>
      <c r="E740" s="18">
        <v>500.36993141700304</v>
      </c>
      <c r="F740" s="18">
        <v>-581.2281355654478</v>
      </c>
      <c r="G740" s="18">
        <v>3546.0071740757585</v>
      </c>
      <c r="H740" s="12">
        <f>E741</f>
      </c>
      <c r="I740" s="12">
        <f>F741</f>
      </c>
      <c r="J740" s="12">
        <f>G741</f>
      </c>
      <c r="K740">
        <f>IF(AND(Pu&gt;=MIN(E740,H740),Pu&lt;=MAX(E740,H740),E740&lt;&gt;H740),1,0)</f>
      </c>
      <c r="L740">
        <f>IF(K740=1,(Pu-E740)/(H740-E740),"")</f>
      </c>
      <c r="M740" s="12">
        <f>IF(K740=1,F740+L740*(I740-F740),"")</f>
      </c>
      <c r="N740" s="12">
        <f>IF(K740=1,G740+L740*(J740-G740),"")</f>
      </c>
    </row>
    <row r="741" spans="2:14" x14ac:dyDescent="0.25">
      <c r="B741">
        <v>36</v>
      </c>
      <c r="C741">
        <v>350.00000000000006</v>
      </c>
      <c r="D741">
        <v>19</v>
      </c>
      <c r="E741" s="18">
        <v>-928.4233044961038</v>
      </c>
      <c r="F741" s="18">
        <v>-445.17445946813064</v>
      </c>
      <c r="G741" s="18">
        <v>2694.0934504567167</v>
      </c>
      <c r="H741" s="12">
        <f>E742</f>
      </c>
      <c r="I741" s="12">
        <f>F742</f>
      </c>
      <c r="J741" s="12">
        <f>G742</f>
      </c>
      <c r="K741">
        <f>IF(AND(Pu&gt;=MIN(E741,H741),Pu&lt;=MAX(E741,H741),E741&lt;&gt;H741),1,0)</f>
      </c>
      <c r="L741">
        <f>IF(K741=1,(Pu-E741)/(H741-E741),"")</f>
      </c>
      <c r="M741" s="12">
        <f>IF(K741=1,F741+L741*(I741-F741),"")</f>
      </c>
      <c r="N741" s="12">
        <f>IF(K741=1,G741+L741*(J741-G741),"")</f>
      </c>
    </row>
    <row r="742" spans="2:7" x14ac:dyDescent="0.25">
      <c r="B742">
        <v>36</v>
      </c>
      <c r="C742">
        <v>350.00000000000006</v>
      </c>
      <c r="D742">
        <v>20</v>
      </c>
      <c r="E742" s="18">
        <v>-3501.252292005911</v>
      </c>
      <c r="F742" s="18">
        <v>-298.965802237539</v>
      </c>
      <c r="G742" s="18">
        <v>987.3053401915666</v>
      </c>
    </row>
    <row r="745" spans="2:13" x14ac:dyDescent="0.25">
      <c r="B745" s="3" t="s">
        <v>248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2:5" x14ac:dyDescent="0.25">
      <c r="B746" t="s">
        <v>249</v>
      </c>
      <c r="C746" s="17">
        <f>SUMPRODUCT(--(K8:K743=1))</f>
      </c>
      <c r="E746" s="2" t="s">
        <v>250</v>
      </c>
    </row>
    <row r="747" spans="2:5" x14ac:dyDescent="0.25">
      <c r="B747" t="s">
        <v>251</v>
      </c>
      <c r="C747" s="17">
        <f>IFERROR(SUMPRODUCT((K8:K743=1)*(ABS(MOD(DEGREES(ATAN2(IF(M8:M743="",1,M8:M743),IF(N8:N743="",0,N8:N743)))-theta_L+180,360)-180)&lt;=6)*SQRT(IF(M8:M743="",0,M8:M743)^2+IF(N8:N743="",0,N8:N743)^2))/MAX(1,SUMPRODUCT((K8:K743=1)*(ABS(MOD(DEGREES(ATAN2(IF(M8:M743="",1,M8:M743),IF(N8:N743="",0,N8:N743)))-theta_L+180,360)-180)&lt;=6))),"")</f>
      </c>
      <c r="E747" s="2" t="s">
        <v>252</v>
      </c>
    </row>
    <row r="748" spans="2:5" x14ac:dyDescent="0.25">
      <c r="B748" t="s">
        <v>253</v>
      </c>
      <c r="C748" s="17">
        <f>Mu</f>
      </c>
      <c r="E748" s="2" t="s">
        <v>254</v>
      </c>
    </row>
    <row r="749" spans="2:5" x14ac:dyDescent="0.25">
      <c r="B749" t="s">
        <v>255</v>
      </c>
      <c r="C749" s="17">
        <f>IFERROR(Mu/C747,"")</f>
      </c>
      <c r="E749" s="2" t="s">
        <v>256</v>
      </c>
    </row>
    <row r="751" spans="2:5" x14ac:dyDescent="0.25">
      <c r="B751" t="s">
        <v>257</v>
      </c>
      <c r="C751" s="22" t="s">
        <v>258</v>
      </c>
      <c r="E751" s="2" t="s">
        <v>259</v>
      </c>
    </row>
  </sheetData>
  <mergeCells count="3">
    <mergeCell ref="B1:N1"/>
    <mergeCell ref="B2:N4"/>
    <mergeCell ref="B745:M7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" customWidth="1"/>
    <col min="3" max="6" width="16" customWidth="1"/>
    <col min="7" max="7" width="46" customWidth="1"/>
  </cols>
  <sheetData>
    <row r="1" ht="22" customHeight="1" spans="2:6" x14ac:dyDescent="0.25">
      <c r="B1" s="1" t="s">
        <v>260</v>
      </c>
      <c r="C1" s="1"/>
      <c r="D1" s="1"/>
      <c r="E1" s="1"/>
      <c r="F1" s="1"/>
    </row>
    <row r="2" spans="2:7" x14ac:dyDescent="0.25">
      <c r="B2" s="2" t="s">
        <v>261</v>
      </c>
      <c r="C2" s="2"/>
      <c r="D2" s="2"/>
      <c r="E2" s="2"/>
      <c r="F2" s="2"/>
      <c r="G2" s="2"/>
    </row>
    <row r="3" spans="2:7" x14ac:dyDescent="0.25">
      <c r="B3" s="2"/>
      <c r="C3" s="2"/>
      <c r="D3" s="2"/>
      <c r="E3" s="2"/>
      <c r="F3" s="2"/>
      <c r="G3" s="2"/>
    </row>
    <row r="6" ht="28" customHeight="1" spans="2:7" x14ac:dyDescent="0.25">
      <c r="B6" s="11" t="s">
        <v>141</v>
      </c>
      <c r="C6" s="11" t="s">
        <v>262</v>
      </c>
      <c r="D6" s="11" t="s">
        <v>240</v>
      </c>
      <c r="E6" s="11" t="s">
        <v>263</v>
      </c>
      <c r="F6" s="11" t="s">
        <v>218</v>
      </c>
      <c r="G6" s="11" t="s">
        <v>219</v>
      </c>
    </row>
    <row r="7" spans="2:7" x14ac:dyDescent="0.25">
      <c r="B7">
        <v>1</v>
      </c>
      <c r="C7">
        <v>1</v>
      </c>
      <c r="D7" s="18">
        <v>17670.345615483235</v>
      </c>
      <c r="E7" s="18">
        <v>-2234.7895747703374</v>
      </c>
      <c r="F7" s="18">
        <v>-2085.2180703321987</v>
      </c>
      <c r="G7" s="18">
        <v>-803.8345866297667</v>
      </c>
    </row>
    <row r="8" spans="2:7" x14ac:dyDescent="0.25">
      <c r="B8">
        <v>2</v>
      </c>
      <c r="C8">
        <v>1</v>
      </c>
      <c r="D8" s="18">
        <v>17670.345615483235</v>
      </c>
      <c r="E8" s="18">
        <v>-1973.841410420717</v>
      </c>
      <c r="F8" s="18">
        <v>-1841.734820783854</v>
      </c>
      <c r="G8" s="18">
        <v>-709.9737765607338</v>
      </c>
    </row>
    <row r="9" spans="2:7" x14ac:dyDescent="0.25">
      <c r="B9">
        <v>3</v>
      </c>
      <c r="C9">
        <v>1</v>
      </c>
      <c r="D9" s="18">
        <v>17670.345615483235</v>
      </c>
      <c r="E9" s="18">
        <v>-1844.655676882907</v>
      </c>
      <c r="F9" s="18">
        <v>-1721.1953171798762</v>
      </c>
      <c r="G9" s="18">
        <v>-663.5067794487127</v>
      </c>
    </row>
    <row r="10" spans="2:7" x14ac:dyDescent="0.25">
      <c r="B10">
        <v>4</v>
      </c>
      <c r="C10">
        <v>1</v>
      </c>
      <c r="D10" s="18">
        <v>17670.345615483235</v>
      </c>
      <c r="E10" s="18">
        <v>-1754.2041295361912</v>
      </c>
      <c r="F10" s="18">
        <v>-1636.7975720202392</v>
      </c>
      <c r="G10" s="18">
        <v>-630.972135922401</v>
      </c>
    </row>
    <row r="11" spans="2:7" x14ac:dyDescent="0.25">
      <c r="B11">
        <v>5</v>
      </c>
      <c r="C11">
        <v>1</v>
      </c>
      <c r="D11" s="18">
        <v>17670.345615483235</v>
      </c>
      <c r="E11" s="18">
        <v>-1560.2825802294085</v>
      </c>
      <c r="F11" s="18">
        <v>-1455.854935001326</v>
      </c>
      <c r="G11" s="18">
        <v>-561.2202227286764</v>
      </c>
    </row>
    <row r="12" spans="2:7" x14ac:dyDescent="0.25">
      <c r="B12">
        <v>6</v>
      </c>
      <c r="C12">
        <v>1</v>
      </c>
      <c r="D12" s="18">
        <v>17670.345615483235</v>
      </c>
      <c r="E12" s="18">
        <v>-1410.9030006924122</v>
      </c>
      <c r="F12" s="18">
        <v>-1316.4731327476704</v>
      </c>
      <c r="G12" s="18">
        <v>-507.4896729159987</v>
      </c>
    </row>
    <row r="13" spans="2:7" x14ac:dyDescent="0.25">
      <c r="B13">
        <v>7</v>
      </c>
      <c r="C13">
        <v>1</v>
      </c>
      <c r="D13" s="18">
        <v>17670.345615483235</v>
      </c>
      <c r="E13" s="18">
        <v>-1284.6462543794746</v>
      </c>
      <c r="F13" s="18">
        <v>-1198.6665831354362</v>
      </c>
      <c r="G13" s="18">
        <v>-462.07620731393695</v>
      </c>
    </row>
    <row r="14" spans="2:7" x14ac:dyDescent="0.25">
      <c r="B14">
        <v>8</v>
      </c>
      <c r="C14">
        <v>1</v>
      </c>
      <c r="D14" s="18">
        <v>17670.345615483235</v>
      </c>
      <c r="E14" s="18">
        <v>-1141.327094362709</v>
      </c>
      <c r="F14" s="18">
        <v>-1064.93958455549</v>
      </c>
      <c r="G14" s="18">
        <v>-410.5255382716217</v>
      </c>
    </row>
    <row r="15" spans="2:7" x14ac:dyDescent="0.25">
      <c r="B15">
        <v>9</v>
      </c>
      <c r="C15">
        <v>1</v>
      </c>
      <c r="D15" s="18">
        <v>17670.345615483235</v>
      </c>
      <c r="E15" s="18">
        <v>-1019.7674877813917</v>
      </c>
      <c r="F15" s="18">
        <v>-951.5158013378306</v>
      </c>
      <c r="G15" s="18">
        <v>-366.8015934267418</v>
      </c>
    </row>
    <row r="16" spans="2:7" x14ac:dyDescent="0.25">
      <c r="B16">
        <v>10</v>
      </c>
      <c r="C16">
        <v>1</v>
      </c>
      <c r="D16" s="18">
        <v>17670.345615483235</v>
      </c>
      <c r="E16" s="18">
        <v>-903.4597609699357</v>
      </c>
      <c r="F16" s="18">
        <v>-842.9923965374335</v>
      </c>
      <c r="G16" s="18">
        <v>-324.9667045589867</v>
      </c>
    </row>
    <row r="17" spans="2:7" x14ac:dyDescent="0.25">
      <c r="B17">
        <v>11</v>
      </c>
      <c r="C17">
        <v>1</v>
      </c>
      <c r="D17" s="18">
        <v>17670.345615483235</v>
      </c>
      <c r="E17" s="18">
        <v>-783.732116407952</v>
      </c>
      <c r="F17" s="18">
        <v>-731.2779645490816</v>
      </c>
      <c r="G17" s="18">
        <v>-281.90170069412494</v>
      </c>
    </row>
    <row r="18" spans="2:7" x14ac:dyDescent="0.25">
      <c r="B18">
        <v>12</v>
      </c>
      <c r="C18">
        <v>1</v>
      </c>
      <c r="D18" s="18">
        <v>17670.345615483235</v>
      </c>
      <c r="E18" s="18">
        <v>-668.0022329497502</v>
      </c>
      <c r="F18" s="18">
        <v>-623.29372881213</v>
      </c>
      <c r="G18" s="18">
        <v>-240.27465710999013</v>
      </c>
    </row>
    <row r="19" spans="2:7" x14ac:dyDescent="0.25">
      <c r="B19">
        <v>13</v>
      </c>
      <c r="C19">
        <v>1</v>
      </c>
      <c r="D19" s="18">
        <v>17670.345615483235</v>
      </c>
      <c r="E19" s="18">
        <v>-443.48401277635014</v>
      </c>
      <c r="F19" s="18">
        <v>-413.8022155574605</v>
      </c>
      <c r="G19" s="18">
        <v>-159.5173845947547</v>
      </c>
    </row>
    <row r="20" spans="2:7" x14ac:dyDescent="0.25">
      <c r="B20">
        <v>14</v>
      </c>
      <c r="C20">
        <v>1</v>
      </c>
      <c r="D20" s="18">
        <v>17670.345615483235</v>
      </c>
      <c r="E20" s="18">
        <v>-438.7297266640513</v>
      </c>
      <c r="F20" s="18">
        <v>-409.36612751372894</v>
      </c>
      <c r="G20" s="18">
        <v>-157.80730877600908</v>
      </c>
    </row>
    <row r="21" spans="2:7" x14ac:dyDescent="0.25">
      <c r="B21">
        <v>15</v>
      </c>
      <c r="C21">
        <v>1</v>
      </c>
      <c r="D21" s="18">
        <v>17670.345615483235</v>
      </c>
      <c r="E21" s="18">
        <v>-437.6534046313667</v>
      </c>
      <c r="F21" s="18">
        <v>-408.36184228822555</v>
      </c>
      <c r="G21" s="18">
        <v>-157.4201649992566</v>
      </c>
    </row>
    <row r="22" spans="2:7" x14ac:dyDescent="0.25">
      <c r="B22">
        <v>16</v>
      </c>
      <c r="C22">
        <v>1</v>
      </c>
      <c r="D22" s="18">
        <v>17670.345615483235</v>
      </c>
      <c r="E22" s="18">
        <v>-212.44881878964168</v>
      </c>
      <c r="F22" s="18">
        <v>-198.22990090976128</v>
      </c>
      <c r="G22" s="18">
        <v>-76.41601265716648</v>
      </c>
    </row>
    <row r="23" spans="2:7" x14ac:dyDescent="0.25">
      <c r="B23">
        <v>17</v>
      </c>
      <c r="C23">
        <v>1</v>
      </c>
      <c r="D23" s="18">
        <v>17670.345615483235</v>
      </c>
      <c r="E23" s="18">
        <v>-107.13613533782988</v>
      </c>
      <c r="F23" s="18">
        <v>-99.96565578884862</v>
      </c>
      <c r="G23" s="18">
        <v>-38.53594630771685</v>
      </c>
    </row>
    <row r="24" spans="2:7" x14ac:dyDescent="0.25">
      <c r="B24">
        <v>18</v>
      </c>
      <c r="C24">
        <v>1</v>
      </c>
      <c r="D24" s="18">
        <v>17670.345615483235</v>
      </c>
      <c r="E24" s="18">
        <v>6.306245291983853e-14</v>
      </c>
      <c r="F24" s="18">
        <v>2.5140272845185274e-13</v>
      </c>
      <c r="G24" s="18">
        <v>-4.76837158203125e-13</v>
      </c>
    </row>
    <row r="25" spans="2:7" x14ac:dyDescent="0.25">
      <c r="B25">
        <v>19</v>
      </c>
      <c r="C25">
        <v>1</v>
      </c>
      <c r="D25" s="18">
        <v>17670.345615483235</v>
      </c>
      <c r="E25" s="18">
        <v>76.21691633350781</v>
      </c>
      <c r="F25" s="18">
        <v>71.11581913476613</v>
      </c>
      <c r="G25" s="18">
        <v>27.414569195596695</v>
      </c>
    </row>
    <row r="26" spans="2:7" x14ac:dyDescent="0.25">
      <c r="B26">
        <v>20</v>
      </c>
      <c r="C26">
        <v>1</v>
      </c>
      <c r="D26" s="18">
        <v>17670.345615483235</v>
      </c>
      <c r="E26" s="18">
        <v>201.0447848219225</v>
      </c>
      <c r="F26" s="18">
        <v>187.58912382155881</v>
      </c>
      <c r="G26" s="18">
        <v>72.31407973522853</v>
      </c>
    </row>
    <row r="27" spans="2:7" x14ac:dyDescent="0.25">
      <c r="B27">
        <v>21</v>
      </c>
      <c r="C27">
        <v>1</v>
      </c>
      <c r="D27" s="18">
        <v>17670.345615483235</v>
      </c>
      <c r="E27" s="18">
        <v>225.55242147954533</v>
      </c>
      <c r="F27" s="18">
        <v>210.45649683803745</v>
      </c>
      <c r="G27" s="18">
        <v>81.12926582896948</v>
      </c>
    </row>
    <row r="28" spans="2:7" x14ac:dyDescent="0.25">
      <c r="B28">
        <v>22</v>
      </c>
      <c r="C28">
        <v>1</v>
      </c>
      <c r="D28" s="18">
        <v>17670.345615483235</v>
      </c>
      <c r="E28" s="18">
        <v>392.725519162196</v>
      </c>
      <c r="F28" s="18">
        <v>366.440920649884</v>
      </c>
      <c r="G28" s="18">
        <v>141.25999106074525</v>
      </c>
    </row>
    <row r="29" spans="2:7" x14ac:dyDescent="0.25">
      <c r="B29">
        <v>23</v>
      </c>
      <c r="C29">
        <v>1</v>
      </c>
      <c r="D29" s="18">
        <v>17670.345615483235</v>
      </c>
      <c r="E29" s="18">
        <v>393.04529019512995</v>
      </c>
      <c r="F29" s="18">
        <v>366.73928983138103</v>
      </c>
      <c r="G29" s="18">
        <v>141.37500995065642</v>
      </c>
    </row>
    <row r="30" spans="2:7" x14ac:dyDescent="0.25">
      <c r="B30">
        <v>24</v>
      </c>
      <c r="C30">
        <v>1</v>
      </c>
      <c r="D30" s="18">
        <v>17670.345615483235</v>
      </c>
      <c r="E30" s="18">
        <v>396.5307081568597</v>
      </c>
      <c r="F30" s="18">
        <v>369.99143338821085</v>
      </c>
      <c r="G30" s="18">
        <v>142.62868481030654</v>
      </c>
    </row>
    <row r="31" spans="2:7" x14ac:dyDescent="0.25">
      <c r="B31">
        <v>25</v>
      </c>
      <c r="C31">
        <v>1</v>
      </c>
      <c r="D31" s="18">
        <v>17670.345615483235</v>
      </c>
      <c r="E31" s="18">
        <v>505.2468984567252</v>
      </c>
      <c r="F31" s="18">
        <v>471.4313931545572</v>
      </c>
      <c r="G31" s="18">
        <v>181.73296329640817</v>
      </c>
    </row>
    <row r="32" spans="2:7" x14ac:dyDescent="0.25">
      <c r="B32">
        <v>26</v>
      </c>
      <c r="C32">
        <v>1</v>
      </c>
      <c r="D32" s="18">
        <v>17670.345615483235</v>
      </c>
      <c r="E32" s="18">
        <v>566.8930864391025</v>
      </c>
      <c r="F32" s="18">
        <v>528.9516834759218</v>
      </c>
      <c r="G32" s="18">
        <v>203.90656683991338</v>
      </c>
    </row>
    <row r="33" spans="2:7" x14ac:dyDescent="0.25">
      <c r="B33">
        <v>27</v>
      </c>
      <c r="C33">
        <v>1</v>
      </c>
      <c r="D33" s="18">
        <v>17670.345615483235</v>
      </c>
      <c r="E33" s="18">
        <v>638.3366430645208</v>
      </c>
      <c r="F33" s="18">
        <v>595.6136175416531</v>
      </c>
      <c r="G33" s="18">
        <v>229.604199608428</v>
      </c>
    </row>
    <row r="34" spans="2:7" x14ac:dyDescent="0.25">
      <c r="B34">
        <v>28</v>
      </c>
      <c r="C34">
        <v>1</v>
      </c>
      <c r="D34" s="18">
        <v>17670.345615483235</v>
      </c>
      <c r="E34" s="18">
        <v>727.878203024874</v>
      </c>
      <c r="F34" s="18">
        <v>679.1622795646762</v>
      </c>
      <c r="G34" s="18">
        <v>261.8115284994764</v>
      </c>
    </row>
    <row r="35" spans="2:7" x14ac:dyDescent="0.25">
      <c r="B35">
        <v>29</v>
      </c>
      <c r="C35">
        <v>1</v>
      </c>
      <c r="D35" s="18">
        <v>17670.345615483235</v>
      </c>
      <c r="E35" s="18">
        <v>780.9125002054402</v>
      </c>
      <c r="F35" s="18">
        <v>728.6470615221226</v>
      </c>
      <c r="G35" s="18">
        <v>280.8875090001113</v>
      </c>
    </row>
    <row r="36" spans="2:7" x14ac:dyDescent="0.25">
      <c r="B36">
        <v>30</v>
      </c>
      <c r="C36">
        <v>1</v>
      </c>
      <c r="D36" s="18">
        <v>17670.345615483235</v>
      </c>
      <c r="E36" s="18">
        <v>874.7581771995377</v>
      </c>
      <c r="F36" s="18">
        <v>816.2117717301347</v>
      </c>
      <c r="G36" s="18">
        <v>314.6429917646544</v>
      </c>
    </row>
    <row r="37" spans="2:7" x14ac:dyDescent="0.25">
      <c r="B37">
        <v>31</v>
      </c>
      <c r="C37">
        <v>1</v>
      </c>
      <c r="D37" s="18">
        <v>17670.345615483235</v>
      </c>
      <c r="E37" s="18">
        <v>938.3289957594014</v>
      </c>
      <c r="F37" s="18">
        <v>875.5278796551771</v>
      </c>
      <c r="G37" s="18">
        <v>337.5088683714199</v>
      </c>
    </row>
    <row r="38" spans="2:7" x14ac:dyDescent="0.25">
      <c r="B38">
        <v>32</v>
      </c>
      <c r="C38">
        <v>1</v>
      </c>
      <c r="D38" s="18">
        <v>17670.345615483235</v>
      </c>
      <c r="E38" s="18">
        <v>1024.8358593431167</v>
      </c>
      <c r="F38" s="18">
        <v>956.2449535081208</v>
      </c>
      <c r="G38" s="18">
        <v>368.6246430799174</v>
      </c>
    </row>
    <row r="39" spans="2:7" x14ac:dyDescent="0.25">
      <c r="B39">
        <v>33</v>
      </c>
      <c r="C39">
        <v>1</v>
      </c>
      <c r="D39" s="18">
        <v>17670.345615483235</v>
      </c>
      <c r="E39" s="18">
        <v>1126.837854328781</v>
      </c>
      <c r="F39" s="18">
        <v>1051.4200901542185</v>
      </c>
      <c r="G39" s="18">
        <v>405.31388326627325</v>
      </c>
    </row>
    <row r="40" spans="2:7" x14ac:dyDescent="0.25">
      <c r="B40">
        <v>34</v>
      </c>
      <c r="C40">
        <v>1</v>
      </c>
      <c r="D40" s="18">
        <v>17670.345615483235</v>
      </c>
      <c r="E40" s="18">
        <v>1194.658703399803</v>
      </c>
      <c r="F40" s="18">
        <v>1114.7017796809387</v>
      </c>
      <c r="G40" s="18">
        <v>429.7084592896054</v>
      </c>
    </row>
    <row r="41" spans="2:7" x14ac:dyDescent="0.25">
      <c r="B41">
        <v>35</v>
      </c>
      <c r="C41">
        <v>1</v>
      </c>
      <c r="D41" s="18">
        <v>17670.345615483235</v>
      </c>
      <c r="E41" s="18">
        <v>1292.6136232392348</v>
      </c>
      <c r="F41" s="18">
        <v>1206.1007065566903</v>
      </c>
      <c r="G41" s="18">
        <v>464.9420013583586</v>
      </c>
    </row>
    <row r="42" spans="2:7" x14ac:dyDescent="0.25">
      <c r="B42">
        <v>36</v>
      </c>
      <c r="C42">
        <v>1</v>
      </c>
      <c r="D42" s="18">
        <v>17670.345615483235</v>
      </c>
      <c r="E42" s="18">
        <v>1443.214393152931</v>
      </c>
      <c r="F42" s="18">
        <v>1346.6219665335955</v>
      </c>
      <c r="G42" s="18">
        <v>519.111802844989</v>
      </c>
    </row>
    <row r="43" spans="2:7" x14ac:dyDescent="0.25">
      <c r="B43">
        <v>37</v>
      </c>
      <c r="C43">
        <v>1</v>
      </c>
      <c r="D43" s="18">
        <v>17670.345615483235</v>
      </c>
      <c r="E43" s="18">
        <v>1622.2602831464887</v>
      </c>
      <c r="F43" s="18">
        <v>1513.684552402176</v>
      </c>
      <c r="G43" s="18">
        <v>583.5130693425385</v>
      </c>
    </row>
    <row r="44" spans="2:7" x14ac:dyDescent="0.25">
      <c r="B44">
        <v>38</v>
      </c>
      <c r="C44">
        <v>1</v>
      </c>
      <c r="D44" s="18">
        <v>17670.345615483235</v>
      </c>
      <c r="E44" s="18">
        <v>1786.739491223845</v>
      </c>
      <c r="F44" s="18">
        <v>1667.155385069757</v>
      </c>
      <c r="G44" s="18">
        <v>642.6748256558328</v>
      </c>
    </row>
    <row r="45" spans="2:7" x14ac:dyDescent="0.25">
      <c r="B45">
        <v>39</v>
      </c>
      <c r="C45">
        <v>1</v>
      </c>
      <c r="D45" s="18">
        <v>17670.345615483235</v>
      </c>
      <c r="E45" s="18">
        <v>1890.2160145870635</v>
      </c>
      <c r="F45" s="18">
        <v>1763.7063618633147</v>
      </c>
      <c r="G45" s="18">
        <v>679.8944410158633</v>
      </c>
    </row>
    <row r="46" spans="2:7" x14ac:dyDescent="0.25">
      <c r="B46">
        <v>40</v>
      </c>
      <c r="C46">
        <v>1</v>
      </c>
      <c r="D46" s="18">
        <v>17670.345615483235</v>
      </c>
      <c r="E46" s="18">
        <v>2181.9835417887584</v>
      </c>
      <c r="F46" s="18">
        <v>2035.9462751534231</v>
      </c>
      <c r="G46" s="18">
        <v>784.8407107980041</v>
      </c>
    </row>
    <row r="47" spans="2:7" x14ac:dyDescent="0.25">
      <c r="B47">
        <v>41</v>
      </c>
      <c r="C47">
        <v>1</v>
      </c>
      <c r="D47" s="18">
        <v>17670.345615483235</v>
      </c>
      <c r="E47" s="18">
        <v>2204.8401184591457</v>
      </c>
      <c r="F47" s="18">
        <v>2057.273091439436</v>
      </c>
      <c r="G47" s="18">
        <v>793.0620248165735</v>
      </c>
    </row>
    <row r="48" spans="2:7" x14ac:dyDescent="0.25">
      <c r="B48">
        <v>42</v>
      </c>
      <c r="C48">
        <v>1</v>
      </c>
      <c r="D48" s="18">
        <v>17670.345615483235</v>
      </c>
      <c r="E48" s="18">
        <v>2234.7895747703396</v>
      </c>
      <c r="F48" s="18">
        <v>2085.2180703322</v>
      </c>
      <c r="G48" s="18">
        <v>803.8345866297674</v>
      </c>
    </row>
    <row r="49" spans="2:7" x14ac:dyDescent="0.25">
      <c r="B49">
        <v>43</v>
      </c>
      <c r="C49">
        <v>1</v>
      </c>
      <c r="D49" s="18">
        <v>17312.41897526079</v>
      </c>
      <c r="E49" s="18">
        <v>2406.902521664397</v>
      </c>
      <c r="F49" s="18">
        <v>2245.8117257945933</v>
      </c>
      <c r="G49" s="18">
        <v>865.742133130844</v>
      </c>
    </row>
    <row r="50" spans="2:7" x14ac:dyDescent="0.25">
      <c r="B50">
        <v>44</v>
      </c>
      <c r="C50">
        <v>1</v>
      </c>
      <c r="D50" s="18">
        <v>16864.238544529217</v>
      </c>
      <c r="E50" s="18">
        <v>2561.8928736680623</v>
      </c>
      <c r="F50" s="18">
        <v>2390.428778949767</v>
      </c>
      <c r="G50" s="18">
        <v>921.490829536532</v>
      </c>
    </row>
    <row r="51" spans="2:7" x14ac:dyDescent="0.25">
      <c r="B51">
        <v>45</v>
      </c>
      <c r="C51">
        <v>1</v>
      </c>
      <c r="D51" s="18">
        <v>16663.240396056448</v>
      </c>
      <c r="E51" s="18">
        <v>2631.40232041706</v>
      </c>
      <c r="F51" s="18">
        <v>2455.286050549801</v>
      </c>
      <c r="G51" s="18">
        <v>946.4927796194996</v>
      </c>
    </row>
    <row r="52" spans="2:7" x14ac:dyDescent="0.25">
      <c r="B52">
        <v>46</v>
      </c>
      <c r="C52">
        <v>1</v>
      </c>
      <c r="D52" s="18">
        <v>16001.44002453427</v>
      </c>
      <c r="E52" s="18">
        <v>2901.1621765111886</v>
      </c>
      <c r="F52" s="18">
        <v>2706.9912369924655</v>
      </c>
      <c r="G52" s="18">
        <v>1043.5230794118252</v>
      </c>
    </row>
    <row r="53" spans="2:7" x14ac:dyDescent="0.25">
      <c r="B53">
        <v>47</v>
      </c>
      <c r="C53">
        <v>1</v>
      </c>
      <c r="D53" s="18">
        <v>15276.558196044116</v>
      </c>
      <c r="E53" s="18">
        <v>3097.997644831612</v>
      </c>
      <c r="F53" s="18">
        <v>2890.6527682872984</v>
      </c>
      <c r="G53" s="18">
        <v>1114.3231042095445</v>
      </c>
    </row>
    <row r="54" spans="2:7" x14ac:dyDescent="0.25">
      <c r="B54">
        <v>48</v>
      </c>
      <c r="C54">
        <v>1</v>
      </c>
      <c r="D54" s="18">
        <v>13681.717876580104</v>
      </c>
      <c r="E54" s="18">
        <v>3596.9294162937595</v>
      </c>
      <c r="F54" s="18">
        <v>3356.1916975274885</v>
      </c>
      <c r="G54" s="18">
        <v>1293.7845706480332</v>
      </c>
    </row>
    <row r="55" spans="2:7" x14ac:dyDescent="0.25">
      <c r="B55">
        <v>49</v>
      </c>
      <c r="C55">
        <v>1</v>
      </c>
      <c r="D55" s="18">
        <v>13587.900709550526</v>
      </c>
      <c r="E55" s="18">
        <v>3617.1975269530485</v>
      </c>
      <c r="F55" s="18">
        <v>3375.1032904019935</v>
      </c>
      <c r="G55" s="18">
        <v>1301.074835708112</v>
      </c>
    </row>
    <row r="56" spans="2:7" x14ac:dyDescent="0.25">
      <c r="B56">
        <v>50</v>
      </c>
      <c r="C56">
        <v>1</v>
      </c>
      <c r="D56" s="18">
        <v>12733.276607323629</v>
      </c>
      <c r="E56" s="18">
        <v>3810.685313797142</v>
      </c>
      <c r="F56" s="18">
        <v>3555.6411961049726</v>
      </c>
      <c r="G56" s="18">
        <v>1370.670728275185</v>
      </c>
    </row>
    <row r="57" spans="2:7" x14ac:dyDescent="0.25">
      <c r="B57">
        <v>51</v>
      </c>
      <c r="C57">
        <v>1</v>
      </c>
      <c r="D57" s="18">
        <v>12690.477697550998</v>
      </c>
      <c r="E57" s="18">
        <v>3818.4970747214993</v>
      </c>
      <c r="F57" s="18">
        <v>3562.93012622371</v>
      </c>
      <c r="G57" s="18">
        <v>1373.4805514837644</v>
      </c>
    </row>
    <row r="58" spans="2:7" x14ac:dyDescent="0.25">
      <c r="B58">
        <v>52</v>
      </c>
      <c r="C58">
        <v>1</v>
      </c>
      <c r="D58" s="18">
        <v>11877.474664358302</v>
      </c>
      <c r="E58" s="18">
        <v>3971.27250378744</v>
      </c>
      <c r="F58" s="18">
        <v>3705.4804982979103</v>
      </c>
      <c r="G58" s="18">
        <v>1428.4325591612776</v>
      </c>
    </row>
    <row r="59" spans="2:7" x14ac:dyDescent="0.25">
      <c r="B59">
        <v>53</v>
      </c>
      <c r="C59">
        <v>1</v>
      </c>
      <c r="D59" s="18">
        <v>11873.208198962664</v>
      </c>
      <c r="E59" s="18">
        <v>3972.0393145171342</v>
      </c>
      <c r="F59" s="18">
        <v>3706.195987401732</v>
      </c>
      <c r="G59" s="18">
        <v>1428.7083743847265</v>
      </c>
    </row>
    <row r="60" spans="2:7" x14ac:dyDescent="0.25">
      <c r="B60">
        <v>54</v>
      </c>
      <c r="C60">
        <v>1</v>
      </c>
      <c r="D60" s="18">
        <v>11872.94275686741</v>
      </c>
      <c r="E60" s="18">
        <v>3972.0866133665936</v>
      </c>
      <c r="F60" s="18">
        <v>3706.240120601883</v>
      </c>
      <c r="G60" s="18">
        <v>1428.7253873740178</v>
      </c>
    </row>
    <row r="61" spans="2:7" x14ac:dyDescent="0.25">
      <c r="B61">
        <v>55</v>
      </c>
      <c r="C61">
        <v>1</v>
      </c>
      <c r="D61" s="18">
        <v>11084.131683012325</v>
      </c>
      <c r="E61" s="18">
        <v>4089.0465103956267</v>
      </c>
      <c r="F61" s="18">
        <v>3815.372046731526</v>
      </c>
      <c r="G61" s="18">
        <v>1470.7948562591382</v>
      </c>
    </row>
    <row r="62" spans="2:7" x14ac:dyDescent="0.25">
      <c r="B62">
        <v>56</v>
      </c>
      <c r="C62">
        <v>1</v>
      </c>
      <c r="D62" s="18">
        <v>11068.384197665375</v>
      </c>
      <c r="E62" s="18">
        <v>4091.2664244366306</v>
      </c>
      <c r="F62" s="18">
        <v>3817.4433848678523</v>
      </c>
      <c r="G62" s="18">
        <v>1471.5933402442297</v>
      </c>
    </row>
    <row r="63" spans="2:7" x14ac:dyDescent="0.25">
      <c r="B63">
        <v>57</v>
      </c>
      <c r="C63">
        <v>1</v>
      </c>
      <c r="D63" s="18">
        <v>10337.761020994822</v>
      </c>
      <c r="E63" s="18">
        <v>4181.905678774246</v>
      </c>
      <c r="F63" s="18">
        <v>3902.016274038258</v>
      </c>
      <c r="G63" s="18">
        <v>1504.1955003605328</v>
      </c>
    </row>
    <row r="64" spans="2:7" x14ac:dyDescent="0.25">
      <c r="B64">
        <v>58</v>
      </c>
      <c r="C64">
        <v>1</v>
      </c>
      <c r="D64" s="18">
        <v>10331.547199996237</v>
      </c>
      <c r="E64" s="18">
        <v>4182.594711509764</v>
      </c>
      <c r="F64" s="18">
        <v>3902.659190725974</v>
      </c>
      <c r="G64" s="18">
        <v>1504.4433395085146</v>
      </c>
    </row>
    <row r="65" spans="2:7" x14ac:dyDescent="0.25">
      <c r="B65">
        <v>59</v>
      </c>
      <c r="C65">
        <v>1</v>
      </c>
      <c r="D65" s="18">
        <v>9735.550746902754</v>
      </c>
      <c r="E65" s="18">
        <v>4243.095112882574</v>
      </c>
      <c r="F65" s="18">
        <v>3959.110380417021</v>
      </c>
      <c r="G65" s="18">
        <v>1526.204813464489</v>
      </c>
    </row>
    <row r="66" spans="2:7" x14ac:dyDescent="0.25">
      <c r="B66">
        <v>60</v>
      </c>
      <c r="C66">
        <v>1</v>
      </c>
      <c r="D66" s="18">
        <v>9631.911407068528</v>
      </c>
      <c r="E66" s="18">
        <v>4253.452291652173</v>
      </c>
      <c r="F66" s="18">
        <v>3968.7743669381002</v>
      </c>
      <c r="G66" s="18">
        <v>1529.9302015765963</v>
      </c>
    </row>
    <row r="67" spans="2:7" x14ac:dyDescent="0.25">
      <c r="B67">
        <v>61</v>
      </c>
      <c r="C67">
        <v>1</v>
      </c>
      <c r="D67" s="18">
        <v>9631.082549121842</v>
      </c>
      <c r="E67" s="18">
        <v>4253.546154778261</v>
      </c>
      <c r="F67" s="18">
        <v>3968.8619479295567</v>
      </c>
      <c r="G67" s="18">
        <v>1529.9639633356496</v>
      </c>
    </row>
    <row r="68" spans="2:7" x14ac:dyDescent="0.25">
      <c r="B68">
        <v>62</v>
      </c>
      <c r="C68">
        <v>1</v>
      </c>
      <c r="D68" s="18">
        <v>8989.491340964054</v>
      </c>
      <c r="E68" s="18">
        <v>4309.439192540031</v>
      </c>
      <c r="F68" s="18">
        <v>4021.0141387498406</v>
      </c>
      <c r="G68" s="18">
        <v>1550.0682082327703</v>
      </c>
    </row>
    <row r="69" spans="2:7" x14ac:dyDescent="0.25">
      <c r="B69">
        <v>63</v>
      </c>
      <c r="C69">
        <v>1</v>
      </c>
      <c r="D69" s="18">
        <v>8986.36990766312</v>
      </c>
      <c r="E69" s="18">
        <v>4310.847710183572</v>
      </c>
      <c r="F69" s="18">
        <v>4022.32838617423</v>
      </c>
      <c r="G69" s="18">
        <v>1550.5748399132376</v>
      </c>
    </row>
    <row r="70" spans="2:7" x14ac:dyDescent="0.25">
      <c r="B70">
        <v>64</v>
      </c>
      <c r="C70">
        <v>1</v>
      </c>
      <c r="D70" s="18">
        <v>8264.6632167188</v>
      </c>
      <c r="E70" s="18">
        <v>4564.181888541133</v>
      </c>
      <c r="F70" s="18">
        <v>4258.7072437220295</v>
      </c>
      <c r="G70" s="18">
        <v>1641.6969647156002</v>
      </c>
    </row>
    <row r="71" spans="2:7" x14ac:dyDescent="0.25">
      <c r="B71">
        <v>65</v>
      </c>
      <c r="C71">
        <v>1</v>
      </c>
      <c r="D71" s="18">
        <v>8245.521951060366</v>
      </c>
      <c r="E71" s="18">
        <v>4572.128443314535</v>
      </c>
      <c r="F71" s="18">
        <v>4266.12194611614</v>
      </c>
      <c r="G71" s="18">
        <v>1644.5552721121994</v>
      </c>
    </row>
    <row r="72" spans="2:7" x14ac:dyDescent="0.25">
      <c r="B72">
        <v>66</v>
      </c>
      <c r="C72">
        <v>1</v>
      </c>
      <c r="D72" s="18">
        <v>7696.73229023202</v>
      </c>
      <c r="E72" s="18">
        <v>4725.369867349661</v>
      </c>
      <c r="F72" s="18">
        <v>4409.107124733829</v>
      </c>
      <c r="G72" s="18">
        <v>1699.6748941716908</v>
      </c>
    </row>
    <row r="73" spans="2:7" x14ac:dyDescent="0.25">
      <c r="B73">
        <v>67</v>
      </c>
      <c r="C73">
        <v>1</v>
      </c>
      <c r="D73" s="18">
        <v>7663.159543900818</v>
      </c>
      <c r="E73" s="18">
        <v>4737.863497598905</v>
      </c>
      <c r="F73" s="18">
        <v>4420.764572868492</v>
      </c>
      <c r="G73" s="18">
        <v>1704.168745503505</v>
      </c>
    </row>
    <row r="74" spans="2:7" x14ac:dyDescent="0.25">
      <c r="B74">
        <v>68</v>
      </c>
      <c r="C74">
        <v>1</v>
      </c>
      <c r="D74" s="18">
        <v>7222.568847007574</v>
      </c>
      <c r="E74" s="18">
        <v>4838.458326980016</v>
      </c>
      <c r="F74" s="18">
        <v>4514.62672363901</v>
      </c>
      <c r="G74" s="18">
        <v>1740.3518403261871</v>
      </c>
    </row>
    <row r="75" spans="2:7" x14ac:dyDescent="0.25">
      <c r="B75">
        <v>69</v>
      </c>
      <c r="C75">
        <v>1</v>
      </c>
      <c r="D75" s="18">
        <v>7169.383462488378</v>
      </c>
      <c r="E75" s="18">
        <v>4857.7743706059155</v>
      </c>
      <c r="F75" s="18">
        <v>4532.64997006488</v>
      </c>
      <c r="G75" s="18">
        <v>1747.2996550639316</v>
      </c>
    </row>
    <row r="76" spans="2:7" x14ac:dyDescent="0.25">
      <c r="B76">
        <v>70</v>
      </c>
      <c r="C76">
        <v>1</v>
      </c>
      <c r="D76" s="18">
        <v>6815.137902172251</v>
      </c>
      <c r="E76" s="18">
        <v>4912.841542494866</v>
      </c>
      <c r="F76" s="18">
        <v>4584.03156912068</v>
      </c>
      <c r="G76" s="18">
        <v>1767.106843110607</v>
      </c>
    </row>
    <row r="77" spans="2:7" x14ac:dyDescent="0.25">
      <c r="B77">
        <v>71</v>
      </c>
      <c r="C77">
        <v>1</v>
      </c>
      <c r="D77" s="18">
        <v>6677.076179991088</v>
      </c>
      <c r="E77" s="18">
        <v>4951.087075565988</v>
      </c>
      <c r="F77" s="18">
        <v>4619.717379350748</v>
      </c>
      <c r="G77" s="18">
        <v>1780.863432372403</v>
      </c>
    </row>
    <row r="78" spans="2:7" x14ac:dyDescent="0.25">
      <c r="B78">
        <v>72</v>
      </c>
      <c r="C78">
        <v>1</v>
      </c>
      <c r="D78" s="18">
        <v>5939.597130211347</v>
      </c>
      <c r="E78" s="18">
        <v>4987.471458213939</v>
      </c>
      <c r="F78" s="18">
        <v>4653.6666034888585</v>
      </c>
      <c r="G78" s="18">
        <v>1793.950581836397</v>
      </c>
    </row>
    <row r="79" spans="2:7" x14ac:dyDescent="0.25">
      <c r="B79">
        <v>73</v>
      </c>
      <c r="C79">
        <v>1</v>
      </c>
      <c r="D79" s="18">
        <v>5560.373172263182</v>
      </c>
      <c r="E79" s="18">
        <v>4893.415175265811</v>
      </c>
      <c r="F79" s="18">
        <v>4565.9053829041995</v>
      </c>
      <c r="G79" s="18">
        <v>1760.1193459217986</v>
      </c>
    </row>
    <row r="80" spans="2:7" x14ac:dyDescent="0.25">
      <c r="B80">
        <v>74</v>
      </c>
      <c r="C80">
        <v>1</v>
      </c>
      <c r="D80" s="18">
        <v>4822.09462432778</v>
      </c>
      <c r="E80" s="18">
        <v>4668.8572598560495</v>
      </c>
      <c r="F80" s="18">
        <v>4356.37683116273</v>
      </c>
      <c r="G80" s="18">
        <v>1679.347795371498</v>
      </c>
    </row>
    <row r="81" spans="2:7" x14ac:dyDescent="0.25">
      <c r="B81">
        <v>75</v>
      </c>
      <c r="C81">
        <v>1</v>
      </c>
      <c r="D81" s="18">
        <v>3910.6875232492584</v>
      </c>
      <c r="E81" s="18">
        <v>4377.76459276171</v>
      </c>
      <c r="F81" s="18">
        <v>4084.7666104873942</v>
      </c>
      <c r="G81" s="18">
        <v>1574.6442669649</v>
      </c>
    </row>
    <row r="82" spans="2:7" x14ac:dyDescent="0.25">
      <c r="B82">
        <v>76</v>
      </c>
      <c r="C82">
        <v>1</v>
      </c>
      <c r="D82" s="18">
        <v>3176.768728707864</v>
      </c>
      <c r="E82" s="18">
        <v>4105.836644579057</v>
      </c>
      <c r="F82" s="18">
        <v>3831.038439486284</v>
      </c>
      <c r="G82" s="18">
        <v>1476.834123098023</v>
      </c>
    </row>
    <row r="83" spans="2:7" x14ac:dyDescent="0.25">
      <c r="B83">
        <v>77</v>
      </c>
      <c r="C83">
        <v>1</v>
      </c>
      <c r="D83" s="18">
        <v>2276.034488569148</v>
      </c>
      <c r="E83" s="18">
        <v>3772.493559143484</v>
      </c>
      <c r="F83" s="18">
        <v>3520.00556497416</v>
      </c>
      <c r="G83" s="18">
        <v>1356.9334826475542</v>
      </c>
    </row>
    <row r="84" spans="2:7" x14ac:dyDescent="0.25">
      <c r="B84">
        <v>78</v>
      </c>
      <c r="C84">
        <v>1</v>
      </c>
      <c r="D84" s="18">
        <v>2023.0816349536212</v>
      </c>
      <c r="E84" s="18">
        <v>3662.69339325676</v>
      </c>
      <c r="F84" s="18">
        <v>3417.5541786703734</v>
      </c>
      <c r="G84" s="18">
        <v>1317.4393074670986</v>
      </c>
    </row>
    <row r="85" spans="2:7" x14ac:dyDescent="0.25">
      <c r="B85">
        <v>79</v>
      </c>
      <c r="C85">
        <v>1</v>
      </c>
      <c r="D85" s="18">
        <v>-34.31342075417191</v>
      </c>
      <c r="E85" s="18">
        <v>2703.9835470103426</v>
      </c>
      <c r="F85" s="18">
        <v>2523.0095118402196</v>
      </c>
      <c r="G85" s="18">
        <v>972.5996224893429</v>
      </c>
    </row>
    <row r="86" spans="2:7" x14ac:dyDescent="0.25">
      <c r="B86">
        <v>80</v>
      </c>
      <c r="C86">
        <v>1</v>
      </c>
      <c r="D86" s="18">
        <v>-144.58702319349518</v>
      </c>
      <c r="E86" s="18">
        <v>2651.3643804013213</v>
      </c>
      <c r="F86" s="18">
        <v>2473.9120763153433</v>
      </c>
      <c r="G86" s="18">
        <v>953.6729608843854</v>
      </c>
    </row>
    <row r="87" spans="2:7" x14ac:dyDescent="0.25">
      <c r="B87">
        <v>81</v>
      </c>
      <c r="C87">
        <v>1</v>
      </c>
      <c r="D87" s="18">
        <v>-152.46417959881072</v>
      </c>
      <c r="E87" s="18">
        <v>2647.8458649281206</v>
      </c>
      <c r="F87" s="18">
        <v>2470.6290504196204</v>
      </c>
      <c r="G87" s="18">
        <v>952.4073811345595</v>
      </c>
    </row>
    <row r="88" spans="2:7" x14ac:dyDescent="0.25">
      <c r="B88">
        <v>82</v>
      </c>
      <c r="C88">
        <v>1</v>
      </c>
      <c r="D88" s="18">
        <v>-1572.5000854716905</v>
      </c>
      <c r="E88" s="18">
        <v>1910.1560306103713</v>
      </c>
      <c r="F88" s="18">
        <v>1782.3118190409944</v>
      </c>
      <c r="G88" s="18">
        <v>687.0666932576135</v>
      </c>
    </row>
    <row r="89" spans="2:7" x14ac:dyDescent="0.25">
      <c r="B89">
        <v>83</v>
      </c>
      <c r="C89">
        <v>1</v>
      </c>
      <c r="D89" s="18">
        <v>-1696.4882829819098</v>
      </c>
      <c r="E89" s="18">
        <v>1844.4836028428772</v>
      </c>
      <c r="F89" s="18">
        <v>1721.0347598272929</v>
      </c>
      <c r="G89" s="18">
        <v>663.4448858966757</v>
      </c>
    </row>
    <row r="90" spans="2:7" x14ac:dyDescent="0.25">
      <c r="B90">
        <v>84</v>
      </c>
      <c r="C90">
        <v>1</v>
      </c>
      <c r="D90" s="18">
        <v>-3589.3994585750506</v>
      </c>
      <c r="E90" s="18">
        <v>783.8980408469943</v>
      </c>
      <c r="F90" s="18">
        <v>731.4327838853209</v>
      </c>
      <c r="G90" s="18">
        <v>281.9613822875846</v>
      </c>
    </row>
    <row r="91" spans="2:7" x14ac:dyDescent="0.25">
      <c r="B91">
        <v>85</v>
      </c>
      <c r="C91">
        <v>1</v>
      </c>
      <c r="D91" s="18">
        <v>-4921.996042232201</v>
      </c>
      <c r="E91" s="18">
        <v>1.8223386311120326e-14</v>
      </c>
      <c r="F91" s="18">
        <v>0</v>
      </c>
      <c r="G91" s="18">
        <v>5.066394805908203e-14</v>
      </c>
    </row>
    <row r="92" spans="2:7" x14ac:dyDescent="0.25">
      <c r="B92">
        <v>86</v>
      </c>
      <c r="C92">
        <v>1</v>
      </c>
      <c r="D92" s="18">
        <v>-3589.39945857505</v>
      </c>
      <c r="E92" s="18">
        <v>-783.8980408469946</v>
      </c>
      <c r="F92" s="18">
        <v>-731.4327838853212</v>
      </c>
      <c r="G92" s="18">
        <v>-281.96138228758474</v>
      </c>
    </row>
    <row r="93" spans="2:7" x14ac:dyDescent="0.25">
      <c r="B93">
        <v>87</v>
      </c>
      <c r="C93">
        <v>1</v>
      </c>
      <c r="D93" s="18">
        <v>-1696.4882829819094</v>
      </c>
      <c r="E93" s="18">
        <v>-1844.4836028428772</v>
      </c>
      <c r="F93" s="18">
        <v>-1721.0347598272929</v>
      </c>
      <c r="G93" s="18">
        <v>-663.4448858966757</v>
      </c>
    </row>
    <row r="94" spans="2:7" x14ac:dyDescent="0.25">
      <c r="B94">
        <v>88</v>
      </c>
      <c r="C94">
        <v>1</v>
      </c>
      <c r="D94" s="18">
        <v>-1572.5000854716907</v>
      </c>
      <c r="E94" s="18">
        <v>-1910.1560306103709</v>
      </c>
      <c r="F94" s="18">
        <v>-1782.311819040994</v>
      </c>
      <c r="G94" s="18">
        <v>-687.0666932576135</v>
      </c>
    </row>
    <row r="95" spans="2:7" x14ac:dyDescent="0.25">
      <c r="B95">
        <v>89</v>
      </c>
      <c r="C95">
        <v>1</v>
      </c>
      <c r="D95" s="18">
        <v>-152.4641795988073</v>
      </c>
      <c r="E95" s="18">
        <v>-2647.845864928123</v>
      </c>
      <c r="F95" s="18">
        <v>-2470.6290504196227</v>
      </c>
      <c r="G95" s="18">
        <v>-952.4073811345604</v>
      </c>
    </row>
    <row r="96" spans="2:7" x14ac:dyDescent="0.25">
      <c r="B96">
        <v>90</v>
      </c>
      <c r="C96">
        <v>1</v>
      </c>
      <c r="D96" s="18">
        <v>-144.58702319349234</v>
      </c>
      <c r="E96" s="18">
        <v>-2651.364380401324</v>
      </c>
      <c r="F96" s="18">
        <v>-2473.912076315346</v>
      </c>
      <c r="G96" s="18">
        <v>-953.6729608843862</v>
      </c>
    </row>
    <row r="97" spans="2:7" x14ac:dyDescent="0.25">
      <c r="B97">
        <v>91</v>
      </c>
      <c r="C97">
        <v>1</v>
      </c>
      <c r="D97" s="18">
        <v>-34.31342075417749</v>
      </c>
      <c r="E97" s="18">
        <v>-2703.983547010341</v>
      </c>
      <c r="F97" s="18">
        <v>-2523.009511840218</v>
      </c>
      <c r="G97" s="18">
        <v>-972.5996224893422</v>
      </c>
    </row>
    <row r="98" spans="2:7" x14ac:dyDescent="0.25">
      <c r="B98">
        <v>92</v>
      </c>
      <c r="C98">
        <v>1</v>
      </c>
      <c r="D98" s="18">
        <v>2023.0816349536203</v>
      </c>
      <c r="E98" s="18">
        <v>-3662.6933932567604</v>
      </c>
      <c r="F98" s="18">
        <v>-3417.554178670374</v>
      </c>
      <c r="G98" s="18">
        <v>-1317.4393074670986</v>
      </c>
    </row>
    <row r="99" spans="2:7" x14ac:dyDescent="0.25">
      <c r="B99">
        <v>93</v>
      </c>
      <c r="C99">
        <v>1</v>
      </c>
      <c r="D99" s="18">
        <v>2276.034488569149</v>
      </c>
      <c r="E99" s="18">
        <v>-3772.4935591434855</v>
      </c>
      <c r="F99" s="18">
        <v>-3520.005564974161</v>
      </c>
      <c r="G99" s="18">
        <v>-1356.9334826475545</v>
      </c>
    </row>
    <row r="100" spans="2:7" x14ac:dyDescent="0.25">
      <c r="B100">
        <v>94</v>
      </c>
      <c r="C100">
        <v>1</v>
      </c>
      <c r="D100" s="18">
        <v>3176.768728707867</v>
      </c>
      <c r="E100" s="18">
        <v>-4105.836644579058</v>
      </c>
      <c r="F100" s="18">
        <v>-3831.0384394862854</v>
      </c>
      <c r="G100" s="18">
        <v>-1476.8341230980234</v>
      </c>
    </row>
    <row r="101" spans="2:7" x14ac:dyDescent="0.25">
      <c r="B101">
        <v>95</v>
      </c>
      <c r="C101">
        <v>1</v>
      </c>
      <c r="D101" s="18">
        <v>3910.687523249262</v>
      </c>
      <c r="E101" s="18">
        <v>-4377.764592761711</v>
      </c>
      <c r="F101" s="18">
        <v>-4084.766610487395</v>
      </c>
      <c r="G101" s="18">
        <v>-1574.6442669649005</v>
      </c>
    </row>
    <row r="102" spans="2:7" x14ac:dyDescent="0.25">
      <c r="B102">
        <v>96</v>
      </c>
      <c r="C102">
        <v>1</v>
      </c>
      <c r="D102" s="18">
        <v>4822.09462432778</v>
      </c>
      <c r="E102" s="18">
        <v>-4668.8572598560495</v>
      </c>
      <c r="F102" s="18">
        <v>-4356.37683116273</v>
      </c>
      <c r="G102" s="18">
        <v>-1679.3477953714978</v>
      </c>
    </row>
    <row r="103" spans="2:7" x14ac:dyDescent="0.25">
      <c r="B103">
        <v>97</v>
      </c>
      <c r="C103">
        <v>1</v>
      </c>
      <c r="D103" s="18">
        <v>5560.373172263185</v>
      </c>
      <c r="E103" s="18">
        <v>-4893.415175265813</v>
      </c>
      <c r="F103" s="18">
        <v>-4565.905382904201</v>
      </c>
      <c r="G103" s="18">
        <v>-1760.119345921799</v>
      </c>
    </row>
    <row r="104" spans="2:7" x14ac:dyDescent="0.25">
      <c r="B104">
        <v>98</v>
      </c>
      <c r="C104">
        <v>1</v>
      </c>
      <c r="D104" s="18">
        <v>5939.597130211349</v>
      </c>
      <c r="E104" s="18">
        <v>-4987.4714582139395</v>
      </c>
      <c r="F104" s="18">
        <v>-4653.666603488859</v>
      </c>
      <c r="G104" s="18">
        <v>-1793.9505818363978</v>
      </c>
    </row>
    <row r="105" spans="2:7" x14ac:dyDescent="0.25">
      <c r="B105">
        <v>99</v>
      </c>
      <c r="C105">
        <v>1</v>
      </c>
      <c r="D105" s="18">
        <v>6677.076179991092</v>
      </c>
      <c r="E105" s="18">
        <v>-4951.087075565986</v>
      </c>
      <c r="F105" s="18">
        <v>-4619.717379350747</v>
      </c>
      <c r="G105" s="18">
        <v>-1780.8634323724027</v>
      </c>
    </row>
    <row r="106" spans="2:7" x14ac:dyDescent="0.25">
      <c r="B106">
        <v>100</v>
      </c>
      <c r="C106">
        <v>1</v>
      </c>
      <c r="D106" s="18">
        <v>6815.137902172254</v>
      </c>
      <c r="E106" s="18">
        <v>-4912.841542494866</v>
      </c>
      <c r="F106" s="18">
        <v>-4584.03156912068</v>
      </c>
      <c r="G106" s="18">
        <v>-1767.1068431106066</v>
      </c>
    </row>
    <row r="107" spans="2:7" x14ac:dyDescent="0.25">
      <c r="B107">
        <v>101</v>
      </c>
      <c r="C107">
        <v>1</v>
      </c>
      <c r="D107" s="18">
        <v>7169.3834624883775</v>
      </c>
      <c r="E107" s="18">
        <v>-4857.7743706059155</v>
      </c>
      <c r="F107" s="18">
        <v>-4532.64997006488</v>
      </c>
      <c r="G107" s="18">
        <v>-1747.299655063932</v>
      </c>
    </row>
    <row r="108" spans="2:7" x14ac:dyDescent="0.25">
      <c r="B108">
        <v>102</v>
      </c>
      <c r="C108">
        <v>1</v>
      </c>
      <c r="D108" s="18">
        <v>7222.568847007573</v>
      </c>
      <c r="E108" s="18">
        <v>-4838.458326980016</v>
      </c>
      <c r="F108" s="18">
        <v>-4514.62672363901</v>
      </c>
      <c r="G108" s="18">
        <v>-1740.3518403261874</v>
      </c>
    </row>
    <row r="109" spans="2:7" x14ac:dyDescent="0.25">
      <c r="B109">
        <v>103</v>
      </c>
      <c r="C109">
        <v>1</v>
      </c>
      <c r="D109" s="18">
        <v>7663.1595439008215</v>
      </c>
      <c r="E109" s="18">
        <v>-4737.863497598905</v>
      </c>
      <c r="F109" s="18">
        <v>-4420.764572868492</v>
      </c>
      <c r="G109" s="18">
        <v>-1704.1687455035049</v>
      </c>
    </row>
    <row r="110" spans="2:7" x14ac:dyDescent="0.25">
      <c r="B110">
        <v>104</v>
      </c>
      <c r="C110">
        <v>1</v>
      </c>
      <c r="D110" s="18">
        <v>7696.732290232024</v>
      </c>
      <c r="E110" s="18">
        <v>-4725.36986734966</v>
      </c>
      <c r="F110" s="18">
        <v>-4409.107124733828</v>
      </c>
      <c r="G110" s="18">
        <v>-1699.6748941716905</v>
      </c>
    </row>
    <row r="111" spans="2:7" x14ac:dyDescent="0.25">
      <c r="B111">
        <v>105</v>
      </c>
      <c r="C111">
        <v>1</v>
      </c>
      <c r="D111" s="18">
        <v>8245.521951060367</v>
      </c>
      <c r="E111" s="18">
        <v>-4572.128443314535</v>
      </c>
      <c r="F111" s="18">
        <v>-4266.121946116141</v>
      </c>
      <c r="G111" s="18">
        <v>-1644.5552721121996</v>
      </c>
    </row>
    <row r="112" spans="2:7" x14ac:dyDescent="0.25">
      <c r="B112">
        <v>106</v>
      </c>
      <c r="C112">
        <v>1</v>
      </c>
      <c r="D112" s="18">
        <v>8264.663216718798</v>
      </c>
      <c r="E112" s="18">
        <v>-4564.181888541134</v>
      </c>
      <c r="F112" s="18">
        <v>-4258.70724372203</v>
      </c>
      <c r="G112" s="18">
        <v>-1641.6969647156004</v>
      </c>
    </row>
    <row r="113" spans="2:7" x14ac:dyDescent="0.25">
      <c r="B113">
        <v>107</v>
      </c>
      <c r="C113">
        <v>1</v>
      </c>
      <c r="D113" s="18">
        <v>8986.36990766312</v>
      </c>
      <c r="E113" s="18">
        <v>-4310.847710183572</v>
      </c>
      <c r="F113" s="18">
        <v>-4022.32838617423</v>
      </c>
      <c r="G113" s="18">
        <v>-1550.5748399132376</v>
      </c>
    </row>
    <row r="114" spans="2:7" x14ac:dyDescent="0.25">
      <c r="B114">
        <v>108</v>
      </c>
      <c r="C114">
        <v>1</v>
      </c>
      <c r="D114" s="18">
        <v>8989.491340964052</v>
      </c>
      <c r="E114" s="18">
        <v>-4309.439192540031</v>
      </c>
      <c r="F114" s="18">
        <v>-4021.014138749841</v>
      </c>
      <c r="G114" s="18">
        <v>-1550.0682082327705</v>
      </c>
    </row>
    <row r="115" spans="2:7" x14ac:dyDescent="0.25">
      <c r="B115">
        <v>109</v>
      </c>
      <c r="C115">
        <v>1</v>
      </c>
      <c r="D115" s="18">
        <v>9631.08254912184</v>
      </c>
      <c r="E115" s="18">
        <v>-4253.546154778261</v>
      </c>
      <c r="F115" s="18">
        <v>-3968.8619479295567</v>
      </c>
      <c r="G115" s="18">
        <v>-1529.96396333565</v>
      </c>
    </row>
    <row r="116" spans="2:7" x14ac:dyDescent="0.25">
      <c r="B116">
        <v>110</v>
      </c>
      <c r="C116">
        <v>1</v>
      </c>
      <c r="D116" s="18">
        <v>9631.911407068526</v>
      </c>
      <c r="E116" s="18">
        <v>-4253.452291652173</v>
      </c>
      <c r="F116" s="18">
        <v>-3968.7743669381002</v>
      </c>
      <c r="G116" s="18">
        <v>-1529.9302015765966</v>
      </c>
    </row>
    <row r="117" spans="2:7" x14ac:dyDescent="0.25">
      <c r="B117">
        <v>111</v>
      </c>
      <c r="C117">
        <v>1</v>
      </c>
      <c r="D117" s="18">
        <v>9735.550746902609</v>
      </c>
      <c r="E117" s="18">
        <v>-4243.095112882588</v>
      </c>
      <c r="F117" s="18">
        <v>-3959.110380417035</v>
      </c>
      <c r="G117" s="18">
        <v>-1526.2048134644942</v>
      </c>
    </row>
    <row r="118" spans="2:7" x14ac:dyDescent="0.25">
      <c r="B118">
        <v>112</v>
      </c>
      <c r="C118">
        <v>1</v>
      </c>
      <c r="D118" s="18">
        <v>10331.547199996232</v>
      </c>
      <c r="E118" s="18">
        <v>-4182.594711509762</v>
      </c>
      <c r="F118" s="18">
        <v>-3902.659190725973</v>
      </c>
      <c r="G118" s="18">
        <v>-1504.4433395085143</v>
      </c>
    </row>
    <row r="119" spans="2:7" x14ac:dyDescent="0.25">
      <c r="B119">
        <v>113</v>
      </c>
      <c r="C119">
        <v>1</v>
      </c>
      <c r="D119" s="18">
        <v>10337.761020994818</v>
      </c>
      <c r="E119" s="18">
        <v>-4181.905678774245</v>
      </c>
      <c r="F119" s="18">
        <v>-3902.0162740382566</v>
      </c>
      <c r="G119" s="18">
        <v>-1504.1955003605324</v>
      </c>
    </row>
    <row r="120" spans="2:7" x14ac:dyDescent="0.25">
      <c r="B120">
        <v>114</v>
      </c>
      <c r="C120">
        <v>1</v>
      </c>
      <c r="D120" s="18">
        <v>11068.384197665373</v>
      </c>
      <c r="E120" s="18">
        <v>-4091.2664244366306</v>
      </c>
      <c r="F120" s="18">
        <v>-3817.443384867852</v>
      </c>
      <c r="G120" s="18">
        <v>-1471.5933402442295</v>
      </c>
    </row>
    <row r="121" spans="2:7" x14ac:dyDescent="0.25">
      <c r="B121">
        <v>115</v>
      </c>
      <c r="C121">
        <v>1</v>
      </c>
      <c r="D121" s="18">
        <v>11084.131683012325</v>
      </c>
      <c r="E121" s="18">
        <v>-4089.0465103956262</v>
      </c>
      <c r="F121" s="18">
        <v>-3815.3720467315256</v>
      </c>
      <c r="G121" s="18">
        <v>-1470.7948562591375</v>
      </c>
    </row>
    <row r="122" spans="2:7" x14ac:dyDescent="0.25">
      <c r="B122">
        <v>116</v>
      </c>
      <c r="C122">
        <v>1</v>
      </c>
      <c r="D122" s="18">
        <v>11872.942756867404</v>
      </c>
      <c r="E122" s="18">
        <v>-3972.086613366595</v>
      </c>
      <c r="F122" s="18">
        <v>-3706.240120601884</v>
      </c>
      <c r="G122" s="18">
        <v>-1428.7253873740178</v>
      </c>
    </row>
    <row r="123" spans="2:7" x14ac:dyDescent="0.25">
      <c r="B123">
        <v>117</v>
      </c>
      <c r="C123">
        <v>1</v>
      </c>
      <c r="D123" s="18">
        <v>11873.20819896266</v>
      </c>
      <c r="E123" s="18">
        <v>-3972.0393145171347</v>
      </c>
      <c r="F123" s="18">
        <v>-3706.1959874017325</v>
      </c>
      <c r="G123" s="18">
        <v>-1428.7083743847265</v>
      </c>
    </row>
    <row r="124" spans="2:7" x14ac:dyDescent="0.25">
      <c r="B124">
        <v>118</v>
      </c>
      <c r="C124">
        <v>1</v>
      </c>
      <c r="D124" s="18">
        <v>11877.474664358322</v>
      </c>
      <c r="E124" s="18">
        <v>-3971.2725037874375</v>
      </c>
      <c r="F124" s="18">
        <v>-3705.480498297907</v>
      </c>
      <c r="G124" s="18">
        <v>-1428.432559161276</v>
      </c>
    </row>
    <row r="125" spans="2:7" x14ac:dyDescent="0.25">
      <c r="B125">
        <v>119</v>
      </c>
      <c r="C125">
        <v>1</v>
      </c>
      <c r="D125" s="18">
        <v>12690.477697551</v>
      </c>
      <c r="E125" s="18">
        <v>-3818.4970747215016</v>
      </c>
      <c r="F125" s="18">
        <v>-3562.9301262237113</v>
      </c>
      <c r="G125" s="18">
        <v>-1373.4805514837649</v>
      </c>
    </row>
    <row r="126" spans="2:7" x14ac:dyDescent="0.25">
      <c r="B126">
        <v>120</v>
      </c>
      <c r="C126">
        <v>1</v>
      </c>
      <c r="D126" s="18">
        <v>12733.276607323629</v>
      </c>
      <c r="E126" s="18">
        <v>-3810.685313797144</v>
      </c>
      <c r="F126" s="18">
        <v>-3555.641196104974</v>
      </c>
      <c r="G126" s="18">
        <v>-1370.6707282751854</v>
      </c>
    </row>
    <row r="127" spans="2:7" x14ac:dyDescent="0.25">
      <c r="B127">
        <v>121</v>
      </c>
      <c r="C127">
        <v>1</v>
      </c>
      <c r="D127" s="18">
        <v>13587.900709550519</v>
      </c>
      <c r="E127" s="18">
        <v>-3617.197526953049</v>
      </c>
      <c r="F127" s="18">
        <v>-3375.103290401994</v>
      </c>
      <c r="G127" s="18">
        <v>-1301.0748357081125</v>
      </c>
    </row>
    <row r="128" spans="2:7" x14ac:dyDescent="0.25">
      <c r="B128">
        <v>122</v>
      </c>
      <c r="C128">
        <v>1</v>
      </c>
      <c r="D128" s="18">
        <v>13681.717876580093</v>
      </c>
      <c r="E128" s="18">
        <v>-3596.9294162937604</v>
      </c>
      <c r="F128" s="18">
        <v>-3356.19169752749</v>
      </c>
      <c r="G128" s="18">
        <v>-1293.7845706480337</v>
      </c>
    </row>
    <row r="129" spans="2:7" x14ac:dyDescent="0.25">
      <c r="B129">
        <v>123</v>
      </c>
      <c r="C129">
        <v>1</v>
      </c>
      <c r="D129" s="18">
        <v>15276.558196044107</v>
      </c>
      <c r="E129" s="18">
        <v>-3097.9976448316133</v>
      </c>
      <c r="F129" s="18">
        <v>-2890.6527682872998</v>
      </c>
      <c r="G129" s="18">
        <v>-1114.323104209545</v>
      </c>
    </row>
    <row r="130" spans="2:7" x14ac:dyDescent="0.25">
      <c r="B130">
        <v>124</v>
      </c>
      <c r="C130">
        <v>1</v>
      </c>
      <c r="D130" s="18">
        <v>16001.440024534266</v>
      </c>
      <c r="E130" s="18">
        <v>-2901.16217651119</v>
      </c>
      <c r="F130" s="18">
        <v>-2706.991236992467</v>
      </c>
      <c r="G130" s="18">
        <v>-1043.5230794118256</v>
      </c>
    </row>
    <row r="131" spans="2:7" x14ac:dyDescent="0.25">
      <c r="B131">
        <v>125</v>
      </c>
      <c r="C131">
        <v>1</v>
      </c>
      <c r="D131" s="18">
        <v>16663.24039605645</v>
      </c>
      <c r="E131" s="18">
        <v>-2631.40232041706</v>
      </c>
      <c r="F131" s="18">
        <v>-2455.2860505498015</v>
      </c>
      <c r="G131" s="18">
        <v>-946.4927796194999</v>
      </c>
    </row>
    <row r="132" spans="2:7" x14ac:dyDescent="0.25">
      <c r="B132">
        <v>126</v>
      </c>
      <c r="C132">
        <v>1</v>
      </c>
      <c r="D132" s="18">
        <v>16864.238544529213</v>
      </c>
      <c r="E132" s="18">
        <v>-2561.892873668063</v>
      </c>
      <c r="F132" s="18">
        <v>-2390.428778949768</v>
      </c>
      <c r="G132" s="18">
        <v>-921.4908295365323</v>
      </c>
    </row>
    <row r="133" spans="2:7" x14ac:dyDescent="0.25">
      <c r="B133">
        <v>127</v>
      </c>
      <c r="C133">
        <v>1</v>
      </c>
      <c r="D133" s="18">
        <v>17312.418975260785</v>
      </c>
      <c r="E133" s="18">
        <v>-2406.902521664397</v>
      </c>
      <c r="F133" s="18">
        <v>-2245.8117257945933</v>
      </c>
      <c r="G133" s="18">
        <v>-865.7421331308441</v>
      </c>
    </row>
    <row r="134" spans="2:7" x14ac:dyDescent="0.25">
      <c r="B134">
        <v>128</v>
      </c>
      <c r="C134">
        <v>1</v>
      </c>
      <c r="D134" s="18">
        <v>17670.345615483235</v>
      </c>
      <c r="E134" s="18">
        <v>-2234.7895747703374</v>
      </c>
      <c r="F134" s="18">
        <v>-2085.2180703321987</v>
      </c>
      <c r="G134" s="18">
        <v>-803.8345866297667</v>
      </c>
    </row>
  </sheetData>
  <mergeCells count="2">
    <mergeCell ref="B1:F1"/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3" width="20" customWidth="1"/>
    <col min="4" max="4" width="12" customWidth="1"/>
    <col min="5" max="5" width="66" customWidth="1"/>
  </cols>
  <sheetData>
    <row r="1" ht="22" customHeight="1" spans="2:5" x14ac:dyDescent="0.25">
      <c r="B1" s="1" t="s">
        <v>264</v>
      </c>
      <c r="C1" s="1"/>
      <c r="D1" s="1"/>
      <c r="E1" s="1"/>
    </row>
    <row r="3" spans="2:5" x14ac:dyDescent="0.25">
      <c r="B3" t="s">
        <v>265</v>
      </c>
      <c r="C3" s="23">
        <v>76.70920734333504</v>
      </c>
      <c r="D3" t="s">
        <v>72</v>
      </c>
      <c r="E3" s="2" t="s">
        <v>266</v>
      </c>
    </row>
    <row r="4" spans="2:5" x14ac:dyDescent="0.25">
      <c r="B4" t="s">
        <v>267</v>
      </c>
      <c r="C4" s="23">
        <v>1369.9439547293935</v>
      </c>
      <c r="D4" t="s">
        <v>75</v>
      </c>
      <c r="E4" s="2" t="s">
        <v>268</v>
      </c>
    </row>
    <row r="5" spans="2:4" x14ac:dyDescent="0.25">
      <c r="B5" t="s">
        <v>269</v>
      </c>
      <c r="C5" s="23">
        <v>1095.9551637835148</v>
      </c>
      <c r="D5" t="s">
        <v>75</v>
      </c>
    </row>
    <row r="6" spans="2:5" x14ac:dyDescent="0.25">
      <c r="B6" t="s">
        <v>270</v>
      </c>
      <c r="C6" s="23">
        <v>868224.2240480406</v>
      </c>
      <c r="D6" t="s">
        <v>271</v>
      </c>
      <c r="E6" s="2" t="s">
        <v>272</v>
      </c>
    </row>
    <row r="7" spans="2:4" x14ac:dyDescent="0.25">
      <c r="B7" t="s">
        <v>273</v>
      </c>
      <c r="C7" s="23">
        <v>22139.717713225033</v>
      </c>
      <c r="D7" t="s">
        <v>100</v>
      </c>
    </row>
    <row r="8" spans="2:4" x14ac:dyDescent="0.25">
      <c r="B8" t="s">
        <v>274</v>
      </c>
      <c r="C8" s="23">
        <v>3545.7065340046433</v>
      </c>
      <c r="D8" t="s">
        <v>100</v>
      </c>
    </row>
    <row r="9" spans="2:4" x14ac:dyDescent="0.25">
      <c r="B9" t="s">
        <v>275</v>
      </c>
      <c r="C9" s="23">
        <v>25685.424247229676</v>
      </c>
      <c r="D9" t="s">
        <v>100</v>
      </c>
    </row>
    <row r="10" spans="2:4" x14ac:dyDescent="0.25">
      <c r="B10" t="s">
        <v>276</v>
      </c>
      <c r="C10" s="23">
        <v>3824.7294202481844</v>
      </c>
      <c r="D10" t="s">
        <v>103</v>
      </c>
    </row>
    <row r="11" spans="2:4" x14ac:dyDescent="0.25">
      <c r="B11" t="s">
        <v>277</v>
      </c>
      <c r="C11" s="23">
        <v>1474.402047554542</v>
      </c>
      <c r="D11" t="s">
        <v>103</v>
      </c>
    </row>
    <row r="12" spans="2:5" x14ac:dyDescent="0.25">
      <c r="B12" t="s">
        <v>226</v>
      </c>
      <c r="C12" s="23">
        <v>0</v>
      </c>
      <c r="D12" t="s">
        <v>31</v>
      </c>
      <c r="E12" s="2" t="s">
        <v>278</v>
      </c>
    </row>
    <row r="13" spans="2:5" x14ac:dyDescent="0.25">
      <c r="B13" t="s">
        <v>279</v>
      </c>
      <c r="C13" s="23">
        <v>0.65</v>
      </c>
      <c r="D13" t="s">
        <v>31</v>
      </c>
      <c r="E13" s="2" t="s">
        <v>280</v>
      </c>
    </row>
    <row r="14" spans="2:5" x14ac:dyDescent="0.25">
      <c r="B14" t="s">
        <v>281</v>
      </c>
      <c r="C14" s="23">
        <v>1.493988417014516</v>
      </c>
      <c r="D14" t="s">
        <v>31</v>
      </c>
      <c r="E14" s="2" t="s">
        <v>282</v>
      </c>
    </row>
    <row r="15" spans="2:5" x14ac:dyDescent="0.25">
      <c r="B15" t="s">
        <v>283</v>
      </c>
      <c r="C15" s="23">
        <v>0.6693492323041778</v>
      </c>
      <c r="D15" t="s">
        <v>31</v>
      </c>
      <c r="E15" s="2" t="s">
        <v>284</v>
      </c>
    </row>
    <row r="16" spans="2:4" x14ac:dyDescent="0.25">
      <c r="B16" t="s">
        <v>285</v>
      </c>
      <c r="C16" t="s">
        <v>20</v>
      </c>
      <c r="D16" t="s">
        <v>11</v>
      </c>
    </row>
    <row r="18" spans="2:5" x14ac:dyDescent="0.25">
      <c r="B18" s="3" t="s">
        <v>286</v>
      </c>
      <c r="C18" s="3"/>
      <c r="D18" s="3"/>
      <c r="E18" s="3"/>
    </row>
    <row r="19" spans="2:4" x14ac:dyDescent="0.25">
      <c r="B19" t="s">
        <v>287</v>
      </c>
      <c r="C19" s="19">
        <f>C13*C9-C15*Pu</f>
      </c>
      <c r="D19" t="s">
        <v>100</v>
      </c>
    </row>
    <row r="20" spans="2:4" x14ac:dyDescent="0.25">
      <c r="B20" t="s">
        <v>288</v>
      </c>
      <c r="C20" s="19">
        <f>C13*C10-C15*Mux</f>
      </c>
      <c r="D20" t="s">
        <v>103</v>
      </c>
    </row>
    <row r="21" spans="2:4" x14ac:dyDescent="0.25">
      <c r="B21" t="s">
        <v>289</v>
      </c>
      <c r="C21" s="19">
        <f>C13*C11-C15*Muy</f>
      </c>
      <c r="D21" t="s">
        <v>103</v>
      </c>
    </row>
    <row r="22" spans="2:5" x14ac:dyDescent="0.25">
      <c r="B22" s="13" t="s">
        <v>290</v>
      </c>
      <c r="C22" s="24">
        <f>SQRT((C19/MAX(1,ABS(C13*C9),ABS(C15*Pu)))^2+(C20/MAX(1,ABS(C13*C10),ABS(C15*Mux)))^2+(C21/MAX(1,ABS(C13*C11),ABS(C15*Muy)))^2)</f>
      </c>
      <c r="E22" s="15">
        <f>IF(C22&lt;=0.0001,"capacity state reconciled with the scaled demand ray","CHECK - the stored state does not balance the scaled demand ray")</f>
      </c>
    </row>
    <row r="24" spans="2:2" x14ac:dyDescent="0.25">
      <c r="B24" s="2" t="s">
        <v>291</v>
      </c>
    </row>
  </sheetData>
  <mergeCells count="2">
    <mergeCell ref="B1:E1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2" customWidth="1"/>
    <col min="5" max="5" width="70" customWidth="1"/>
  </cols>
  <sheetData>
    <row r="1" ht="22" customHeight="1" spans="2:5" x14ac:dyDescent="0.25">
      <c r="B1" s="1" t="s">
        <v>292</v>
      </c>
      <c r="C1" s="1"/>
      <c r="D1" s="1"/>
      <c r="E1" s="1"/>
    </row>
    <row r="2" ht="28" customHeight="1" spans="2:5" x14ac:dyDescent="0.25">
      <c r="B2" s="2" t="s">
        <v>293</v>
      </c>
      <c r="C2" s="2"/>
      <c r="D2" s="2"/>
      <c r="E2" s="2"/>
    </row>
    <row r="3" spans="2:5" x14ac:dyDescent="0.25">
      <c r="B3" s="2"/>
      <c r="C3" s="2"/>
      <c r="D3" s="2"/>
      <c r="E3" s="2"/>
    </row>
    <row r="5" spans="2:4" x14ac:dyDescent="0.25">
      <c r="B5" t="s">
        <v>294</v>
      </c>
      <c r="C5" s="25" t="s">
        <v>10</v>
      </c>
      <c r="D5" t="s">
        <v>11</v>
      </c>
    </row>
    <row r="6" spans="2:5" x14ac:dyDescent="0.25">
      <c r="B6" t="s">
        <v>13</v>
      </c>
      <c r="C6" s="25" t="s">
        <v>14</v>
      </c>
      <c r="D6" t="s">
        <v>11</v>
      </c>
      <c r="E6" s="2" t="s">
        <v>295</v>
      </c>
    </row>
    <row r="7" spans="2:5" x14ac:dyDescent="0.25">
      <c r="B7" t="s">
        <v>16</v>
      </c>
      <c r="C7" s="25" t="s">
        <v>17</v>
      </c>
      <c r="D7" t="s">
        <v>11</v>
      </c>
      <c r="E7" s="2" t="s">
        <v>296</v>
      </c>
    </row>
    <row r="8" spans="2:5" x14ac:dyDescent="0.25">
      <c r="B8" t="s">
        <v>57</v>
      </c>
      <c r="C8" s="25" t="s">
        <v>58</v>
      </c>
      <c r="D8" t="s">
        <v>11</v>
      </c>
      <c r="E8" s="2" t="s">
        <v>59</v>
      </c>
    </row>
    <row r="9" spans="2:4" x14ac:dyDescent="0.25">
      <c r="B9" t="s">
        <v>60</v>
      </c>
      <c r="C9" s="25" t="s">
        <v>61</v>
      </c>
      <c r="D9" t="s">
        <v>11</v>
      </c>
    </row>
    <row r="10" spans="2:4" x14ac:dyDescent="0.25">
      <c r="B10" t="s">
        <v>297</v>
      </c>
      <c r="C10" s="25" t="s">
        <v>298</v>
      </c>
      <c r="D10" t="s">
        <v>11</v>
      </c>
    </row>
    <row r="11" spans="2:5" x14ac:dyDescent="0.25">
      <c r="B11" t="s">
        <v>299</v>
      </c>
      <c r="C11" s="25" t="s">
        <v>300</v>
      </c>
      <c r="D11" t="s">
        <v>11</v>
      </c>
      <c r="E11" s="2" t="s">
        <v>301</v>
      </c>
    </row>
    <row r="13" spans="2:5" x14ac:dyDescent="0.25">
      <c r="B13" s="3" t="s">
        <v>302</v>
      </c>
      <c r="C13" s="3"/>
      <c r="D13" s="3"/>
      <c r="E13" s="3"/>
    </row>
    <row r="14" spans="2:4" x14ac:dyDescent="0.25">
      <c r="B14" t="s">
        <v>99</v>
      </c>
      <c r="C14" s="17">
        <v>24942.922102452183</v>
      </c>
      <c r="D14" t="s">
        <v>100</v>
      </c>
    </row>
    <row r="15" spans="2:4" x14ac:dyDescent="0.25">
      <c r="B15" t="s">
        <v>102</v>
      </c>
      <c r="C15" s="17">
        <v>3714.165943842699</v>
      </c>
      <c r="D15" t="s">
        <v>103</v>
      </c>
    </row>
    <row r="16" spans="2:4" x14ac:dyDescent="0.25">
      <c r="B16" t="s">
        <v>104</v>
      </c>
      <c r="C16" s="17">
        <v>1431.7807276950741</v>
      </c>
      <c r="D16" t="s">
        <v>103</v>
      </c>
    </row>
    <row r="17" spans="2:5" x14ac:dyDescent="0.25">
      <c r="B17" t="s">
        <v>303</v>
      </c>
      <c r="C17" s="17">
        <v>1.493988417014516</v>
      </c>
      <c r="D17" t="s">
        <v>31</v>
      </c>
      <c r="E17" s="2" t="s">
        <v>304</v>
      </c>
    </row>
    <row r="18" spans="2:5" x14ac:dyDescent="0.25">
      <c r="B18" t="s">
        <v>255</v>
      </c>
      <c r="C18" s="26" t="s">
        <v>305</v>
      </c>
      <c r="D18" t="s">
        <v>31</v>
      </c>
      <c r="E18" s="2" t="s">
        <v>306</v>
      </c>
    </row>
    <row r="19" spans="2:4" x14ac:dyDescent="0.25">
      <c r="B19" t="s">
        <v>307</v>
      </c>
      <c r="C19" s="26" t="s">
        <v>41</v>
      </c>
      <c r="D19" t="s">
        <v>11</v>
      </c>
    </row>
    <row r="20" spans="2:4" x14ac:dyDescent="0.25">
      <c r="B20" t="s">
        <v>308</v>
      </c>
      <c r="C20" s="26" t="s">
        <v>41</v>
      </c>
      <c r="D20" t="s">
        <v>11</v>
      </c>
    </row>
    <row r="21" spans="2:4" x14ac:dyDescent="0.25">
      <c r="B21" t="s">
        <v>309</v>
      </c>
      <c r="C21" s="26" t="s">
        <v>310</v>
      </c>
      <c r="D21" t="s">
        <v>11</v>
      </c>
    </row>
    <row r="23" spans="2:3" x14ac:dyDescent="0.25">
      <c r="B23" s="13" t="s">
        <v>311</v>
      </c>
      <c r="C23" s="13">
        <f>IF(C19&lt;&gt;"yes","NOT CHECKED - solver did not converge",IF(C20&lt;&gt;"yes","NOT CHECKED - strain state is not admissible",IF(NOT(ISNUMBER(C17)),"NOT CHECKED - no intersection",IF(C17&lt;=1,"ADEQUATE - factored demand is inside the design surface","INADEQUATE - factored demand exceeds the design surface"))))</f>
      </c>
    </row>
    <row r="25" spans="2:5" x14ac:dyDescent="0.25">
      <c r="B25" s="2" t="s">
        <v>312</v>
      </c>
      <c r="C25" s="2"/>
      <c r="D25" s="2"/>
      <c r="E25" s="2"/>
    </row>
  </sheetData>
  <mergeCells count="4">
    <mergeCell ref="B1:E1"/>
    <mergeCell ref="B2:E3"/>
    <mergeCell ref="B13:E13"/>
    <mergeCell ref="B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Geometry</vt:lpstr>
      <vt:lpstr>Block_Clip</vt:lpstr>
      <vt:lpstr>Block</vt:lpstr>
      <vt:lpstr>Steel</vt:lpstr>
      <vt:lpstr>PM_Angle</vt:lpstr>
      <vt:lpstr>MxMy_FixedP</vt:lpstr>
      <vt:lpstr>PM_Theta</vt:lpstr>
      <vt:lpstr>Equilibrium</vt:lpstr>
      <vt:lpstr>Design_Check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2026-08-11T08:16:37Z</dcterms:created>
  <dcterms:modified xsi:type="dcterms:W3CDTF">2026-08-11T08:16:37Z</dcterms:modified>
</cp:coreProperties>
</file>