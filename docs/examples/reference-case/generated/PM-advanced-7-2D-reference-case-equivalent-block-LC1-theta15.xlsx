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Input!$C$58</definedName>
    <definedName name="Mux">Input!$C$59</definedName>
    <definedName name="Muy">Input!$C$60</definedName>
    <definedName name="theta_L">Input!$C$62</definedName>
    <definedName name="Mu">Input!$C$63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Block!$B$6:$B$25</definedName>
    <definedName name="Blk_c">Block!$C$6:$C$25</definedName>
    <definedName name="Blk_Cc">Block!$J$6:$J$25</definedName>
    <definedName name="Blk_Mcx">Block!$K$6:$K$25</definedName>
    <definedName name="Blk_Mcy">Block!$L$6:$L$25</definedName>
    <definedName name="Stl_St">Steel!$B$6:$B$365</definedName>
    <definedName name="Stl_Ept">Steel!$H$6:$H$365</definedName>
    <definedName name="Stl_F">Steel!$M$6:$M$365</definedName>
    <definedName name="Stl_Mx">Steel!$N$6:$N$365</definedName>
    <definedName name="Stl_My">Steel!$O$6:$O$365</definedName>
  </definedNames>
  <calcPr calcId="171027" fullCalcOnLoad="1"/>
</workbook>
</file>

<file path=xl/sharedStrings.xml><?xml version="1.0" encoding="utf-8"?>
<sst xmlns="http://schemas.openxmlformats.org/spreadsheetml/2006/main" count="787" uniqueCount="313">
  <si>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</si>
  <si>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</si>
  <si>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</si>
  <si>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</si>
  <si>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</si>
  <si>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</si>
  <si>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</si>
  <si>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2026-08-11 23:36:00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</si>
  <si>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</si>
  <si>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</si>
  <si>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</si>
  <si>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</si>
  <si>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</si>
  <si>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</si>
  <si>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</si>
  <si>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</si>
  <si>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</si>
  <si>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</si>
  <si>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</si>
  <si>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</si>
  <si>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</si>
  <si>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</si>
  <si>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</si>
  <si>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</si>
  <si>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</si>
  <si>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</si>
  <si>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</si>
  <si>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</si>
  <si>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</si>
  <si>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</si>
  <si>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</si>
  <si>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</si>
  <si>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</si>
  <si>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</si>
  <si>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</si>
  <si>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</si>
  <si>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</si>
  <si>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</si>
  <si>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</si>
  <si>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</si>
  <si>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</si>
  <si>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</si>
  <si>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</si>
  <si>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</si>
  <si>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</si>
  <si>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</si>
  <si>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</si>
  <si>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</si>
  <si>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</si>
  <si>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</si>
  <si>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</si>
  <si>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</si>
  <si>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</si>
  <si>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</si>
  <si>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</si>
  <si>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</si>
  <si>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</si>
  <si>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</si>
  <si>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</si>
  <si>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</si>
  <si>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</si>
  <si>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</si>
  <si>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</si>
  <si>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</si>
  <si>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</si>
  <si>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</si>
  <si>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</si>
  <si>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</si>
  <si>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</si>
  <si>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</si>
  <si>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</si>
  <si>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</si>
  <si>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</si>
  <si>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exact requested direction; no angular interpolation or nearest-direction snapping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</si>
  <si>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</si>
  <si>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</si>
  <si>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</si>
  <si>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</si>
  <si>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</si>
  <si>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</si>
  <si>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</si>
  <si>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</si>
  <si>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</si>
  <si>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</si>
  <si>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</si>
  <si>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unified-27-v2</t>
  </si>
  <si>
    <t>active layers at θ</t>
  </si>
  <si>
    <t>non-pole layers remaining after coincident layers and the design axial cap are removed from mesh topology</t>
  </si>
  <si>
    <t>Design directions</t>
  </si>
  <si>
    <t>fixed 36</t>
  </si>
  <si>
    <t>fixed-P directions</t>
  </si>
  <si>
    <t>independent fixed grid used by MxMy_FixedP</t>
  </si>
  <si>
    <t>direction interpolation error</t>
  </si>
  <si>
    <t>TOLERANCE NOT REACHED</t>
  </si>
  <si>
    <t>station chord diagnostic</t>
  </si>
  <si>
    <t>diagnostic only; the requested station schedule is fixed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</si>
  <si>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</si>
  <si>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</si>
  <si>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</si>
  <si>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</si>
  <si>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</si>
  <si>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</si>
  <si>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</si>
  <si>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</si>
  <si>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</si>
  <si>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</si>
  <si>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</si>
  <si>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</si>
  <si>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</si>
  <si>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</si>
  <si>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</si>
  <si>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</si>
  <si>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</si>
  <si>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</si>
  <si>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</si>
  <si>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</si>
  <si>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</si>
  <si>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</si>
  <si>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</si>
  <si>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</si>
  <si>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</si>
  <si>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</si>
  <si>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</si>
  <si>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</si>
  <si>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</si>
  <si>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</si>
  <si>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</si>
  <si>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</si>
  <si>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</si>
  <si>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</si>
  <si>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</si>
  <si>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36 x fixed-station surface grid (MxMy_FixedP)</t>
  </si>
  <si>
    <t>fixed-P deliberately excludes adaptive vertices;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</si>
  <si>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</si>
  <si>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</si>
  <si>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</si>
  <si>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</si>
  <si>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</si>
  <si>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</si>
  <si>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</si>
  <si>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</si>
  <si>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</si>
  <si>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</si>
  <si>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</si>
  <si>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</si>
  <si>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</si>
  <si>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</si>
  <si>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</si>
  <si>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</si>
  <si>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</si>
  <si>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</si>
  <si>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</si>
  <si>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</si>
  <si>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</si>
  <si>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</si>
  <si>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</si>
  <si>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</si>
  <si>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</si>
  <si>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</si>
  <si>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</si>
  <si>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</si>
  <si>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</si>
  <si>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</si>
  <si>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</si>
  <si>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</si>
  <si>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</si>
  <si>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</si>
  <si>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</si>
  <si>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</si>
  <si>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</si>
  <si>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</si>
  <si>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</si>
  <si>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</si>
  <si>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</si>
  <si>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</si>
  <si>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</si>
  <si>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</si>
  <si>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</si>
  <si>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</si>
  <si>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</si>
  <si>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</si>
  <si>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</si>
  <si>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</si>
  <si>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</si>
  <si>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</si>
  <si>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</si>
  <si>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</si>
  <si>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</si>
  <si>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</si>
  <si>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</si>
  <si>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</si>
  <si>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</si>
  <si>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</si>
  <si>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</si>
  <si>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</si>
  <si>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</si>
  <si>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</si>
  <si>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</si>
  <si>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</si>
  <si>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</si>
  <si>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</si>
  <si>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</si>
  <si>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</si>
  <si>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</si>
  <si>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</si>
  <si>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</si>
  <si>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</si>
  <si>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</si>
  <si>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</si>
  <si>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</si>
  <si>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</si>
  <si>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</si>
  <si>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</si>
  <si>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</si>
  <si>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</si>
  <si>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</si>
  <si>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</si>
  <si>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</si>
  <si>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</si>
  <si>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</si>
  <si>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</si>
  <si>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</si>
  <si>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</si>
  <si>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</si>
  <si>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</si>
  <si>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</si>
  <si>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</si>
  <si>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</si>
  <si>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</si>
  <si>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</si>
  <si>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</si>
  <si>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</si>
  <si>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</si>
  <si>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</si>
  <si>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</si>
  <si>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</si>
  <si>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independent fixed Design surface (27 stations and 36 directions). Everything after it — the P-interval bracket, the linear interpolation to Pu, and the ray query at θ_L — is a formula. No adaptive vertices are generated.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</si>
  <si>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</si>
  <si>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</si>
  <si>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</si>
  <si>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</si>
  <si>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</si>
  <si>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</si>
  <si>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</si>
  <si>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</si>
  <si>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</si>
  <si>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</si>
  <si>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</si>
  <si>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</si>
  <si>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</si>
  <si>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</si>
  <si>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</si>
  <si>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</si>
  <si>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</si>
  <si>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</si>
  <si>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</si>
  <si>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</si>
  <si>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</si>
  <si>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</si>
  <si>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</si>
  <si>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GEOMETRIC P–Mθ DEMAND-PLANE DIAGNOSTIC</t>
  </si>
  <si>
    <t>Independent geometric demand-plane diagnostic on the fixed 27-station / fixed-direction Design surface. The application Vertical chart is instead a direct exact-β meridian recovered from the valid equilibrium state.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</si>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</sst>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27</v>
      </c>
      <c r="D49" t="s">
        <v>31</v>
      </c>
      <c r="E49" s="2" t="s">
        <v>85</v>
      </c>
    </row>
    <row r="50" spans="2:5" x14ac:dyDescent="0.25">
      <c r="B50" t="s">
        <v>86</v>
      </c>
      <c r="C50" s="5">
        <v>20</v>
      </c>
      <c r="D50" t="s">
        <v>31</v>
      </c>
      <c r="E50" s="2" t="s">
        <v>87</v>
      </c>
    </row>
    <row r="51" spans="2:5" x14ac:dyDescent="0.25">
      <c r="B51" t="s">
        <v>88</v>
      </c>
      <c r="C51" s="5">
        <v>36</v>
      </c>
      <c r="D51" t="s">
        <v>31</v>
      </c>
      <c r="E51" s="2" t="s">
        <v>89</v>
      </c>
    </row>
    <row r="52" spans="2:5" x14ac:dyDescent="0.25">
      <c r="B52" t="s">
        <v>90</v>
      </c>
      <c r="C52" s="5">
        <v>36</v>
      </c>
      <c r="D52" t="s">
        <v>31</v>
      </c>
      <c r="E52" s="2" t="s">
        <v>91</v>
      </c>
    </row>
    <row r="53" spans="2:5" x14ac:dyDescent="0.25">
      <c r="B53" t="s">
        <v>92</v>
      </c>
      <c r="C53" s="5">
        <v>0.08503092104591244</v>
      </c>
      <c r="D53" t="s">
        <v>31</v>
      </c>
      <c r="E53" s="2" t="s">
        <v>93</v>
      </c>
    </row>
    <row r="54" spans="2:5" x14ac:dyDescent="0.25">
      <c r="B54" t="s">
        <v>94</v>
      </c>
      <c r="C54" s="5">
        <v>0.0542944477756481</v>
      </c>
      <c r="D54" t="s">
        <v>31</v>
      </c>
      <c r="E54" s="2" t="s">
        <v>95</v>
      </c>
    </row>
    <row r="55" spans="2:5" x14ac:dyDescent="0.25">
      <c r="B55" t="s">
        <v>96</v>
      </c>
      <c r="C55" s="4" t="s">
        <v>41</v>
      </c>
      <c r="D55" t="s">
        <v>11</v>
      </c>
      <c r="E55" s="2" t="s">
        <v>97</v>
      </c>
    </row>
    <row r="57" spans="2:5" x14ac:dyDescent="0.25">
      <c r="B57" s="3" t="s">
        <v>98</v>
      </c>
      <c r="C57" s="3"/>
      <c r="D57" s="3"/>
      <c r="E57" s="3"/>
    </row>
    <row r="58" spans="2:5" x14ac:dyDescent="0.25">
      <c r="B58" t="s">
        <v>99</v>
      </c>
      <c r="C58" s="5">
        <v>24942.922102452183</v>
      </c>
      <c r="D58" t="s">
        <v>100</v>
      </c>
      <c r="E58" s="2" t="s">
        <v>101</v>
      </c>
    </row>
    <row r="59" spans="2:4" x14ac:dyDescent="0.25">
      <c r="B59" t="s">
        <v>102</v>
      </c>
      <c r="C59" s="5">
        <v>3714.165943842699</v>
      </c>
      <c r="D59" t="s">
        <v>103</v>
      </c>
    </row>
    <row r="60" spans="2:4" x14ac:dyDescent="0.25">
      <c r="B60" t="s">
        <v>104</v>
      </c>
      <c r="C60" s="5">
        <v>1431.7807276950741</v>
      </c>
      <c r="D60" t="s">
        <v>103</v>
      </c>
    </row>
    <row r="62" spans="2:5" x14ac:dyDescent="0.25">
      <c r="B62" t="s">
        <v>105</v>
      </c>
      <c r="C62" s="7">
        <f>IF(AND(Mux=0,Muy=0),0,DEGREES(ATAN2(Mux,Muy)))</f>
      </c>
      <c r="D62" t="s">
        <v>72</v>
      </c>
      <c r="E62" s="2" t="s">
        <v>106</v>
      </c>
    </row>
    <row r="63" spans="2:4" x14ac:dyDescent="0.25">
      <c r="B63" t="s">
        <v>107</v>
      </c>
      <c r="C63" s="8">
        <f>SQRT(Mux^2+Muy^2)</f>
      </c>
      <c r="D63" t="s">
        <v>103</v>
      </c>
    </row>
    <row r="65" spans="2:5" x14ac:dyDescent="0.25">
      <c r="B65" s="3" t="s">
        <v>108</v>
      </c>
      <c r="C65" s="3"/>
      <c r="D65" s="3"/>
      <c r="E65" s="3"/>
    </row>
    <row r="66" spans="2:3" x14ac:dyDescent="0.25">
      <c r="B66" t="s">
        <v>109</v>
      </c>
      <c r="C66" t="s">
        <v>110</v>
      </c>
    </row>
    <row r="67" spans="2:5" x14ac:dyDescent="0.25">
      <c r="B67" t="s">
        <v>111</v>
      </c>
      <c r="C67" t="s">
        <v>112</v>
      </c>
      <c r="E67" s="2" t="s">
        <v>113</v>
      </c>
    </row>
    <row r="69" spans="2:5" x14ac:dyDescent="0.25">
      <c r="B69" s="3" t="s">
        <v>114</v>
      </c>
      <c r="C69" s="3"/>
      <c r="D69" s="3"/>
      <c r="E69" s="3"/>
    </row>
    <row r="70" spans="2:5" x14ac:dyDescent="0.25">
      <c r="B70" t="s">
        <v>115</v>
      </c>
      <c r="C70" s="9" t="s">
        <v>116</v>
      </c>
      <c r="E70" s="2" t="s">
        <v>117</v>
      </c>
    </row>
    <row r="71" spans="2:5" x14ac:dyDescent="0.25">
      <c r="B71" t="s">
        <v>118</v>
      </c>
      <c r="C71" s="9" t="s">
        <v>116</v>
      </c>
      <c r="E71" s="2" t="s">
        <v>119</v>
      </c>
    </row>
    <row r="72" spans="2:5" x14ac:dyDescent="0.25">
      <c r="B72" t="s">
        <v>120</v>
      </c>
      <c r="C72" s="10" t="s">
        <v>121</v>
      </c>
      <c r="E72" s="2" t="s">
        <v>122</v>
      </c>
    </row>
    <row r="73" spans="2:5" x14ac:dyDescent="0.25">
      <c r="B73" t="s">
        <v>123</v>
      </c>
      <c r="C73" s="9" t="s">
        <v>116</v>
      </c>
      <c r="E73" s="2" t="s">
        <v>124</v>
      </c>
    </row>
    <row r="74" spans="2:5" x14ac:dyDescent="0.25">
      <c r="B74" t="s">
        <v>125</v>
      </c>
      <c r="C74" s="9" t="s">
        <v>116</v>
      </c>
      <c r="E74" s="2" t="s">
        <v>126</v>
      </c>
    </row>
    <row r="75" spans="2:5" x14ac:dyDescent="0.25">
      <c r="B75" t="s">
        <v>127</v>
      </c>
      <c r="C75" s="10" t="s">
        <v>121</v>
      </c>
      <c r="E75" s="2" t="s">
        <v>128</v>
      </c>
    </row>
    <row r="76" spans="2:5" x14ac:dyDescent="0.25">
      <c r="B76" t="s">
        <v>129</v>
      </c>
      <c r="C76" s="10" t="s">
        <v>121</v>
      </c>
      <c r="E76" s="2" t="s">
        <v>130</v>
      </c>
    </row>
    <row r="77" spans="2:5" x14ac:dyDescent="0.25">
      <c r="B77" t="s">
        <v>131</v>
      </c>
      <c r="C77" s="9" t="s">
        <v>116</v>
      </c>
      <c r="E77" s="2" t="s">
        <v>132</v>
      </c>
    </row>
    <row r="78" spans="2:5" x14ac:dyDescent="0.25">
      <c r="B78" t="s">
        <v>133</v>
      </c>
      <c r="C78" s="10" t="s">
        <v>121</v>
      </c>
      <c r="E78" s="2" t="s">
        <v>134</v>
      </c>
    </row>
    <row r="79" spans="2:5" x14ac:dyDescent="0.25">
      <c r="B79" t="s">
        <v>135</v>
      </c>
      <c r="C79" s="9" t="s">
        <v>116</v>
      </c>
      <c r="E79" s="2" t="s">
        <v>136</v>
      </c>
    </row>
    <row r="80" spans="2:5" x14ac:dyDescent="0.25">
      <c r="B80" t="s">
        <v>137</v>
      </c>
      <c r="C80" s="10" t="s">
        <v>121</v>
      </c>
      <c r="E80" s="2" t="s">
        <v>138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7:E57"/>
    <mergeCell ref="B65:E65"/>
    <mergeCell ref="B69:E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139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140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141</v>
      </c>
      <c r="C4" s="11" t="s">
        <v>142</v>
      </c>
      <c r="D4" s="11" t="s">
        <v>143</v>
      </c>
      <c r="E4" s="11" t="s">
        <v>144</v>
      </c>
      <c r="F4" s="11" t="s">
        <v>145</v>
      </c>
      <c r="G4" s="11" t="s">
        <v>146</v>
      </c>
      <c r="H4" s="11" t="s">
        <v>147</v>
      </c>
      <c r="I4" s="11" t="s">
        <v>148</v>
      </c>
    </row>
    <row r="5" spans="2:9" x14ac:dyDescent="0.25">
      <c r="B5">
        <v>1</v>
      </c>
      <c r="C5">
        <v>1</v>
      </c>
      <c r="D5" t="s">
        <v>149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149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149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149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149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149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149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149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150</v>
      </c>
      <c r="G13" s="14">
        <f>SUM(G5:G12)/2</f>
      </c>
      <c r="H13" s="14">
        <f>SUM(H5:H12)/6</f>
      </c>
      <c r="I13" s="14">
        <f>SUM(I5:I12)/6</f>
      </c>
      <c r="J13" s="15" t="s">
        <v>151</v>
      </c>
    </row>
    <row r="15" spans="2:9" x14ac:dyDescent="0.25">
      <c r="B15">
        <v>1</v>
      </c>
      <c r="C15">
        <v>1</v>
      </c>
      <c r="D15" t="s">
        <v>152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152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152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152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152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152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152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152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150</v>
      </c>
      <c r="G23" s="14">
        <f>SUM(G15:G22)/2</f>
      </c>
      <c r="H23" s="14">
        <f>SUM(H15:H22)/6</f>
      </c>
      <c r="I23" s="14">
        <f>SUM(I15:I22)/6</f>
      </c>
      <c r="J23" s="15" t="s">
        <v>153</v>
      </c>
    </row>
    <row r="25" spans="2:9" x14ac:dyDescent="0.25">
      <c r="B25">
        <v>1</v>
      </c>
      <c r="C25">
        <v>1</v>
      </c>
      <c r="D25" t="s">
        <v>154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154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154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154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154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154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154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154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150</v>
      </c>
      <c r="G33" s="14">
        <f>SUM(G25:G32)/2</f>
      </c>
      <c r="H33" s="14">
        <f>SUM(H25:H32)/6</f>
      </c>
      <c r="I33" s="14">
        <f>SUM(I25:I32)/6</f>
      </c>
      <c r="J33" s="15" t="s">
        <v>153</v>
      </c>
    </row>
    <row r="35" spans="4:10" x14ac:dyDescent="0.25">
      <c r="D35" s="13" t="s">
        <v>155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156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141</v>
      </c>
      <c r="C38" s="11" t="s">
        <v>157</v>
      </c>
      <c r="D38" s="11" t="s">
        <v>158</v>
      </c>
      <c r="E38" s="11" t="s">
        <v>144</v>
      </c>
      <c r="F38" s="11" t="s">
        <v>145</v>
      </c>
      <c r="G38" s="11" t="s">
        <v>159</v>
      </c>
      <c r="H38" s="11" t="s">
        <v>160</v>
      </c>
    </row>
    <row r="39" spans="2:8" x14ac:dyDescent="0.25">
      <c r="B39">
        <v>1</v>
      </c>
      <c r="C39" t="s">
        <v>161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162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163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164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165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166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167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168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169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170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171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172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173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174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175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176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177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178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179</v>
      </c>
      <c r="G57" s="16">
        <f>SUM(G39:G56)</f>
      </c>
      <c r="J57" s="2" t="s">
        <v>180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181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182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183</v>
      </c>
      <c r="C4" s="11" t="s">
        <v>143</v>
      </c>
      <c r="D4" s="11" t="s">
        <v>184</v>
      </c>
      <c r="E4" s="11" t="s">
        <v>144</v>
      </c>
      <c r="F4" s="11" t="s">
        <v>145</v>
      </c>
      <c r="G4" s="11" t="s">
        <v>185</v>
      </c>
      <c r="H4" s="11" t="s">
        <v>186</v>
      </c>
      <c r="I4" s="11" t="s">
        <v>187</v>
      </c>
    </row>
    <row r="5" spans="2:9" x14ac:dyDescent="0.25">
      <c r="B5">
        <v>1</v>
      </c>
      <c r="C5" t="s">
        <v>149</v>
      </c>
      <c r="D5">
        <v>1</v>
      </c>
      <c r="E5" s="17">
        <v>-353.5382907247959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149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149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149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149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149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149</v>
      </c>
      <c r="D11">
        <v>1</v>
      </c>
      <c r="E11" s="17">
        <v>-648.6453734808757</v>
      </c>
      <c r="F11" s="17">
        <v>501.3546265191243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188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152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152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152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152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152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152</v>
      </c>
      <c r="D18">
        <v>-1</v>
      </c>
      <c r="E18" s="17">
        <v>-407.1281292110204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152</v>
      </c>
      <c r="D19">
        <v>-1</v>
      </c>
      <c r="E19" s="17">
        <v>-550</v>
      </c>
      <c r="F19" s="17">
        <v>133.2050807568882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152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188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154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154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154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154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154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154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154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154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188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189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149</v>
      </c>
      <c r="D33">
        <v>1</v>
      </c>
      <c r="E33" s="17">
        <v>-276.1023553303062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149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149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149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149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149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149</v>
      </c>
      <c r="D39">
        <v>1</v>
      </c>
      <c r="E39" s="17">
        <v>-587.5735767111513</v>
      </c>
      <c r="F39" s="17">
        <v>562.4264232888487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188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152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152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152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152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152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152</v>
      </c>
      <c r="D46">
        <v>-1</v>
      </c>
      <c r="E46" s="17">
        <v>-329.6921938165307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152</v>
      </c>
      <c r="D47">
        <v>-1</v>
      </c>
      <c r="E47" s="17">
        <v>-524.1761170895952</v>
      </c>
      <c r="F47" s="17">
        <v>325.8238829104048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188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154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154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154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154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154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154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154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154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188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189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149</v>
      </c>
      <c r="D60">
        <v>1</v>
      </c>
      <c r="E60" s="17">
        <v>-105.83241483538131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149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149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149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149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149</v>
      </c>
      <c r="D65">
        <v>1</v>
      </c>
      <c r="E65" s="17">
        <v>-427.3714457527283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188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152</v>
      </c>
      <c r="D67">
        <v>-1</v>
      </c>
      <c r="E67" s="17">
        <v>-373.7816072665037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152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152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152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152</v>
      </c>
      <c r="D71">
        <v>-1</v>
      </c>
      <c r="E71" s="17">
        <v>-178.5635834471226</v>
      </c>
      <c r="F71" s="17">
        <v>-328.5635834471226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188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154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154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154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154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154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154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154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154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188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189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149</v>
      </c>
      <c r="D84">
        <v>1</v>
      </c>
      <c r="E84" s="17">
        <v>-36.46317981893037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149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149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149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149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149</v>
      </c>
      <c r="D89">
        <v>1</v>
      </c>
      <c r="E89" s="17">
        <v>-358.00221073627733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188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152</v>
      </c>
      <c r="D91">
        <v>-1</v>
      </c>
      <c r="E91" s="17">
        <v>-304.4123722500527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152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152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152</v>
      </c>
      <c r="D94">
        <v>-1</v>
      </c>
      <c r="E94" s="17">
        <v>-150</v>
      </c>
      <c r="F94" s="17">
        <v>-176.27481855443614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188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154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154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154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154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154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154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154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154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188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189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149</v>
      </c>
      <c r="D107">
        <v>1</v>
      </c>
      <c r="E107" s="17">
        <v>24.839865079328433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149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149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149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149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149</v>
      </c>
      <c r="D112">
        <v>1</v>
      </c>
      <c r="E112" s="17">
        <v>-296.69916583801853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188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152</v>
      </c>
      <c r="D114">
        <v>-1</v>
      </c>
      <c r="E114" s="17">
        <v>-240.58716611338795</v>
      </c>
      <c r="F114" s="17">
        <v>390.587166113388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152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152</v>
      </c>
      <c r="D116">
        <v>-1</v>
      </c>
      <c r="E116" s="17">
        <v>-150</v>
      </c>
      <c r="F116" s="17">
        <v>52.511259664541996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188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154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154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154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154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154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154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154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154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188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189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149</v>
      </c>
      <c r="D129">
        <v>1</v>
      </c>
      <c r="E129" s="17">
        <v>79.40631163711919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149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149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149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149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149</v>
      </c>
      <c r="D134">
        <v>1</v>
      </c>
      <c r="E134" s="17">
        <v>-242.13271928022766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188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152</v>
      </c>
      <c r="D136">
        <v>-1</v>
      </c>
      <c r="E136" s="17">
        <v>-166.04801392119984</v>
      </c>
      <c r="F136" s="17">
        <v>316.04801392119987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152</v>
      </c>
      <c r="D137">
        <v>-1</v>
      </c>
      <c r="E137" s="17">
        <v>-150</v>
      </c>
      <c r="F137" s="17">
        <v>300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152</v>
      </c>
      <c r="D138">
        <v>-1</v>
      </c>
      <c r="E138" s="17">
        <v>-150</v>
      </c>
      <c r="F138" s="17">
        <v>256.1560106067093</v>
      </c>
      <c r="G138">
        <f>E138*F136-E136*F138</f>
      </c>
      <c r="H138">
        <f>(E138+E136)*G138</f>
      </c>
      <c r="I138">
        <f>(F138+F136)*G138</f>
      </c>
    </row>
    <row r="139" spans="2:9" x14ac:dyDescent="0.25">
      <c r="B139">
        <v>6</v>
      </c>
      <c r="C139" t="s">
        <v>188</v>
      </c>
      <c r="G139" s="13">
        <f>D136*ABS(SUM(G136:G138)/2)</f>
      </c>
      <c r="H139" s="13">
        <f>D136*SIGN(SUM(G136:G138))*SUM(H136:H138)/6</f>
      </c>
      <c r="I139" s="13">
        <f>D136*SIGN(SUM(G136:G138))*SUM(I136:I138)/6</f>
      </c>
    </row>
    <row r="140" spans="2:9" x14ac:dyDescent="0.25">
      <c r="B140">
        <v>6</v>
      </c>
      <c r="C140" t="s">
        <v>154</v>
      </c>
      <c r="D140">
        <v>-1</v>
      </c>
      <c r="E140" s="17">
        <v>250</v>
      </c>
      <c r="F140" s="17">
        <v>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154</v>
      </c>
      <c r="D141">
        <v>-1</v>
      </c>
      <c r="E141" s="17">
        <v>450</v>
      </c>
      <c r="F141" s="17">
        <v>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154</v>
      </c>
      <c r="D142">
        <v>-1</v>
      </c>
      <c r="E142" s="17">
        <v>550</v>
      </c>
      <c r="F142" s="17">
        <v>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154</v>
      </c>
      <c r="D143">
        <v>-1</v>
      </c>
      <c r="E143" s="17">
        <v>550</v>
      </c>
      <c r="F143" s="17">
        <v>-300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6</v>
      </c>
      <c r="C144" t="s">
        <v>154</v>
      </c>
      <c r="D144">
        <v>-1</v>
      </c>
      <c r="E144" s="17">
        <v>450</v>
      </c>
      <c r="F144" s="17">
        <v>-400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6</v>
      </c>
      <c r="C145" t="s">
        <v>154</v>
      </c>
      <c r="D145">
        <v>-1</v>
      </c>
      <c r="E145" s="17">
        <v>250</v>
      </c>
      <c r="F145" s="17">
        <v>-400</v>
      </c>
      <c r="G145">
        <f>E145*F146-E146*F145</f>
      </c>
      <c r="H145">
        <f>(E145+E146)*G145</f>
      </c>
      <c r="I145">
        <f>(F145+F146)*G145</f>
      </c>
    </row>
    <row r="146" spans="2:9" x14ac:dyDescent="0.25">
      <c r="B146">
        <v>6</v>
      </c>
      <c r="C146" t="s">
        <v>154</v>
      </c>
      <c r="D146">
        <v>-1</v>
      </c>
      <c r="E146" s="17">
        <v>150</v>
      </c>
      <c r="F146" s="17">
        <v>-300</v>
      </c>
      <c r="G146">
        <f>E146*F147-E147*F146</f>
      </c>
      <c r="H146">
        <f>(E146+E147)*G146</f>
      </c>
      <c r="I146">
        <f>(F146+F147)*G146</f>
      </c>
    </row>
    <row r="147" spans="2:9" x14ac:dyDescent="0.25">
      <c r="B147">
        <v>6</v>
      </c>
      <c r="C147" t="s">
        <v>154</v>
      </c>
      <c r="D147">
        <v>-1</v>
      </c>
      <c r="E147" s="17">
        <v>150</v>
      </c>
      <c r="F147" s="17">
        <v>300</v>
      </c>
      <c r="G147">
        <f>E147*F140-E140*F147</f>
      </c>
      <c r="H147">
        <f>(E147+E140)*G147</f>
      </c>
      <c r="I147">
        <f>(F147+F140)*G147</f>
      </c>
    </row>
    <row r="148" spans="2:9" x14ac:dyDescent="0.25">
      <c r="B148">
        <v>6</v>
      </c>
      <c r="C148" t="s">
        <v>188</v>
      </c>
      <c r="G148" s="13">
        <f>D140*ABS(SUM(G140:G147)/2)</f>
      </c>
      <c r="H148" s="13">
        <f>D140*SIGN(SUM(G140:G147))*SUM(H140:H147)/6</f>
      </c>
      <c r="I148" s="13">
        <f>D140*SIGN(SUM(G140:G147))*SUM(I140:I147)/6</f>
      </c>
    </row>
    <row r="149" spans="2:9" x14ac:dyDescent="0.25">
      <c r="B149">
        <v>6</v>
      </c>
      <c r="C149" s="13" t="s">
        <v>189</v>
      </c>
      <c r="G149" s="14">
        <f>G135+G139+G148</f>
      </c>
      <c r="H149" s="14">
        <f>H135+H139+H148</f>
      </c>
      <c r="I149" s="14">
        <f>I135+I139+I148</f>
      </c>
    </row>
    <row r="151" spans="2:9" x14ac:dyDescent="0.25">
      <c r="B151">
        <v>7</v>
      </c>
      <c r="C151" t="s">
        <v>149</v>
      </c>
      <c r="D151">
        <v>1</v>
      </c>
      <c r="E151" s="17">
        <v>128.2887533451402</v>
      </c>
      <c r="F151" s="17">
        <v>-600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149</v>
      </c>
      <c r="D152">
        <v>1</v>
      </c>
      <c r="E152" s="17">
        <v>550</v>
      </c>
      <c r="F152" s="17">
        <v>-600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149</v>
      </c>
      <c r="D153">
        <v>1</v>
      </c>
      <c r="E153" s="17">
        <v>750</v>
      </c>
      <c r="F153" s="17">
        <v>-400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149</v>
      </c>
      <c r="D154">
        <v>1</v>
      </c>
      <c r="E154" s="17">
        <v>750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149</v>
      </c>
      <c r="D155">
        <v>1</v>
      </c>
      <c r="E155" s="17">
        <v>550</v>
      </c>
      <c r="F155" s="17">
        <v>600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149</v>
      </c>
      <c r="D156">
        <v>1</v>
      </c>
      <c r="E156" s="17">
        <v>-193.25027757220676</v>
      </c>
      <c r="F156" s="17">
        <v>600</v>
      </c>
      <c r="G156">
        <f>E156*F151-E151*F156</f>
      </c>
      <c r="H156">
        <f>(E156+E151)*G156</f>
      </c>
      <c r="I156">
        <f>(F156+F151)*G156</f>
      </c>
    </row>
    <row r="157" spans="2:9" x14ac:dyDescent="0.25">
      <c r="B157">
        <v>7</v>
      </c>
      <c r="C157" t="s">
        <v>188</v>
      </c>
      <c r="G157" s="13">
        <f>D151*ABS(SUM(G151:G156)/2)</f>
      </c>
      <c r="H157" s="13">
        <f>D151*SIGN(SUM(G151:G156))*SUM(H151:H156)/6</f>
      </c>
      <c r="I157" s="13">
        <f>D151*SIGN(SUM(G151:G156))*SUM(I151:I156)/6</f>
      </c>
    </row>
    <row r="158" spans="2:9" x14ac:dyDescent="0.25">
      <c r="B158">
        <v>7</v>
      </c>
      <c r="C158" t="s">
        <v>152</v>
      </c>
      <c r="D158">
        <v>-1</v>
      </c>
      <c r="E158" s="17">
        <v>250</v>
      </c>
      <c r="F158" s="17">
        <v>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152</v>
      </c>
      <c r="D159">
        <v>-1</v>
      </c>
      <c r="E159" s="17">
        <v>450</v>
      </c>
      <c r="F159" s="17">
        <v>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152</v>
      </c>
      <c r="D160">
        <v>-1</v>
      </c>
      <c r="E160" s="17">
        <v>550</v>
      </c>
      <c r="F160" s="17">
        <v>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152</v>
      </c>
      <c r="D161">
        <v>-1</v>
      </c>
      <c r="E161" s="17">
        <v>550</v>
      </c>
      <c r="F161" s="17">
        <v>-300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7</v>
      </c>
      <c r="C162" t="s">
        <v>152</v>
      </c>
      <c r="D162">
        <v>-1</v>
      </c>
      <c r="E162" s="17">
        <v>450</v>
      </c>
      <c r="F162" s="17">
        <v>-400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7</v>
      </c>
      <c r="C163" t="s">
        <v>152</v>
      </c>
      <c r="D163">
        <v>-1</v>
      </c>
      <c r="E163" s="17">
        <v>250</v>
      </c>
      <c r="F163" s="17">
        <v>-400</v>
      </c>
      <c r="G163">
        <f>E163*F164-E164*F163</f>
      </c>
      <c r="H163">
        <f>(E163+E164)*G163</f>
      </c>
      <c r="I163">
        <f>(F163+F164)*G163</f>
      </c>
    </row>
    <row r="164" spans="2:9" x14ac:dyDescent="0.25">
      <c r="B164">
        <v>7</v>
      </c>
      <c r="C164" t="s">
        <v>152</v>
      </c>
      <c r="D164">
        <v>-1</v>
      </c>
      <c r="E164" s="17">
        <v>150</v>
      </c>
      <c r="F164" s="17">
        <v>-300</v>
      </c>
      <c r="G164">
        <f>E164*F165-E165*F164</f>
      </c>
      <c r="H164">
        <f>(E164+E165)*G164</f>
      </c>
      <c r="I164">
        <f>(F164+F165)*G164</f>
      </c>
    </row>
    <row r="165" spans="2:9" x14ac:dyDescent="0.25">
      <c r="B165">
        <v>7</v>
      </c>
      <c r="C165" t="s">
        <v>152</v>
      </c>
      <c r="D165">
        <v>-1</v>
      </c>
      <c r="E165" s="17">
        <v>150</v>
      </c>
      <c r="F165" s="17">
        <v>300</v>
      </c>
      <c r="G165">
        <f>E165*F158-E158*F165</f>
      </c>
      <c r="H165">
        <f>(E165+E158)*G165</f>
      </c>
      <c r="I165">
        <f>(F165+F158)*G165</f>
      </c>
    </row>
    <row r="166" spans="2:9" x14ac:dyDescent="0.25">
      <c r="B166">
        <v>7</v>
      </c>
      <c r="C166" t="s">
        <v>188</v>
      </c>
      <c r="G166" s="13">
        <f>D158*ABS(SUM(G158:G165)/2)</f>
      </c>
      <c r="H166" s="13">
        <f>D158*SIGN(SUM(G158:G165))*SUM(H158:H165)/6</f>
      </c>
      <c r="I166" s="13">
        <f>D158*SIGN(SUM(G158:G165))*SUM(I158:I165)/6</f>
      </c>
    </row>
    <row r="167" spans="2:9" x14ac:dyDescent="0.25">
      <c r="B167">
        <v>7</v>
      </c>
      <c r="C167" s="13" t="s">
        <v>189</v>
      </c>
      <c r="G167" s="14">
        <f>G157+G166</f>
      </c>
      <c r="H167" s="14">
        <f>H157+H166</f>
      </c>
      <c r="I167" s="14">
        <f>I157+I166</f>
      </c>
    </row>
    <row r="169" spans="2:9" x14ac:dyDescent="0.25">
      <c r="B169">
        <v>8</v>
      </c>
      <c r="C169" t="s">
        <v>149</v>
      </c>
      <c r="D169">
        <v>1</v>
      </c>
      <c r="E169" s="17">
        <v>172.33134933949577</v>
      </c>
      <c r="F169" s="17">
        <v>-600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149</v>
      </c>
      <c r="D170">
        <v>1</v>
      </c>
      <c r="E170" s="17">
        <v>550</v>
      </c>
      <c r="F170" s="17">
        <v>-600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149</v>
      </c>
      <c r="D171">
        <v>1</v>
      </c>
      <c r="E171" s="17">
        <v>750</v>
      </c>
      <c r="F171" s="17">
        <v>-400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149</v>
      </c>
      <c r="D172">
        <v>1</v>
      </c>
      <c r="E172" s="17">
        <v>750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149</v>
      </c>
      <c r="D173">
        <v>1</v>
      </c>
      <c r="E173" s="17">
        <v>550</v>
      </c>
      <c r="F173" s="17">
        <v>600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149</v>
      </c>
      <c r="D174">
        <v>1</v>
      </c>
      <c r="E174" s="17">
        <v>-149.2076815778512</v>
      </c>
      <c r="F174" s="17">
        <v>600</v>
      </c>
      <c r="G174">
        <f>E174*F169-E169*F174</f>
      </c>
      <c r="H174">
        <f>(E174+E169)*G174</f>
      </c>
      <c r="I174">
        <f>(F174+F169)*G174</f>
      </c>
    </row>
    <row r="175" spans="2:9" x14ac:dyDescent="0.25">
      <c r="B175">
        <v>8</v>
      </c>
      <c r="C175" t="s">
        <v>188</v>
      </c>
      <c r="G175" s="13">
        <f>D169*ABS(SUM(G169:G174)/2)</f>
      </c>
      <c r="H175" s="13">
        <f>D169*SIGN(SUM(G169:G174))*SUM(H169:H174)/6</f>
      </c>
      <c r="I175" s="13">
        <f>D169*SIGN(SUM(G169:G174))*SUM(I169:I174)/6</f>
      </c>
    </row>
    <row r="176" spans="2:9" x14ac:dyDescent="0.25">
      <c r="B176">
        <v>8</v>
      </c>
      <c r="C176" t="s">
        <v>152</v>
      </c>
      <c r="D176">
        <v>-1</v>
      </c>
      <c r="E176" s="17">
        <v>250</v>
      </c>
      <c r="F176" s="17">
        <v>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152</v>
      </c>
      <c r="D177">
        <v>-1</v>
      </c>
      <c r="E177" s="17">
        <v>450</v>
      </c>
      <c r="F177" s="17">
        <v>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152</v>
      </c>
      <c r="D178">
        <v>-1</v>
      </c>
      <c r="E178" s="17">
        <v>550</v>
      </c>
      <c r="F178" s="17">
        <v>300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152</v>
      </c>
      <c r="D179">
        <v>-1</v>
      </c>
      <c r="E179" s="17">
        <v>550</v>
      </c>
      <c r="F179" s="17">
        <v>-300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152</v>
      </c>
      <c r="D180">
        <v>-1</v>
      </c>
      <c r="E180" s="17">
        <v>450</v>
      </c>
      <c r="F180" s="17">
        <v>-400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8</v>
      </c>
      <c r="C181" t="s">
        <v>152</v>
      </c>
      <c r="D181">
        <v>-1</v>
      </c>
      <c r="E181" s="17">
        <v>250</v>
      </c>
      <c r="F181" s="17">
        <v>-400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8</v>
      </c>
      <c r="C182" t="s">
        <v>152</v>
      </c>
      <c r="D182">
        <v>-1</v>
      </c>
      <c r="E182" s="17">
        <v>150</v>
      </c>
      <c r="F182" s="17">
        <v>-300</v>
      </c>
      <c r="G182">
        <f>E182*F183-E183*F182</f>
      </c>
      <c r="H182">
        <f>(E182+E183)*G182</f>
      </c>
      <c r="I182">
        <f>(F182+F183)*G182</f>
      </c>
    </row>
    <row r="183" spans="2:9" x14ac:dyDescent="0.25">
      <c r="B183">
        <v>8</v>
      </c>
      <c r="C183" t="s">
        <v>152</v>
      </c>
      <c r="D183">
        <v>-1</v>
      </c>
      <c r="E183" s="17">
        <v>150</v>
      </c>
      <c r="F183" s="17">
        <v>300</v>
      </c>
      <c r="G183">
        <f>E183*F176-E176*F183</f>
      </c>
      <c r="H183">
        <f>(E183+E176)*G183</f>
      </c>
      <c r="I183">
        <f>(F183+F176)*G183</f>
      </c>
    </row>
    <row r="184" spans="2:9" x14ac:dyDescent="0.25">
      <c r="B184">
        <v>8</v>
      </c>
      <c r="C184" t="s">
        <v>188</v>
      </c>
      <c r="G184" s="13">
        <f>D176*ABS(SUM(G176:G183)/2)</f>
      </c>
      <c r="H184" s="13">
        <f>D176*SIGN(SUM(G176:G183))*SUM(H176:H183)/6</f>
      </c>
      <c r="I184" s="13">
        <f>D176*SIGN(SUM(G176:G183))*SUM(I176:I183)/6</f>
      </c>
    </row>
    <row r="185" spans="2:9" x14ac:dyDescent="0.25">
      <c r="B185">
        <v>8</v>
      </c>
      <c r="C185" s="13" t="s">
        <v>189</v>
      </c>
      <c r="G185" s="14">
        <f>G175+G184</f>
      </c>
      <c r="H185" s="14">
        <f>H175+H184</f>
      </c>
      <c r="I185" s="14">
        <f>I175+I184</f>
      </c>
    </row>
    <row r="187" spans="2:9" x14ac:dyDescent="0.25">
      <c r="B187">
        <v>9</v>
      </c>
      <c r="C187" t="s">
        <v>149</v>
      </c>
      <c r="D187">
        <v>1</v>
      </c>
      <c r="E187" s="17">
        <v>212.2189834475913</v>
      </c>
      <c r="F187" s="17">
        <v>-600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149</v>
      </c>
      <c r="D188">
        <v>1</v>
      </c>
      <c r="E188" s="17">
        <v>550</v>
      </c>
      <c r="F188" s="17">
        <v>-600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149</v>
      </c>
      <c r="D189">
        <v>1</v>
      </c>
      <c r="E189" s="17">
        <v>750</v>
      </c>
      <c r="F189" s="17">
        <v>-400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149</v>
      </c>
      <c r="D190">
        <v>1</v>
      </c>
      <c r="E190" s="17">
        <v>750</v>
      </c>
      <c r="F190" s="17">
        <v>400</v>
      </c>
      <c r="G190">
        <f>E190*F191-E191*F190</f>
      </c>
      <c r="H190">
        <f>(E190+E191)*G190</f>
      </c>
      <c r="I190">
        <f>(F190+F191)*G190</f>
      </c>
    </row>
    <row r="191" spans="2:9" x14ac:dyDescent="0.25">
      <c r="B191">
        <v>9</v>
      </c>
      <c r="C191" t="s">
        <v>149</v>
      </c>
      <c r="D191">
        <v>1</v>
      </c>
      <c r="E191" s="17">
        <v>550</v>
      </c>
      <c r="F191" s="17">
        <v>600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149</v>
      </c>
      <c r="D192">
        <v>1</v>
      </c>
      <c r="E192" s="17">
        <v>-109.32004746975565</v>
      </c>
      <c r="F192" s="17">
        <v>600</v>
      </c>
      <c r="G192">
        <f>E192*F187-E187*F192</f>
      </c>
      <c r="H192">
        <f>(E192+E187)*G192</f>
      </c>
      <c r="I192">
        <f>(F192+F187)*G192</f>
      </c>
    </row>
    <row r="193" spans="2:9" x14ac:dyDescent="0.25">
      <c r="B193">
        <v>9</v>
      </c>
      <c r="C193" t="s">
        <v>188</v>
      </c>
      <c r="G193" s="13">
        <f>D187*ABS(SUM(G187:G192)/2)</f>
      </c>
      <c r="H193" s="13">
        <f>D187*SIGN(SUM(G187:G192))*SUM(H187:H192)/6</f>
      </c>
      <c r="I193" s="13">
        <f>D187*SIGN(SUM(G187:G192))*SUM(I187:I192)/6</f>
      </c>
    </row>
    <row r="194" spans="2:9" x14ac:dyDescent="0.25">
      <c r="B194">
        <v>9</v>
      </c>
      <c r="C194" t="s">
        <v>152</v>
      </c>
      <c r="D194">
        <v>-1</v>
      </c>
      <c r="E194" s="17">
        <v>250</v>
      </c>
      <c r="F194" s="17">
        <v>400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152</v>
      </c>
      <c r="D195">
        <v>-1</v>
      </c>
      <c r="E195" s="17">
        <v>450</v>
      </c>
      <c r="F195" s="17">
        <v>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152</v>
      </c>
      <c r="D196">
        <v>-1</v>
      </c>
      <c r="E196" s="17">
        <v>550</v>
      </c>
      <c r="F196" s="17">
        <v>300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152</v>
      </c>
      <c r="D197">
        <v>-1</v>
      </c>
      <c r="E197" s="17">
        <v>550</v>
      </c>
      <c r="F197" s="17">
        <v>-300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152</v>
      </c>
      <c r="D198">
        <v>-1</v>
      </c>
      <c r="E198" s="17">
        <v>450</v>
      </c>
      <c r="F198" s="17">
        <v>-400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152</v>
      </c>
      <c r="D199">
        <v>-1</v>
      </c>
      <c r="E199" s="17">
        <v>250</v>
      </c>
      <c r="F199" s="17">
        <v>-400</v>
      </c>
      <c r="G199">
        <f>E199*F200-E200*F199</f>
      </c>
      <c r="H199">
        <f>(E199+E200)*G199</f>
      </c>
      <c r="I199">
        <f>(F199+F200)*G199</f>
      </c>
    </row>
    <row r="200" spans="2:9" x14ac:dyDescent="0.25">
      <c r="B200">
        <v>9</v>
      </c>
      <c r="C200" t="s">
        <v>152</v>
      </c>
      <c r="D200">
        <v>-1</v>
      </c>
      <c r="E200" s="17">
        <v>150</v>
      </c>
      <c r="F200" s="17">
        <v>-300</v>
      </c>
      <c r="G200">
        <f>E200*F201-E201*F200</f>
      </c>
      <c r="H200">
        <f>(E200+E201)*G200</f>
      </c>
      <c r="I200">
        <f>(F200+F201)*G200</f>
      </c>
    </row>
    <row r="201" spans="2:9" x14ac:dyDescent="0.25">
      <c r="B201">
        <v>9</v>
      </c>
      <c r="C201" t="s">
        <v>152</v>
      </c>
      <c r="D201">
        <v>-1</v>
      </c>
      <c r="E201" s="17">
        <v>150</v>
      </c>
      <c r="F201" s="17">
        <v>300</v>
      </c>
      <c r="G201">
        <f>E201*F194-E194*F201</f>
      </c>
      <c r="H201">
        <f>(E201+E194)*G201</f>
      </c>
      <c r="I201">
        <f>(F201+F194)*G201</f>
      </c>
    </row>
    <row r="202" spans="2:9" x14ac:dyDescent="0.25">
      <c r="B202">
        <v>9</v>
      </c>
      <c r="C202" t="s">
        <v>188</v>
      </c>
      <c r="G202" s="13">
        <f>D194*ABS(SUM(G194:G201)/2)</f>
      </c>
      <c r="H202" s="13">
        <f>D194*SIGN(SUM(G194:G201))*SUM(H194:H201)/6</f>
      </c>
      <c r="I202" s="13">
        <f>D194*SIGN(SUM(G194:G201))*SUM(I194:I201)/6</f>
      </c>
    </row>
    <row r="203" spans="2:9" x14ac:dyDescent="0.25">
      <c r="B203">
        <v>9</v>
      </c>
      <c r="C203" s="13" t="s">
        <v>189</v>
      </c>
      <c r="G203" s="14">
        <f>G193+G202</f>
      </c>
      <c r="H203" s="14">
        <f>H193+H202</f>
      </c>
      <c r="I203" s="14">
        <f>I193+I202</f>
      </c>
    </row>
    <row r="205" spans="2:9" x14ac:dyDescent="0.25">
      <c r="B205">
        <v>10</v>
      </c>
      <c r="C205" t="s">
        <v>149</v>
      </c>
      <c r="D205">
        <v>1</v>
      </c>
      <c r="E205" s="17">
        <v>281.67848422203383</v>
      </c>
      <c r="F205" s="17">
        <v>-600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149</v>
      </c>
      <c r="D206">
        <v>1</v>
      </c>
      <c r="E206" s="17">
        <v>550</v>
      </c>
      <c r="F206" s="17">
        <v>-600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149</v>
      </c>
      <c r="D207">
        <v>1</v>
      </c>
      <c r="E207" s="17">
        <v>750</v>
      </c>
      <c r="F207" s="17">
        <v>-400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149</v>
      </c>
      <c r="D208">
        <v>1</v>
      </c>
      <c r="E208" s="17">
        <v>750</v>
      </c>
      <c r="F208" s="17">
        <v>400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10</v>
      </c>
      <c r="C209" t="s">
        <v>149</v>
      </c>
      <c r="D209">
        <v>1</v>
      </c>
      <c r="E209" s="17">
        <v>550</v>
      </c>
      <c r="F209" s="17">
        <v>600</v>
      </c>
      <c r="G209">
        <f>E209*F210-E210*F209</f>
      </c>
      <c r="H209">
        <f>(E209+E210)*G209</f>
      </c>
      <c r="I209">
        <f>(F209+F210)*G209</f>
      </c>
    </row>
    <row r="210" spans="2:9" x14ac:dyDescent="0.25">
      <c r="B210">
        <v>10</v>
      </c>
      <c r="C210" t="s">
        <v>149</v>
      </c>
      <c r="D210">
        <v>1</v>
      </c>
      <c r="E210" s="17">
        <v>-39.86054669531313</v>
      </c>
      <c r="F210" s="17">
        <v>600</v>
      </c>
      <c r="G210">
        <f>E210*F205-E205*F210</f>
      </c>
      <c r="H210">
        <f>(E210+E205)*G210</f>
      </c>
      <c r="I210">
        <f>(F210+F205)*G210</f>
      </c>
    </row>
    <row r="211" spans="2:9" x14ac:dyDescent="0.25">
      <c r="B211">
        <v>10</v>
      </c>
      <c r="C211" t="s">
        <v>188</v>
      </c>
      <c r="G211" s="13">
        <f>D205*ABS(SUM(G205:G210)/2)</f>
      </c>
      <c r="H211" s="13">
        <f>D205*SIGN(SUM(G205:G210))*SUM(H205:H210)/6</f>
      </c>
      <c r="I211" s="13">
        <f>D205*SIGN(SUM(G205:G210))*SUM(I205:I210)/6</f>
      </c>
    </row>
    <row r="212" spans="2:9" x14ac:dyDescent="0.25">
      <c r="B212">
        <v>10</v>
      </c>
      <c r="C212" t="s">
        <v>152</v>
      </c>
      <c r="D212">
        <v>-1</v>
      </c>
      <c r="E212" s="17">
        <v>250</v>
      </c>
      <c r="F212" s="17">
        <v>400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152</v>
      </c>
      <c r="D213">
        <v>-1</v>
      </c>
      <c r="E213" s="17">
        <v>450</v>
      </c>
      <c r="F213" s="17">
        <v>400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152</v>
      </c>
      <c r="D214">
        <v>-1</v>
      </c>
      <c r="E214" s="17">
        <v>550</v>
      </c>
      <c r="F214" s="17">
        <v>300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152</v>
      </c>
      <c r="D215">
        <v>-1</v>
      </c>
      <c r="E215" s="17">
        <v>550</v>
      </c>
      <c r="F215" s="17">
        <v>-300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152</v>
      </c>
      <c r="D216">
        <v>-1</v>
      </c>
      <c r="E216" s="17">
        <v>450</v>
      </c>
      <c r="F216" s="17">
        <v>-400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152</v>
      </c>
      <c r="D217">
        <v>-1</v>
      </c>
      <c r="E217" s="17">
        <v>250</v>
      </c>
      <c r="F217" s="17">
        <v>-400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152</v>
      </c>
      <c r="D218">
        <v>-1</v>
      </c>
      <c r="E218" s="17">
        <v>220.06853344379496</v>
      </c>
      <c r="F218" s="17">
        <v>-370.06853344379493</v>
      </c>
      <c r="G218">
        <f>E218*F219-E219*F218</f>
      </c>
      <c r="H218">
        <f>(E218+E219)*G218</f>
      </c>
      <c r="I218">
        <f>(F218+F219)*G218</f>
      </c>
    </row>
    <row r="219" spans="2:9" x14ac:dyDescent="0.25">
      <c r="B219">
        <v>10</v>
      </c>
      <c r="C219" t="s">
        <v>152</v>
      </c>
      <c r="D219">
        <v>-1</v>
      </c>
      <c r="E219" s="17">
        <v>150</v>
      </c>
      <c r="F219" s="17">
        <v>-108.56920661971279</v>
      </c>
      <c r="G219">
        <f>E219*F220-E220*F219</f>
      </c>
      <c r="H219">
        <f>(E219+E220)*G219</f>
      </c>
      <c r="I219">
        <f>(F219+F220)*G219</f>
      </c>
    </row>
    <row r="220" spans="2:9" x14ac:dyDescent="0.25">
      <c r="B220">
        <v>10</v>
      </c>
      <c r="C220" t="s">
        <v>152</v>
      </c>
      <c r="D220">
        <v>-1</v>
      </c>
      <c r="E220" s="17">
        <v>150</v>
      </c>
      <c r="F220" s="17">
        <v>300</v>
      </c>
      <c r="G220">
        <f>E220*F212-E212*F220</f>
      </c>
      <c r="H220">
        <f>(E220+E212)*G220</f>
      </c>
      <c r="I220">
        <f>(F220+F212)*G220</f>
      </c>
    </row>
    <row r="221" spans="2:9" x14ac:dyDescent="0.25">
      <c r="B221">
        <v>10</v>
      </c>
      <c r="C221" t="s">
        <v>188</v>
      </c>
      <c r="G221" s="13">
        <f>D212*ABS(SUM(G212:G220)/2)</f>
      </c>
      <c r="H221" s="13">
        <f>D212*SIGN(SUM(G212:G220))*SUM(H212:H220)/6</f>
      </c>
      <c r="I221" s="13">
        <f>D212*SIGN(SUM(G212:G220))*SUM(I212:I220)/6</f>
      </c>
    </row>
    <row r="222" spans="2:9" x14ac:dyDescent="0.25">
      <c r="B222">
        <v>10</v>
      </c>
      <c r="C222" s="13" t="s">
        <v>189</v>
      </c>
      <c r="G222" s="14">
        <f>G211+G221</f>
      </c>
      <c r="H222" s="14">
        <f>H211+H221</f>
      </c>
      <c r="I222" s="14">
        <f>I211+I221</f>
      </c>
    </row>
    <row r="224" spans="2:9" x14ac:dyDescent="0.25">
      <c r="B224">
        <v>11</v>
      </c>
      <c r="C224" t="s">
        <v>149</v>
      </c>
      <c r="D224">
        <v>1</v>
      </c>
      <c r="E224" s="17">
        <v>340.1126674132313</v>
      </c>
      <c r="F224" s="17">
        <v>-600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149</v>
      </c>
      <c r="D225">
        <v>1</v>
      </c>
      <c r="E225" s="17">
        <v>550</v>
      </c>
      <c r="F225" s="17">
        <v>-600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149</v>
      </c>
      <c r="D226">
        <v>1</v>
      </c>
      <c r="E226" s="17">
        <v>750</v>
      </c>
      <c r="F226" s="17">
        <v>-400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149</v>
      </c>
      <c r="D227">
        <v>1</v>
      </c>
      <c r="E227" s="17">
        <v>750</v>
      </c>
      <c r="F227" s="17">
        <v>400</v>
      </c>
      <c r="G227">
        <f>E227*F228-E228*F227</f>
      </c>
      <c r="H227">
        <f>(E227+E228)*G227</f>
      </c>
      <c r="I227">
        <f>(F227+F228)*G227</f>
      </c>
    </row>
    <row r="228" spans="2:9" x14ac:dyDescent="0.25">
      <c r="B228">
        <v>11</v>
      </c>
      <c r="C228" t="s">
        <v>149</v>
      </c>
      <c r="D228">
        <v>1</v>
      </c>
      <c r="E228" s="17">
        <v>550</v>
      </c>
      <c r="F228" s="17">
        <v>600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11</v>
      </c>
      <c r="C229" t="s">
        <v>149</v>
      </c>
      <c r="D229">
        <v>1</v>
      </c>
      <c r="E229" s="17">
        <v>18.57363649588433</v>
      </c>
      <c r="F229" s="17">
        <v>600</v>
      </c>
      <c r="G229">
        <f>E229*F224-E224*F229</f>
      </c>
      <c r="H229">
        <f>(E229+E224)*G229</f>
      </c>
      <c r="I229">
        <f>(F229+F224)*G229</f>
      </c>
    </row>
    <row r="230" spans="2:9" x14ac:dyDescent="0.25">
      <c r="B230">
        <v>11</v>
      </c>
      <c r="C230" t="s">
        <v>188</v>
      </c>
      <c r="G230" s="13">
        <f>D224*ABS(SUM(G224:G229)/2)</f>
      </c>
      <c r="H230" s="13">
        <f>D224*SIGN(SUM(G224:G229))*SUM(H224:H229)/6</f>
      </c>
      <c r="I230" s="13">
        <f>D224*SIGN(SUM(G224:G229))*SUM(I224:I229)/6</f>
      </c>
    </row>
    <row r="231" spans="2:9" x14ac:dyDescent="0.25">
      <c r="B231">
        <v>11</v>
      </c>
      <c r="C231" t="s">
        <v>152</v>
      </c>
      <c r="D231">
        <v>-1</v>
      </c>
      <c r="E231" s="17">
        <v>250</v>
      </c>
      <c r="F231" s="17">
        <v>400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152</v>
      </c>
      <c r="D232">
        <v>-1</v>
      </c>
      <c r="E232" s="17">
        <v>450</v>
      </c>
      <c r="F232" s="17">
        <v>400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152</v>
      </c>
      <c r="D233">
        <v>-1</v>
      </c>
      <c r="E233" s="17">
        <v>550</v>
      </c>
      <c r="F233" s="17">
        <v>300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152</v>
      </c>
      <c r="D234">
        <v>-1</v>
      </c>
      <c r="E234" s="17">
        <v>550</v>
      </c>
      <c r="F234" s="17">
        <v>-300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152</v>
      </c>
      <c r="D235">
        <v>-1</v>
      </c>
      <c r="E235" s="17">
        <v>450</v>
      </c>
      <c r="F235" s="17">
        <v>-400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152</v>
      </c>
      <c r="D236">
        <v>-1</v>
      </c>
      <c r="E236" s="17">
        <v>286.52282892700674</v>
      </c>
      <c r="F236" s="17">
        <v>-400</v>
      </c>
      <c r="G236">
        <f>E236*F237-E237*F236</f>
      </c>
      <c r="H236">
        <f>(E236+E237)*G236</f>
      </c>
      <c r="I236">
        <f>(F236+F237)*G236</f>
      </c>
    </row>
    <row r="237" spans="2:9" x14ac:dyDescent="0.25">
      <c r="B237">
        <v>11</v>
      </c>
      <c r="C237" t="s">
        <v>152</v>
      </c>
      <c r="D237">
        <v>-1</v>
      </c>
      <c r="E237" s="17">
        <v>150</v>
      </c>
      <c r="F237" s="17">
        <v>109.51013394862383</v>
      </c>
      <c r="G237">
        <f>E237*F238-E238*F237</f>
      </c>
      <c r="H237">
        <f>(E237+E238)*G237</f>
      </c>
      <c r="I237">
        <f>(F237+F238)*G237</f>
      </c>
    </row>
    <row r="238" spans="2:9" x14ac:dyDescent="0.25">
      <c r="B238">
        <v>11</v>
      </c>
      <c r="C238" t="s">
        <v>152</v>
      </c>
      <c r="D238">
        <v>-1</v>
      </c>
      <c r="E238" s="17">
        <v>150</v>
      </c>
      <c r="F238" s="17">
        <v>300</v>
      </c>
      <c r="G238">
        <f>E238*F231-E231*F238</f>
      </c>
      <c r="H238">
        <f>(E238+E231)*G238</f>
      </c>
      <c r="I238">
        <f>(F238+F231)*G238</f>
      </c>
    </row>
    <row r="239" spans="2:9" x14ac:dyDescent="0.25">
      <c r="B239">
        <v>11</v>
      </c>
      <c r="C239" t="s">
        <v>188</v>
      </c>
      <c r="G239" s="13">
        <f>D231*ABS(SUM(G231:G238)/2)</f>
      </c>
      <c r="H239" s="13">
        <f>D231*SIGN(SUM(G231:G238))*SUM(H231:H238)/6</f>
      </c>
      <c r="I239" s="13">
        <f>D231*SIGN(SUM(G231:G238))*SUM(I231:I238)/6</f>
      </c>
    </row>
    <row r="240" spans="2:9" x14ac:dyDescent="0.25">
      <c r="B240">
        <v>11</v>
      </c>
      <c r="C240" s="13" t="s">
        <v>189</v>
      </c>
      <c r="G240" s="14">
        <f>G230+G239</f>
      </c>
      <c r="H240" s="14">
        <f>H230+H239</f>
      </c>
      <c r="I240" s="14">
        <f>I230+I239</f>
      </c>
    </row>
    <row r="242" spans="2:9" x14ac:dyDescent="0.25">
      <c r="B242">
        <v>12</v>
      </c>
      <c r="C242" t="s">
        <v>149</v>
      </c>
      <c r="D242">
        <v>1</v>
      </c>
      <c r="E242" s="17">
        <v>389.9535883704292</v>
      </c>
      <c r="F242" s="17">
        <v>-600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149</v>
      </c>
      <c r="D243">
        <v>1</v>
      </c>
      <c r="E243" s="17">
        <v>550</v>
      </c>
      <c r="F243" s="17">
        <v>-600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149</v>
      </c>
      <c r="D244">
        <v>1</v>
      </c>
      <c r="E244" s="17">
        <v>750</v>
      </c>
      <c r="F244" s="17">
        <v>-400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149</v>
      </c>
      <c r="D245">
        <v>1</v>
      </c>
      <c r="E245" s="17">
        <v>750</v>
      </c>
      <c r="F245" s="17">
        <v>400</v>
      </c>
      <c r="G245">
        <f>E245*F246-E246*F245</f>
      </c>
      <c r="H245">
        <f>(E245+E246)*G245</f>
      </c>
      <c r="I245">
        <f>(F245+F246)*G245</f>
      </c>
    </row>
    <row r="246" spans="2:9" x14ac:dyDescent="0.25">
      <c r="B246">
        <v>12</v>
      </c>
      <c r="C246" t="s">
        <v>149</v>
      </c>
      <c r="D246">
        <v>1</v>
      </c>
      <c r="E246" s="17">
        <v>550</v>
      </c>
      <c r="F246" s="17">
        <v>600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12</v>
      </c>
      <c r="C247" t="s">
        <v>149</v>
      </c>
      <c r="D247">
        <v>1</v>
      </c>
      <c r="E247" s="17">
        <v>68.4145574530823</v>
      </c>
      <c r="F247" s="17">
        <v>600</v>
      </c>
      <c r="G247">
        <f>E247*F242-E242*F247</f>
      </c>
      <c r="H247">
        <f>(E247+E242)*G247</f>
      </c>
      <c r="I247">
        <f>(F247+F242)*G247</f>
      </c>
    </row>
    <row r="248" spans="2:9" x14ac:dyDescent="0.25">
      <c r="B248">
        <v>12</v>
      </c>
      <c r="C248" t="s">
        <v>188</v>
      </c>
      <c r="G248" s="13">
        <f>D242*ABS(SUM(G242:G247)/2)</f>
      </c>
      <c r="H248" s="13">
        <f>D242*SIGN(SUM(G242:G247))*SUM(H242:H247)/6</f>
      </c>
      <c r="I248" s="13">
        <f>D242*SIGN(SUM(G242:G247))*SUM(I242:I247)/6</f>
      </c>
    </row>
    <row r="249" spans="2:9" x14ac:dyDescent="0.25">
      <c r="B249">
        <v>12</v>
      </c>
      <c r="C249" t="s">
        <v>152</v>
      </c>
      <c r="D249">
        <v>-1</v>
      </c>
      <c r="E249" s="17">
        <v>250</v>
      </c>
      <c r="F249" s="17">
        <v>400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152</v>
      </c>
      <c r="D250">
        <v>-1</v>
      </c>
      <c r="E250" s="17">
        <v>450</v>
      </c>
      <c r="F250" s="17">
        <v>400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152</v>
      </c>
      <c r="D251">
        <v>-1</v>
      </c>
      <c r="E251" s="17">
        <v>550</v>
      </c>
      <c r="F251" s="17">
        <v>300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152</v>
      </c>
      <c r="D252">
        <v>-1</v>
      </c>
      <c r="E252" s="17">
        <v>550</v>
      </c>
      <c r="F252" s="17">
        <v>-300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152</v>
      </c>
      <c r="D253">
        <v>-1</v>
      </c>
      <c r="E253" s="17">
        <v>450</v>
      </c>
      <c r="F253" s="17">
        <v>-400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152</v>
      </c>
      <c r="D254">
        <v>-1</v>
      </c>
      <c r="E254" s="17">
        <v>336.3637498842047</v>
      </c>
      <c r="F254" s="17">
        <v>-400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12</v>
      </c>
      <c r="C255" t="s">
        <v>152</v>
      </c>
      <c r="D255">
        <v>-1</v>
      </c>
      <c r="E255" s="17">
        <v>150</v>
      </c>
      <c r="F255" s="17">
        <v>295.51898325691127</v>
      </c>
      <c r="G255">
        <f>E255*F256-E256*F255</f>
      </c>
      <c r="H255">
        <f>(E255+E256)*G255</f>
      </c>
      <c r="I255">
        <f>(F255+F256)*G255</f>
      </c>
    </row>
    <row r="256" spans="2:9" x14ac:dyDescent="0.25">
      <c r="B256">
        <v>12</v>
      </c>
      <c r="C256" t="s">
        <v>152</v>
      </c>
      <c r="D256">
        <v>-1</v>
      </c>
      <c r="E256" s="17">
        <v>150</v>
      </c>
      <c r="F256" s="17">
        <v>300</v>
      </c>
      <c r="G256">
        <f>E256*F249-E249*F256</f>
      </c>
      <c r="H256">
        <f>(E256+E249)*G256</f>
      </c>
      <c r="I256">
        <f>(F256+F249)*G256</f>
      </c>
    </row>
    <row r="257" spans="2:9" x14ac:dyDescent="0.25">
      <c r="B257">
        <v>12</v>
      </c>
      <c r="C257" t="s">
        <v>188</v>
      </c>
      <c r="G257" s="13">
        <f>D249*ABS(SUM(G249:G256)/2)</f>
      </c>
      <c r="H257" s="13">
        <f>D249*SIGN(SUM(G249:G256))*SUM(H249:H256)/6</f>
      </c>
      <c r="I257" s="13">
        <f>D249*SIGN(SUM(G249:G256))*SUM(I249:I256)/6</f>
      </c>
    </row>
    <row r="258" spans="2:9" x14ac:dyDescent="0.25">
      <c r="B258">
        <v>12</v>
      </c>
      <c r="C258" s="13" t="s">
        <v>189</v>
      </c>
      <c r="G258" s="14">
        <f>G248+G257</f>
      </c>
      <c r="H258" s="14">
        <f>H248+H257</f>
      </c>
      <c r="I258" s="14">
        <f>I248+I257</f>
      </c>
    </row>
    <row r="260" spans="2:9" x14ac:dyDescent="0.25">
      <c r="B260">
        <v>13</v>
      </c>
      <c r="C260" t="s">
        <v>149</v>
      </c>
      <c r="D260">
        <v>1</v>
      </c>
      <c r="E260" s="17">
        <v>432.9669859088327</v>
      </c>
      <c r="F260" s="17">
        <v>-600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149</v>
      </c>
      <c r="D261">
        <v>1</v>
      </c>
      <c r="E261" s="17">
        <v>550</v>
      </c>
      <c r="F261" s="17">
        <v>-600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149</v>
      </c>
      <c r="D262">
        <v>1</v>
      </c>
      <c r="E262" s="17">
        <v>750</v>
      </c>
      <c r="F262" s="17">
        <v>-400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149</v>
      </c>
      <c r="D263">
        <v>1</v>
      </c>
      <c r="E263" s="17">
        <v>750</v>
      </c>
      <c r="F263" s="17">
        <v>400</v>
      </c>
      <c r="G263">
        <f>E263*F264-E264*F263</f>
      </c>
      <c r="H263">
        <f>(E263+E264)*G263</f>
      </c>
      <c r="I263">
        <f>(F263+F264)*G263</f>
      </c>
    </row>
    <row r="264" spans="2:9" x14ac:dyDescent="0.25">
      <c r="B264">
        <v>13</v>
      </c>
      <c r="C264" t="s">
        <v>149</v>
      </c>
      <c r="D264">
        <v>1</v>
      </c>
      <c r="E264" s="17">
        <v>550</v>
      </c>
      <c r="F264" s="17">
        <v>600</v>
      </c>
      <c r="G264">
        <f>E264*F265-E265*F264</f>
      </c>
      <c r="H264">
        <f>(E264+E265)*G264</f>
      </c>
      <c r="I264">
        <f>(F264+F265)*G264</f>
      </c>
    </row>
    <row r="265" spans="2:9" x14ac:dyDescent="0.25">
      <c r="B265">
        <v>13</v>
      </c>
      <c r="C265" t="s">
        <v>149</v>
      </c>
      <c r="D265">
        <v>1</v>
      </c>
      <c r="E265" s="17">
        <v>111.42795499148576</v>
      </c>
      <c r="F265" s="17">
        <v>600</v>
      </c>
      <c r="G265">
        <f>E265*F260-E260*F265</f>
      </c>
      <c r="H265">
        <f>(E265+E260)*G265</f>
      </c>
      <c r="I265">
        <f>(F265+F260)*G265</f>
      </c>
    </row>
    <row r="266" spans="2:9" x14ac:dyDescent="0.25">
      <c r="B266">
        <v>13</v>
      </c>
      <c r="C266" t="s">
        <v>188</v>
      </c>
      <c r="G266" s="13">
        <f>D260*ABS(SUM(G260:G265)/2)</f>
      </c>
      <c r="H266" s="13">
        <f>D260*SIGN(SUM(G260:G265))*SUM(H260:H265)/6</f>
      </c>
      <c r="I266" s="13">
        <f>D260*SIGN(SUM(G260:G265))*SUM(I260:I265)/6</f>
      </c>
    </row>
    <row r="267" spans="2:9" x14ac:dyDescent="0.25">
      <c r="B267">
        <v>13</v>
      </c>
      <c r="C267" t="s">
        <v>152</v>
      </c>
      <c r="D267">
        <v>-1</v>
      </c>
      <c r="E267" s="17">
        <v>250</v>
      </c>
      <c r="F267" s="17">
        <v>400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152</v>
      </c>
      <c r="D268">
        <v>-1</v>
      </c>
      <c r="E268" s="17">
        <v>450</v>
      </c>
      <c r="F268" s="17">
        <v>400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152</v>
      </c>
      <c r="D269">
        <v>-1</v>
      </c>
      <c r="E269" s="17">
        <v>550</v>
      </c>
      <c r="F269" s="17">
        <v>300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152</v>
      </c>
      <c r="D270">
        <v>-1</v>
      </c>
      <c r="E270" s="17">
        <v>550</v>
      </c>
      <c r="F270" s="17">
        <v>-300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152</v>
      </c>
      <c r="D271">
        <v>-1</v>
      </c>
      <c r="E271" s="17">
        <v>450</v>
      </c>
      <c r="F271" s="17">
        <v>-400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152</v>
      </c>
      <c r="D272">
        <v>-1</v>
      </c>
      <c r="E272" s="17">
        <v>379.37714742260823</v>
      </c>
      <c r="F272" s="17">
        <v>-400</v>
      </c>
      <c r="G272">
        <f>E272*F273-E273*F272</f>
      </c>
      <c r="H272">
        <f>(E272+E273)*G272</f>
      </c>
      <c r="I272">
        <f>(F272+F273)*G272</f>
      </c>
    </row>
    <row r="273" spans="2:9" x14ac:dyDescent="0.25">
      <c r="B273">
        <v>13</v>
      </c>
      <c r="C273" t="s">
        <v>152</v>
      </c>
      <c r="D273">
        <v>-1</v>
      </c>
      <c r="E273" s="17">
        <v>182.97664683286897</v>
      </c>
      <c r="F273" s="17">
        <v>332.97664683286894</v>
      </c>
      <c r="G273">
        <f>E273*F267-E267*F273</f>
      </c>
      <c r="H273">
        <f>(E273+E267)*G273</f>
      </c>
      <c r="I273">
        <f>(F273+F267)*G273</f>
      </c>
    </row>
    <row r="274" spans="2:9" x14ac:dyDescent="0.25">
      <c r="B274">
        <v>13</v>
      </c>
      <c r="C274" t="s">
        <v>188</v>
      </c>
      <c r="G274" s="13">
        <f>D267*ABS(SUM(G267:G273)/2)</f>
      </c>
      <c r="H274" s="13">
        <f>D267*SIGN(SUM(G267:G273))*SUM(H267:H273)/6</f>
      </c>
      <c r="I274" s="13">
        <f>D267*SIGN(SUM(G267:G273))*SUM(I267:I273)/6</f>
      </c>
    </row>
    <row r="275" spans="2:9" x14ac:dyDescent="0.25">
      <c r="B275">
        <v>13</v>
      </c>
      <c r="C275" s="13" t="s">
        <v>189</v>
      </c>
      <c r="G275" s="14">
        <f>G266+G274</f>
      </c>
      <c r="H275" s="14">
        <f>H266+H274</f>
      </c>
      <c r="I275" s="14">
        <f>I266+I274</f>
      </c>
    </row>
    <row r="277" spans="2:9" x14ac:dyDescent="0.25">
      <c r="B277">
        <v>14</v>
      </c>
      <c r="C277" t="s">
        <v>149</v>
      </c>
      <c r="D277">
        <v>1</v>
      </c>
      <c r="E277" s="17">
        <v>503.446769827181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149</v>
      </c>
      <c r="D278">
        <v>1</v>
      </c>
      <c r="E278" s="17">
        <v>550</v>
      </c>
      <c r="F278" s="17">
        <v>-600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149</v>
      </c>
      <c r="D279">
        <v>1</v>
      </c>
      <c r="E279" s="17">
        <v>750</v>
      </c>
      <c r="F279" s="17">
        <v>-400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149</v>
      </c>
      <c r="D280">
        <v>1</v>
      </c>
      <c r="E280" s="17">
        <v>750</v>
      </c>
      <c r="F280" s="17">
        <v>400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149</v>
      </c>
      <c r="D281">
        <v>1</v>
      </c>
      <c r="E281" s="17">
        <v>550</v>
      </c>
      <c r="F281" s="17">
        <v>600</v>
      </c>
      <c r="G281">
        <f>E281*F282-E282*F281</f>
      </c>
      <c r="H281">
        <f>(E281+E282)*G281</f>
      </c>
      <c r="I281">
        <f>(F281+F282)*G281</f>
      </c>
    </row>
    <row r="282" spans="2:9" x14ac:dyDescent="0.25">
      <c r="B282">
        <v>14</v>
      </c>
      <c r="C282" t="s">
        <v>149</v>
      </c>
      <c r="D282">
        <v>1</v>
      </c>
      <c r="E282" s="17">
        <v>181.90773890983405</v>
      </c>
      <c r="F282" s="17">
        <v>600</v>
      </c>
      <c r="G282">
        <f>E282*F277-E277*F282</f>
      </c>
      <c r="H282">
        <f>(E282+E277)*G282</f>
      </c>
      <c r="I282">
        <f>(F282+F277)*G282</f>
      </c>
    </row>
    <row r="283" spans="2:9" x14ac:dyDescent="0.25">
      <c r="B283">
        <v>14</v>
      </c>
      <c r="C283" t="s">
        <v>188</v>
      </c>
      <c r="G283" s="13">
        <f>D277*ABS(SUM(G277:G282)/2)</f>
      </c>
      <c r="H283" s="13">
        <f>D277*SIGN(SUM(G277:G282))*SUM(H277:H282)/6</f>
      </c>
      <c r="I283" s="13">
        <f>D277*SIGN(SUM(G277:G282))*SUM(I277:I282)/6</f>
      </c>
    </row>
    <row r="284" spans="2:9" x14ac:dyDescent="0.25">
      <c r="B284">
        <v>14</v>
      </c>
      <c r="C284" t="s">
        <v>152</v>
      </c>
      <c r="D284">
        <v>-1</v>
      </c>
      <c r="E284" s="17">
        <v>250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152</v>
      </c>
      <c r="D285">
        <v>-1</v>
      </c>
      <c r="E285" s="17">
        <v>450</v>
      </c>
      <c r="F285" s="17">
        <v>400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152</v>
      </c>
      <c r="D286">
        <v>-1</v>
      </c>
      <c r="E286" s="17">
        <v>550</v>
      </c>
      <c r="F286" s="17">
        <v>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152</v>
      </c>
      <c r="D287">
        <v>-1</v>
      </c>
      <c r="E287" s="17">
        <v>550</v>
      </c>
      <c r="F287" s="17">
        <v>-300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152</v>
      </c>
      <c r="D288">
        <v>-1</v>
      </c>
      <c r="E288" s="17">
        <v>450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152</v>
      </c>
      <c r="D289">
        <v>-1</v>
      </c>
      <c r="E289" s="17">
        <v>449.85693134095646</v>
      </c>
      <c r="F289" s="17">
        <v>-400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152</v>
      </c>
      <c r="D290">
        <v>-1</v>
      </c>
      <c r="E290" s="17">
        <v>238.5622999008856</v>
      </c>
      <c r="F290" s="17">
        <v>388.5622999008856</v>
      </c>
      <c r="G290">
        <f>E290*F284-E284*F290</f>
      </c>
      <c r="H290">
        <f>(E290+E284)*G290</f>
      </c>
      <c r="I290">
        <f>(F290+F284)*G290</f>
      </c>
    </row>
    <row r="291" spans="2:9" x14ac:dyDescent="0.25">
      <c r="B291">
        <v>14</v>
      </c>
      <c r="C291" t="s">
        <v>188</v>
      </c>
      <c r="G291" s="13">
        <f>D284*ABS(SUM(G284:G290)/2)</f>
      </c>
      <c r="H291" s="13">
        <f>D284*SIGN(SUM(G284:G290))*SUM(H284:H290)/6</f>
      </c>
      <c r="I291" s="13">
        <f>D284*SIGN(SUM(G284:G290))*SUM(I284:I290)/6</f>
      </c>
    </row>
    <row r="292" spans="2:9" x14ac:dyDescent="0.25">
      <c r="B292">
        <v>14</v>
      </c>
      <c r="C292" s="13" t="s">
        <v>189</v>
      </c>
      <c r="G292" s="14">
        <f>G283+G291</f>
      </c>
      <c r="H292" s="14">
        <f>H283+H291</f>
      </c>
      <c r="I292" s="14">
        <f>I283+I291</f>
      </c>
    </row>
    <row r="294" spans="2:9" x14ac:dyDescent="0.25">
      <c r="B294">
        <v>15</v>
      </c>
      <c r="C294" t="s">
        <v>149</v>
      </c>
      <c r="D294">
        <v>1</v>
      </c>
      <c r="E294" s="17">
        <v>556.9163741100502</v>
      </c>
      <c r="F294" s="17">
        <v>-593.0836258899498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149</v>
      </c>
      <c r="D295">
        <v>1</v>
      </c>
      <c r="E295" s="17">
        <v>750</v>
      </c>
      <c r="F295" s="17">
        <v>-400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149</v>
      </c>
      <c r="D296">
        <v>1</v>
      </c>
      <c r="E296" s="17">
        <v>750</v>
      </c>
      <c r="F296" s="17">
        <v>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149</v>
      </c>
      <c r="D297">
        <v>1</v>
      </c>
      <c r="E297" s="17">
        <v>550</v>
      </c>
      <c r="F297" s="17">
        <v>600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149</v>
      </c>
      <c r="D298">
        <v>1</v>
      </c>
      <c r="E298" s="17">
        <v>237.23058005004282</v>
      </c>
      <c r="F298" s="17">
        <v>600</v>
      </c>
      <c r="G298">
        <f>E298*F294-E294*F298</f>
      </c>
      <c r="H298">
        <f>(E298+E294)*G298</f>
      </c>
      <c r="I298">
        <f>(F298+F294)*G298</f>
      </c>
    </row>
    <row r="299" spans="2:9" x14ac:dyDescent="0.25">
      <c r="B299">
        <v>15</v>
      </c>
      <c r="C299" t="s">
        <v>188</v>
      </c>
      <c r="G299" s="13">
        <f>D294*ABS(SUM(G294:G298)/2)</f>
      </c>
      <c r="H299" s="13">
        <f>D294*SIGN(SUM(G294:G298))*SUM(H294:H298)/6</f>
      </c>
      <c r="I299" s="13">
        <f>D294*SIGN(SUM(G294:G298))*SUM(I294:I298)/6</f>
      </c>
    </row>
    <row r="300" spans="2:9" x14ac:dyDescent="0.25">
      <c r="B300">
        <v>15</v>
      </c>
      <c r="C300" t="s">
        <v>152</v>
      </c>
      <c r="D300">
        <v>-1</v>
      </c>
      <c r="E300" s="17">
        <v>290.8204185362673</v>
      </c>
      <c r="F300" s="17">
        <v>400</v>
      </c>
      <c r="G300">
        <f>E300*F301-E301*F300</f>
      </c>
      <c r="H300">
        <f>(E300+E301)*G300</f>
      </c>
      <c r="I300">
        <f>(F300+F301)*G300</f>
      </c>
    </row>
    <row r="301" spans="2:9" x14ac:dyDescent="0.25">
      <c r="B301">
        <v>15</v>
      </c>
      <c r="C301" t="s">
        <v>152</v>
      </c>
      <c r="D301">
        <v>-1</v>
      </c>
      <c r="E301" s="17">
        <v>450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152</v>
      </c>
      <c r="D302">
        <v>-1</v>
      </c>
      <c r="E302" s="17">
        <v>550</v>
      </c>
      <c r="F302" s="17">
        <v>300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152</v>
      </c>
      <c r="D303">
        <v>-1</v>
      </c>
      <c r="E303" s="17">
        <v>550</v>
      </c>
      <c r="F303" s="17">
        <v>-300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152</v>
      </c>
      <c r="D304">
        <v>-1</v>
      </c>
      <c r="E304" s="17">
        <v>493.51891448849415</v>
      </c>
      <c r="F304" s="17">
        <v>-356.48108551150585</v>
      </c>
      <c r="G304">
        <f>E304*F300-E300*F304</f>
      </c>
      <c r="H304">
        <f>(E304+E300)*G304</f>
      </c>
      <c r="I304">
        <f>(F304+F300)*G304</f>
      </c>
    </row>
    <row r="305" spans="2:9" x14ac:dyDescent="0.25">
      <c r="B305">
        <v>15</v>
      </c>
      <c r="C305" t="s">
        <v>188</v>
      </c>
      <c r="G305" s="13">
        <f>D300*ABS(SUM(G300:G304)/2)</f>
      </c>
      <c r="H305" s="13">
        <f>D300*SIGN(SUM(G300:G304))*SUM(H300:H304)/6</f>
      </c>
      <c r="I305" s="13">
        <f>D300*SIGN(SUM(G300:G304))*SUM(I300:I304)/6</f>
      </c>
    </row>
    <row r="306" spans="2:9" x14ac:dyDescent="0.25">
      <c r="B306">
        <v>15</v>
      </c>
      <c r="C306" s="13" t="s">
        <v>189</v>
      </c>
      <c r="G306" s="14">
        <f>G299+G305</f>
      </c>
      <c r="H306" s="14">
        <f>H299+H305</f>
      </c>
      <c r="I306" s="14">
        <f>I299+I305</f>
      </c>
    </row>
    <row r="308" spans="2:9" x14ac:dyDescent="0.25">
      <c r="B308">
        <v>16</v>
      </c>
      <c r="C308" t="s">
        <v>149</v>
      </c>
      <c r="D308">
        <v>1</v>
      </c>
      <c r="E308" s="17">
        <v>621.0125720240501</v>
      </c>
      <c r="F308" s="17">
        <v>-528.9874279759499</v>
      </c>
      <c r="G308">
        <f>E308*F309-E309*F308</f>
      </c>
      <c r="H308">
        <f>(E308+E309)*G308</f>
      </c>
      <c r="I308">
        <f>(F308+F309)*G308</f>
      </c>
    </row>
    <row r="309" spans="2:9" x14ac:dyDescent="0.25">
      <c r="B309">
        <v>16</v>
      </c>
      <c r="C309" t="s">
        <v>149</v>
      </c>
      <c r="D309">
        <v>1</v>
      </c>
      <c r="E309" s="17">
        <v>750</v>
      </c>
      <c r="F309" s="17">
        <v>-400</v>
      </c>
      <c r="G309">
        <f>E309*F310-E310*F309</f>
      </c>
      <c r="H309">
        <f>(E309+E310)*G309</f>
      </c>
      <c r="I309">
        <f>(F309+F310)*G309</f>
      </c>
    </row>
    <row r="310" spans="2:9" x14ac:dyDescent="0.25">
      <c r="B310">
        <v>16</v>
      </c>
      <c r="C310" t="s">
        <v>149</v>
      </c>
      <c r="D310">
        <v>1</v>
      </c>
      <c r="E310" s="17">
        <v>750</v>
      </c>
      <c r="F310" s="17">
        <v>400</v>
      </c>
      <c r="G310">
        <f>E310*F311-E311*F310</f>
      </c>
      <c r="H310">
        <f>(E310+E311)*G310</f>
      </c>
      <c r="I310">
        <f>(F310+F311)*G310</f>
      </c>
    </row>
    <row r="311" spans="2:9" x14ac:dyDescent="0.25">
      <c r="B311">
        <v>16</v>
      </c>
      <c r="C311" t="s">
        <v>149</v>
      </c>
      <c r="D311">
        <v>1</v>
      </c>
      <c r="E311" s="17">
        <v>550</v>
      </c>
      <c r="F311" s="17">
        <v>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149</v>
      </c>
      <c r="D312">
        <v>1</v>
      </c>
      <c r="E312" s="17">
        <v>318.5013024330043</v>
      </c>
      <c r="F312" s="17">
        <v>600</v>
      </c>
      <c r="G312">
        <f>E312*F308-E308*F312</f>
      </c>
      <c r="H312">
        <f>(E312+E308)*G312</f>
      </c>
      <c r="I312">
        <f>(F312+F308)*G312</f>
      </c>
    </row>
    <row r="313" spans="2:9" x14ac:dyDescent="0.25">
      <c r="B313">
        <v>16</v>
      </c>
      <c r="C313" t="s">
        <v>188</v>
      </c>
      <c r="G313" s="13">
        <f>D308*ABS(SUM(G308:G312)/2)</f>
      </c>
      <c r="H313" s="13">
        <f>D308*SIGN(SUM(G308:G312))*SUM(H308:H312)/6</f>
      </c>
      <c r="I313" s="13">
        <f>D308*SIGN(SUM(G308:G312))*SUM(I308:I312)/6</f>
      </c>
    </row>
    <row r="314" spans="2:9" x14ac:dyDescent="0.25">
      <c r="B314">
        <v>16</v>
      </c>
      <c r="C314" t="s">
        <v>152</v>
      </c>
      <c r="D314">
        <v>-1</v>
      </c>
      <c r="E314" s="17">
        <v>372.0911409192288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152</v>
      </c>
      <c r="D315">
        <v>-1</v>
      </c>
      <c r="E315" s="17">
        <v>450</v>
      </c>
      <c r="F315" s="17">
        <v>400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152</v>
      </c>
      <c r="D316">
        <v>-1</v>
      </c>
      <c r="E316" s="17">
        <v>550</v>
      </c>
      <c r="F316" s="17">
        <v>300</v>
      </c>
      <c r="G316">
        <f>E316*F317-E317*F316</f>
      </c>
      <c r="H316">
        <f>(E316+E317)*G316</f>
      </c>
      <c r="I316">
        <f>(F316+F317)*G316</f>
      </c>
    </row>
    <row r="317" spans="2:9" x14ac:dyDescent="0.25">
      <c r="B317">
        <v>16</v>
      </c>
      <c r="C317" t="s">
        <v>152</v>
      </c>
      <c r="D317">
        <v>-1</v>
      </c>
      <c r="E317" s="17">
        <v>550</v>
      </c>
      <c r="F317" s="17">
        <v>-263.9649012060504</v>
      </c>
      <c r="G317">
        <f>E317*F314-E314*F317</f>
      </c>
      <c r="H317">
        <f>(E317+E314)*G317</f>
      </c>
      <c r="I317">
        <f>(F317+F314)*G317</f>
      </c>
    </row>
    <row r="318" spans="2:9" x14ac:dyDescent="0.25">
      <c r="B318">
        <v>16</v>
      </c>
      <c r="C318" t="s">
        <v>188</v>
      </c>
      <c r="G318" s="13">
        <f>D314*ABS(SUM(G314:G317)/2)</f>
      </c>
      <c r="H318" s="13">
        <f>D314*SIGN(SUM(G314:G317))*SUM(H314:H317)/6</f>
      </c>
      <c r="I318" s="13">
        <f>D314*SIGN(SUM(G314:G317))*SUM(I314:I317)/6</f>
      </c>
    </row>
    <row r="319" spans="2:9" x14ac:dyDescent="0.25">
      <c r="B319">
        <v>16</v>
      </c>
      <c r="C319" s="13" t="s">
        <v>189</v>
      </c>
      <c r="G319" s="14">
        <f>G313+G318</f>
      </c>
      <c r="H319" s="14">
        <f>H313+H318</f>
      </c>
      <c r="I319" s="14">
        <f>I313+I318</f>
      </c>
    </row>
    <row r="321" spans="2:9" x14ac:dyDescent="0.25">
      <c r="B321">
        <v>17</v>
      </c>
      <c r="C321" t="s">
        <v>149</v>
      </c>
      <c r="D321">
        <v>1</v>
      </c>
      <c r="E321" s="17">
        <v>665.8317179338394</v>
      </c>
      <c r="F321" s="17">
        <v>-484.1682820661606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17</v>
      </c>
      <c r="C322" t="s">
        <v>149</v>
      </c>
      <c r="D322">
        <v>1</v>
      </c>
      <c r="E322" s="17">
        <v>750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17</v>
      </c>
      <c r="C323" t="s">
        <v>149</v>
      </c>
      <c r="D323">
        <v>1</v>
      </c>
      <c r="E323" s="17">
        <v>750</v>
      </c>
      <c r="F323" s="17">
        <v>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17</v>
      </c>
      <c r="C324" t="s">
        <v>149</v>
      </c>
      <c r="D324">
        <v>1</v>
      </c>
      <c r="E324" s="17">
        <v>550</v>
      </c>
      <c r="F324" s="17">
        <v>600</v>
      </c>
      <c r="G324">
        <f>E324*F325-E325*F324</f>
      </c>
      <c r="H324">
        <f>(E324+E325)*G324</f>
      </c>
      <c r="I324">
        <f>(F324+F325)*G324</f>
      </c>
    </row>
    <row r="325" spans="2:9" x14ac:dyDescent="0.25">
      <c r="B325">
        <v>17</v>
      </c>
      <c r="C325" t="s">
        <v>149</v>
      </c>
      <c r="D325">
        <v>1</v>
      </c>
      <c r="E325" s="17">
        <v>375.3297022947744</v>
      </c>
      <c r="F325" s="17">
        <v>600</v>
      </c>
      <c r="G325">
        <f>E325*F321-E321*F325</f>
      </c>
      <c r="H325">
        <f>(E325+E321)*G325</f>
      </c>
      <c r="I325">
        <f>(F325+F321)*G325</f>
      </c>
    </row>
    <row r="326" spans="2:9" x14ac:dyDescent="0.25">
      <c r="B326">
        <v>17</v>
      </c>
      <c r="C326" t="s">
        <v>188</v>
      </c>
      <c r="G326" s="13">
        <f>D321*ABS(SUM(G321:G325)/2)</f>
      </c>
      <c r="H326" s="13">
        <f>D321*SIGN(SUM(G321:G325))*SUM(H321:H325)/6</f>
      </c>
      <c r="I326" s="13">
        <f>D321*SIGN(SUM(G321:G325))*SUM(I321:I325)/6</f>
      </c>
    </row>
    <row r="327" spans="2:9" x14ac:dyDescent="0.25">
      <c r="B327">
        <v>17</v>
      </c>
      <c r="C327" t="s">
        <v>152</v>
      </c>
      <c r="D327">
        <v>-1</v>
      </c>
      <c r="E327" s="17">
        <v>428.9195407809989</v>
      </c>
      <c r="F327" s="17">
        <v>400</v>
      </c>
      <c r="G327">
        <f>E327*F328-E328*F327</f>
      </c>
      <c r="H327">
        <f>(E327+E328)*G327</f>
      </c>
      <c r="I327">
        <f>(F327+F328)*G327</f>
      </c>
    </row>
    <row r="328" spans="2:9" x14ac:dyDescent="0.25">
      <c r="B328">
        <v>17</v>
      </c>
      <c r="C328" t="s">
        <v>152</v>
      </c>
      <c r="D328">
        <v>-1</v>
      </c>
      <c r="E328" s="17">
        <v>450</v>
      </c>
      <c r="F328" s="17">
        <v>400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152</v>
      </c>
      <c r="D329">
        <v>-1</v>
      </c>
      <c r="E329" s="17">
        <v>550</v>
      </c>
      <c r="F329" s="17">
        <v>300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152</v>
      </c>
      <c r="D330">
        <v>-1</v>
      </c>
      <c r="E330" s="17">
        <v>550</v>
      </c>
      <c r="F330" s="17">
        <v>-51.87842560908416</v>
      </c>
      <c r="G330">
        <f>E330*F327-E327*F330</f>
      </c>
      <c r="H330">
        <f>(E330+E327)*G330</f>
      </c>
      <c r="I330">
        <f>(F330+F327)*G330</f>
      </c>
    </row>
    <row r="331" spans="2:9" x14ac:dyDescent="0.25">
      <c r="B331">
        <v>17</v>
      </c>
      <c r="C331" t="s">
        <v>188</v>
      </c>
      <c r="G331" s="13">
        <f>D327*ABS(SUM(G327:G330)/2)</f>
      </c>
      <c r="H331" s="13">
        <f>D327*SIGN(SUM(G327:G330))*SUM(H327:H330)/6</f>
      </c>
      <c r="I331" s="13">
        <f>D327*SIGN(SUM(G327:G330))*SUM(I327:I330)/6</f>
      </c>
    </row>
    <row r="332" spans="2:9" x14ac:dyDescent="0.25">
      <c r="B332">
        <v>17</v>
      </c>
      <c r="C332" s="13" t="s">
        <v>189</v>
      </c>
      <c r="G332" s="14">
        <f>G326+G331</f>
      </c>
      <c r="H332" s="14">
        <f>H326+H331</f>
      </c>
      <c r="I332" s="14">
        <f>I326+I331</f>
      </c>
    </row>
    <row r="334" spans="2:9" x14ac:dyDescent="0.25">
      <c r="B334">
        <v>18</v>
      </c>
      <c r="C334" t="s">
        <v>149</v>
      </c>
      <c r="D334">
        <v>1</v>
      </c>
      <c r="E334" s="17">
        <v>735.0197437235416</v>
      </c>
      <c r="F334" s="17">
        <v>-414.98025627645836</v>
      </c>
      <c r="G334">
        <f>E334*F335-E335*F334</f>
      </c>
      <c r="H334">
        <f>(E334+E335)*G334</f>
      </c>
      <c r="I334">
        <f>(F334+F335)*G334</f>
      </c>
    </row>
    <row r="335" spans="2:9" x14ac:dyDescent="0.25">
      <c r="B335">
        <v>18</v>
      </c>
      <c r="C335" t="s">
        <v>149</v>
      </c>
      <c r="D335">
        <v>1</v>
      </c>
      <c r="E335" s="17">
        <v>750</v>
      </c>
      <c r="F335" s="17">
        <v>-400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18</v>
      </c>
      <c r="C336" t="s">
        <v>149</v>
      </c>
      <c r="D336">
        <v>1</v>
      </c>
      <c r="E336" s="17">
        <v>750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18</v>
      </c>
      <c r="C337" t="s">
        <v>149</v>
      </c>
      <c r="D337">
        <v>1</v>
      </c>
      <c r="E337" s="17">
        <v>550</v>
      </c>
      <c r="F337" s="17">
        <v>600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18</v>
      </c>
      <c r="C338" t="s">
        <v>149</v>
      </c>
      <c r="D338">
        <v>1</v>
      </c>
      <c r="E338" s="17">
        <v>463.05660372073095</v>
      </c>
      <c r="F338" s="17">
        <v>600</v>
      </c>
      <c r="G338">
        <f>E338*F334-E334*F338</f>
      </c>
      <c r="H338">
        <f>(E338+E334)*G338</f>
      </c>
      <c r="I338">
        <f>(F338+F334)*G338</f>
      </c>
    </row>
    <row r="339" spans="2:9" x14ac:dyDescent="0.25">
      <c r="B339">
        <v>18</v>
      </c>
      <c r="C339" t="s">
        <v>188</v>
      </c>
      <c r="G339" s="13">
        <f>D334*ABS(SUM(G334:G338)/2)</f>
      </c>
      <c r="H339" s="13">
        <f>D334*SIGN(SUM(G334:G338))*SUM(H334:H338)/6</f>
      </c>
      <c r="I339" s="13">
        <f>D334*SIGN(SUM(G334:G338))*SUM(I334:I338)/6</f>
      </c>
    </row>
    <row r="340" spans="2:9" x14ac:dyDescent="0.25">
      <c r="B340">
        <v>18</v>
      </c>
      <c r="C340" t="s">
        <v>152</v>
      </c>
      <c r="D340">
        <v>-1</v>
      </c>
      <c r="E340" s="17">
        <v>541.0407331265526</v>
      </c>
      <c r="F340" s="17">
        <v>308.9592668734474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18</v>
      </c>
      <c r="C341" t="s">
        <v>152</v>
      </c>
      <c r="D341">
        <v>-1</v>
      </c>
      <c r="E341" s="17">
        <v>550</v>
      </c>
      <c r="F341" s="17">
        <v>300</v>
      </c>
      <c r="G341">
        <f>E341*F342-E342*F341</f>
      </c>
      <c r="H341">
        <f>(E341+E342)*G341</f>
      </c>
      <c r="I341">
        <f>(F341+F342)*G341</f>
      </c>
    </row>
    <row r="342" spans="2:9" x14ac:dyDescent="0.25">
      <c r="B342">
        <v>18</v>
      </c>
      <c r="C342" t="s">
        <v>152</v>
      </c>
      <c r="D342">
        <v>-1</v>
      </c>
      <c r="E342" s="17">
        <v>550</v>
      </c>
      <c r="F342" s="17">
        <v>275.5228277031729</v>
      </c>
      <c r="G342">
        <f>E342*F340-E340*F342</f>
      </c>
      <c r="H342">
        <f>(E342+E340)*G342</f>
      </c>
      <c r="I342">
        <f>(F342+F340)*G342</f>
      </c>
    </row>
    <row r="343" spans="2:9" x14ac:dyDescent="0.25">
      <c r="B343">
        <v>18</v>
      </c>
      <c r="C343" t="s">
        <v>188</v>
      </c>
      <c r="G343" s="13">
        <f>D340*ABS(SUM(G340:G342)/2)</f>
      </c>
      <c r="H343" s="13">
        <f>D340*SIGN(SUM(G340:G342))*SUM(H340:H342)/6</f>
      </c>
      <c r="I343" s="13">
        <f>D340*SIGN(SUM(G340:G342))*SUM(I340:I342)/6</f>
      </c>
    </row>
    <row r="344" spans="2:9" x14ac:dyDescent="0.25">
      <c r="B344">
        <v>18</v>
      </c>
      <c r="C344" s="13" t="s">
        <v>189</v>
      </c>
      <c r="G344" s="14">
        <f>G339+G343</f>
      </c>
      <c r="H344" s="14">
        <f>H339+H343</f>
      </c>
      <c r="I344" s="14">
        <f>I339+I343</f>
      </c>
    </row>
    <row r="346" spans="2:9" x14ac:dyDescent="0.25">
      <c r="B346">
        <v>19</v>
      </c>
      <c r="C346" t="s">
        <v>149</v>
      </c>
      <c r="D346">
        <v>1</v>
      </c>
      <c r="E346" s="17">
        <v>750</v>
      </c>
      <c r="F346" s="17">
        <v>-284.0016398598304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19</v>
      </c>
      <c r="C347" t="s">
        <v>149</v>
      </c>
      <c r="D347">
        <v>1</v>
      </c>
      <c r="E347" s="17">
        <v>750</v>
      </c>
      <c r="F347" s="17">
        <v>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19</v>
      </c>
      <c r="C348" t="s">
        <v>149</v>
      </c>
      <c r="D348">
        <v>1</v>
      </c>
      <c r="E348" s="17">
        <v>550</v>
      </c>
      <c r="F348" s="17">
        <v>600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19</v>
      </c>
      <c r="C349" t="s">
        <v>149</v>
      </c>
      <c r="D349">
        <v>1</v>
      </c>
      <c r="E349" s="17">
        <v>513.1324744917705</v>
      </c>
      <c r="F349" s="17">
        <v>600</v>
      </c>
      <c r="G349">
        <f>E349*F346-E346*F349</f>
      </c>
      <c r="H349">
        <f>(E349+E346)*G349</f>
      </c>
      <c r="I349">
        <f>(F349+F346)*G349</f>
      </c>
    </row>
    <row r="350" spans="2:9" x14ac:dyDescent="0.25">
      <c r="B350">
        <v>19</v>
      </c>
      <c r="C350" t="s">
        <v>188</v>
      </c>
      <c r="G350" s="13">
        <f>D346*ABS(SUM(G346:G349)/2)</f>
      </c>
      <c r="H350" s="13">
        <f>D346*SIGN(SUM(G346:G349))*SUM(H346:H349)/6</f>
      </c>
      <c r="I350" s="13">
        <f>D346*SIGN(SUM(G346:G349))*SUM(I346:I349)/6</f>
      </c>
    </row>
    <row r="351" spans="2:9" x14ac:dyDescent="0.25">
      <c r="B351">
        <v>19</v>
      </c>
      <c r="C351" s="13" t="s">
        <v>189</v>
      </c>
      <c r="G351" s="14">
        <f>G350</f>
      </c>
      <c r="H351" s="14">
        <f>H350</f>
      </c>
      <c r="I351" s="14">
        <f>I350</f>
      </c>
    </row>
    <row r="353" spans="2:9" x14ac:dyDescent="0.25">
      <c r="B353">
        <v>20</v>
      </c>
      <c r="C353" t="s">
        <v>149</v>
      </c>
      <c r="D353">
        <v>1</v>
      </c>
      <c r="E353" s="17">
        <v>750</v>
      </c>
      <c r="F353" s="17">
        <v>31.934452454179223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20</v>
      </c>
      <c r="C354" t="s">
        <v>149</v>
      </c>
      <c r="D354">
        <v>1</v>
      </c>
      <c r="E354" s="17">
        <v>750</v>
      </c>
      <c r="F354" s="17">
        <v>400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20</v>
      </c>
      <c r="C355" t="s">
        <v>149</v>
      </c>
      <c r="D355">
        <v>1</v>
      </c>
      <c r="E355" s="17">
        <v>615.2786593404006</v>
      </c>
      <c r="F355" s="17">
        <v>534.7213406595994</v>
      </c>
      <c r="G355">
        <f>E355*F353-E353*F355</f>
      </c>
      <c r="H355">
        <f>(E355+E353)*G355</f>
      </c>
      <c r="I355">
        <f>(F355+F353)*G355</f>
      </c>
    </row>
    <row r="356" spans="2:9" x14ac:dyDescent="0.25">
      <c r="B356">
        <v>20</v>
      </c>
      <c r="C356" t="s">
        <v>188</v>
      </c>
      <c r="G356" s="13">
        <f>D353*ABS(SUM(G353:G355)/2)</f>
      </c>
      <c r="H356" s="13">
        <f>D353*SIGN(SUM(G353:G355))*SUM(H353:H355)/6</f>
      </c>
      <c r="I356" s="13">
        <f>D353*SIGN(SUM(G353:G355))*SUM(I353:I355)/6</f>
      </c>
    </row>
    <row r="357" spans="2:9" x14ac:dyDescent="0.25">
      <c r="B357">
        <v>20</v>
      </c>
      <c r="C357" s="13" t="s">
        <v>189</v>
      </c>
      <c r="G357" s="14">
        <f>G356</f>
      </c>
      <c r="H357" s="14">
        <f>H356</f>
      </c>
      <c r="I357" s="14">
        <f>I356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190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192</v>
      </c>
      <c r="C5" s="11" t="s">
        <v>193</v>
      </c>
      <c r="D5" s="11" t="s">
        <v>194</v>
      </c>
      <c r="E5" s="11" t="s">
        <v>195</v>
      </c>
      <c r="F5" s="11" t="s">
        <v>196</v>
      </c>
      <c r="G5" s="11" t="s">
        <v>197</v>
      </c>
      <c r="H5" s="11" t="s">
        <v>198</v>
      </c>
      <c r="I5" s="11" t="s">
        <v>199</v>
      </c>
      <c r="J5" s="11" t="s">
        <v>200</v>
      </c>
      <c r="K5" s="11" t="s">
        <v>201</v>
      </c>
      <c r="L5" s="11" t="s">
        <v>202</v>
      </c>
      <c r="M5" s="11" t="s">
        <v>203</v>
      </c>
    </row>
    <row r="6" spans="2:13" x14ac:dyDescent="0.25">
      <c r="B6">
        <v>1</v>
      </c>
      <c r="C6" s="17">
        <v>1655.9439755156188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904090.2215674375</v>
      </c>
    </row>
    <row r="7" spans="2:13" x14ac:dyDescent="0.25">
      <c r="B7">
        <v>2</v>
      </c>
      <c r="C7" s="17">
        <v>1562.447263165132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867341.9089847959</v>
      </c>
    </row>
    <row r="8" spans="2:13" x14ac:dyDescent="0.25">
      <c r="B8">
        <v>3</v>
      </c>
      <c r="C8" s="17">
        <v>1356.8620969591934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793405.4972965524</v>
      </c>
    </row>
    <row r="9" spans="2:13" x14ac:dyDescent="0.25">
      <c r="B9">
        <v>4</v>
      </c>
      <c r="C9" s="17">
        <v>1273.1051773938111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757187.2534326452</v>
      </c>
    </row>
    <row r="10" spans="2:13" x14ac:dyDescent="0.25">
      <c r="B10">
        <v>5</v>
      </c>
      <c r="C10" s="17">
        <v>1199.087434522078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711905.9286392333</v>
      </c>
    </row>
    <row r="11" spans="2:13" x14ac:dyDescent="0.25">
      <c r="B11">
        <v>6</v>
      </c>
      <c r="C11" s="17">
        <v>1133.2035095483375</v>
      </c>
      <c r="D11" s="12">
        <f>beta_1*C11</f>
      </c>
      <c r="E11" s="12">
        <f>Block_Clip!G149</f>
      </c>
      <c r="F11" s="12">
        <f>Block_Clip!H149</f>
      </c>
      <c r="G11" s="12">
        <f>Block_Clip!I149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657284.0401097928</v>
      </c>
    </row>
    <row r="12" spans="2:13" x14ac:dyDescent="0.25">
      <c r="B12">
        <v>7</v>
      </c>
      <c r="C12" s="17">
        <v>1074.1824934260283</v>
      </c>
      <c r="D12" s="12">
        <f>beta_1*C12</f>
      </c>
      <c r="E12" s="12">
        <f>Block_Clip!G167</f>
      </c>
      <c r="F12" s="12">
        <f>Block_Clip!H167</f>
      </c>
      <c r="G12" s="12">
        <f>Block_Clip!I167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598976.9145362398</v>
      </c>
    </row>
    <row r="13" spans="2:13" x14ac:dyDescent="0.25">
      <c r="B13">
        <v>8</v>
      </c>
      <c r="C13" s="17">
        <v>1021.0051422663239</v>
      </c>
      <c r="D13" s="12">
        <f>beta_1*C13</f>
      </c>
      <c r="E13" s="12">
        <f>Block_Clip!G185</f>
      </c>
      <c r="F13" s="12">
        <f>Block_Clip!H185</f>
      </c>
      <c r="G13" s="12">
        <f>Block_Clip!I185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546125.7993430132</v>
      </c>
    </row>
    <row r="14" spans="2:13" x14ac:dyDescent="0.25">
      <c r="B14">
        <v>9</v>
      </c>
      <c r="C14" s="17">
        <v>972.8445223481011</v>
      </c>
      <c r="D14" s="12">
        <f>beta_1*C14</f>
      </c>
      <c r="E14" s="12">
        <f>Block_Clip!G203</f>
      </c>
      <c r="F14" s="12">
        <f>Block_Clip!H203</f>
      </c>
      <c r="G14" s="12">
        <f>Block_Clip!I203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498260.63841329864</v>
      </c>
    </row>
    <row r="15" spans="2:13" x14ac:dyDescent="0.25">
      <c r="B15">
        <v>10</v>
      </c>
      <c r="C15" s="17">
        <v>888.9786152491268</v>
      </c>
      <c r="D15" s="12">
        <f>beta_1*C15</f>
      </c>
      <c r="E15" s="12">
        <f>Block_Clip!G222</f>
      </c>
      <c r="F15" s="12">
        <f>Block_Clip!H222</f>
      </c>
      <c r="G15" s="12">
        <f>Block_Clip!I222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421615.87495803693</v>
      </c>
    </row>
    <row r="16" spans="2:13" x14ac:dyDescent="0.25">
      <c r="B16">
        <v>11</v>
      </c>
      <c r="C16" s="17">
        <v>818.4247568960214</v>
      </c>
      <c r="D16" s="12">
        <f>beta_1*C16</f>
      </c>
      <c r="E16" s="12">
        <f>Block_Clip!G240</f>
      </c>
      <c r="F16" s="12">
        <f>Block_Clip!H240</f>
      </c>
      <c r="G16" s="12">
        <f>Block_Clip!I240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374568.10008135275</v>
      </c>
    </row>
    <row r="17" spans="2:13" x14ac:dyDescent="0.25">
      <c r="B17">
        <v>12</v>
      </c>
      <c r="C17" s="17">
        <v>758.2464659477846</v>
      </c>
      <c r="D17" s="12">
        <f>beta_1*C17</f>
      </c>
      <c r="E17" s="12">
        <f>Block_Clip!G258</f>
      </c>
      <c r="F17" s="12">
        <f>Block_Clip!H258</f>
      </c>
      <c r="G17" s="12">
        <f>Block_Clip!I258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344788.8754235967</v>
      </c>
    </row>
    <row r="18" spans="2:13" x14ac:dyDescent="0.25">
      <c r="B18">
        <v>13</v>
      </c>
      <c r="C18" s="17">
        <v>706.3117764993063</v>
      </c>
      <c r="D18" s="12">
        <f>beta_1*C18</f>
      </c>
      <c r="E18" s="12">
        <f>Block_Clip!G275</f>
      </c>
      <c r="F18" s="12">
        <f>Block_Clip!H275</f>
      </c>
      <c r="G18" s="12">
        <f>Block_Clip!I275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323968.9080402689</v>
      </c>
    </row>
    <row r="19" spans="2:13" x14ac:dyDescent="0.25">
      <c r="B19">
        <v>14</v>
      </c>
      <c r="C19" s="17">
        <v>621.2139721017994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293012.0354328243</v>
      </c>
    </row>
    <row r="20" spans="2:13" x14ac:dyDescent="0.25">
      <c r="B20">
        <v>15</v>
      </c>
      <c r="C20" s="17">
        <v>554.4167708005307</v>
      </c>
      <c r="D20" s="12">
        <f>beta_1*C20</f>
      </c>
      <c r="E20" s="12">
        <f>Block_Clip!G306</f>
      </c>
      <c r="F20" s="12">
        <f>Block_Clip!H306</f>
      </c>
      <c r="G20" s="12">
        <f>Block_Clip!I306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269629.60685158736</v>
      </c>
    </row>
    <row r="21" spans="2:13" x14ac:dyDescent="0.25">
      <c r="B21">
        <v>16</v>
      </c>
      <c r="C21" s="17">
        <v>456.28990871194117</v>
      </c>
      <c r="D21" s="12">
        <f>beta_1*C21</f>
      </c>
      <c r="E21" s="12">
        <f>Block_Clip!G319</f>
      </c>
      <c r="F21" s="12">
        <f>Block_Clip!H319</f>
      </c>
      <c r="G21" s="12">
        <f>Block_Clip!I319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234009.39733691962</v>
      </c>
    </row>
    <row r="22" spans="2:13" x14ac:dyDescent="0.25">
      <c r="B22">
        <v>17</v>
      </c>
      <c r="C22" s="17">
        <v>387.67488484548386</v>
      </c>
      <c r="D22" s="12">
        <f>beta_1*C22</f>
      </c>
      <c r="E22" s="12">
        <f>Block_Clip!G332</f>
      </c>
      <c r="F22" s="12">
        <f>Block_Clip!H332</f>
      </c>
      <c r="G22" s="12">
        <f>Block_Clip!I332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202830.14389327238</v>
      </c>
    </row>
    <row r="23" spans="2:13" x14ac:dyDescent="0.25">
      <c r="B23">
        <v>18</v>
      </c>
      <c r="C23" s="17">
        <v>281.75278516092544</v>
      </c>
      <c r="D23" s="12">
        <f>beta_1*C23</f>
      </c>
      <c r="E23" s="12">
        <f>Block_Clip!G344</f>
      </c>
      <c r="F23" s="12">
        <f>Block_Clip!H344</f>
      </c>
      <c r="G23" s="12">
        <f>Block_Clip!I344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133001.42032495682</v>
      </c>
    </row>
    <row r="24" spans="2:13" x14ac:dyDescent="0.25">
      <c r="B24">
        <v>19</v>
      </c>
      <c r="C24" s="17">
        <v>221.29081409634915</v>
      </c>
      <c r="D24" s="12">
        <f>beta_1*C24</f>
      </c>
      <c r="E24" s="12">
        <f>Block_Clip!G351</f>
      </c>
      <c r="F24" s="12">
        <f>Block_Clip!H351</f>
      </c>
      <c r="G24" s="12">
        <f>Block_Clip!I351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84695.64048940752</v>
      </c>
    </row>
    <row r="25" spans="2:13" x14ac:dyDescent="0.25">
      <c r="B25">
        <v>20</v>
      </c>
      <c r="C25" s="17">
        <v>119.07796693868211</v>
      </c>
      <c r="D25" s="12">
        <f>beta_1*C25</f>
      </c>
      <c r="E25" s="12">
        <f>Block_Clip!G357</f>
      </c>
      <c r="F25" s="12">
        <f>Block_Clip!H357</f>
      </c>
      <c r="G25" s="12">
        <f>Block_Clip!I357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24793.142007991235</v>
      </c>
    </row>
    <row r="27" spans="2:8" x14ac:dyDescent="0.25">
      <c r="B27" s="13" t="s">
        <v>204</v>
      </c>
      <c r="E27" s="19">
        <f>MAX(ABS(E6:E25-M6:M25))</f>
      </c>
      <c r="F27">
        <f>IF(E27&lt;=0.000001*MAX(M6:M25),"OK - the clipped polygon reproduces the area used by the kernel","CHECK - clipped area disagrees")</f>
      </c>
      <c r="H27" s="2" t="s">
        <v>205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36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192</v>
      </c>
      <c r="C5" s="11" t="s">
        <v>208</v>
      </c>
      <c r="D5" s="11" t="s">
        <v>193</v>
      </c>
      <c r="E5" s="11" t="s">
        <v>209</v>
      </c>
      <c r="F5" s="11" t="s">
        <v>210</v>
      </c>
      <c r="G5" s="11" t="s">
        <v>211</v>
      </c>
      <c r="H5" s="11" t="s">
        <v>212</v>
      </c>
      <c r="I5" s="11" t="s">
        <v>213</v>
      </c>
      <c r="J5" s="11" t="s">
        <v>214</v>
      </c>
      <c r="K5" s="11" t="s">
        <v>215</v>
      </c>
      <c r="L5" s="11" t="s">
        <v>216</v>
      </c>
      <c r="M5" s="11" t="s">
        <v>217</v>
      </c>
      <c r="N5" s="11" t="s">
        <v>218</v>
      </c>
      <c r="O5" s="11" t="s">
        <v>219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8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192</v>
      </c>
      <c r="C6" s="11" t="s">
        <v>193</v>
      </c>
      <c r="D6" s="11" t="s">
        <v>200</v>
      </c>
      <c r="E6" s="11" t="s">
        <v>222</v>
      </c>
      <c r="F6" s="11" t="s">
        <v>223</v>
      </c>
      <c r="G6" s="11" t="s">
        <v>224</v>
      </c>
      <c r="H6" s="11" t="s">
        <v>225</v>
      </c>
      <c r="I6" s="11" t="s">
        <v>226</v>
      </c>
      <c r="J6" s="11" t="s">
        <v>227</v>
      </c>
      <c r="K6" s="11" t="s">
        <v>228</v>
      </c>
      <c r="L6" s="11" t="s">
        <v>229</v>
      </c>
      <c r="M6" s="11" t="s">
        <v>230</v>
      </c>
      <c r="N6" s="11" t="s">
        <v>231</v>
      </c>
      <c r="O6" s="11" t="s">
        <v>232</v>
      </c>
      <c r="P6" s="11" t="s">
        <v>233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16626.939329909957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14973.985384972373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14162.54842765627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13193.626987880902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12055.494692156943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10869.609998374528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9760.82827069831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8734.688734939808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7473.186916190551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6706.847717516592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6190.548810270714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5800.618413798187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5190.594334869807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4312.180659173067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3015.2867777491033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1978.236893113481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-80.09316185950794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-1514.3820201479796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-3857.426617095661</v>
      </c>
      <c r="P26" s="19">
        <f>L26-O26</f>
      </c>
    </row>
    <row r="28" spans="2:16" x14ac:dyDescent="0.25">
      <c r="B28" s="13" t="s">
        <v>234</v>
      </c>
      <c r="L28">
        <f>IF(P28&lt;=0.000001*MAX(ABS(O7:O26)),"OK - the sheet reproduces the design resultants","CHECK - the sheet and the solver disagree")</f>
      </c>
      <c r="P28" s="19">
        <f>MAX(ABS(P7:P26))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51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237</v>
      </c>
      <c r="C7" s="11" t="s">
        <v>238</v>
      </c>
      <c r="D7" s="11" t="s">
        <v>239</v>
      </c>
      <c r="E7" s="11" t="s">
        <v>240</v>
      </c>
      <c r="F7" s="11" t="s">
        <v>218</v>
      </c>
      <c r="G7" s="11" t="s">
        <v>219</v>
      </c>
      <c r="H7" s="11" t="s">
        <v>241</v>
      </c>
      <c r="I7" s="11" t="s">
        <v>242</v>
      </c>
      <c r="J7" s="11" t="s">
        <v>243</v>
      </c>
      <c r="K7" s="11" t="s">
        <v>244</v>
      </c>
      <c r="L7" s="11" t="s">
        <v>245</v>
      </c>
      <c r="M7" s="11" t="s">
        <v>246</v>
      </c>
      <c r="N7" s="11" t="s">
        <v>247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14122.383123361997</v>
      </c>
      <c r="F11" s="18">
        <v>1.743435859680176e-13</v>
      </c>
      <c r="G11" s="18">
        <v>4067.5747286664414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13152.449960230397</v>
      </c>
      <c r="F12" s="18">
        <v>-9.685754776000977e-15</v>
      </c>
      <c r="G12" s="18">
        <v>4269.512275466682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11964.127186505839</v>
      </c>
      <c r="F13" s="18">
        <v>-1.3560056686401366e-13</v>
      </c>
      <c r="G13" s="18">
        <v>4459.9747030576145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10875.75001078793</v>
      </c>
      <c r="F14" s="18">
        <v>-9.685754776000977e-15</v>
      </c>
      <c r="G14" s="18">
        <v>4600.75578429855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9899.135839327542</v>
      </c>
      <c r="F15" s="18">
        <v>-9.685754776000977e-15</v>
      </c>
      <c r="G15" s="18">
        <v>4704.782137458227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8968.920285263712</v>
      </c>
      <c r="F16" s="18">
        <v>1.743435859680176e-13</v>
      </c>
      <c r="G16" s="18">
        <v>4781.543944731383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7857.25862801192</v>
      </c>
      <c r="F17" s="18">
        <v>1.8328428268432618e-13</v>
      </c>
      <c r="G17" s="18">
        <v>4969.916807334376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6813.738571802294</v>
      </c>
      <c r="F18" s="18">
        <v>3.203749656677246e-14</v>
      </c>
      <c r="G18" s="18">
        <v>5104.322117480474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6387.769502061074</v>
      </c>
      <c r="F19" s="18">
        <v>-8.381903171539307e-14</v>
      </c>
      <c r="G19" s="18">
        <v>5278.757253356991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6115.948112681747</v>
      </c>
      <c r="F20" s="18">
        <v>8.754432201385496e-14</v>
      </c>
      <c r="G20" s="18">
        <v>5437.974372072232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5651.216252728246</v>
      </c>
      <c r="F21" s="18">
        <v>-3.799796104431152e-14</v>
      </c>
      <c r="G21" s="18">
        <v>5733.468299427717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4911.672282887007</v>
      </c>
      <c r="F22" s="18">
        <v>-1.424923539161682e-14</v>
      </c>
      <c r="G22" s="18">
        <v>5550.13844608314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3863.9307841404243</v>
      </c>
      <c r="F23" s="18">
        <v>1.0686926543712616e-13</v>
      </c>
      <c r="G23" s="18">
        <v>5231.774613725775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3078.510649788941</v>
      </c>
      <c r="F24" s="18">
        <v>9.34116542339325e-14</v>
      </c>
      <c r="G24" s="18">
        <v>4941.459462632535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1836.3300516777654</v>
      </c>
      <c r="F25" s="18">
        <v>-2.818182110786438e-13</v>
      </c>
      <c r="G25" s="18">
        <v>4363.068796673947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574.3755570888032</v>
      </c>
      <c r="F26" s="18">
        <v>1.2665987014770508e-14</v>
      </c>
      <c r="G26" s="18">
        <v>3684.9592098968396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7" x14ac:dyDescent="0.25">
      <c r="B27">
        <v>1</v>
      </c>
      <c r="C27">
        <v>0</v>
      </c>
      <c r="D27">
        <v>20</v>
      </c>
      <c r="E27" s="18">
        <v>-1575.8014989798983</v>
      </c>
      <c r="F27" s="18">
        <v>0</v>
      </c>
      <c r="G27" s="18">
        <v>2317.290836598565</v>
      </c>
    </row>
    <row r="29" spans="2:14" x14ac:dyDescent="0.25">
      <c r="B29">
        <v>2</v>
      </c>
      <c r="C29">
        <v>9.99999999999999</v>
      </c>
      <c r="D29">
        <v>1</v>
      </c>
      <c r="E29" s="18">
        <v>17160.5372918961</v>
      </c>
      <c r="F29" s="18">
        <v>389.96615088474664</v>
      </c>
      <c r="G29" s="18">
        <v>2926.2989089935727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9.99999999999999</v>
      </c>
      <c r="D30">
        <v>2</v>
      </c>
      <c r="E30" s="18">
        <v>16482.915678103578</v>
      </c>
      <c r="F30" s="18">
        <v>379.93417592649007</v>
      </c>
      <c r="G30" s="18">
        <v>3233.006136517534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9.99999999999999</v>
      </c>
      <c r="D31">
        <v>3</v>
      </c>
      <c r="E31" s="18">
        <v>14953.5664631096</v>
      </c>
      <c r="F31" s="18">
        <v>409.1672677716054</v>
      </c>
      <c r="G31" s="18">
        <v>3785.0816502798584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9.99999999999999</v>
      </c>
      <c r="D32">
        <v>4</v>
      </c>
      <c r="E32" s="18">
        <v>14189.9169724325</v>
      </c>
      <c r="F32" s="18">
        <v>452.49638234268974</v>
      </c>
      <c r="G32" s="18">
        <v>3985.8088712490326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9.99999999999999</v>
      </c>
      <c r="D33">
        <v>5</v>
      </c>
      <c r="E33" s="18">
        <v>13224.12187353447</v>
      </c>
      <c r="F33" s="18">
        <v>527.1542102059894</v>
      </c>
      <c r="G33" s="18">
        <v>4176.260623380165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9.99999999999999</v>
      </c>
      <c r="D34">
        <v>6</v>
      </c>
      <c r="E34" s="18">
        <v>12049.303200243863</v>
      </c>
      <c r="F34" s="18">
        <v>557.3194740297524</v>
      </c>
      <c r="G34" s="18">
        <v>4357.216258753513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9.99999999999999</v>
      </c>
      <c r="D35">
        <v>7</v>
      </c>
      <c r="E35" s="18">
        <v>10882.03014633719</v>
      </c>
      <c r="F35" s="18">
        <v>569.1636399553829</v>
      </c>
      <c r="G35" s="18">
        <v>4495.080660339652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9.99999999999999</v>
      </c>
      <c r="D36">
        <v>8</v>
      </c>
      <c r="E36" s="18">
        <v>9807.204787479057</v>
      </c>
      <c r="F36" s="18">
        <v>581.0078058810136</v>
      </c>
      <c r="G36" s="18">
        <v>4590.107387345258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9.99999999999999</v>
      </c>
      <c r="D37">
        <v>9</v>
      </c>
      <c r="E37" s="18">
        <v>8811.744902672026</v>
      </c>
      <c r="F37" s="18">
        <v>592.851971806644</v>
      </c>
      <c r="G37" s="18">
        <v>4653.419777870587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2</v>
      </c>
      <c r="C38">
        <v>9.99999999999999</v>
      </c>
      <c r="D38">
        <v>10</v>
      </c>
      <c r="E38" s="18">
        <v>7554.8212352455475</v>
      </c>
      <c r="F38" s="18">
        <v>629.2636304450849</v>
      </c>
      <c r="G38" s="18">
        <v>4872.53436107189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2</v>
      </c>
      <c r="C39">
        <v>9.99999999999999</v>
      </c>
      <c r="D39">
        <v>11</v>
      </c>
      <c r="E39" s="18">
        <v>6714.254209604634</v>
      </c>
      <c r="F39" s="18">
        <v>622.4741719124372</v>
      </c>
      <c r="G39" s="18">
        <v>5024.666822220722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2</v>
      </c>
      <c r="C40">
        <v>9.99999999999999</v>
      </c>
      <c r="D40">
        <v>12</v>
      </c>
      <c r="E40" s="18">
        <v>6241.595168470391</v>
      </c>
      <c r="F40" s="18">
        <v>598.2748259247434</v>
      </c>
      <c r="G40" s="18">
        <v>5177.739773431791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2</v>
      </c>
      <c r="C41">
        <v>9.99999999999999</v>
      </c>
      <c r="D41">
        <v>13</v>
      </c>
      <c r="E41" s="18">
        <v>5851.642581568081</v>
      </c>
      <c r="F41" s="18">
        <v>595.6463231611663</v>
      </c>
      <c r="G41" s="18">
        <v>5330.454135196836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2</v>
      </c>
      <c r="C42">
        <v>9.99999999999999</v>
      </c>
      <c r="D42">
        <v>14</v>
      </c>
      <c r="E42" s="18">
        <v>5343.848383686968</v>
      </c>
      <c r="F42" s="18">
        <v>620.2554043386117</v>
      </c>
      <c r="G42" s="18">
        <v>5582.254286576713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2</v>
      </c>
      <c r="C43">
        <v>9.99999999999999</v>
      </c>
      <c r="D43">
        <v>15</v>
      </c>
      <c r="E43" s="18">
        <v>4531.627976453666</v>
      </c>
      <c r="F43" s="18">
        <v>608.8460989297046</v>
      </c>
      <c r="G43" s="18">
        <v>5377.676827712433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2</v>
      </c>
      <c r="C44">
        <v>9.99999999999999</v>
      </c>
      <c r="D44">
        <v>16</v>
      </c>
      <c r="E44" s="18">
        <v>3291.226365194617</v>
      </c>
      <c r="F44" s="18">
        <v>600.5467022609339</v>
      </c>
      <c r="G44" s="18">
        <v>4954.469212448919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2</v>
      </c>
      <c r="C45">
        <v>9.99999999999999</v>
      </c>
      <c r="D45">
        <v>17</v>
      </c>
      <c r="E45" s="18">
        <v>2460.184350772154</v>
      </c>
      <c r="F45" s="18">
        <v>612.89358057199</v>
      </c>
      <c r="G45" s="18">
        <v>4582.550901470423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9.99999999999999</v>
      </c>
      <c r="D46">
        <v>18</v>
      </c>
      <c r="E46" s="18">
        <v>500.36993141701095</v>
      </c>
      <c r="F46" s="18">
        <v>581.228135565448</v>
      </c>
      <c r="G46" s="18">
        <v>3546.007174075762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9.99999999999999</v>
      </c>
      <c r="D47">
        <v>19</v>
      </c>
      <c r="E47" s="18">
        <v>-928.4233044960959</v>
      </c>
      <c r="F47" s="18">
        <v>445.1744594681312</v>
      </c>
      <c r="G47" s="18">
        <v>2694.0934504567213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7" x14ac:dyDescent="0.25">
      <c r="B48">
        <v>2</v>
      </c>
      <c r="C48">
        <v>9.99999999999999</v>
      </c>
      <c r="D48">
        <v>20</v>
      </c>
      <c r="E48" s="18">
        <v>-3501.2522920059077</v>
      </c>
      <c r="F48" s="18">
        <v>298.9658022375396</v>
      </c>
      <c r="G48" s="18">
        <v>987.3053401915681</v>
      </c>
    </row>
    <row r="50" spans="2:14" x14ac:dyDescent="0.25">
      <c r="B50">
        <v>3</v>
      </c>
      <c r="C50">
        <v>19.99999999999998</v>
      </c>
      <c r="D50">
        <v>1</v>
      </c>
      <c r="E50" s="18">
        <v>17661.28868259639</v>
      </c>
      <c r="F50" s="18">
        <v>755.7966530112396</v>
      </c>
      <c r="G50" s="18">
        <v>2570.7936325713385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19.99999999999998</v>
      </c>
      <c r="D51">
        <v>2</v>
      </c>
      <c r="E51" s="18">
        <v>16743.450831778508</v>
      </c>
      <c r="F51" s="18">
        <v>770.3842995786214</v>
      </c>
      <c r="G51" s="18">
        <v>3008.3515358189384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19.99999999999998</v>
      </c>
      <c r="D52">
        <v>3</v>
      </c>
      <c r="E52" s="18">
        <v>14997.463353751455</v>
      </c>
      <c r="F52" s="18">
        <v>844.8362812468907</v>
      </c>
      <c r="G52" s="18">
        <v>3631.3056186022504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19.99999999999998</v>
      </c>
      <c r="D53">
        <v>4</v>
      </c>
      <c r="E53" s="18">
        <v>14116.457475587224</v>
      </c>
      <c r="F53" s="18">
        <v>935.0496609914562</v>
      </c>
      <c r="G53" s="18">
        <v>3845.3360148356064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3</v>
      </c>
      <c r="C54">
        <v>19.99999999999998</v>
      </c>
      <c r="D54">
        <v>5</v>
      </c>
      <c r="E54" s="18">
        <v>13119.134658210109</v>
      </c>
      <c r="F54" s="18">
        <v>1033.1924703428474</v>
      </c>
      <c r="G54" s="18">
        <v>4031.2409707891575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3</v>
      </c>
      <c r="C55">
        <v>19.99999999999998</v>
      </c>
      <c r="D55">
        <v>6</v>
      </c>
      <c r="E55" s="18">
        <v>12026.13458863319</v>
      </c>
      <c r="F55" s="18">
        <v>1119.884869412357</v>
      </c>
      <c r="G55" s="18">
        <v>4182.643202301281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3</v>
      </c>
      <c r="C56">
        <v>19.99999999999998</v>
      </c>
      <c r="D56">
        <v>7</v>
      </c>
      <c r="E56" s="18">
        <v>10842.044474839004</v>
      </c>
      <c r="F56" s="18">
        <v>1156.5697052873288</v>
      </c>
      <c r="G56" s="18">
        <v>4310.236130861473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3</v>
      </c>
      <c r="C57">
        <v>19.99999999999998</v>
      </c>
      <c r="D57">
        <v>8</v>
      </c>
      <c r="E57" s="18">
        <v>9724.273454792436</v>
      </c>
      <c r="F57" s="18">
        <v>1176.0495099052837</v>
      </c>
      <c r="G57" s="18">
        <v>4398.407896564589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3</v>
      </c>
      <c r="C58">
        <v>19.99999999999998</v>
      </c>
      <c r="D58">
        <v>9</v>
      </c>
      <c r="E58" s="18">
        <v>8674.594833372263</v>
      </c>
      <c r="F58" s="18">
        <v>1192.9791384810949</v>
      </c>
      <c r="G58" s="18">
        <v>4451.136389177951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3</v>
      </c>
      <c r="C59">
        <v>19.99999999999998</v>
      </c>
      <c r="D59">
        <v>10</v>
      </c>
      <c r="E59" s="18">
        <v>7474.884744198228</v>
      </c>
      <c r="F59" s="18">
        <v>1204.6625259261407</v>
      </c>
      <c r="G59" s="18">
        <v>4706.622224603461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3</v>
      </c>
      <c r="C60">
        <v>19.99999999999998</v>
      </c>
      <c r="D60">
        <v>11</v>
      </c>
      <c r="E60" s="18">
        <v>6683.147634954878</v>
      </c>
      <c r="F60" s="18">
        <v>1191.5846198642264</v>
      </c>
      <c r="G60" s="18">
        <v>4870.856005963086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3</v>
      </c>
      <c r="C61">
        <v>19.99999999999998</v>
      </c>
      <c r="D61">
        <v>12</v>
      </c>
      <c r="E61" s="18">
        <v>6151.460452514533</v>
      </c>
      <c r="F61" s="18">
        <v>1199.0158494810696</v>
      </c>
      <c r="G61" s="18">
        <v>5005.025565601778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3</v>
      </c>
      <c r="C62">
        <v>19.99999999999998</v>
      </c>
      <c r="D62">
        <v>13</v>
      </c>
      <c r="E62" s="18">
        <v>5728.343520434134</v>
      </c>
      <c r="F62" s="18">
        <v>1218.9073693314704</v>
      </c>
      <c r="G62" s="18">
        <v>5116.654692717469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3</v>
      </c>
      <c r="C63">
        <v>19.99999999999998</v>
      </c>
      <c r="D63">
        <v>14</v>
      </c>
      <c r="E63" s="18">
        <v>4975.555954215019</v>
      </c>
      <c r="F63" s="18">
        <v>1273.3932198357484</v>
      </c>
      <c r="G63" s="18">
        <v>5293.524447100558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3</v>
      </c>
      <c r="C64">
        <v>19.99999999999998</v>
      </c>
      <c r="D64">
        <v>15</v>
      </c>
      <c r="E64" s="18">
        <v>4095.865080124989</v>
      </c>
      <c r="F64" s="18">
        <v>1250.1774789449917</v>
      </c>
      <c r="G64" s="18">
        <v>5025.044388982337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3</v>
      </c>
      <c r="C65">
        <v>19.99999999999998</v>
      </c>
      <c r="D65">
        <v>16</v>
      </c>
      <c r="E65" s="18">
        <v>2696.141601496688</v>
      </c>
      <c r="F65" s="18">
        <v>1200.358443061905</v>
      </c>
      <c r="G65" s="18">
        <v>4486.872835850123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3</v>
      </c>
      <c r="C66">
        <v>19.99999999999998</v>
      </c>
      <c r="D66">
        <v>17</v>
      </c>
      <c r="E66" s="18">
        <v>1509.304764966824</v>
      </c>
      <c r="F66" s="18">
        <v>1156.9332903073278</v>
      </c>
      <c r="G66" s="18">
        <v>3927.2364508109968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3</v>
      </c>
      <c r="C67">
        <v>19.99999999999998</v>
      </c>
      <c r="D67">
        <v>18</v>
      </c>
      <c r="E67" s="18">
        <v>-548.8293482471041</v>
      </c>
      <c r="F67" s="18">
        <v>932.2241061775345</v>
      </c>
      <c r="G67" s="18">
        <v>2790.752839245715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3</v>
      </c>
      <c r="C68">
        <v>19.99999999999998</v>
      </c>
      <c r="D68">
        <v>19</v>
      </c>
      <c r="E68" s="18">
        <v>-1899.7628894055867</v>
      </c>
      <c r="F68" s="18">
        <v>722.4243459519845</v>
      </c>
      <c r="G68" s="18">
        <v>1973.9777904676166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7" x14ac:dyDescent="0.25">
      <c r="B69">
        <v>3</v>
      </c>
      <c r="C69">
        <v>19.99999999999998</v>
      </c>
      <c r="D69">
        <v>20</v>
      </c>
      <c r="E69" s="18">
        <v>-3982.282724002072</v>
      </c>
      <c r="F69" s="18">
        <v>292.438645739626</v>
      </c>
      <c r="G69" s="18">
        <v>646.9904106743116</v>
      </c>
    </row>
    <row r="71" spans="2:14" x14ac:dyDescent="0.25">
      <c r="B71">
        <v>4</v>
      </c>
      <c r="C71">
        <v>30.000000000000014</v>
      </c>
      <c r="D71">
        <v>1</v>
      </c>
      <c r="E71" s="18">
        <v>16998.009337410247</v>
      </c>
      <c r="F71" s="18">
        <v>1133.6483233342226</v>
      </c>
      <c r="G71" s="18">
        <v>2709.872655296521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4</v>
      </c>
      <c r="C72">
        <v>30.000000000000014</v>
      </c>
      <c r="D72">
        <v>2</v>
      </c>
      <c r="E72" s="18">
        <v>15021.685687512985</v>
      </c>
      <c r="F72" s="18">
        <v>1322.3102911534036</v>
      </c>
      <c r="G72" s="18">
        <v>3396.3693219095753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4</v>
      </c>
      <c r="C73">
        <v>30.000000000000014</v>
      </c>
      <c r="D73">
        <v>3</v>
      </c>
      <c r="E73" s="18">
        <v>14002.391562563787</v>
      </c>
      <c r="F73" s="18">
        <v>1447.9367613454644</v>
      </c>
      <c r="G73" s="18">
        <v>3620.9807499718286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4</v>
      </c>
      <c r="C74">
        <v>30.000000000000014</v>
      </c>
      <c r="D74">
        <v>4</v>
      </c>
      <c r="E74" s="18">
        <v>12917.191162616702</v>
      </c>
      <c r="F74" s="18">
        <v>1568.6732710273864</v>
      </c>
      <c r="G74" s="18">
        <v>3801.6815566804407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4</v>
      </c>
      <c r="C75">
        <v>30.000000000000014</v>
      </c>
      <c r="D75">
        <v>5</v>
      </c>
      <c r="E75" s="18">
        <v>11836.053318345912</v>
      </c>
      <c r="F75" s="18">
        <v>1678.6753427579433</v>
      </c>
      <c r="G75" s="18">
        <v>3932.1634549807936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4</v>
      </c>
      <c r="C76">
        <v>30.000000000000014</v>
      </c>
      <c r="D76">
        <v>6</v>
      </c>
      <c r="E76" s="18">
        <v>10727.012526339862</v>
      </c>
      <c r="F76" s="18">
        <v>1769.947839356138</v>
      </c>
      <c r="G76" s="18">
        <v>4024.5058086536574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4</v>
      </c>
      <c r="C77">
        <v>30.000000000000014</v>
      </c>
      <c r="D77">
        <v>7</v>
      </c>
      <c r="E77" s="18">
        <v>9665.022708480567</v>
      </c>
      <c r="F77" s="18">
        <v>1805.4825953558902</v>
      </c>
      <c r="G77" s="18">
        <v>4101.97390960985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4</v>
      </c>
      <c r="C78">
        <v>30.000000000000014</v>
      </c>
      <c r="D78">
        <v>8</v>
      </c>
      <c r="E78" s="18">
        <v>8691.31874850863</v>
      </c>
      <c r="F78" s="18">
        <v>1787.0400065559847</v>
      </c>
      <c r="G78" s="18">
        <v>4169.332745253193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4</v>
      </c>
      <c r="C79">
        <v>30.000000000000014</v>
      </c>
      <c r="D79">
        <v>9</v>
      </c>
      <c r="E79" s="18">
        <v>7538.850561970994</v>
      </c>
      <c r="F79" s="18">
        <v>1814.5178557291324</v>
      </c>
      <c r="G79" s="18">
        <v>4423.59085013043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4</v>
      </c>
      <c r="C80">
        <v>30.000000000000014</v>
      </c>
      <c r="D80">
        <v>10</v>
      </c>
      <c r="E80" s="18">
        <v>6664.820375148372</v>
      </c>
      <c r="F80" s="18">
        <v>1823.3477417543456</v>
      </c>
      <c r="G80" s="18">
        <v>4579.5157997130445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4</v>
      </c>
      <c r="C81">
        <v>30.000000000000014</v>
      </c>
      <c r="D81">
        <v>11</v>
      </c>
      <c r="E81" s="18">
        <v>6015.583142120548</v>
      </c>
      <c r="F81" s="18">
        <v>1839.709192654104</v>
      </c>
      <c r="G81" s="18">
        <v>4680.595031632149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4</v>
      </c>
      <c r="C82">
        <v>30.000000000000014</v>
      </c>
      <c r="D82">
        <v>12</v>
      </c>
      <c r="E82" s="18">
        <v>5523.813323565008</v>
      </c>
      <c r="F82" s="18">
        <v>1876.974164526136</v>
      </c>
      <c r="G82" s="18">
        <v>4748.332897726923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4</v>
      </c>
      <c r="C83">
        <v>30.000000000000014</v>
      </c>
      <c r="D83">
        <v>13</v>
      </c>
      <c r="E83" s="18">
        <v>4712.47390386089</v>
      </c>
      <c r="F83" s="18">
        <v>1932.003926087627</v>
      </c>
      <c r="G83" s="18">
        <v>4863.813696206678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4</v>
      </c>
      <c r="C84">
        <v>30.000000000000014</v>
      </c>
      <c r="D84">
        <v>14</v>
      </c>
      <c r="E84" s="18">
        <v>3655.589028488314</v>
      </c>
      <c r="F84" s="18">
        <v>1848.0920579585447</v>
      </c>
      <c r="G84" s="18">
        <v>4552.94177970658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4</v>
      </c>
      <c r="C85">
        <v>30.000000000000014</v>
      </c>
      <c r="D85">
        <v>15</v>
      </c>
      <c r="E85" s="18">
        <v>2045.6972224165586</v>
      </c>
      <c r="F85" s="18">
        <v>1711.849317139989</v>
      </c>
      <c r="G85" s="18">
        <v>3907.4828363248625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4</v>
      </c>
      <c r="C86">
        <v>30.000000000000014</v>
      </c>
      <c r="D86">
        <v>16</v>
      </c>
      <c r="E86" s="18">
        <v>909.6960597465946</v>
      </c>
      <c r="F86" s="18">
        <v>1537.2891152390166</v>
      </c>
      <c r="G86" s="18">
        <v>3370.677902549651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4</v>
      </c>
      <c r="C87">
        <v>30.000000000000014</v>
      </c>
      <c r="D87">
        <v>17</v>
      </c>
      <c r="E87" s="18">
        <v>-1001.6965113812608</v>
      </c>
      <c r="F87" s="18">
        <v>1175.5242872224321</v>
      </c>
      <c r="G87" s="18">
        <v>2376.2135344926633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4</v>
      </c>
      <c r="C88">
        <v>30.000000000000014</v>
      </c>
      <c r="D88">
        <v>18</v>
      </c>
      <c r="E88" s="18">
        <v>-2257.327155870937</v>
      </c>
      <c r="F88" s="18">
        <v>876.348767785417</v>
      </c>
      <c r="G88" s="18">
        <v>1667.2597478327245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7" x14ac:dyDescent="0.25">
      <c r="B89">
        <v>4</v>
      </c>
      <c r="C89">
        <v>30.000000000000014</v>
      </c>
      <c r="D89">
        <v>19</v>
      </c>
      <c r="E89" s="18">
        <v>-4073.3630307214953</v>
      </c>
      <c r="F89" s="18">
        <v>317.1119100570367</v>
      </c>
      <c r="G89" s="18">
        <v>570.033654895359</v>
      </c>
    </row>
    <row r="91" spans="2:14" x14ac:dyDescent="0.25">
      <c r="B91">
        <v>5</v>
      </c>
      <c r="C91">
        <v>40.00000000000001</v>
      </c>
      <c r="D91">
        <v>1</v>
      </c>
      <c r="E91" s="18">
        <v>17112.228279488492</v>
      </c>
      <c r="F91" s="18">
        <v>1471.521499818933</v>
      </c>
      <c r="G91" s="18">
        <v>2419.4336695631087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5</v>
      </c>
      <c r="C92">
        <v>40.00000000000001</v>
      </c>
      <c r="D92">
        <v>2</v>
      </c>
      <c r="E92" s="18">
        <v>14865.40051066738</v>
      </c>
      <c r="F92" s="18">
        <v>1819.1798900975814</v>
      </c>
      <c r="G92" s="18">
        <v>3107.811160873315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5</v>
      </c>
      <c r="C93">
        <v>40.00000000000001</v>
      </c>
      <c r="D93">
        <v>3</v>
      </c>
      <c r="E93" s="18">
        <v>13775.257882634025</v>
      </c>
      <c r="F93" s="18">
        <v>2003.697678879808</v>
      </c>
      <c r="G93" s="18">
        <v>3299.5526880485113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5</v>
      </c>
      <c r="C94">
        <v>40.00000000000001</v>
      </c>
      <c r="D94">
        <v>4</v>
      </c>
      <c r="E94" s="18">
        <v>12639.898240646944</v>
      </c>
      <c r="F94" s="18">
        <v>2179.612247759736</v>
      </c>
      <c r="G94" s="18">
        <v>3427.517625075779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5</v>
      </c>
      <c r="C95">
        <v>40.00000000000001</v>
      </c>
      <c r="D95">
        <v>5</v>
      </c>
      <c r="E95" s="18">
        <v>11518.941584801723</v>
      </c>
      <c r="F95" s="18">
        <v>2326.0661526474796</v>
      </c>
      <c r="G95" s="18">
        <v>3512.93895552412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5</v>
      </c>
      <c r="C96">
        <v>40.00000000000001</v>
      </c>
      <c r="D96">
        <v>6</v>
      </c>
      <c r="E96" s="18">
        <v>10541.575676235629</v>
      </c>
      <c r="F96" s="18">
        <v>2386.299615681</v>
      </c>
      <c r="G96" s="18">
        <v>3605.6728549537434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5</v>
      </c>
      <c r="C97">
        <v>40.00000000000001</v>
      </c>
      <c r="D97">
        <v>7</v>
      </c>
      <c r="E97" s="18">
        <v>9620.04517049135</v>
      </c>
      <c r="F97" s="18">
        <v>2424.872735355902</v>
      </c>
      <c r="G97" s="18">
        <v>3673.5685187493245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5</v>
      </c>
      <c r="C98">
        <v>40.00000000000001</v>
      </c>
      <c r="D98">
        <v>8</v>
      </c>
      <c r="E98" s="18">
        <v>8782.186506898612</v>
      </c>
      <c r="F98" s="18">
        <v>2449.119820297771</v>
      </c>
      <c r="G98" s="18">
        <v>3721.9875404786126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5</v>
      </c>
      <c r="C99">
        <v>40.00000000000001</v>
      </c>
      <c r="D99">
        <v>9</v>
      </c>
      <c r="E99" s="18">
        <v>7640.784416707779</v>
      </c>
      <c r="F99" s="18">
        <v>2486.771256954525</v>
      </c>
      <c r="G99" s="18">
        <v>3974.000479045062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5</v>
      </c>
      <c r="C100">
        <v>40.00000000000001</v>
      </c>
      <c r="D100">
        <v>10</v>
      </c>
      <c r="E100" s="18">
        <v>6726.065799583824</v>
      </c>
      <c r="F100" s="18">
        <v>2492.210594896146</v>
      </c>
      <c r="G100" s="18">
        <v>4140.104856423919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5</v>
      </c>
      <c r="C101">
        <v>40.00000000000001</v>
      </c>
      <c r="D101">
        <v>11</v>
      </c>
      <c r="E101" s="18">
        <v>6025.579860073117</v>
      </c>
      <c r="F101" s="18">
        <v>2501.34196718149</v>
      </c>
      <c r="G101" s="18">
        <v>4239.676966393977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5</v>
      </c>
      <c r="C102">
        <v>40.00000000000001</v>
      </c>
      <c r="D102">
        <v>12</v>
      </c>
      <c r="E102" s="18">
        <v>5435.175188264599</v>
      </c>
      <c r="F102" s="18">
        <v>2515.1154840770077</v>
      </c>
      <c r="G102" s="18">
        <v>4295.768188199265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5</v>
      </c>
      <c r="C103">
        <v>40.00000000000001</v>
      </c>
      <c r="D103">
        <v>13</v>
      </c>
      <c r="E103" s="18">
        <v>4472.0673399746875</v>
      </c>
      <c r="F103" s="18">
        <v>2573.039025010235</v>
      </c>
      <c r="G103" s="18">
        <v>4315.69844971917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5</v>
      </c>
      <c r="C104">
        <v>40.00000000000001</v>
      </c>
      <c r="D104">
        <v>14</v>
      </c>
      <c r="E104" s="18">
        <v>3369.7992833584735</v>
      </c>
      <c r="F104" s="18">
        <v>2422.01423133251</v>
      </c>
      <c r="G104" s="18">
        <v>3987.3653072509383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5</v>
      </c>
      <c r="C105">
        <v>40.00000000000001</v>
      </c>
      <c r="D105">
        <v>15</v>
      </c>
      <c r="E105" s="18">
        <v>1845.9001683335377</v>
      </c>
      <c r="F105" s="18">
        <v>2099.841969983425</v>
      </c>
      <c r="G105" s="18">
        <v>3484.244636168267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5</v>
      </c>
      <c r="C106">
        <v>40.00000000000001</v>
      </c>
      <c r="D106">
        <v>16</v>
      </c>
      <c r="E106" s="18">
        <v>730.9479314222016</v>
      </c>
      <c r="F106" s="18">
        <v>1846.812007071979</v>
      </c>
      <c r="G106" s="18">
        <v>3034.74439037082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5</v>
      </c>
      <c r="C107">
        <v>40.00000000000001</v>
      </c>
      <c r="D107">
        <v>17</v>
      </c>
      <c r="E107" s="18">
        <v>-1094.6889118879337</v>
      </c>
      <c r="F107" s="18">
        <v>1389.8270094752322</v>
      </c>
      <c r="G107" s="18">
        <v>2176.4568739463252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5</v>
      </c>
      <c r="C108">
        <v>40.00000000000001</v>
      </c>
      <c r="D108">
        <v>18</v>
      </c>
      <c r="E108" s="18">
        <v>-2272.739613988697</v>
      </c>
      <c r="F108" s="18">
        <v>1025.2596002454136</v>
      </c>
      <c r="G108" s="18">
        <v>1563.9597976104462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7" x14ac:dyDescent="0.25">
      <c r="B109">
        <v>5</v>
      </c>
      <c r="C109">
        <v>40.00000000000001</v>
      </c>
      <c r="D109">
        <v>19</v>
      </c>
      <c r="E109" s="18">
        <v>-3972.5326590168656</v>
      </c>
      <c r="F109" s="18">
        <v>389.254663446932</v>
      </c>
      <c r="G109" s="18">
        <v>609.8221466339481</v>
      </c>
    </row>
    <row r="111" spans="2:14" x14ac:dyDescent="0.25">
      <c r="B111">
        <v>6</v>
      </c>
      <c r="C111">
        <v>49.99999999999999</v>
      </c>
      <c r="D111">
        <v>1</v>
      </c>
      <c r="E111" s="18">
        <v>16852.86011644447</v>
      </c>
      <c r="F111" s="18">
        <v>1821.9093463293848</v>
      </c>
      <c r="G111" s="18">
        <v>2219.1784111428374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6</v>
      </c>
      <c r="C112">
        <v>49.99999999999999</v>
      </c>
      <c r="D112">
        <v>2</v>
      </c>
      <c r="E112" s="18">
        <v>14365.804360764834</v>
      </c>
      <c r="F112" s="18">
        <v>2404.642402426316</v>
      </c>
      <c r="G112" s="18">
        <v>2695.479237060515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6</v>
      </c>
      <c r="C113">
        <v>49.99999999999999</v>
      </c>
      <c r="D113">
        <v>3</v>
      </c>
      <c r="E113" s="18">
        <v>13084.773123757817</v>
      </c>
      <c r="F113" s="18">
        <v>2661.7634939422146</v>
      </c>
      <c r="G113" s="18">
        <v>2813.600606886583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6</v>
      </c>
      <c r="C114">
        <v>49.99999999999999</v>
      </c>
      <c r="D114">
        <v>4</v>
      </c>
      <c r="E114" s="18">
        <v>11986.815993789121</v>
      </c>
      <c r="F114" s="18">
        <v>2843.6234564490946</v>
      </c>
      <c r="G114" s="18">
        <v>2889.062414313303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6</v>
      </c>
      <c r="C115">
        <v>49.99999999999999</v>
      </c>
      <c r="D115">
        <v>5</v>
      </c>
      <c r="E115" s="18">
        <v>11025.618904907271</v>
      </c>
      <c r="F115" s="18">
        <v>2964.187022290056</v>
      </c>
      <c r="G115" s="18">
        <v>2946.3917010793252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6</v>
      </c>
      <c r="C116">
        <v>49.99999999999999</v>
      </c>
      <c r="D116">
        <v>6</v>
      </c>
      <c r="E116" s="18">
        <v>10174.158446499012</v>
      </c>
      <c r="F116" s="18">
        <v>3032.6215205910453</v>
      </c>
      <c r="G116" s="18">
        <v>3006.897647321063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6</v>
      </c>
      <c r="C117">
        <v>49.99999999999999</v>
      </c>
      <c r="D117">
        <v>7</v>
      </c>
      <c r="E117" s="18">
        <v>9380.520956343438</v>
      </c>
      <c r="F117" s="18">
        <v>3069.0403124940394</v>
      </c>
      <c r="G117" s="18">
        <v>3063.439993789887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14" x14ac:dyDescent="0.25">
      <c r="B118">
        <v>6</v>
      </c>
      <c r="C118">
        <v>49.99999999999999</v>
      </c>
      <c r="D118">
        <v>8</v>
      </c>
      <c r="E118" s="18">
        <v>8615.873340150305</v>
      </c>
      <c r="F118" s="18">
        <v>3078.1487202853255</v>
      </c>
      <c r="G118" s="18">
        <v>3122.2144408228455</v>
      </c>
      <c r="H118" s="12">
        <f>E119</f>
      </c>
      <c r="I118" s="12">
        <f>F119</f>
      </c>
      <c r="J118" s="12">
        <f>G119</f>
      </c>
      <c r="K118">
        <f>IF(AND(Pu&gt;=MIN(E118,H118),Pu&lt;=MAX(E118,H118),E118&lt;&gt;H118),1,0)</f>
      </c>
      <c r="L118">
        <f>IF(K118=1,(Pu-E118)/(H118-E118),"")</f>
      </c>
      <c r="M118" s="12">
        <f>IF(K118=1,F118+L118*(I118-F118),"")</f>
      </c>
      <c r="N118" s="12">
        <f>IF(K118=1,G118+L118*(J118-G118),"")</f>
      </c>
    </row>
    <row r="119" spans="2:14" x14ac:dyDescent="0.25">
      <c r="B119">
        <v>6</v>
      </c>
      <c r="C119">
        <v>49.99999999999999</v>
      </c>
      <c r="D119">
        <v>9</v>
      </c>
      <c r="E119" s="18">
        <v>7644.217505764198</v>
      </c>
      <c r="F119" s="18">
        <v>3154.700340530996</v>
      </c>
      <c r="G119" s="18">
        <v>3342.3429528228667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6</v>
      </c>
      <c r="C120">
        <v>49.99999999999999</v>
      </c>
      <c r="D120">
        <v>10</v>
      </c>
      <c r="E120" s="18">
        <v>6688.324634278437</v>
      </c>
      <c r="F120" s="18">
        <v>3159.1822899865847</v>
      </c>
      <c r="G120" s="18">
        <v>3489.168669432506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6</v>
      </c>
      <c r="C121">
        <v>49.99999999999999</v>
      </c>
      <c r="D121">
        <v>11</v>
      </c>
      <c r="E121" s="18">
        <v>5891.239077013841</v>
      </c>
      <c r="F121" s="18">
        <v>3142.87905245302</v>
      </c>
      <c r="G121" s="18">
        <v>3591.5916887426906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6</v>
      </c>
      <c r="C122">
        <v>49.99999999999999</v>
      </c>
      <c r="D122">
        <v>12</v>
      </c>
      <c r="E122" s="18">
        <v>5231.9999462024025</v>
      </c>
      <c r="F122" s="18">
        <v>3136.284092705603</v>
      </c>
      <c r="G122" s="18">
        <v>3634.1436048105697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6</v>
      </c>
      <c r="C123">
        <v>49.99999999999999</v>
      </c>
      <c r="D123">
        <v>13</v>
      </c>
      <c r="E123" s="18">
        <v>4199.657271846663</v>
      </c>
      <c r="F123" s="18">
        <v>3102.679123961514</v>
      </c>
      <c r="G123" s="18">
        <v>3673.8564123534015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6</v>
      </c>
      <c r="C124">
        <v>49.99999999999999</v>
      </c>
      <c r="D124">
        <v>14</v>
      </c>
      <c r="E124" s="18">
        <v>3169.1539039212794</v>
      </c>
      <c r="F124" s="18">
        <v>2831.0249960131864</v>
      </c>
      <c r="G124" s="18">
        <v>3435.3864648898184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6</v>
      </c>
      <c r="C125">
        <v>49.99999999999999</v>
      </c>
      <c r="D125">
        <v>15</v>
      </c>
      <c r="E125" s="18">
        <v>1599.2641146176054</v>
      </c>
      <c r="F125" s="18">
        <v>2409.3388473732152</v>
      </c>
      <c r="G125" s="18">
        <v>3000.286664370283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6</v>
      </c>
      <c r="C126">
        <v>49.99999999999999</v>
      </c>
      <c r="D126">
        <v>16</v>
      </c>
      <c r="E126" s="18">
        <v>475.1786777659788</v>
      </c>
      <c r="F126" s="18">
        <v>2096.9667303971087</v>
      </c>
      <c r="G126" s="18">
        <v>2621.5273546463754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6</v>
      </c>
      <c r="C127">
        <v>49.99999999999999</v>
      </c>
      <c r="D127">
        <v>17</v>
      </c>
      <c r="E127" s="18">
        <v>-1358.1329778727095</v>
      </c>
      <c r="F127" s="18">
        <v>1484.6277047437484</v>
      </c>
      <c r="G127" s="18">
        <v>1871.9348484846378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6</v>
      </c>
      <c r="C128">
        <v>49.99999999999999</v>
      </c>
      <c r="D128">
        <v>18</v>
      </c>
      <c r="E128" s="18">
        <v>-2442.045855745271</v>
      </c>
      <c r="F128" s="18">
        <v>1074.4367210189998</v>
      </c>
      <c r="G128" s="18">
        <v>1355.78593494307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7" x14ac:dyDescent="0.25">
      <c r="B129">
        <v>6</v>
      </c>
      <c r="C129">
        <v>49.99999999999999</v>
      </c>
      <c r="D129">
        <v>19</v>
      </c>
      <c r="E129" s="18">
        <v>-4037.730739273256</v>
      </c>
      <c r="F129" s="18">
        <v>408.5389539331583</v>
      </c>
      <c r="G129" s="18">
        <v>519.2061290227841</v>
      </c>
    </row>
    <row r="131" spans="2:14" x14ac:dyDescent="0.25">
      <c r="B131">
        <v>7</v>
      </c>
      <c r="C131">
        <v>59.999999999999986</v>
      </c>
      <c r="D131">
        <v>1</v>
      </c>
      <c r="E131" s="18">
        <v>16822.911304027486</v>
      </c>
      <c r="F131" s="18">
        <v>2091.0772565373013</v>
      </c>
      <c r="G131" s="18">
        <v>1846.3121376499741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7</v>
      </c>
      <c r="C132">
        <v>59.999999999999986</v>
      </c>
      <c r="D132">
        <v>2</v>
      </c>
      <c r="E132" s="18">
        <v>14070.91789811393</v>
      </c>
      <c r="F132" s="18">
        <v>2928.034801895529</v>
      </c>
      <c r="G132" s="18">
        <v>2047.833298988298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7</v>
      </c>
      <c r="C133">
        <v>59.999999999999986</v>
      </c>
      <c r="D133">
        <v>3</v>
      </c>
      <c r="E133" s="18">
        <v>12901.856153672325</v>
      </c>
      <c r="F133" s="18">
        <v>3190.0199009311564</v>
      </c>
      <c r="G133" s="18">
        <v>2099.0540102547516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7</v>
      </c>
      <c r="C134">
        <v>59.999999999999986</v>
      </c>
      <c r="D134">
        <v>4</v>
      </c>
      <c r="E134" s="18">
        <v>11935.566040529277</v>
      </c>
      <c r="F134" s="18">
        <v>3346.4962168695943</v>
      </c>
      <c r="G134" s="18">
        <v>2169.9074877760963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7</v>
      </c>
      <c r="C135">
        <v>59.999999999999986</v>
      </c>
      <c r="D135">
        <v>5</v>
      </c>
      <c r="E135" s="18">
        <v>11067.978856668196</v>
      </c>
      <c r="F135" s="18">
        <v>3453.745620467175</v>
      </c>
      <c r="G135" s="18">
        <v>2228.1843269410147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7</v>
      </c>
      <c r="C136">
        <v>59.999999999999986</v>
      </c>
      <c r="D136">
        <v>6</v>
      </c>
      <c r="E136" s="18">
        <v>10256.541858725835</v>
      </c>
      <c r="F136" s="18">
        <v>3525.1655081617987</v>
      </c>
      <c r="G136" s="18">
        <v>2285.878670822102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7</v>
      </c>
      <c r="C137">
        <v>59.999999999999986</v>
      </c>
      <c r="D137">
        <v>7</v>
      </c>
      <c r="E137" s="18">
        <v>9504.385690919624</v>
      </c>
      <c r="F137" s="18">
        <v>3577.18837872292</v>
      </c>
      <c r="G137" s="18">
        <v>2330.6042740806233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7</v>
      </c>
      <c r="C138">
        <v>59.999999999999986</v>
      </c>
      <c r="D138">
        <v>8</v>
      </c>
      <c r="E138" s="18">
        <v>8792.157526062832</v>
      </c>
      <c r="F138" s="18">
        <v>3613.0310474925127</v>
      </c>
      <c r="G138" s="18">
        <v>2365.2959646508234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7</v>
      </c>
      <c r="C139">
        <v>59.999999999999986</v>
      </c>
      <c r="D139">
        <v>9</v>
      </c>
      <c r="E139" s="18">
        <v>7972.608173647171</v>
      </c>
      <c r="F139" s="18">
        <v>3784.1243414515343</v>
      </c>
      <c r="G139" s="18">
        <v>2517.212543447237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7</v>
      </c>
      <c r="C140">
        <v>59.999999999999986</v>
      </c>
      <c r="D140">
        <v>10</v>
      </c>
      <c r="E140" s="18">
        <v>7180.825741674877</v>
      </c>
      <c r="F140" s="18">
        <v>3862.7924438875834</v>
      </c>
      <c r="G140" s="18">
        <v>2652.807421861853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7</v>
      </c>
      <c r="C141">
        <v>59.999999999999986</v>
      </c>
      <c r="D141">
        <v>11</v>
      </c>
      <c r="E141" s="18">
        <v>6383.263770283874</v>
      </c>
      <c r="F141" s="18">
        <v>3840.996785439062</v>
      </c>
      <c r="G141" s="18">
        <v>2781.654201178666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7</v>
      </c>
      <c r="C142">
        <v>59.999999999999986</v>
      </c>
      <c r="D142">
        <v>12</v>
      </c>
      <c r="E142" s="18">
        <v>5652.587608389084</v>
      </c>
      <c r="F142" s="18">
        <v>3777.7941585667736</v>
      </c>
      <c r="G142" s="18">
        <v>2915.9941830047405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7</v>
      </c>
      <c r="C143">
        <v>59.999999999999986</v>
      </c>
      <c r="D143">
        <v>13</v>
      </c>
      <c r="E143" s="18">
        <v>4514.10107220696</v>
      </c>
      <c r="F143" s="18">
        <v>3636.5992311156742</v>
      </c>
      <c r="G143" s="18">
        <v>3075.558700827429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7</v>
      </c>
      <c r="C144">
        <v>59.999999999999986</v>
      </c>
      <c r="D144">
        <v>14</v>
      </c>
      <c r="E144" s="18">
        <v>3331.785765319129</v>
      </c>
      <c r="F144" s="18">
        <v>3288.9994358440285</v>
      </c>
      <c r="G144" s="18">
        <v>2907.662440757469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7</v>
      </c>
      <c r="C145">
        <v>59.999999999999986</v>
      </c>
      <c r="D145">
        <v>15</v>
      </c>
      <c r="E145" s="18">
        <v>1637.589209114315</v>
      </c>
      <c r="F145" s="18">
        <v>2758.9611942195716</v>
      </c>
      <c r="G145" s="18">
        <v>2523.6827426699087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7</v>
      </c>
      <c r="C146">
        <v>59.999999999999986</v>
      </c>
      <c r="D146">
        <v>16</v>
      </c>
      <c r="E146" s="18">
        <v>454.51459456183653</v>
      </c>
      <c r="F146" s="18">
        <v>2337.6940815534126</v>
      </c>
      <c r="G146" s="18">
        <v>2221.031636311089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7</v>
      </c>
      <c r="C147">
        <v>59.999999999999986</v>
      </c>
      <c r="D147">
        <v>17</v>
      </c>
      <c r="E147" s="18">
        <v>-1552.097392240689</v>
      </c>
      <c r="F147" s="18">
        <v>1541.74004355525</v>
      </c>
      <c r="G147" s="18">
        <v>1576.7650024787317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7</v>
      </c>
      <c r="C148">
        <v>59.999999999999986</v>
      </c>
      <c r="D148">
        <v>18</v>
      </c>
      <c r="E148" s="18">
        <v>-2685.930774914732</v>
      </c>
      <c r="F148" s="18">
        <v>1059.286716705791</v>
      </c>
      <c r="G148" s="18">
        <v>1117.6191978244196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7" x14ac:dyDescent="0.25">
      <c r="B149">
        <v>7</v>
      </c>
      <c r="C149">
        <v>59.999999999999986</v>
      </c>
      <c r="D149">
        <v>19</v>
      </c>
      <c r="E149" s="18">
        <v>-4292.711667858743</v>
      </c>
      <c r="F149" s="18">
        <v>329.7583087806502</v>
      </c>
      <c r="G149" s="18">
        <v>328.58245107037845</v>
      </c>
    </row>
    <row r="151" spans="2:14" x14ac:dyDescent="0.25">
      <c r="B151">
        <v>8</v>
      </c>
      <c r="C151">
        <v>70.00000000000003</v>
      </c>
      <c r="D151">
        <v>1</v>
      </c>
      <c r="E151" s="18">
        <v>16402.860173841542</v>
      </c>
      <c r="F151" s="18">
        <v>2466.1710306399063</v>
      </c>
      <c r="G151" s="18">
        <v>1379.482518206768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8</v>
      </c>
      <c r="C152">
        <v>70.00000000000003</v>
      </c>
      <c r="D152">
        <v>2</v>
      </c>
      <c r="E152" s="18">
        <v>13718.869376902887</v>
      </c>
      <c r="F152" s="18">
        <v>3324.228520240987</v>
      </c>
      <c r="G152" s="18">
        <v>1376.0762869814703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8</v>
      </c>
      <c r="C153">
        <v>70.00000000000003</v>
      </c>
      <c r="D153">
        <v>3</v>
      </c>
      <c r="E153" s="18">
        <v>12744.95786852382</v>
      </c>
      <c r="F153" s="18">
        <v>3542.0083583097785</v>
      </c>
      <c r="G153" s="18">
        <v>1410.9333713563685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8</v>
      </c>
      <c r="C154">
        <v>70.00000000000003</v>
      </c>
      <c r="D154">
        <v>4</v>
      </c>
      <c r="E154" s="18">
        <v>11872.925768562738</v>
      </c>
      <c r="F154" s="18">
        <v>3706.3377111254476</v>
      </c>
      <c r="G154" s="18">
        <v>1428.524321147503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8</v>
      </c>
      <c r="C155">
        <v>70.00000000000003</v>
      </c>
      <c r="D155">
        <v>5</v>
      </c>
      <c r="E155" s="18">
        <v>11068.391549557178</v>
      </c>
      <c r="F155" s="18">
        <v>3824.0399705365303</v>
      </c>
      <c r="G155" s="18">
        <v>1457.8706348871606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8</v>
      </c>
      <c r="C156">
        <v>70.00000000000003</v>
      </c>
      <c r="D156">
        <v>6</v>
      </c>
      <c r="E156" s="18">
        <v>10332.108876569122</v>
      </c>
      <c r="F156" s="18">
        <v>3905.486047511334</v>
      </c>
      <c r="G156" s="18">
        <v>1498.591570669262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8</v>
      </c>
      <c r="C157">
        <v>70.00000000000003</v>
      </c>
      <c r="D157">
        <v>7</v>
      </c>
      <c r="E157" s="18">
        <v>9631.833173417353</v>
      </c>
      <c r="F157" s="18">
        <v>3968.4335048740827</v>
      </c>
      <c r="G157" s="18">
        <v>1531.005650795104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8</v>
      </c>
      <c r="C158">
        <v>70.00000000000003</v>
      </c>
      <c r="D158">
        <v>8</v>
      </c>
      <c r="E158" s="18">
        <v>8988.870002011943</v>
      </c>
      <c r="F158" s="18">
        <v>4019.5926753333842</v>
      </c>
      <c r="G158" s="18">
        <v>1554.355054876502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8</v>
      </c>
      <c r="C159">
        <v>70.00000000000003</v>
      </c>
      <c r="D159">
        <v>9</v>
      </c>
      <c r="E159" s="18">
        <v>8252.707873920064</v>
      </c>
      <c r="F159" s="18">
        <v>4245.674202980198</v>
      </c>
      <c r="G159" s="18">
        <v>1679.4218659264652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8</v>
      </c>
      <c r="C160">
        <v>70.00000000000003</v>
      </c>
      <c r="D160">
        <v>10</v>
      </c>
      <c r="E160" s="18">
        <v>7655.125540397139</v>
      </c>
      <c r="F160" s="18">
        <v>4378.323743754365</v>
      </c>
      <c r="G160" s="18">
        <v>1783.6000502295421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8</v>
      </c>
      <c r="C161">
        <v>70.00000000000003</v>
      </c>
      <c r="D161">
        <v>11</v>
      </c>
      <c r="E161" s="18">
        <v>7128.5135400788</v>
      </c>
      <c r="F161" s="18">
        <v>4456.49737853079</v>
      </c>
      <c r="G161" s="18">
        <v>1887.5318161874113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8</v>
      </c>
      <c r="C162">
        <v>70.00000000000003</v>
      </c>
      <c r="D162">
        <v>12</v>
      </c>
      <c r="E162" s="18">
        <v>6661.153873931223</v>
      </c>
      <c r="F162" s="18">
        <v>4486.661048542756</v>
      </c>
      <c r="G162" s="18">
        <v>1976.8965861315064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8</v>
      </c>
      <c r="C163">
        <v>70.00000000000003</v>
      </c>
      <c r="D163">
        <v>13</v>
      </c>
      <c r="E163" s="18">
        <v>5508.708329790146</v>
      </c>
      <c r="F163" s="18">
        <v>4409.065284635746</v>
      </c>
      <c r="G163" s="18">
        <v>2188.501569054944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8</v>
      </c>
      <c r="C164">
        <v>70.00000000000003</v>
      </c>
      <c r="D164">
        <v>14</v>
      </c>
      <c r="E164" s="18">
        <v>4141.388778317832</v>
      </c>
      <c r="F164" s="18">
        <v>3979.1241367274433</v>
      </c>
      <c r="G164" s="18">
        <v>2166.7792636844497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8</v>
      </c>
      <c r="C165">
        <v>70.00000000000003</v>
      </c>
      <c r="D165">
        <v>15</v>
      </c>
      <c r="E165" s="18">
        <v>2174.956338595558</v>
      </c>
      <c r="F165" s="18">
        <v>3254.751395929609</v>
      </c>
      <c r="G165" s="18">
        <v>2039.5887020591172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8</v>
      </c>
      <c r="C166">
        <v>70.00000000000003</v>
      </c>
      <c r="D166">
        <v>16</v>
      </c>
      <c r="E166" s="18">
        <v>922.3508553688732</v>
      </c>
      <c r="F166" s="18">
        <v>2750.4170666280243</v>
      </c>
      <c r="G166" s="18">
        <v>1834.6814242562623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8</v>
      </c>
      <c r="C167">
        <v>70.00000000000003</v>
      </c>
      <c r="D167">
        <v>17</v>
      </c>
      <c r="E167" s="18">
        <v>-1331.0326370325402</v>
      </c>
      <c r="F167" s="18">
        <v>1772.3147137848664</v>
      </c>
      <c r="G167" s="18">
        <v>1328.431899933759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8</v>
      </c>
      <c r="C168">
        <v>70.00000000000003</v>
      </c>
      <c r="D168">
        <v>18</v>
      </c>
      <c r="E168" s="18">
        <v>-2582.961794158477</v>
      </c>
      <c r="F168" s="18">
        <v>1179.8767334014276</v>
      </c>
      <c r="G168" s="18">
        <v>969.9984270243807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7" x14ac:dyDescent="0.25">
      <c r="B169">
        <v>8</v>
      </c>
      <c r="C169">
        <v>70.00000000000003</v>
      </c>
      <c r="D169">
        <v>19</v>
      </c>
      <c r="E169" s="18">
        <v>-4318.16975812096</v>
      </c>
      <c r="F169" s="18">
        <v>328.6861640066757</v>
      </c>
      <c r="G169" s="18">
        <v>285.0232226410464</v>
      </c>
    </row>
    <row r="171" spans="2:14" x14ac:dyDescent="0.25">
      <c r="B171">
        <v>9</v>
      </c>
      <c r="C171">
        <v>80.00000000000001</v>
      </c>
      <c r="D171">
        <v>1</v>
      </c>
      <c r="E171" s="18">
        <v>17113.04946911382</v>
      </c>
      <c r="F171" s="18">
        <v>2364.084973480509</v>
      </c>
      <c r="G171" s="18">
        <v>755.091605512162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9</v>
      </c>
      <c r="C172">
        <v>80.00000000000001</v>
      </c>
      <c r="D172">
        <v>2</v>
      </c>
      <c r="E172" s="18">
        <v>15584.57958501061</v>
      </c>
      <c r="F172" s="18">
        <v>2957.0743911130203</v>
      </c>
      <c r="G172" s="18">
        <v>694.6412418661441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9</v>
      </c>
      <c r="C173">
        <v>80.00000000000001</v>
      </c>
      <c r="D173">
        <v>3</v>
      </c>
      <c r="E173" s="18">
        <v>13401.396220702616</v>
      </c>
      <c r="F173" s="18">
        <v>3597.3655587769867</v>
      </c>
      <c r="G173" s="18">
        <v>672.8634776325093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9</v>
      </c>
      <c r="C174">
        <v>80.00000000000001</v>
      </c>
      <c r="D174">
        <v>4</v>
      </c>
      <c r="E174" s="18">
        <v>12538.777426234716</v>
      </c>
      <c r="F174" s="18">
        <v>3782.6351603388953</v>
      </c>
      <c r="G174" s="18">
        <v>700.2764126649993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9</v>
      </c>
      <c r="C175">
        <v>80.00000000000001</v>
      </c>
      <c r="D175">
        <v>5</v>
      </c>
      <c r="E175" s="18">
        <v>11737.913111242176</v>
      </c>
      <c r="F175" s="18">
        <v>3928.739095650866</v>
      </c>
      <c r="G175" s="18">
        <v>718.6325722833379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9</v>
      </c>
      <c r="C176">
        <v>80.00000000000001</v>
      </c>
      <c r="D176">
        <v>6</v>
      </c>
      <c r="E176" s="18">
        <v>10999.745046410577</v>
      </c>
      <c r="F176" s="18">
        <v>4043.454857356898</v>
      </c>
      <c r="G176" s="18">
        <v>736.9887319016773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9</v>
      </c>
      <c r="C177">
        <v>80.00000000000001</v>
      </c>
      <c r="D177">
        <v>7</v>
      </c>
      <c r="E177" s="18">
        <v>10327.807348599992</v>
      </c>
      <c r="F177" s="18">
        <v>4136.515355219281</v>
      </c>
      <c r="G177" s="18">
        <v>746.2802154755724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9</v>
      </c>
      <c r="C178">
        <v>80.00000000000001</v>
      </c>
      <c r="D178">
        <v>8</v>
      </c>
      <c r="E178" s="18">
        <v>9687.582776052619</v>
      </c>
      <c r="F178" s="18">
        <v>4211.3331310207</v>
      </c>
      <c r="G178" s="18">
        <v>764.6363750939113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9</v>
      </c>
      <c r="C179">
        <v>80.00000000000001</v>
      </c>
      <c r="D179">
        <v>9</v>
      </c>
      <c r="E179" s="18">
        <v>9099.358056058565</v>
      </c>
      <c r="F179" s="18">
        <v>4272.360872545278</v>
      </c>
      <c r="G179" s="18">
        <v>792.057210756695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9</v>
      </c>
      <c r="C180">
        <v>80.00000000000001</v>
      </c>
      <c r="D180">
        <v>10</v>
      </c>
      <c r="E180" s="18">
        <v>8517.980852627412</v>
      </c>
      <c r="F180" s="18">
        <v>4534.8598497159655</v>
      </c>
      <c r="G180" s="18">
        <v>842.3570419294942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9</v>
      </c>
      <c r="C181">
        <v>80.00000000000001</v>
      </c>
      <c r="D181">
        <v>11</v>
      </c>
      <c r="E181" s="18">
        <v>8092.39633747415</v>
      </c>
      <c r="F181" s="18">
        <v>4701.845133697934</v>
      </c>
      <c r="G181" s="18">
        <v>901.5792235639829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9</v>
      </c>
      <c r="C182">
        <v>80.00000000000001</v>
      </c>
      <c r="D182">
        <v>12</v>
      </c>
      <c r="E182" s="18">
        <v>7741.657323242599</v>
      </c>
      <c r="F182" s="18">
        <v>4835.4408718466875</v>
      </c>
      <c r="G182" s="18">
        <v>928.0698766942229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9</v>
      </c>
      <c r="C183">
        <v>80.00000000000001</v>
      </c>
      <c r="D183">
        <v>13</v>
      </c>
      <c r="E183" s="18">
        <v>7393.101573813024</v>
      </c>
      <c r="F183" s="18">
        <v>4949.502093730552</v>
      </c>
      <c r="G183" s="18">
        <v>979.6819943520024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9</v>
      </c>
      <c r="C184">
        <v>80.00000000000001</v>
      </c>
      <c r="D184">
        <v>14</v>
      </c>
      <c r="E184" s="18">
        <v>6735.183205085427</v>
      </c>
      <c r="F184" s="18">
        <v>5105.2945014178495</v>
      </c>
      <c r="G184" s="18">
        <v>1065.4580544092378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9</v>
      </c>
      <c r="C185">
        <v>80.00000000000001</v>
      </c>
      <c r="D185">
        <v>15</v>
      </c>
      <c r="E185" s="18">
        <v>5640.820596567971</v>
      </c>
      <c r="F185" s="18">
        <v>4810.121397692055</v>
      </c>
      <c r="G185" s="18">
        <v>1093.084572961694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9</v>
      </c>
      <c r="C186">
        <v>80.00000000000001</v>
      </c>
      <c r="D186">
        <v>16</v>
      </c>
      <c r="E186" s="18">
        <v>3747.640168719581</v>
      </c>
      <c r="F186" s="18">
        <v>4159.429081948207</v>
      </c>
      <c r="G186" s="18">
        <v>1156.1548022636166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9</v>
      </c>
      <c r="C187">
        <v>80.00000000000001</v>
      </c>
      <c r="D187">
        <v>17</v>
      </c>
      <c r="E187" s="18">
        <v>2301.2354813671895</v>
      </c>
      <c r="F187" s="18">
        <v>3586.139228931096</v>
      </c>
      <c r="G187" s="18">
        <v>1186.7326106249534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9</v>
      </c>
      <c r="C188">
        <v>80.00000000000001</v>
      </c>
      <c r="D188">
        <v>18</v>
      </c>
      <c r="E188" s="18">
        <v>-162.93872668380047</v>
      </c>
      <c r="F188" s="18">
        <v>2464.4599413390456</v>
      </c>
      <c r="G188" s="18">
        <v>960.8067111597829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9</v>
      </c>
      <c r="C189">
        <v>80.00000000000001</v>
      </c>
      <c r="D189">
        <v>19</v>
      </c>
      <c r="E189" s="18">
        <v>-1726.4291297732864</v>
      </c>
      <c r="F189" s="18">
        <v>1700.391298283813</v>
      </c>
      <c r="G189" s="18">
        <v>727.6224822136062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9</v>
      </c>
      <c r="C190">
        <v>80.00000000000001</v>
      </c>
      <c r="D190">
        <v>20</v>
      </c>
      <c r="E190" s="18">
        <v>-4046.776418624003</v>
      </c>
      <c r="F190" s="18">
        <v>481.60518146575765</v>
      </c>
      <c r="G190" s="18">
        <v>340.516117745039</v>
      </c>
    </row>
    <row r="192" spans="2:14" x14ac:dyDescent="0.25">
      <c r="B192">
        <v>10</v>
      </c>
      <c r="C192">
        <v>90</v>
      </c>
      <c r="D192">
        <v>1</v>
      </c>
      <c r="E192" s="18">
        <v>15831.862746689701</v>
      </c>
      <c r="F192" s="18">
        <v>2940.658855894903</v>
      </c>
      <c r="G192" s="18">
        <v>4.842877388000488e-14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10</v>
      </c>
      <c r="C193">
        <v>90</v>
      </c>
      <c r="D193">
        <v>2</v>
      </c>
      <c r="E193" s="18">
        <v>14887.875937058565</v>
      </c>
      <c r="F193" s="18">
        <v>3260.4526071625683</v>
      </c>
      <c r="G193" s="18">
        <v>1.9371509552001954e-14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10</v>
      </c>
      <c r="C194">
        <v>90</v>
      </c>
      <c r="D194">
        <v>3</v>
      </c>
      <c r="E194" s="18">
        <v>13078.238442871754</v>
      </c>
      <c r="F194" s="18">
        <v>3755.4461000483125</v>
      </c>
      <c r="G194" s="18">
        <v>3.3900141716003415e-14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10</v>
      </c>
      <c r="C195">
        <v>90</v>
      </c>
      <c r="D195">
        <v>4</v>
      </c>
      <c r="E195" s="18">
        <v>12288.140308544085</v>
      </c>
      <c r="F195" s="18">
        <v>3928.5516618640017</v>
      </c>
      <c r="G195" s="18">
        <v>3.3900141716003415e-14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10</v>
      </c>
      <c r="C196">
        <v>90</v>
      </c>
      <c r="D196">
        <v>5</v>
      </c>
      <c r="E196" s="18">
        <v>11590.081777081512</v>
      </c>
      <c r="F196" s="18">
        <v>4065.797916269918</v>
      </c>
      <c r="G196" s="18">
        <v>1.9008293747901917e-13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10</v>
      </c>
      <c r="C197">
        <v>90</v>
      </c>
      <c r="D197">
        <v>6</v>
      </c>
      <c r="E197" s="18">
        <v>10919.964500906979</v>
      </c>
      <c r="F197" s="18">
        <v>4181.521307153867</v>
      </c>
      <c r="G197" s="18">
        <v>4.697591066360474e-13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10</v>
      </c>
      <c r="C198">
        <v>90</v>
      </c>
      <c r="D198">
        <v>7</v>
      </c>
      <c r="E198" s="18">
        <v>10295.917718918488</v>
      </c>
      <c r="F198" s="18">
        <v>4279.486462246425</v>
      </c>
      <c r="G198" s="18">
        <v>1.477077603340149e-13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10</v>
      </c>
      <c r="C199">
        <v>90</v>
      </c>
      <c r="D199">
        <v>8</v>
      </c>
      <c r="E199" s="18">
        <v>9702.587063714996</v>
      </c>
      <c r="F199" s="18">
        <v>4361.79802040775</v>
      </c>
      <c r="G199" s="18">
        <v>-4.600733518600464e-14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10</v>
      </c>
      <c r="C200">
        <v>90</v>
      </c>
      <c r="D200">
        <v>9</v>
      </c>
      <c r="E200" s="18">
        <v>9137.567173396383</v>
      </c>
      <c r="F200" s="18">
        <v>4432.815781922306</v>
      </c>
      <c r="G200" s="18">
        <v>1.525506377220154e-13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10</v>
      </c>
      <c r="C201">
        <v>90</v>
      </c>
      <c r="D201">
        <v>10</v>
      </c>
      <c r="E201" s="18">
        <v>8780.854531128349</v>
      </c>
      <c r="F201" s="18">
        <v>4643.256988390347</v>
      </c>
      <c r="G201" s="18">
        <v>4.505738615989685e-13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10</v>
      </c>
      <c r="C202">
        <v>90</v>
      </c>
      <c r="D202">
        <v>11</v>
      </c>
      <c r="E202" s="18">
        <v>8471.54834505558</v>
      </c>
      <c r="F202" s="18">
        <v>4837.71179556643</v>
      </c>
      <c r="G202" s="18">
        <v>3.3639371395111084e-13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10</v>
      </c>
      <c r="C203">
        <v>90</v>
      </c>
      <c r="D203">
        <v>12</v>
      </c>
      <c r="E203" s="18">
        <v>8171.19907639217</v>
      </c>
      <c r="F203" s="18">
        <v>5008.613666669041</v>
      </c>
      <c r="G203" s="18">
        <v>2.5425106287002566e-13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10</v>
      </c>
      <c r="C204">
        <v>90</v>
      </c>
      <c r="D204">
        <v>13</v>
      </c>
      <c r="E204" s="18">
        <v>7946.957395717584</v>
      </c>
      <c r="F204" s="18">
        <v>5149.33317113616</v>
      </c>
      <c r="G204" s="18">
        <v>1.6779328385988868e-13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10</v>
      </c>
      <c r="C205">
        <v>90</v>
      </c>
      <c r="D205">
        <v>14</v>
      </c>
      <c r="E205" s="18">
        <v>7513.284240003965</v>
      </c>
      <c r="F205" s="18">
        <v>5409.306186011452</v>
      </c>
      <c r="G205" s="18">
        <v>3.9422884583473205e-13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10</v>
      </c>
      <c r="C206">
        <v>90</v>
      </c>
      <c r="D206">
        <v>15</v>
      </c>
      <c r="E206" s="18">
        <v>6690.000816835348</v>
      </c>
      <c r="F206" s="18">
        <v>5227.358557105922</v>
      </c>
      <c r="G206" s="18">
        <v>2.327375113964081e-13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10</v>
      </c>
      <c r="C207">
        <v>90</v>
      </c>
      <c r="D207">
        <v>16</v>
      </c>
      <c r="E207" s="18">
        <v>5420.099240749144</v>
      </c>
      <c r="F207" s="18">
        <v>4886.879129814069</v>
      </c>
      <c r="G207" s="18">
        <v>3.2377429306507107e-13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10</v>
      </c>
      <c r="C208">
        <v>90</v>
      </c>
      <c r="D208">
        <v>17</v>
      </c>
      <c r="E208" s="18">
        <v>4398.307300813494</v>
      </c>
      <c r="F208" s="18">
        <v>4551.919882185924</v>
      </c>
      <c r="G208" s="18">
        <v>5.859998054802417e-13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10</v>
      </c>
      <c r="C209">
        <v>90</v>
      </c>
      <c r="D209">
        <v>18</v>
      </c>
      <c r="E209" s="18">
        <v>2308.754168918306</v>
      </c>
      <c r="F209" s="18">
        <v>3737.5175014467495</v>
      </c>
      <c r="G209" s="18">
        <v>3.673136234283447e-13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10</v>
      </c>
      <c r="C210">
        <v>90</v>
      </c>
      <c r="D210">
        <v>19</v>
      </c>
      <c r="E210" s="18">
        <v>1035.25387979729</v>
      </c>
      <c r="F210" s="18">
        <v>3170.149727154508</v>
      </c>
      <c r="G210" s="18">
        <v>1.5832483768463136e-13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7" x14ac:dyDescent="0.25">
      <c r="B211">
        <v>10</v>
      </c>
      <c r="C211">
        <v>90</v>
      </c>
      <c r="D211">
        <v>20</v>
      </c>
      <c r="E211" s="18">
        <v>-1386.9705879741523</v>
      </c>
      <c r="F211" s="18">
        <v>1934.4394333303642</v>
      </c>
      <c r="G211" s="18">
        <v>5.066394805908203e-14</v>
      </c>
    </row>
    <row r="213" spans="2:14" x14ac:dyDescent="0.25">
      <c r="B213">
        <v>11</v>
      </c>
      <c r="C213">
        <v>99.99999999999999</v>
      </c>
      <c r="D213">
        <v>1</v>
      </c>
      <c r="E213" s="18">
        <v>17113.049469113816</v>
      </c>
      <c r="F213" s="18">
        <v>2364.08497348051</v>
      </c>
      <c r="G213" s="18">
        <v>-755.0916055121615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11</v>
      </c>
      <c r="C214">
        <v>99.99999999999999</v>
      </c>
      <c r="D214">
        <v>2</v>
      </c>
      <c r="E214" s="18">
        <v>15584.57958501061</v>
      </c>
      <c r="F214" s="18">
        <v>2957.0743911130203</v>
      </c>
      <c r="G214" s="18">
        <v>-694.6412418661441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11</v>
      </c>
      <c r="C215">
        <v>99.99999999999999</v>
      </c>
      <c r="D215">
        <v>3</v>
      </c>
      <c r="E215" s="18">
        <v>13401.396220702614</v>
      </c>
      <c r="F215" s="18">
        <v>3597.3655587769877</v>
      </c>
      <c r="G215" s="18">
        <v>-672.8634776325089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11</v>
      </c>
      <c r="C216">
        <v>99.99999999999999</v>
      </c>
      <c r="D216">
        <v>4</v>
      </c>
      <c r="E216" s="18">
        <v>12538.777426234723</v>
      </c>
      <c r="F216" s="18">
        <v>3782.6351603388953</v>
      </c>
      <c r="G216" s="18">
        <v>-700.2764126649982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11</v>
      </c>
      <c r="C217">
        <v>99.99999999999999</v>
      </c>
      <c r="D217">
        <v>5</v>
      </c>
      <c r="E217" s="18">
        <v>11737.913111242176</v>
      </c>
      <c r="F217" s="18">
        <v>3928.739095650867</v>
      </c>
      <c r="G217" s="18">
        <v>-718.6325722833378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11</v>
      </c>
      <c r="C218">
        <v>99.99999999999999</v>
      </c>
      <c r="D218">
        <v>6</v>
      </c>
      <c r="E218" s="18">
        <v>10999.74504641058</v>
      </c>
      <c r="F218" s="18">
        <v>4043.4548573568986</v>
      </c>
      <c r="G218" s="18">
        <v>-736.9887319016766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11</v>
      </c>
      <c r="C219">
        <v>99.99999999999999</v>
      </c>
      <c r="D219">
        <v>7</v>
      </c>
      <c r="E219" s="18">
        <v>10327.807348599988</v>
      </c>
      <c r="F219" s="18">
        <v>4136.515355219281</v>
      </c>
      <c r="G219" s="18">
        <v>-746.2802154755719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11</v>
      </c>
      <c r="C220">
        <v>99.99999999999999</v>
      </c>
      <c r="D220">
        <v>8</v>
      </c>
      <c r="E220" s="18">
        <v>9687.582776052623</v>
      </c>
      <c r="F220" s="18">
        <v>4211.333131020701</v>
      </c>
      <c r="G220" s="18">
        <v>-764.6363750939103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11</v>
      </c>
      <c r="C221">
        <v>99.99999999999999</v>
      </c>
      <c r="D221">
        <v>9</v>
      </c>
      <c r="E221" s="18">
        <v>9099.358056058567</v>
      </c>
      <c r="F221" s="18">
        <v>4272.360872545278</v>
      </c>
      <c r="G221" s="18">
        <v>-792.0572107566938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11</v>
      </c>
      <c r="C222">
        <v>99.99999999999999</v>
      </c>
      <c r="D222">
        <v>10</v>
      </c>
      <c r="E222" s="18">
        <v>8517.980852627412</v>
      </c>
      <c r="F222" s="18">
        <v>4534.8598497159655</v>
      </c>
      <c r="G222" s="18">
        <v>-842.3570419294934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11</v>
      </c>
      <c r="C223">
        <v>99.99999999999999</v>
      </c>
      <c r="D223">
        <v>11</v>
      </c>
      <c r="E223" s="18">
        <v>8092.39633747415</v>
      </c>
      <c r="F223" s="18">
        <v>4701.845133697935</v>
      </c>
      <c r="G223" s="18">
        <v>-901.5792235639819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11</v>
      </c>
      <c r="C224">
        <v>99.99999999999999</v>
      </c>
      <c r="D224">
        <v>12</v>
      </c>
      <c r="E224" s="18">
        <v>7741.657323242597</v>
      </c>
      <c r="F224" s="18">
        <v>4835.4408718466875</v>
      </c>
      <c r="G224" s="18">
        <v>-928.069876694222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11</v>
      </c>
      <c r="C225">
        <v>99.99999999999999</v>
      </c>
      <c r="D225">
        <v>13</v>
      </c>
      <c r="E225" s="18">
        <v>7393.1015738130245</v>
      </c>
      <c r="F225" s="18">
        <v>4949.502093730552</v>
      </c>
      <c r="G225" s="18">
        <v>-979.6819943520015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11</v>
      </c>
      <c r="C226">
        <v>99.99999999999999</v>
      </c>
      <c r="D226">
        <v>14</v>
      </c>
      <c r="E226" s="18">
        <v>6735.183205085429</v>
      </c>
      <c r="F226" s="18">
        <v>5105.294501417849</v>
      </c>
      <c r="G226" s="18">
        <v>-1065.4580544092373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11</v>
      </c>
      <c r="C227">
        <v>99.99999999999999</v>
      </c>
      <c r="D227">
        <v>15</v>
      </c>
      <c r="E227" s="18">
        <v>5640.820596567972</v>
      </c>
      <c r="F227" s="18">
        <v>4810.121397692055</v>
      </c>
      <c r="G227" s="18">
        <v>-1093.084572961693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11</v>
      </c>
      <c r="C228">
        <v>99.99999999999999</v>
      </c>
      <c r="D228">
        <v>16</v>
      </c>
      <c r="E228" s="18">
        <v>3747.640168719586</v>
      </c>
      <c r="F228" s="18">
        <v>4159.4290819482085</v>
      </c>
      <c r="G228" s="18">
        <v>-1156.1548022636164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11</v>
      </c>
      <c r="C229">
        <v>99.99999999999999</v>
      </c>
      <c r="D229">
        <v>17</v>
      </c>
      <c r="E229" s="18">
        <v>2301.2354813671905</v>
      </c>
      <c r="F229" s="18">
        <v>3586.139228931097</v>
      </c>
      <c r="G229" s="18">
        <v>-1186.732610624953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11</v>
      </c>
      <c r="C230">
        <v>99.99999999999999</v>
      </c>
      <c r="D230">
        <v>18</v>
      </c>
      <c r="E230" s="18">
        <v>-162.9387266837969</v>
      </c>
      <c r="F230" s="18">
        <v>2464.4599413390474</v>
      </c>
      <c r="G230" s="18">
        <v>-960.8067111597826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11</v>
      </c>
      <c r="C231">
        <v>99.99999999999999</v>
      </c>
      <c r="D231">
        <v>19</v>
      </c>
      <c r="E231" s="18">
        <v>-1726.4291297732861</v>
      </c>
      <c r="F231" s="18">
        <v>1700.3912982838126</v>
      </c>
      <c r="G231" s="18">
        <v>-727.6224822136053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7" x14ac:dyDescent="0.25">
      <c r="B232">
        <v>11</v>
      </c>
      <c r="C232">
        <v>99.99999999999999</v>
      </c>
      <c r="D232">
        <v>20</v>
      </c>
      <c r="E232" s="18">
        <v>-4046.776418624003</v>
      </c>
      <c r="F232" s="18">
        <v>481.6051814657576</v>
      </c>
      <c r="G232" s="18">
        <v>-340.51611774503925</v>
      </c>
    </row>
    <row r="234" spans="2:14" x14ac:dyDescent="0.25">
      <c r="B234">
        <v>12</v>
      </c>
      <c r="C234">
        <v>109.99999999999997</v>
      </c>
      <c r="D234">
        <v>1</v>
      </c>
      <c r="E234" s="18">
        <v>16402.860173841535</v>
      </c>
      <c r="F234" s="18">
        <v>2466.171030639908</v>
      </c>
      <c r="G234" s="18">
        <v>-1379.4825182067675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12</v>
      </c>
      <c r="C235">
        <v>109.99999999999997</v>
      </c>
      <c r="D235">
        <v>2</v>
      </c>
      <c r="E235" s="18">
        <v>13718.869376902876</v>
      </c>
      <c r="F235" s="18">
        <v>3324.228520240989</v>
      </c>
      <c r="G235" s="18">
        <v>-1376.0762869814698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12</v>
      </c>
      <c r="C236">
        <v>109.99999999999997</v>
      </c>
      <c r="D236">
        <v>3</v>
      </c>
      <c r="E236" s="18">
        <v>12744.95786852382</v>
      </c>
      <c r="F236" s="18">
        <v>3542.0083583097808</v>
      </c>
      <c r="G236" s="18">
        <v>-1410.9333713563667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12</v>
      </c>
      <c r="C237">
        <v>109.99999999999997</v>
      </c>
      <c r="D237">
        <v>4</v>
      </c>
      <c r="E237" s="18">
        <v>11872.925768562733</v>
      </c>
      <c r="F237" s="18">
        <v>3706.337711125449</v>
      </c>
      <c r="G237" s="18">
        <v>-1428.5243211475015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12</v>
      </c>
      <c r="C238">
        <v>109.99999999999997</v>
      </c>
      <c r="D238">
        <v>5</v>
      </c>
      <c r="E238" s="18">
        <v>11068.391549557175</v>
      </c>
      <c r="F238" s="18">
        <v>3824.039970536532</v>
      </c>
      <c r="G238" s="18">
        <v>-1457.8706348871585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12</v>
      </c>
      <c r="C239">
        <v>109.99999999999997</v>
      </c>
      <c r="D239">
        <v>6</v>
      </c>
      <c r="E239" s="18">
        <v>10332.10887656912</v>
      </c>
      <c r="F239" s="18">
        <v>3905.486047511334</v>
      </c>
      <c r="G239" s="18">
        <v>-1498.5915706692595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12</v>
      </c>
      <c r="C240">
        <v>109.99999999999997</v>
      </c>
      <c r="D240">
        <v>7</v>
      </c>
      <c r="E240" s="18">
        <v>9631.833173417352</v>
      </c>
      <c r="F240" s="18">
        <v>3968.433504874083</v>
      </c>
      <c r="G240" s="18">
        <v>-1531.0056507951022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12</v>
      </c>
      <c r="C241">
        <v>109.99999999999997</v>
      </c>
      <c r="D241">
        <v>8</v>
      </c>
      <c r="E241" s="18">
        <v>8988.870002011941</v>
      </c>
      <c r="F241" s="18">
        <v>4019.592675333385</v>
      </c>
      <c r="G241" s="18">
        <v>-1554.3550548765004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12</v>
      </c>
      <c r="C242">
        <v>109.99999999999997</v>
      </c>
      <c r="D242">
        <v>9</v>
      </c>
      <c r="E242" s="18">
        <v>8252.707873920062</v>
      </c>
      <c r="F242" s="18">
        <v>4245.674202980199</v>
      </c>
      <c r="G242" s="18">
        <v>-1679.4218659264625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12</v>
      </c>
      <c r="C243">
        <v>109.99999999999997</v>
      </c>
      <c r="D243">
        <v>10</v>
      </c>
      <c r="E243" s="18">
        <v>7655.125540397138</v>
      </c>
      <c r="F243" s="18">
        <v>4378.323743754365</v>
      </c>
      <c r="G243" s="18">
        <v>-1783.60005022954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12</v>
      </c>
      <c r="C244">
        <v>109.99999999999997</v>
      </c>
      <c r="D244">
        <v>11</v>
      </c>
      <c r="E244" s="18">
        <v>7128.5135400787985</v>
      </c>
      <c r="F244" s="18">
        <v>4456.49737853079</v>
      </c>
      <c r="G244" s="18">
        <v>-1887.53181618741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12</v>
      </c>
      <c r="C245">
        <v>109.99999999999997</v>
      </c>
      <c r="D245">
        <v>12</v>
      </c>
      <c r="E245" s="18">
        <v>6661.1538739312255</v>
      </c>
      <c r="F245" s="18">
        <v>4486.661048542757</v>
      </c>
      <c r="G245" s="18">
        <v>-1976.8965861315048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12</v>
      </c>
      <c r="C246">
        <v>109.99999999999997</v>
      </c>
      <c r="D246">
        <v>13</v>
      </c>
      <c r="E246" s="18">
        <v>5508.708329790149</v>
      </c>
      <c r="F246" s="18">
        <v>4409.065284635748</v>
      </c>
      <c r="G246" s="18">
        <v>-2188.5015690549426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12</v>
      </c>
      <c r="C247">
        <v>109.99999999999997</v>
      </c>
      <c r="D247">
        <v>14</v>
      </c>
      <c r="E247" s="18">
        <v>4141.388778317829</v>
      </c>
      <c r="F247" s="18">
        <v>3979.1241367274433</v>
      </c>
      <c r="G247" s="18">
        <v>-2166.7792636844483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12</v>
      </c>
      <c r="C248">
        <v>109.99999999999997</v>
      </c>
      <c r="D248">
        <v>15</v>
      </c>
      <c r="E248" s="18">
        <v>2174.9563385955585</v>
      </c>
      <c r="F248" s="18">
        <v>3254.7513959296098</v>
      </c>
      <c r="G248" s="18">
        <v>-2039.5887020591163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12</v>
      </c>
      <c r="C249">
        <v>109.99999999999997</v>
      </c>
      <c r="D249">
        <v>16</v>
      </c>
      <c r="E249" s="18">
        <v>922.35085536887</v>
      </c>
      <c r="F249" s="18">
        <v>2750.4170666280233</v>
      </c>
      <c r="G249" s="18">
        <v>-1834.68142425626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12</v>
      </c>
      <c r="C250">
        <v>109.99999999999997</v>
      </c>
      <c r="D250">
        <v>17</v>
      </c>
      <c r="E250" s="18">
        <v>-1331.032637032542</v>
      </c>
      <c r="F250" s="18">
        <v>1772.314713784866</v>
      </c>
      <c r="G250" s="18">
        <v>-1328.4318999337574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12</v>
      </c>
      <c r="C251">
        <v>109.99999999999997</v>
      </c>
      <c r="D251">
        <v>18</v>
      </c>
      <c r="E251" s="18">
        <v>-2582.9617941584797</v>
      </c>
      <c r="F251" s="18">
        <v>1179.876733401427</v>
      </c>
      <c r="G251" s="18">
        <v>-969.9984270243795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7" x14ac:dyDescent="0.25">
      <c r="B252">
        <v>12</v>
      </c>
      <c r="C252">
        <v>109.99999999999997</v>
      </c>
      <c r="D252">
        <v>19</v>
      </c>
      <c r="E252" s="18">
        <v>-4318.169758120961</v>
      </c>
      <c r="F252" s="18">
        <v>328.6861640066757</v>
      </c>
      <c r="G252" s="18">
        <v>-285.023222641046</v>
      </c>
    </row>
    <row r="254" spans="2:14" x14ac:dyDescent="0.25">
      <c r="B254">
        <v>13</v>
      </c>
      <c r="C254">
        <v>119.99999999999997</v>
      </c>
      <c r="D254">
        <v>1</v>
      </c>
      <c r="E254" s="18">
        <v>16822.91130402749</v>
      </c>
      <c r="F254" s="18">
        <v>2091.077256537301</v>
      </c>
      <c r="G254" s="18">
        <v>-1846.312137649973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13</v>
      </c>
      <c r="C255">
        <v>119.99999999999997</v>
      </c>
      <c r="D255">
        <v>2</v>
      </c>
      <c r="E255" s="18">
        <v>14070.917898113932</v>
      </c>
      <c r="F255" s="18">
        <v>2928.0348018955306</v>
      </c>
      <c r="G255" s="18">
        <v>-2047.8332989882974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13</v>
      </c>
      <c r="C256">
        <v>119.99999999999997</v>
      </c>
      <c r="D256">
        <v>3</v>
      </c>
      <c r="E256" s="18">
        <v>12901.856153672323</v>
      </c>
      <c r="F256" s="18">
        <v>3190.0199009311577</v>
      </c>
      <c r="G256" s="18">
        <v>-2099.0540102547507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13</v>
      </c>
      <c r="C257">
        <v>119.99999999999997</v>
      </c>
      <c r="D257">
        <v>4</v>
      </c>
      <c r="E257" s="18">
        <v>11935.566040529275</v>
      </c>
      <c r="F257" s="18">
        <v>3346.4962168695947</v>
      </c>
      <c r="G257" s="18">
        <v>-2169.907487776095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13</v>
      </c>
      <c r="C258">
        <v>119.99999999999997</v>
      </c>
      <c r="D258">
        <v>5</v>
      </c>
      <c r="E258" s="18">
        <v>11067.978856668191</v>
      </c>
      <c r="F258" s="18">
        <v>3453.7456204671757</v>
      </c>
      <c r="G258" s="18">
        <v>-2228.184326941013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13</v>
      </c>
      <c r="C259">
        <v>119.99999999999997</v>
      </c>
      <c r="D259">
        <v>6</v>
      </c>
      <c r="E259" s="18">
        <v>10256.541858725835</v>
      </c>
      <c r="F259" s="18">
        <v>3525.165508161799</v>
      </c>
      <c r="G259" s="18">
        <v>-2285.878670822101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13</v>
      </c>
      <c r="C260">
        <v>119.99999999999997</v>
      </c>
      <c r="D260">
        <v>7</v>
      </c>
      <c r="E260" s="18">
        <v>9504.385690919622</v>
      </c>
      <c r="F260" s="18">
        <v>3577.1883787229203</v>
      </c>
      <c r="G260" s="18">
        <v>-2330.604274080621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13</v>
      </c>
      <c r="C261">
        <v>119.99999999999997</v>
      </c>
      <c r="D261">
        <v>8</v>
      </c>
      <c r="E261" s="18">
        <v>8792.157526062832</v>
      </c>
      <c r="F261" s="18">
        <v>3613.0310474925145</v>
      </c>
      <c r="G261" s="18">
        <v>-2365.2959646508216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13</v>
      </c>
      <c r="C262">
        <v>119.99999999999997</v>
      </c>
      <c r="D262">
        <v>9</v>
      </c>
      <c r="E262" s="18">
        <v>7972.608173647171</v>
      </c>
      <c r="F262" s="18">
        <v>3784.1243414515357</v>
      </c>
      <c r="G262" s="18">
        <v>-2517.212543447236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13</v>
      </c>
      <c r="C263">
        <v>119.99999999999997</v>
      </c>
      <c r="D263">
        <v>10</v>
      </c>
      <c r="E263" s="18">
        <v>7180.825741674879</v>
      </c>
      <c r="F263" s="18">
        <v>3862.7924438875853</v>
      </c>
      <c r="G263" s="18">
        <v>-2652.807421861852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13</v>
      </c>
      <c r="C264">
        <v>119.99999999999997</v>
      </c>
      <c r="D264">
        <v>11</v>
      </c>
      <c r="E264" s="18">
        <v>6383.26377028388</v>
      </c>
      <c r="F264" s="18">
        <v>3840.996785439064</v>
      </c>
      <c r="G264" s="18">
        <v>-2781.6542011786632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13</v>
      </c>
      <c r="C265">
        <v>119.99999999999997</v>
      </c>
      <c r="D265">
        <v>12</v>
      </c>
      <c r="E265" s="18">
        <v>5652.587608389081</v>
      </c>
      <c r="F265" s="18">
        <v>3777.794158566774</v>
      </c>
      <c r="G265" s="18">
        <v>-2915.99418300474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13</v>
      </c>
      <c r="C266">
        <v>119.99999999999997</v>
      </c>
      <c r="D266">
        <v>13</v>
      </c>
      <c r="E266" s="18">
        <v>4514.10107220696</v>
      </c>
      <c r="F266" s="18">
        <v>3636.5992311156742</v>
      </c>
      <c r="G266" s="18">
        <v>-3075.5587008274288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13</v>
      </c>
      <c r="C267">
        <v>119.99999999999997</v>
      </c>
      <c r="D267">
        <v>14</v>
      </c>
      <c r="E267" s="18">
        <v>3331.7857653191327</v>
      </c>
      <c r="F267" s="18">
        <v>3288.9994358440285</v>
      </c>
      <c r="G267" s="18">
        <v>-2907.6624407574695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13</v>
      </c>
      <c r="C268">
        <v>119.99999999999997</v>
      </c>
      <c r="D268">
        <v>15</v>
      </c>
      <c r="E268" s="18">
        <v>1637.5892091143164</v>
      </c>
      <c r="F268" s="18">
        <v>2758.961194219572</v>
      </c>
      <c r="G268" s="18">
        <v>-2523.682742669909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13</v>
      </c>
      <c r="C269">
        <v>119.99999999999997</v>
      </c>
      <c r="D269">
        <v>16</v>
      </c>
      <c r="E269" s="18">
        <v>454.5145945618369</v>
      </c>
      <c r="F269" s="18">
        <v>2337.6940815534126</v>
      </c>
      <c r="G269" s="18">
        <v>-2221.031636311089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13</v>
      </c>
      <c r="C270">
        <v>119.99999999999997</v>
      </c>
      <c r="D270">
        <v>17</v>
      </c>
      <c r="E270" s="18">
        <v>-1552.0973922406886</v>
      </c>
      <c r="F270" s="18">
        <v>1541.74004355525</v>
      </c>
      <c r="G270" s="18">
        <v>-1576.7650024787317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13</v>
      </c>
      <c r="C271">
        <v>119.99999999999997</v>
      </c>
      <c r="D271">
        <v>18</v>
      </c>
      <c r="E271" s="18">
        <v>-2685.930774914731</v>
      </c>
      <c r="F271" s="18">
        <v>1059.286716705791</v>
      </c>
      <c r="G271" s="18">
        <v>-1117.6191978244196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7" x14ac:dyDescent="0.25">
      <c r="B272">
        <v>13</v>
      </c>
      <c r="C272">
        <v>119.99999999999997</v>
      </c>
      <c r="D272">
        <v>19</v>
      </c>
      <c r="E272" s="18">
        <v>-4292.7116678587445</v>
      </c>
      <c r="F272" s="18">
        <v>329.7583087806502</v>
      </c>
      <c r="G272" s="18">
        <v>-328.5824510703781</v>
      </c>
    </row>
    <row r="274" spans="2:14" x14ac:dyDescent="0.25">
      <c r="B274">
        <v>14</v>
      </c>
      <c r="C274">
        <v>130.00000000000006</v>
      </c>
      <c r="D274">
        <v>1</v>
      </c>
      <c r="E274" s="18">
        <v>16852.860116444474</v>
      </c>
      <c r="F274" s="18">
        <v>1821.9093463293848</v>
      </c>
      <c r="G274" s="18">
        <v>-2219.178411142838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14</v>
      </c>
      <c r="C275">
        <v>130.00000000000006</v>
      </c>
      <c r="D275">
        <v>2</v>
      </c>
      <c r="E275" s="18">
        <v>14365.804360764834</v>
      </c>
      <c r="F275" s="18">
        <v>2404.642402426316</v>
      </c>
      <c r="G275" s="18">
        <v>-2695.479237060514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14</v>
      </c>
      <c r="C276">
        <v>130.00000000000006</v>
      </c>
      <c r="D276">
        <v>3</v>
      </c>
      <c r="E276" s="18">
        <v>13084.773123757817</v>
      </c>
      <c r="F276" s="18">
        <v>2661.7634939422146</v>
      </c>
      <c r="G276" s="18">
        <v>-2813.6006068865827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14</v>
      </c>
      <c r="C277">
        <v>130.00000000000006</v>
      </c>
      <c r="D277">
        <v>4</v>
      </c>
      <c r="E277" s="18">
        <v>11986.815993789121</v>
      </c>
      <c r="F277" s="18">
        <v>2843.623456449094</v>
      </c>
      <c r="G277" s="18">
        <v>-2889.0624143133027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14</v>
      </c>
      <c r="C278">
        <v>130.00000000000006</v>
      </c>
      <c r="D278">
        <v>5</v>
      </c>
      <c r="E278" s="18">
        <v>11025.61890490727</v>
      </c>
      <c r="F278" s="18">
        <v>2964.187022290056</v>
      </c>
      <c r="G278" s="18">
        <v>-2946.3917010793252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14</v>
      </c>
      <c r="C279">
        <v>130.00000000000006</v>
      </c>
      <c r="D279">
        <v>6</v>
      </c>
      <c r="E279" s="18">
        <v>10174.158446499016</v>
      </c>
      <c r="F279" s="18">
        <v>3032.6215205910453</v>
      </c>
      <c r="G279" s="18">
        <v>-3006.897647321063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14</v>
      </c>
      <c r="C280">
        <v>130.00000000000006</v>
      </c>
      <c r="D280">
        <v>7</v>
      </c>
      <c r="E280" s="18">
        <v>9380.520956343438</v>
      </c>
      <c r="F280" s="18">
        <v>3069.0403124940394</v>
      </c>
      <c r="G280" s="18">
        <v>-3063.4399937898866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14</v>
      </c>
      <c r="C281">
        <v>130.00000000000006</v>
      </c>
      <c r="D281">
        <v>8</v>
      </c>
      <c r="E281" s="18">
        <v>8615.873340150305</v>
      </c>
      <c r="F281" s="18">
        <v>3078.1487202853255</v>
      </c>
      <c r="G281" s="18">
        <v>-3122.214440822846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14</v>
      </c>
      <c r="C282">
        <v>130.00000000000006</v>
      </c>
      <c r="D282">
        <v>9</v>
      </c>
      <c r="E282" s="18">
        <v>7644.217505764198</v>
      </c>
      <c r="F282" s="18">
        <v>3154.700340530996</v>
      </c>
      <c r="G282" s="18">
        <v>-3342.3429528228667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14</v>
      </c>
      <c r="C283">
        <v>130.00000000000006</v>
      </c>
      <c r="D283">
        <v>10</v>
      </c>
      <c r="E283" s="18">
        <v>6688.32463427844</v>
      </c>
      <c r="F283" s="18">
        <v>3159.1822899865847</v>
      </c>
      <c r="G283" s="18">
        <v>-3489.1686694325053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14</v>
      </c>
      <c r="C284">
        <v>130.00000000000006</v>
      </c>
      <c r="D284">
        <v>11</v>
      </c>
      <c r="E284" s="18">
        <v>5891.239077013843</v>
      </c>
      <c r="F284" s="18">
        <v>3142.87905245302</v>
      </c>
      <c r="G284" s="18">
        <v>-3591.59168874269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14</v>
      </c>
      <c r="C285">
        <v>130.00000000000006</v>
      </c>
      <c r="D285">
        <v>12</v>
      </c>
      <c r="E285" s="18">
        <v>5231.9999462024025</v>
      </c>
      <c r="F285" s="18">
        <v>3136.2840927056027</v>
      </c>
      <c r="G285" s="18">
        <v>-3634.14360481057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14</v>
      </c>
      <c r="C286">
        <v>130.00000000000006</v>
      </c>
      <c r="D286">
        <v>13</v>
      </c>
      <c r="E286" s="18">
        <v>4199.657271846664</v>
      </c>
      <c r="F286" s="18">
        <v>3102.679123961514</v>
      </c>
      <c r="G286" s="18">
        <v>-3673.8564123534015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14</v>
      </c>
      <c r="C287">
        <v>130.00000000000006</v>
      </c>
      <c r="D287">
        <v>14</v>
      </c>
      <c r="E287" s="18">
        <v>3169.1539039212817</v>
      </c>
      <c r="F287" s="18">
        <v>2831.0249960131864</v>
      </c>
      <c r="G287" s="18">
        <v>-3435.3864648898198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14</v>
      </c>
      <c r="C288">
        <v>130.00000000000006</v>
      </c>
      <c r="D288">
        <v>15</v>
      </c>
      <c r="E288" s="18">
        <v>1599.2641146176054</v>
      </c>
      <c r="F288" s="18">
        <v>2409.338847373215</v>
      </c>
      <c r="G288" s="18">
        <v>-3000.2866643702823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14</v>
      </c>
      <c r="C289">
        <v>130.00000000000006</v>
      </c>
      <c r="D289">
        <v>16</v>
      </c>
      <c r="E289" s="18">
        <v>475.1786777659792</v>
      </c>
      <c r="F289" s="18">
        <v>2096.966730397108</v>
      </c>
      <c r="G289" s="18">
        <v>-2621.527354646377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14</v>
      </c>
      <c r="C290">
        <v>130.00000000000006</v>
      </c>
      <c r="D290">
        <v>17</v>
      </c>
      <c r="E290" s="18">
        <v>-1358.1329778727088</v>
      </c>
      <c r="F290" s="18">
        <v>1484.6277047437486</v>
      </c>
      <c r="G290" s="18">
        <v>-1871.934848484639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14</v>
      </c>
      <c r="C291">
        <v>130.00000000000006</v>
      </c>
      <c r="D291">
        <v>18</v>
      </c>
      <c r="E291" s="18">
        <v>-2442.045855745271</v>
      </c>
      <c r="F291" s="18">
        <v>1074.4367210190003</v>
      </c>
      <c r="G291" s="18">
        <v>-1355.7859349430707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7" x14ac:dyDescent="0.25">
      <c r="B292">
        <v>14</v>
      </c>
      <c r="C292">
        <v>130.00000000000006</v>
      </c>
      <c r="D292">
        <v>19</v>
      </c>
      <c r="E292" s="18">
        <v>-4037.7307392732573</v>
      </c>
      <c r="F292" s="18">
        <v>408.5389539331583</v>
      </c>
      <c r="G292" s="18">
        <v>-519.206129022784</v>
      </c>
    </row>
    <row r="294" spans="2:14" x14ac:dyDescent="0.25">
      <c r="B294">
        <v>15</v>
      </c>
      <c r="C294">
        <v>140.00000000000006</v>
      </c>
      <c r="D294">
        <v>1</v>
      </c>
      <c r="E294" s="18">
        <v>17112.228279488492</v>
      </c>
      <c r="F294" s="18">
        <v>1471.5214998189326</v>
      </c>
      <c r="G294" s="18">
        <v>-2419.433669563107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15</v>
      </c>
      <c r="C295">
        <v>140.00000000000006</v>
      </c>
      <c r="D295">
        <v>2</v>
      </c>
      <c r="E295" s="18">
        <v>14865.40051066738</v>
      </c>
      <c r="F295" s="18">
        <v>1819.1798900975818</v>
      </c>
      <c r="G295" s="18">
        <v>-3107.8111608733147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15</v>
      </c>
      <c r="C296">
        <v>140.00000000000006</v>
      </c>
      <c r="D296">
        <v>3</v>
      </c>
      <c r="E296" s="18">
        <v>13775.257882634027</v>
      </c>
      <c r="F296" s="18">
        <v>2003.6976788798097</v>
      </c>
      <c r="G296" s="18">
        <v>-3299.552688048511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15</v>
      </c>
      <c r="C297">
        <v>140.00000000000006</v>
      </c>
      <c r="D297">
        <v>4</v>
      </c>
      <c r="E297" s="18">
        <v>12639.898240646944</v>
      </c>
      <c r="F297" s="18">
        <v>2179.6122477597364</v>
      </c>
      <c r="G297" s="18">
        <v>-3427.5176250757786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15</v>
      </c>
      <c r="C298">
        <v>140.00000000000006</v>
      </c>
      <c r="D298">
        <v>5</v>
      </c>
      <c r="E298" s="18">
        <v>11518.941584801727</v>
      </c>
      <c r="F298" s="18">
        <v>2326.0661526474805</v>
      </c>
      <c r="G298" s="18">
        <v>-3512.9389555241196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15</v>
      </c>
      <c r="C299">
        <v>140.00000000000006</v>
      </c>
      <c r="D299">
        <v>6</v>
      </c>
      <c r="E299" s="18">
        <v>10541.575676235627</v>
      </c>
      <c r="F299" s="18">
        <v>2386.299615681</v>
      </c>
      <c r="G299" s="18">
        <v>-3605.672854953742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14" x14ac:dyDescent="0.25">
      <c r="B300">
        <v>15</v>
      </c>
      <c r="C300">
        <v>140.00000000000006</v>
      </c>
      <c r="D300">
        <v>7</v>
      </c>
      <c r="E300" s="18">
        <v>9620.04517049135</v>
      </c>
      <c r="F300" s="18">
        <v>2424.872735355902</v>
      </c>
      <c r="G300" s="18">
        <v>-3673.568518749323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15</v>
      </c>
      <c r="C301">
        <v>140.00000000000006</v>
      </c>
      <c r="D301">
        <v>8</v>
      </c>
      <c r="E301" s="18">
        <v>8782.186506898615</v>
      </c>
      <c r="F301" s="18">
        <v>2449.119820297772</v>
      </c>
      <c r="G301" s="18">
        <v>-3721.987540478612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15</v>
      </c>
      <c r="C302">
        <v>140.00000000000006</v>
      </c>
      <c r="D302">
        <v>9</v>
      </c>
      <c r="E302" s="18">
        <v>7640.784416707783</v>
      </c>
      <c r="F302" s="18">
        <v>2486.771256954525</v>
      </c>
      <c r="G302" s="18">
        <v>-3974.000479045062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15</v>
      </c>
      <c r="C303">
        <v>140.00000000000006</v>
      </c>
      <c r="D303">
        <v>10</v>
      </c>
      <c r="E303" s="18">
        <v>6726.065799583825</v>
      </c>
      <c r="F303" s="18">
        <v>2492.210594896147</v>
      </c>
      <c r="G303" s="18">
        <v>-4140.104856423919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15</v>
      </c>
      <c r="C304">
        <v>140.00000000000006</v>
      </c>
      <c r="D304">
        <v>11</v>
      </c>
      <c r="E304" s="18">
        <v>6025.579860073119</v>
      </c>
      <c r="F304" s="18">
        <v>2501.341967181492</v>
      </c>
      <c r="G304" s="18">
        <v>-4239.676966393975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15</v>
      </c>
      <c r="C305">
        <v>140.00000000000006</v>
      </c>
      <c r="D305">
        <v>12</v>
      </c>
      <c r="E305" s="18">
        <v>5435.175188264599</v>
      </c>
      <c r="F305" s="18">
        <v>2515.115484077009</v>
      </c>
      <c r="G305" s="18">
        <v>-4295.768188199265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15</v>
      </c>
      <c r="C306">
        <v>140.00000000000006</v>
      </c>
      <c r="D306">
        <v>13</v>
      </c>
      <c r="E306" s="18">
        <v>4472.06733997469</v>
      </c>
      <c r="F306" s="18">
        <v>2573.039025010236</v>
      </c>
      <c r="G306" s="18">
        <v>-4315.69844971917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15</v>
      </c>
      <c r="C307">
        <v>140.00000000000006</v>
      </c>
      <c r="D307">
        <v>14</v>
      </c>
      <c r="E307" s="18">
        <v>3369.7992833584717</v>
      </c>
      <c r="F307" s="18">
        <v>2422.014231332511</v>
      </c>
      <c r="G307" s="18">
        <v>-3987.3653072509373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15</v>
      </c>
      <c r="C308">
        <v>140.00000000000006</v>
      </c>
      <c r="D308">
        <v>15</v>
      </c>
      <c r="E308" s="18">
        <v>1845.900168333538</v>
      </c>
      <c r="F308" s="18">
        <v>2099.8419699834258</v>
      </c>
      <c r="G308" s="18">
        <v>-3484.2446361682673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15</v>
      </c>
      <c r="C309">
        <v>140.00000000000006</v>
      </c>
      <c r="D309">
        <v>16</v>
      </c>
      <c r="E309" s="18">
        <v>730.9479314222024</v>
      </c>
      <c r="F309" s="18">
        <v>1846.8120070719795</v>
      </c>
      <c r="G309" s="18">
        <v>-3034.7443903708204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15</v>
      </c>
      <c r="C310">
        <v>140.00000000000006</v>
      </c>
      <c r="D310">
        <v>17</v>
      </c>
      <c r="E310" s="18">
        <v>-1094.688911887931</v>
      </c>
      <c r="F310" s="18">
        <v>1389.8270094752334</v>
      </c>
      <c r="G310" s="18">
        <v>-2176.4568739463257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15</v>
      </c>
      <c r="C311">
        <v>140.00000000000006</v>
      </c>
      <c r="D311">
        <v>18</v>
      </c>
      <c r="E311" s="18">
        <v>-2272.7396139886937</v>
      </c>
      <c r="F311" s="18">
        <v>1025.2596002454152</v>
      </c>
      <c r="G311" s="18">
        <v>-1563.9597976104465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7" x14ac:dyDescent="0.25">
      <c r="B312">
        <v>15</v>
      </c>
      <c r="C312">
        <v>140.00000000000006</v>
      </c>
      <c r="D312">
        <v>19</v>
      </c>
      <c r="E312" s="18">
        <v>-3972.5326590168647</v>
      </c>
      <c r="F312" s="18">
        <v>389.2546634469326</v>
      </c>
      <c r="G312" s="18">
        <v>-609.8221466339493</v>
      </c>
    </row>
    <row r="314" spans="2:14" x14ac:dyDescent="0.25">
      <c r="B314">
        <v>16</v>
      </c>
      <c r="C314">
        <v>150.00000000000003</v>
      </c>
      <c r="D314">
        <v>1</v>
      </c>
      <c r="E314" s="18">
        <v>16998.009337410247</v>
      </c>
      <c r="F314" s="18">
        <v>1133.6483233342235</v>
      </c>
      <c r="G314" s="18">
        <v>-2709.8726552965213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16</v>
      </c>
      <c r="C315">
        <v>150.00000000000003</v>
      </c>
      <c r="D315">
        <v>2</v>
      </c>
      <c r="E315" s="18">
        <v>15021.685687512983</v>
      </c>
      <c r="F315" s="18">
        <v>1322.3102911534047</v>
      </c>
      <c r="G315" s="18">
        <v>-3396.369321909574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16</v>
      </c>
      <c r="C316">
        <v>150.00000000000003</v>
      </c>
      <c r="D316">
        <v>3</v>
      </c>
      <c r="E316" s="18">
        <v>14002.391562563791</v>
      </c>
      <c r="F316" s="18">
        <v>1447.936761345466</v>
      </c>
      <c r="G316" s="18">
        <v>-3620.980749971827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16</v>
      </c>
      <c r="C317">
        <v>150.00000000000003</v>
      </c>
      <c r="D317">
        <v>4</v>
      </c>
      <c r="E317" s="18">
        <v>12917.191162616708</v>
      </c>
      <c r="F317" s="18">
        <v>1568.6732710273877</v>
      </c>
      <c r="G317" s="18">
        <v>-3801.68155668044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16</v>
      </c>
      <c r="C318">
        <v>150.00000000000003</v>
      </c>
      <c r="D318">
        <v>5</v>
      </c>
      <c r="E318" s="18">
        <v>11836.053318345912</v>
      </c>
      <c r="F318" s="18">
        <v>1678.675342757945</v>
      </c>
      <c r="G318" s="18">
        <v>-3932.163454980794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16</v>
      </c>
      <c r="C319">
        <v>150.00000000000003</v>
      </c>
      <c r="D319">
        <v>6</v>
      </c>
      <c r="E319" s="18">
        <v>10727.01252633986</v>
      </c>
      <c r="F319" s="18">
        <v>1769.9478393561399</v>
      </c>
      <c r="G319" s="18">
        <v>-4024.505808653656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16</v>
      </c>
      <c r="C320">
        <v>150.00000000000003</v>
      </c>
      <c r="D320">
        <v>7</v>
      </c>
      <c r="E320" s="18">
        <v>9665.022708480568</v>
      </c>
      <c r="F320" s="18">
        <v>1805.482595355892</v>
      </c>
      <c r="G320" s="18">
        <v>-4101.97390960985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16</v>
      </c>
      <c r="C321">
        <v>150.00000000000003</v>
      </c>
      <c r="D321">
        <v>8</v>
      </c>
      <c r="E321" s="18">
        <v>8691.318748508631</v>
      </c>
      <c r="F321" s="18">
        <v>1787.0400065559857</v>
      </c>
      <c r="G321" s="18">
        <v>-4169.332745253192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16</v>
      </c>
      <c r="C322">
        <v>150.00000000000003</v>
      </c>
      <c r="D322">
        <v>9</v>
      </c>
      <c r="E322" s="18">
        <v>7538.850561970995</v>
      </c>
      <c r="F322" s="18">
        <v>1814.5178557291335</v>
      </c>
      <c r="G322" s="18">
        <v>-4423.590850130431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16</v>
      </c>
      <c r="C323">
        <v>150.00000000000003</v>
      </c>
      <c r="D323">
        <v>10</v>
      </c>
      <c r="E323" s="18">
        <v>6664.82037514837</v>
      </c>
      <c r="F323" s="18">
        <v>1823.3477417543475</v>
      </c>
      <c r="G323" s="18">
        <v>-4579.515799713044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16</v>
      </c>
      <c r="C324">
        <v>150.00000000000003</v>
      </c>
      <c r="D324">
        <v>11</v>
      </c>
      <c r="E324" s="18">
        <v>6015.583142120549</v>
      </c>
      <c r="F324" s="18">
        <v>1839.7091926541061</v>
      </c>
      <c r="G324" s="18">
        <v>-4680.595031632149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16</v>
      </c>
      <c r="C325">
        <v>150.00000000000003</v>
      </c>
      <c r="D325">
        <v>12</v>
      </c>
      <c r="E325" s="18">
        <v>5523.813323565008</v>
      </c>
      <c r="F325" s="18">
        <v>1876.9741645261388</v>
      </c>
      <c r="G325" s="18">
        <v>-4748.332897726923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16</v>
      </c>
      <c r="C326">
        <v>150.00000000000003</v>
      </c>
      <c r="D326">
        <v>13</v>
      </c>
      <c r="E326" s="18">
        <v>4712.473903860889</v>
      </c>
      <c r="F326" s="18">
        <v>1932.0039260876285</v>
      </c>
      <c r="G326" s="18">
        <v>-4863.813696206678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16</v>
      </c>
      <c r="C327">
        <v>150.00000000000003</v>
      </c>
      <c r="D327">
        <v>14</v>
      </c>
      <c r="E327" s="18">
        <v>3655.589028488314</v>
      </c>
      <c r="F327" s="18">
        <v>1848.0920579585468</v>
      </c>
      <c r="G327" s="18">
        <v>-4552.941779706579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16</v>
      </c>
      <c r="C328">
        <v>150.00000000000003</v>
      </c>
      <c r="D328">
        <v>15</v>
      </c>
      <c r="E328" s="18">
        <v>2045.6972224165552</v>
      </c>
      <c r="F328" s="18">
        <v>1711.8493171399894</v>
      </c>
      <c r="G328" s="18">
        <v>-3907.482836324861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16</v>
      </c>
      <c r="C329">
        <v>150.00000000000003</v>
      </c>
      <c r="D329">
        <v>16</v>
      </c>
      <c r="E329" s="18">
        <v>909.6960597465927</v>
      </c>
      <c r="F329" s="18">
        <v>1537.2891152390175</v>
      </c>
      <c r="G329" s="18">
        <v>-3370.6779025496503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16</v>
      </c>
      <c r="C330">
        <v>150.00000000000003</v>
      </c>
      <c r="D330">
        <v>17</v>
      </c>
      <c r="E330" s="18">
        <v>-1001.6965113812604</v>
      </c>
      <c r="F330" s="18">
        <v>1175.5242872224323</v>
      </c>
      <c r="G330" s="18">
        <v>-2376.213534492663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16</v>
      </c>
      <c r="C331">
        <v>150.00000000000003</v>
      </c>
      <c r="D331">
        <v>18</v>
      </c>
      <c r="E331" s="18">
        <v>-2257.327155870938</v>
      </c>
      <c r="F331" s="18">
        <v>876.3487677854172</v>
      </c>
      <c r="G331" s="18">
        <v>-1667.2597478327234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7" x14ac:dyDescent="0.25">
      <c r="B332">
        <v>16</v>
      </c>
      <c r="C332">
        <v>150.00000000000003</v>
      </c>
      <c r="D332">
        <v>19</v>
      </c>
      <c r="E332" s="18">
        <v>-4073.363030721495</v>
      </c>
      <c r="F332" s="18">
        <v>317.111910057037</v>
      </c>
      <c r="G332" s="18">
        <v>-570.0336548953591</v>
      </c>
    </row>
    <row r="334" spans="2:14" x14ac:dyDescent="0.25">
      <c r="B334">
        <v>17</v>
      </c>
      <c r="C334">
        <v>160.00000000000003</v>
      </c>
      <c r="D334">
        <v>1</v>
      </c>
      <c r="E334" s="18">
        <v>17661.288682596387</v>
      </c>
      <c r="F334" s="18">
        <v>755.7966530112401</v>
      </c>
      <c r="G334" s="18">
        <v>-2570.7936325713385</v>
      </c>
      <c r="H334" s="12">
        <f>E335</f>
      </c>
      <c r="I334" s="12">
        <f>F335</f>
      </c>
      <c r="J334" s="12">
        <f>G335</f>
      </c>
      <c r="K334">
        <f>IF(AND(Pu&gt;=MIN(E334,H334),Pu&lt;=MAX(E334,H334),E334&lt;&gt;H334),1,0)</f>
      </c>
      <c r="L334">
        <f>IF(K334=1,(Pu-E334)/(H334-E334),"")</f>
      </c>
      <c r="M334" s="12">
        <f>IF(K334=1,F334+L334*(I334-F334),"")</f>
      </c>
      <c r="N334" s="12">
        <f>IF(K334=1,G334+L334*(J334-G334),"")</f>
      </c>
    </row>
    <row r="335" spans="2:14" x14ac:dyDescent="0.25">
      <c r="B335">
        <v>17</v>
      </c>
      <c r="C335">
        <v>160.00000000000003</v>
      </c>
      <c r="D335">
        <v>2</v>
      </c>
      <c r="E335" s="18">
        <v>16743.45083177851</v>
      </c>
      <c r="F335" s="18">
        <v>770.384299578622</v>
      </c>
      <c r="G335" s="18">
        <v>-3008.3515358189384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17</v>
      </c>
      <c r="C336">
        <v>160.00000000000003</v>
      </c>
      <c r="D336">
        <v>3</v>
      </c>
      <c r="E336" s="18">
        <v>14997.463353751458</v>
      </c>
      <c r="F336" s="18">
        <v>844.8362812468919</v>
      </c>
      <c r="G336" s="18">
        <v>-3631.3056186022504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17</v>
      </c>
      <c r="C337">
        <v>160.00000000000003</v>
      </c>
      <c r="D337">
        <v>4</v>
      </c>
      <c r="E337" s="18">
        <v>14116.457475587224</v>
      </c>
      <c r="F337" s="18">
        <v>935.0496609914569</v>
      </c>
      <c r="G337" s="18">
        <v>-3845.336014835607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17</v>
      </c>
      <c r="C338">
        <v>160.00000000000003</v>
      </c>
      <c r="D338">
        <v>5</v>
      </c>
      <c r="E338" s="18">
        <v>13119.134658210107</v>
      </c>
      <c r="F338" s="18">
        <v>1033.1924703428483</v>
      </c>
      <c r="G338" s="18">
        <v>-4031.240970789158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17</v>
      </c>
      <c r="C339">
        <v>160.00000000000003</v>
      </c>
      <c r="D339">
        <v>6</v>
      </c>
      <c r="E339" s="18">
        <v>12026.13458863319</v>
      </c>
      <c r="F339" s="18">
        <v>1119.8848694123571</v>
      </c>
      <c r="G339" s="18">
        <v>-4182.643202301281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17</v>
      </c>
      <c r="C340">
        <v>160.00000000000003</v>
      </c>
      <c r="D340">
        <v>7</v>
      </c>
      <c r="E340" s="18">
        <v>10842.044474839002</v>
      </c>
      <c r="F340" s="18">
        <v>1156.5697052873297</v>
      </c>
      <c r="G340" s="18">
        <v>-4310.236130861472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17</v>
      </c>
      <c r="C341">
        <v>160.00000000000003</v>
      </c>
      <c r="D341">
        <v>8</v>
      </c>
      <c r="E341" s="18">
        <v>9724.273454792436</v>
      </c>
      <c r="F341" s="18">
        <v>1176.0495099052846</v>
      </c>
      <c r="G341" s="18">
        <v>-4398.4078965645895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17</v>
      </c>
      <c r="C342">
        <v>160.00000000000003</v>
      </c>
      <c r="D342">
        <v>9</v>
      </c>
      <c r="E342" s="18">
        <v>8674.594833372263</v>
      </c>
      <c r="F342" s="18">
        <v>1192.9791384810956</v>
      </c>
      <c r="G342" s="18">
        <v>-4451.136389177951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17</v>
      </c>
      <c r="C343">
        <v>160.00000000000003</v>
      </c>
      <c r="D343">
        <v>10</v>
      </c>
      <c r="E343" s="18">
        <v>7474.884744198225</v>
      </c>
      <c r="F343" s="18">
        <v>1204.6625259261414</v>
      </c>
      <c r="G343" s="18">
        <v>-4706.62222460346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17</v>
      </c>
      <c r="C344">
        <v>160.00000000000003</v>
      </c>
      <c r="D344">
        <v>11</v>
      </c>
      <c r="E344" s="18">
        <v>6683.147634954877</v>
      </c>
      <c r="F344" s="18">
        <v>1191.5846198642269</v>
      </c>
      <c r="G344" s="18">
        <v>-4870.856005963086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17</v>
      </c>
      <c r="C345">
        <v>160.00000000000003</v>
      </c>
      <c r="D345">
        <v>12</v>
      </c>
      <c r="E345" s="18">
        <v>6151.460452514532</v>
      </c>
      <c r="F345" s="18">
        <v>1199.015849481071</v>
      </c>
      <c r="G345" s="18">
        <v>-5005.025565601777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17</v>
      </c>
      <c r="C346">
        <v>160.00000000000003</v>
      </c>
      <c r="D346">
        <v>13</v>
      </c>
      <c r="E346" s="18">
        <v>5728.343520434132</v>
      </c>
      <c r="F346" s="18">
        <v>1218.9073693314715</v>
      </c>
      <c r="G346" s="18">
        <v>-5116.654692717469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17</v>
      </c>
      <c r="C347">
        <v>160.00000000000003</v>
      </c>
      <c r="D347">
        <v>14</v>
      </c>
      <c r="E347" s="18">
        <v>4975.55595421502</v>
      </c>
      <c r="F347" s="18">
        <v>1273.3932198357486</v>
      </c>
      <c r="G347" s="18">
        <v>-5293.524447100558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17</v>
      </c>
      <c r="C348">
        <v>160.00000000000003</v>
      </c>
      <c r="D348">
        <v>15</v>
      </c>
      <c r="E348" s="18">
        <v>4095.8650801249855</v>
      </c>
      <c r="F348" s="18">
        <v>1250.1774789449926</v>
      </c>
      <c r="G348" s="18">
        <v>-5025.044388982337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17</v>
      </c>
      <c r="C349">
        <v>160.00000000000003</v>
      </c>
      <c r="D349">
        <v>16</v>
      </c>
      <c r="E349" s="18">
        <v>2696.1416014966853</v>
      </c>
      <c r="F349" s="18">
        <v>1200.3584430619062</v>
      </c>
      <c r="G349" s="18">
        <v>-4486.872835850122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17</v>
      </c>
      <c r="C350">
        <v>160.00000000000003</v>
      </c>
      <c r="D350">
        <v>17</v>
      </c>
      <c r="E350" s="18">
        <v>1509.3047649668233</v>
      </c>
      <c r="F350" s="18">
        <v>1156.933290307328</v>
      </c>
      <c r="G350" s="18">
        <v>-3927.2364508109954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17</v>
      </c>
      <c r="C351">
        <v>160.00000000000003</v>
      </c>
      <c r="D351">
        <v>18</v>
      </c>
      <c r="E351" s="18">
        <v>-548.8293482471064</v>
      </c>
      <c r="F351" s="18">
        <v>932.2241061775342</v>
      </c>
      <c r="G351" s="18">
        <v>-2790.7528392457148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17</v>
      </c>
      <c r="C352">
        <v>160.00000000000003</v>
      </c>
      <c r="D352">
        <v>19</v>
      </c>
      <c r="E352" s="18">
        <v>-1899.7628894055874</v>
      </c>
      <c r="F352" s="18">
        <v>722.4243459519854</v>
      </c>
      <c r="G352" s="18">
        <v>-1973.9777904676164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7" x14ac:dyDescent="0.25">
      <c r="B353">
        <v>17</v>
      </c>
      <c r="C353">
        <v>160.00000000000003</v>
      </c>
      <c r="D353">
        <v>20</v>
      </c>
      <c r="E353" s="18">
        <v>-3982.2827240020733</v>
      </c>
      <c r="F353" s="18">
        <v>292.4386457396258</v>
      </c>
      <c r="G353" s="18">
        <v>-646.990410674311</v>
      </c>
    </row>
    <row r="355" spans="2:14" x14ac:dyDescent="0.25">
      <c r="B355">
        <v>18</v>
      </c>
      <c r="C355">
        <v>170</v>
      </c>
      <c r="D355">
        <v>1</v>
      </c>
      <c r="E355" s="18">
        <v>17160.537291896104</v>
      </c>
      <c r="F355" s="18">
        <v>389.96615088474624</v>
      </c>
      <c r="G355" s="18">
        <v>-2926.298908993572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18</v>
      </c>
      <c r="C356">
        <v>170</v>
      </c>
      <c r="D356">
        <v>2</v>
      </c>
      <c r="E356" s="18">
        <v>16482.915678103578</v>
      </c>
      <c r="F356" s="18">
        <v>379.9341759264898</v>
      </c>
      <c r="G356" s="18">
        <v>-3233.006136517534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18</v>
      </c>
      <c r="C357">
        <v>170</v>
      </c>
      <c r="D357">
        <v>3</v>
      </c>
      <c r="E357" s="18">
        <v>14953.5664631096</v>
      </c>
      <c r="F357" s="18">
        <v>409.16726777160517</v>
      </c>
      <c r="G357" s="18">
        <v>-3785.0816502798584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18</v>
      </c>
      <c r="C358">
        <v>170</v>
      </c>
      <c r="D358">
        <v>4</v>
      </c>
      <c r="E358" s="18">
        <v>14189.916972432497</v>
      </c>
      <c r="F358" s="18">
        <v>452.49638234268986</v>
      </c>
      <c r="G358" s="18">
        <v>-3985.8088712490335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18</v>
      </c>
      <c r="C359">
        <v>170</v>
      </c>
      <c r="D359">
        <v>5</v>
      </c>
      <c r="E359" s="18">
        <v>13224.12187353447</v>
      </c>
      <c r="F359" s="18">
        <v>527.1542102059884</v>
      </c>
      <c r="G359" s="18">
        <v>-4176.260623380166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18</v>
      </c>
      <c r="C360">
        <v>170</v>
      </c>
      <c r="D360">
        <v>6</v>
      </c>
      <c r="E360" s="18">
        <v>12049.303200243865</v>
      </c>
      <c r="F360" s="18">
        <v>557.3194740297521</v>
      </c>
      <c r="G360" s="18">
        <v>-4357.216258753513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18</v>
      </c>
      <c r="C361">
        <v>170</v>
      </c>
      <c r="D361">
        <v>7</v>
      </c>
      <c r="E361" s="18">
        <v>10882.03014633719</v>
      </c>
      <c r="F361" s="18">
        <v>569.1636399553826</v>
      </c>
      <c r="G361" s="18">
        <v>-4495.080660339652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18</v>
      </c>
      <c r="C362">
        <v>170</v>
      </c>
      <c r="D362">
        <v>8</v>
      </c>
      <c r="E362" s="18">
        <v>9807.204787479057</v>
      </c>
      <c r="F362" s="18">
        <v>581.0078058810135</v>
      </c>
      <c r="G362" s="18">
        <v>-4590.107387345259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18</v>
      </c>
      <c r="C363">
        <v>170</v>
      </c>
      <c r="D363">
        <v>9</v>
      </c>
      <c r="E363" s="18">
        <v>8811.744902672028</v>
      </c>
      <c r="F363" s="18">
        <v>592.8519718066439</v>
      </c>
      <c r="G363" s="18">
        <v>-4653.419777870587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18</v>
      </c>
      <c r="C364">
        <v>170</v>
      </c>
      <c r="D364">
        <v>10</v>
      </c>
      <c r="E364" s="18">
        <v>7554.821235245548</v>
      </c>
      <c r="F364" s="18">
        <v>629.2636304450846</v>
      </c>
      <c r="G364" s="18">
        <v>-4872.53436107189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18</v>
      </c>
      <c r="C365">
        <v>170</v>
      </c>
      <c r="D365">
        <v>11</v>
      </c>
      <c r="E365" s="18">
        <v>6714.2542096046345</v>
      </c>
      <c r="F365" s="18">
        <v>622.4741719124369</v>
      </c>
      <c r="G365" s="18">
        <v>-5024.666822220722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18</v>
      </c>
      <c r="C366">
        <v>170</v>
      </c>
      <c r="D366">
        <v>12</v>
      </c>
      <c r="E366" s="18">
        <v>6241.595168470391</v>
      </c>
      <c r="F366" s="18">
        <v>598.2748259247428</v>
      </c>
      <c r="G366" s="18">
        <v>-5177.739773431791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18</v>
      </c>
      <c r="C367">
        <v>170</v>
      </c>
      <c r="D367">
        <v>13</v>
      </c>
      <c r="E367" s="18">
        <v>5851.642581568084</v>
      </c>
      <c r="F367" s="18">
        <v>595.6463231611658</v>
      </c>
      <c r="G367" s="18">
        <v>-5330.454135196836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18</v>
      </c>
      <c r="C368">
        <v>170</v>
      </c>
      <c r="D368">
        <v>14</v>
      </c>
      <c r="E368" s="18">
        <v>5343.848383686964</v>
      </c>
      <c r="F368" s="18">
        <v>620.2554043386115</v>
      </c>
      <c r="G368" s="18">
        <v>-5582.254286576713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18</v>
      </c>
      <c r="C369">
        <v>170</v>
      </c>
      <c r="D369">
        <v>15</v>
      </c>
      <c r="E369" s="18">
        <v>4531.627976453659</v>
      </c>
      <c r="F369" s="18">
        <v>608.846098929704</v>
      </c>
      <c r="G369" s="18">
        <v>-5377.676827712433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18</v>
      </c>
      <c r="C370">
        <v>170</v>
      </c>
      <c r="D370">
        <v>16</v>
      </c>
      <c r="E370" s="18">
        <v>3291.2263651946173</v>
      </c>
      <c r="F370" s="18">
        <v>600.5467022609332</v>
      </c>
      <c r="G370" s="18">
        <v>-4954.469212448921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18</v>
      </c>
      <c r="C371">
        <v>170</v>
      </c>
      <c r="D371">
        <v>17</v>
      </c>
      <c r="E371" s="18">
        <v>2460.1843507721514</v>
      </c>
      <c r="F371" s="18">
        <v>612.8935805719896</v>
      </c>
      <c r="G371" s="18">
        <v>-4582.550901470421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18</v>
      </c>
      <c r="C372">
        <v>170</v>
      </c>
      <c r="D372">
        <v>18</v>
      </c>
      <c r="E372" s="18">
        <v>500.36993141700856</v>
      </c>
      <c r="F372" s="18">
        <v>581.2281355654471</v>
      </c>
      <c r="G372" s="18">
        <v>-3546.0071740757608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18</v>
      </c>
      <c r="C373">
        <v>170</v>
      </c>
      <c r="D373">
        <v>19</v>
      </c>
      <c r="E373" s="18">
        <v>-928.4233044960987</v>
      </c>
      <c r="F373" s="18">
        <v>445.1744594681306</v>
      </c>
      <c r="G373" s="18">
        <v>-2694.0934504567203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7" x14ac:dyDescent="0.25">
      <c r="B374">
        <v>18</v>
      </c>
      <c r="C374">
        <v>170</v>
      </c>
      <c r="D374">
        <v>20</v>
      </c>
      <c r="E374" s="18">
        <v>-3501.2522920059087</v>
      </c>
      <c r="F374" s="18">
        <v>298.96580223753926</v>
      </c>
      <c r="G374" s="18">
        <v>-987.3053401915681</v>
      </c>
    </row>
    <row r="376" spans="2:14" x14ac:dyDescent="0.25">
      <c r="B376">
        <v>19</v>
      </c>
      <c r="C376">
        <v>180</v>
      </c>
      <c r="D376">
        <v>1</v>
      </c>
      <c r="E376" s="18">
        <v>16729.912727771847</v>
      </c>
      <c r="F376" s="18">
        <v>2.6635825634002686e-14</v>
      </c>
      <c r="G376" s="18">
        <v>-3174.4158204826354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19</v>
      </c>
      <c r="C377">
        <v>180</v>
      </c>
      <c r="D377">
        <v>2</v>
      </c>
      <c r="E377" s="18">
        <v>16256.710414302552</v>
      </c>
      <c r="F377" s="18">
        <v>-9.443610906600953e-14</v>
      </c>
      <c r="G377" s="18">
        <v>-3378.863791222955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19</v>
      </c>
      <c r="C378">
        <v>180</v>
      </c>
      <c r="D378">
        <v>3</v>
      </c>
      <c r="E378" s="18">
        <v>14806.758881028094</v>
      </c>
      <c r="F378" s="18">
        <v>6.199474121753146e-13</v>
      </c>
      <c r="G378" s="18">
        <v>-3880.0922716141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19</v>
      </c>
      <c r="C379">
        <v>180</v>
      </c>
      <c r="D379">
        <v>4</v>
      </c>
      <c r="E379" s="18">
        <v>14122.383123362002</v>
      </c>
      <c r="F379" s="18">
        <v>4.593016183457029e-13</v>
      </c>
      <c r="G379" s="18">
        <v>-4067.5747286664414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19</v>
      </c>
      <c r="C380">
        <v>180</v>
      </c>
      <c r="D380">
        <v>5</v>
      </c>
      <c r="E380" s="18">
        <v>13152.449960230397</v>
      </c>
      <c r="F380" s="18">
        <v>2.324581146240235e-13</v>
      </c>
      <c r="G380" s="18">
        <v>-4269.512275466683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19</v>
      </c>
      <c r="C381">
        <v>180</v>
      </c>
      <c r="D381">
        <v>6</v>
      </c>
      <c r="E381" s="18">
        <v>11964.12718650584</v>
      </c>
      <c r="F381" s="18">
        <v>3.5353004932403565e-13</v>
      </c>
      <c r="G381" s="18">
        <v>-4459.974703057615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19</v>
      </c>
      <c r="C382">
        <v>180</v>
      </c>
      <c r="D382">
        <v>7</v>
      </c>
      <c r="E382" s="18">
        <v>10875.75001078793</v>
      </c>
      <c r="F382" s="18">
        <v>2.712011337280273e-13</v>
      </c>
      <c r="G382" s="18">
        <v>-4600.755784298551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19</v>
      </c>
      <c r="C383">
        <v>180</v>
      </c>
      <c r="D383">
        <v>8</v>
      </c>
      <c r="E383" s="18">
        <v>9899.135839327539</v>
      </c>
      <c r="F383" s="18">
        <v>3.9711594581604005e-13</v>
      </c>
      <c r="G383" s="18">
        <v>-4704.782137458228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19</v>
      </c>
      <c r="C384">
        <v>180</v>
      </c>
      <c r="D384">
        <v>9</v>
      </c>
      <c r="E384" s="18">
        <v>8968.920285263712</v>
      </c>
      <c r="F384" s="18">
        <v>3.9711594581604005e-13</v>
      </c>
      <c r="G384" s="18">
        <v>-4781.543944731382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19</v>
      </c>
      <c r="C385">
        <v>180</v>
      </c>
      <c r="D385">
        <v>10</v>
      </c>
      <c r="E385" s="18">
        <v>7857.25862801192</v>
      </c>
      <c r="F385" s="18">
        <v>7.636845111846924e-13</v>
      </c>
      <c r="G385" s="18">
        <v>-4969.916807334376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19</v>
      </c>
      <c r="C386">
        <v>180</v>
      </c>
      <c r="D386">
        <v>11</v>
      </c>
      <c r="E386" s="18">
        <v>6813.738571802293</v>
      </c>
      <c r="F386" s="18">
        <v>6.407499313354492e-13</v>
      </c>
      <c r="G386" s="18">
        <v>-5104.322117480474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19</v>
      </c>
      <c r="C387">
        <v>180</v>
      </c>
      <c r="D387">
        <v>12</v>
      </c>
      <c r="E387" s="18">
        <v>6387.7695020610745</v>
      </c>
      <c r="F387" s="18">
        <v>6.440095603466033e-13</v>
      </c>
      <c r="G387" s="18">
        <v>-5278.75725335699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19</v>
      </c>
      <c r="C388">
        <v>180</v>
      </c>
      <c r="D388">
        <v>13</v>
      </c>
      <c r="E388" s="18">
        <v>6115.948112681749</v>
      </c>
      <c r="F388" s="18">
        <v>4.0270388126373285e-13</v>
      </c>
      <c r="G388" s="18">
        <v>-5437.974372072232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19</v>
      </c>
      <c r="C389">
        <v>180</v>
      </c>
      <c r="D389">
        <v>14</v>
      </c>
      <c r="E389" s="18">
        <v>5651.216252728246</v>
      </c>
      <c r="F389" s="18">
        <v>7.267110049724578e-13</v>
      </c>
      <c r="G389" s="18">
        <v>-5733.468299427718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19</v>
      </c>
      <c r="C390">
        <v>180</v>
      </c>
      <c r="D390">
        <v>15</v>
      </c>
      <c r="E390" s="18">
        <v>4911.672282887007</v>
      </c>
      <c r="F390" s="18">
        <v>2.754852175712586e-13</v>
      </c>
      <c r="G390" s="18">
        <v>-5550.13844608314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19</v>
      </c>
      <c r="C391">
        <v>180</v>
      </c>
      <c r="D391">
        <v>16</v>
      </c>
      <c r="E391" s="18">
        <v>3863.9307841404225</v>
      </c>
      <c r="F391" s="18">
        <v>3.324821591377258e-13</v>
      </c>
      <c r="G391" s="18">
        <v>-5231.7746137257745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19</v>
      </c>
      <c r="C392">
        <v>180</v>
      </c>
      <c r="D392">
        <v>17</v>
      </c>
      <c r="E392" s="18">
        <v>3078.5106497889424</v>
      </c>
      <c r="F392" s="18">
        <v>4.0187518907215066e-13</v>
      </c>
      <c r="G392" s="18">
        <v>-4941.459462632535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19</v>
      </c>
      <c r="C393">
        <v>180</v>
      </c>
      <c r="D393">
        <v>18</v>
      </c>
      <c r="E393" s="18">
        <v>1836.3300516777638</v>
      </c>
      <c r="F393" s="18">
        <v>8.676201105117798e-13</v>
      </c>
      <c r="G393" s="18">
        <v>-4363.068796673946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19</v>
      </c>
      <c r="C394">
        <v>180</v>
      </c>
      <c r="D394">
        <v>19</v>
      </c>
      <c r="E394" s="18">
        <v>574.3755570888028</v>
      </c>
      <c r="F394" s="18">
        <v>5.509704351425172e-13</v>
      </c>
      <c r="G394" s="18">
        <v>-3684.959209896841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7" x14ac:dyDescent="0.25">
      <c r="B395">
        <v>19</v>
      </c>
      <c r="C395">
        <v>180</v>
      </c>
      <c r="D395">
        <v>20</v>
      </c>
      <c r="E395" s="18">
        <v>-1575.8014989798983</v>
      </c>
      <c r="F395" s="18">
        <v>-5.3830444812774654e-14</v>
      </c>
      <c r="G395" s="18">
        <v>-2317.2908365985645</v>
      </c>
    </row>
    <row r="397" spans="2:14" x14ac:dyDescent="0.25">
      <c r="B397">
        <v>20</v>
      </c>
      <c r="C397">
        <v>190</v>
      </c>
      <c r="D397">
        <v>1</v>
      </c>
      <c r="E397" s="18">
        <v>17160.5372918961</v>
      </c>
      <c r="F397" s="18">
        <v>-389.96615088474573</v>
      </c>
      <c r="G397" s="18">
        <v>-2926.298908993572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20</v>
      </c>
      <c r="C398">
        <v>190</v>
      </c>
      <c r="D398">
        <v>2</v>
      </c>
      <c r="E398" s="18">
        <v>16482.915678103578</v>
      </c>
      <c r="F398" s="18">
        <v>-379.93417592648854</v>
      </c>
      <c r="G398" s="18">
        <v>-3233.0061365175334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20</v>
      </c>
      <c r="C399">
        <v>190</v>
      </c>
      <c r="D399">
        <v>3</v>
      </c>
      <c r="E399" s="18">
        <v>14953.566463109602</v>
      </c>
      <c r="F399" s="18">
        <v>-409.1672677716046</v>
      </c>
      <c r="G399" s="18">
        <v>-3785.0816502798584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20</v>
      </c>
      <c r="C400">
        <v>190</v>
      </c>
      <c r="D400">
        <v>4</v>
      </c>
      <c r="E400" s="18">
        <v>14189.916972432497</v>
      </c>
      <c r="F400" s="18">
        <v>-452.4963823426887</v>
      </c>
      <c r="G400" s="18">
        <v>-3985.8088712490335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20</v>
      </c>
      <c r="C401">
        <v>190</v>
      </c>
      <c r="D401">
        <v>5</v>
      </c>
      <c r="E401" s="18">
        <v>13224.12187353447</v>
      </c>
      <c r="F401" s="18">
        <v>-527.154210205988</v>
      </c>
      <c r="G401" s="18">
        <v>-4176.260623380166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20</v>
      </c>
      <c r="C402">
        <v>190</v>
      </c>
      <c r="D402">
        <v>6</v>
      </c>
      <c r="E402" s="18">
        <v>12049.303200243863</v>
      </c>
      <c r="F402" s="18">
        <v>-557.3194740297514</v>
      </c>
      <c r="G402" s="18">
        <v>-4357.216258753513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20</v>
      </c>
      <c r="C403">
        <v>190</v>
      </c>
      <c r="D403">
        <v>7</v>
      </c>
      <c r="E403" s="18">
        <v>10882.03014633719</v>
      </c>
      <c r="F403" s="18">
        <v>-569.1636399553817</v>
      </c>
      <c r="G403" s="18">
        <v>-4495.080660339652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20</v>
      </c>
      <c r="C404">
        <v>190</v>
      </c>
      <c r="D404">
        <v>8</v>
      </c>
      <c r="E404" s="18">
        <v>9807.204787479057</v>
      </c>
      <c r="F404" s="18">
        <v>-581.0078058810125</v>
      </c>
      <c r="G404" s="18">
        <v>-4590.107387345259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20</v>
      </c>
      <c r="C405">
        <v>190</v>
      </c>
      <c r="D405">
        <v>9</v>
      </c>
      <c r="E405" s="18">
        <v>8811.744902672026</v>
      </c>
      <c r="F405" s="18">
        <v>-592.8519718066432</v>
      </c>
      <c r="G405" s="18">
        <v>-4653.419777870587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20</v>
      </c>
      <c r="C406">
        <v>190</v>
      </c>
      <c r="D406">
        <v>10</v>
      </c>
      <c r="E406" s="18">
        <v>7554.821235245547</v>
      </c>
      <c r="F406" s="18">
        <v>-629.2636304450835</v>
      </c>
      <c r="G406" s="18">
        <v>-4872.53436107189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20</v>
      </c>
      <c r="C407">
        <v>190</v>
      </c>
      <c r="D407">
        <v>11</v>
      </c>
      <c r="E407" s="18">
        <v>6714.2542096046345</v>
      </c>
      <c r="F407" s="18">
        <v>-622.4741719124361</v>
      </c>
      <c r="G407" s="18">
        <v>-5024.666822220722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20</v>
      </c>
      <c r="C408">
        <v>190</v>
      </c>
      <c r="D408">
        <v>12</v>
      </c>
      <c r="E408" s="18">
        <v>6241.595168470392</v>
      </c>
      <c r="F408" s="18">
        <v>-598.274825924742</v>
      </c>
      <c r="G408" s="18">
        <v>-5177.739773431793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20</v>
      </c>
      <c r="C409">
        <v>190</v>
      </c>
      <c r="D409">
        <v>13</v>
      </c>
      <c r="E409" s="18">
        <v>5851.642581568083</v>
      </c>
      <c r="F409" s="18">
        <v>-595.646323161165</v>
      </c>
      <c r="G409" s="18">
        <v>-5330.454135196836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20</v>
      </c>
      <c r="C410">
        <v>190</v>
      </c>
      <c r="D410">
        <v>14</v>
      </c>
      <c r="E410" s="18">
        <v>5343.848383686966</v>
      </c>
      <c r="F410" s="18">
        <v>-620.2554043386104</v>
      </c>
      <c r="G410" s="18">
        <v>-5582.254286576713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20</v>
      </c>
      <c r="C411">
        <v>190</v>
      </c>
      <c r="D411">
        <v>15</v>
      </c>
      <c r="E411" s="18">
        <v>4531.627976453663</v>
      </c>
      <c r="F411" s="18">
        <v>-608.846098929704</v>
      </c>
      <c r="G411" s="18">
        <v>-5377.676827712433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20</v>
      </c>
      <c r="C412">
        <v>190</v>
      </c>
      <c r="D412">
        <v>16</v>
      </c>
      <c r="E412" s="18">
        <v>3291.2263651946178</v>
      </c>
      <c r="F412" s="18">
        <v>-600.5467022609324</v>
      </c>
      <c r="G412" s="18">
        <v>-4954.469212448921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20</v>
      </c>
      <c r="C413">
        <v>190</v>
      </c>
      <c r="D413">
        <v>17</v>
      </c>
      <c r="E413" s="18">
        <v>2460.1843507721555</v>
      </c>
      <c r="F413" s="18">
        <v>-612.893580571989</v>
      </c>
      <c r="G413" s="18">
        <v>-4582.550901470424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20</v>
      </c>
      <c r="C414">
        <v>190</v>
      </c>
      <c r="D414">
        <v>18</v>
      </c>
      <c r="E414" s="18">
        <v>500.36993141701095</v>
      </c>
      <c r="F414" s="18">
        <v>-581.2281355654471</v>
      </c>
      <c r="G414" s="18">
        <v>-3546.0071740757635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20</v>
      </c>
      <c r="C415">
        <v>190</v>
      </c>
      <c r="D415">
        <v>19</v>
      </c>
      <c r="E415" s="18">
        <v>-928.4233044960944</v>
      </c>
      <c r="F415" s="18">
        <v>-445.1744594681304</v>
      </c>
      <c r="G415" s="18">
        <v>-2694.0934504567226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7" x14ac:dyDescent="0.25">
      <c r="B416">
        <v>20</v>
      </c>
      <c r="C416">
        <v>190</v>
      </c>
      <c r="D416">
        <v>20</v>
      </c>
      <c r="E416" s="18">
        <v>-3501.2522920059055</v>
      </c>
      <c r="F416" s="18">
        <v>-298.96580223753955</v>
      </c>
      <c r="G416" s="18">
        <v>-987.3053401915696</v>
      </c>
    </row>
    <row r="418" spans="2:14" x14ac:dyDescent="0.25">
      <c r="B418">
        <v>21</v>
      </c>
      <c r="C418">
        <v>199.99999999999997</v>
      </c>
      <c r="D418">
        <v>1</v>
      </c>
      <c r="E418" s="18">
        <v>17661.288682596387</v>
      </c>
      <c r="F418" s="18">
        <v>-755.7966530112395</v>
      </c>
      <c r="G418" s="18">
        <v>-2570.793632571339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21</v>
      </c>
      <c r="C419">
        <v>199.99999999999997</v>
      </c>
      <c r="D419">
        <v>2</v>
      </c>
      <c r="E419" s="18">
        <v>16743.45083177851</v>
      </c>
      <c r="F419" s="18">
        <v>-770.3842995786213</v>
      </c>
      <c r="G419" s="18">
        <v>-3008.3515358189384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21</v>
      </c>
      <c r="C420">
        <v>199.99999999999997</v>
      </c>
      <c r="D420">
        <v>3</v>
      </c>
      <c r="E420" s="18">
        <v>14997.463353751456</v>
      </c>
      <c r="F420" s="18">
        <v>-844.8362812468911</v>
      </c>
      <c r="G420" s="18">
        <v>-3631.305618602251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21</v>
      </c>
      <c r="C421">
        <v>199.99999999999997</v>
      </c>
      <c r="D421">
        <v>4</v>
      </c>
      <c r="E421" s="18">
        <v>14116.457475587224</v>
      </c>
      <c r="F421" s="18">
        <v>-935.0496609914559</v>
      </c>
      <c r="G421" s="18">
        <v>-3845.336014835607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21</v>
      </c>
      <c r="C422">
        <v>199.99999999999997</v>
      </c>
      <c r="D422">
        <v>5</v>
      </c>
      <c r="E422" s="18">
        <v>13119.134658210109</v>
      </c>
      <c r="F422" s="18">
        <v>-1033.1924703428472</v>
      </c>
      <c r="G422" s="18">
        <v>-4031.240970789158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21</v>
      </c>
      <c r="C423">
        <v>199.99999999999997</v>
      </c>
      <c r="D423">
        <v>6</v>
      </c>
      <c r="E423" s="18">
        <v>12026.13458863319</v>
      </c>
      <c r="F423" s="18">
        <v>-1119.884869412357</v>
      </c>
      <c r="G423" s="18">
        <v>-4182.643202301281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21</v>
      </c>
      <c r="C424">
        <v>199.99999999999997</v>
      </c>
      <c r="D424">
        <v>7</v>
      </c>
      <c r="E424" s="18">
        <v>10842.044474839002</v>
      </c>
      <c r="F424" s="18">
        <v>-1156.5697052873288</v>
      </c>
      <c r="G424" s="18">
        <v>-4310.236130861473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21</v>
      </c>
      <c r="C425">
        <v>199.99999999999997</v>
      </c>
      <c r="D425">
        <v>8</v>
      </c>
      <c r="E425" s="18">
        <v>9724.273454792436</v>
      </c>
      <c r="F425" s="18">
        <v>-1176.0495099052835</v>
      </c>
      <c r="G425" s="18">
        <v>-4398.4078965645895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21</v>
      </c>
      <c r="C426">
        <v>199.99999999999997</v>
      </c>
      <c r="D426">
        <v>9</v>
      </c>
      <c r="E426" s="18">
        <v>8674.594833372263</v>
      </c>
      <c r="F426" s="18">
        <v>-1192.979138481095</v>
      </c>
      <c r="G426" s="18">
        <v>-4451.136389177951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21</v>
      </c>
      <c r="C427">
        <v>199.99999999999997</v>
      </c>
      <c r="D427">
        <v>10</v>
      </c>
      <c r="E427" s="18">
        <v>7474.884744198225</v>
      </c>
      <c r="F427" s="18">
        <v>-1204.6625259261405</v>
      </c>
      <c r="G427" s="18">
        <v>-4706.622224603462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21</v>
      </c>
      <c r="C428">
        <v>199.99999999999997</v>
      </c>
      <c r="D428">
        <v>11</v>
      </c>
      <c r="E428" s="18">
        <v>6683.147634954877</v>
      </c>
      <c r="F428" s="18">
        <v>-1191.584619864226</v>
      </c>
      <c r="G428" s="18">
        <v>-4870.856005963086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21</v>
      </c>
      <c r="C429">
        <v>199.99999999999997</v>
      </c>
      <c r="D429">
        <v>12</v>
      </c>
      <c r="E429" s="18">
        <v>6151.460452514535</v>
      </c>
      <c r="F429" s="18">
        <v>-1199.0158494810698</v>
      </c>
      <c r="G429" s="18">
        <v>-5005.025565601779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21</v>
      </c>
      <c r="C430">
        <v>199.99999999999997</v>
      </c>
      <c r="D430">
        <v>13</v>
      </c>
      <c r="E430" s="18">
        <v>5728.343520434134</v>
      </c>
      <c r="F430" s="18">
        <v>-1218.9073693314704</v>
      </c>
      <c r="G430" s="18">
        <v>-5116.654692717469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21</v>
      </c>
      <c r="C431">
        <v>199.99999999999997</v>
      </c>
      <c r="D431">
        <v>14</v>
      </c>
      <c r="E431" s="18">
        <v>4975.555954215022</v>
      </c>
      <c r="F431" s="18">
        <v>-1273.3932198357477</v>
      </c>
      <c r="G431" s="18">
        <v>-5293.524447100558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21</v>
      </c>
      <c r="C432">
        <v>199.99999999999997</v>
      </c>
      <c r="D432">
        <v>15</v>
      </c>
      <c r="E432" s="18">
        <v>4095.865080124987</v>
      </c>
      <c r="F432" s="18">
        <v>-1250.1774789449917</v>
      </c>
      <c r="G432" s="18">
        <v>-5025.044388982337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21</v>
      </c>
      <c r="C433">
        <v>199.99999999999997</v>
      </c>
      <c r="D433">
        <v>16</v>
      </c>
      <c r="E433" s="18">
        <v>2696.1416014966867</v>
      </c>
      <c r="F433" s="18">
        <v>-1200.358443061905</v>
      </c>
      <c r="G433" s="18">
        <v>-4486.872835850124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21</v>
      </c>
      <c r="C434">
        <v>199.99999999999997</v>
      </c>
      <c r="D434">
        <v>17</v>
      </c>
      <c r="E434" s="18">
        <v>1509.3047649668238</v>
      </c>
      <c r="F434" s="18">
        <v>-1156.9332903073278</v>
      </c>
      <c r="G434" s="18">
        <v>-3927.2364508109968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21</v>
      </c>
      <c r="C435">
        <v>199.99999999999997</v>
      </c>
      <c r="D435">
        <v>18</v>
      </c>
      <c r="E435" s="18">
        <v>-548.8293482471041</v>
      </c>
      <c r="F435" s="18">
        <v>-932.2241061775345</v>
      </c>
      <c r="G435" s="18">
        <v>-2790.7528392457157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21</v>
      </c>
      <c r="C436">
        <v>199.99999999999997</v>
      </c>
      <c r="D436">
        <v>19</v>
      </c>
      <c r="E436" s="18">
        <v>-1899.7628894055867</v>
      </c>
      <c r="F436" s="18">
        <v>-722.4243459519845</v>
      </c>
      <c r="G436" s="18">
        <v>-1973.9777904676166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7" x14ac:dyDescent="0.25">
      <c r="B437">
        <v>21</v>
      </c>
      <c r="C437">
        <v>199.99999999999997</v>
      </c>
      <c r="D437">
        <v>20</v>
      </c>
      <c r="E437" s="18">
        <v>-3982.282724002072</v>
      </c>
      <c r="F437" s="18">
        <v>-292.438645739626</v>
      </c>
      <c r="G437" s="18">
        <v>-646.9904106743116</v>
      </c>
    </row>
    <row r="439" spans="2:14" x14ac:dyDescent="0.25">
      <c r="B439">
        <v>22</v>
      </c>
      <c r="C439">
        <v>209.99999999999997</v>
      </c>
      <c r="D439">
        <v>1</v>
      </c>
      <c r="E439" s="18">
        <v>16998.009337410243</v>
      </c>
      <c r="F439" s="18">
        <v>-1133.6483233342226</v>
      </c>
      <c r="G439" s="18">
        <v>-2709.872655296522</v>
      </c>
      <c r="H439" s="12">
        <f>E440</f>
      </c>
      <c r="I439" s="12">
        <f>F440</f>
      </c>
      <c r="J439" s="12">
        <f>G440</f>
      </c>
      <c r="K439">
        <f>IF(AND(Pu&gt;=MIN(E439,H439),Pu&lt;=MAX(E439,H439),E439&lt;&gt;H439),1,0)</f>
      </c>
      <c r="L439">
        <f>IF(K439=1,(Pu-E439)/(H439-E439),"")</f>
      </c>
      <c r="M439" s="12">
        <f>IF(K439=1,F439+L439*(I439-F439),"")</f>
      </c>
      <c r="N439" s="12">
        <f>IF(K439=1,G439+L439*(J439-G439),"")</f>
      </c>
    </row>
    <row r="440" spans="2:14" x14ac:dyDescent="0.25">
      <c r="B440">
        <v>22</v>
      </c>
      <c r="C440">
        <v>209.99999999999997</v>
      </c>
      <c r="D440">
        <v>2</v>
      </c>
      <c r="E440" s="18">
        <v>15021.685687512978</v>
      </c>
      <c r="F440" s="18">
        <v>-1322.3102911534045</v>
      </c>
      <c r="G440" s="18">
        <v>-3396.369321909576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22</v>
      </c>
      <c r="C441">
        <v>209.99999999999997</v>
      </c>
      <c r="D441">
        <v>3</v>
      </c>
      <c r="E441" s="18">
        <v>14002.391562563787</v>
      </c>
      <c r="F441" s="18">
        <v>-1447.9367613454658</v>
      </c>
      <c r="G441" s="18">
        <v>-3620.980749971828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22</v>
      </c>
      <c r="C442">
        <v>209.99999999999997</v>
      </c>
      <c r="D442">
        <v>4</v>
      </c>
      <c r="E442" s="18">
        <v>12917.191162616702</v>
      </c>
      <c r="F442" s="18">
        <v>-1568.6732710273866</v>
      </c>
      <c r="G442" s="18">
        <v>-3801.68155668044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22</v>
      </c>
      <c r="C443">
        <v>209.99999999999997</v>
      </c>
      <c r="D443">
        <v>5</v>
      </c>
      <c r="E443" s="18">
        <v>11836.053318345908</v>
      </c>
      <c r="F443" s="18">
        <v>-1678.6753427579442</v>
      </c>
      <c r="G443" s="18">
        <v>-3932.1634549807936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22</v>
      </c>
      <c r="C444">
        <v>209.99999999999997</v>
      </c>
      <c r="D444">
        <v>6</v>
      </c>
      <c r="E444" s="18">
        <v>10727.012526339859</v>
      </c>
      <c r="F444" s="18">
        <v>-1769.9478393561392</v>
      </c>
      <c r="G444" s="18">
        <v>-4024.5058086536574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22</v>
      </c>
      <c r="C445">
        <v>209.99999999999997</v>
      </c>
      <c r="D445">
        <v>7</v>
      </c>
      <c r="E445" s="18">
        <v>9665.022708480563</v>
      </c>
      <c r="F445" s="18">
        <v>-1805.482595355891</v>
      </c>
      <c r="G445" s="18">
        <v>-4101.97390960985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22</v>
      </c>
      <c r="C446">
        <v>209.99999999999997</v>
      </c>
      <c r="D446">
        <v>8</v>
      </c>
      <c r="E446" s="18">
        <v>8691.318748508631</v>
      </c>
      <c r="F446" s="18">
        <v>-1787.0400065559852</v>
      </c>
      <c r="G446" s="18">
        <v>-4169.332745253193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22</v>
      </c>
      <c r="C447">
        <v>209.99999999999997</v>
      </c>
      <c r="D447">
        <v>9</v>
      </c>
      <c r="E447" s="18">
        <v>7538.850561970991</v>
      </c>
      <c r="F447" s="18">
        <v>-1814.5178557291326</v>
      </c>
      <c r="G447" s="18">
        <v>-4423.59085013043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22</v>
      </c>
      <c r="C448">
        <v>209.99999999999997</v>
      </c>
      <c r="D448">
        <v>10</v>
      </c>
      <c r="E448" s="18">
        <v>6664.820375148367</v>
      </c>
      <c r="F448" s="18">
        <v>-1823.3477417543456</v>
      </c>
      <c r="G448" s="18">
        <v>-4579.5157997130445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22</v>
      </c>
      <c r="C449">
        <v>209.99999999999997</v>
      </c>
      <c r="D449">
        <v>11</v>
      </c>
      <c r="E449" s="18">
        <v>6015.583142120547</v>
      </c>
      <c r="F449" s="18">
        <v>-1839.7091926541054</v>
      </c>
      <c r="G449" s="18">
        <v>-4680.595031632149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22</v>
      </c>
      <c r="C450">
        <v>209.99999999999997</v>
      </c>
      <c r="D450">
        <v>12</v>
      </c>
      <c r="E450" s="18">
        <v>5523.813323565004</v>
      </c>
      <c r="F450" s="18">
        <v>-1876.9741645261372</v>
      </c>
      <c r="G450" s="18">
        <v>-4748.332897726922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22</v>
      </c>
      <c r="C451">
        <v>209.99999999999997</v>
      </c>
      <c r="D451">
        <v>13</v>
      </c>
      <c r="E451" s="18">
        <v>4712.473903860884</v>
      </c>
      <c r="F451" s="18">
        <v>-1932.003926087627</v>
      </c>
      <c r="G451" s="18">
        <v>-4863.813696206678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22</v>
      </c>
      <c r="C452">
        <v>209.99999999999997</v>
      </c>
      <c r="D452">
        <v>14</v>
      </c>
      <c r="E452" s="18">
        <v>3655.5890284883076</v>
      </c>
      <c r="F452" s="18">
        <v>-1848.0920579585452</v>
      </c>
      <c r="G452" s="18">
        <v>-4552.941779706577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22</v>
      </c>
      <c r="C453">
        <v>209.99999999999997</v>
      </c>
      <c r="D453">
        <v>15</v>
      </c>
      <c r="E453" s="18">
        <v>2045.6972224165545</v>
      </c>
      <c r="F453" s="18">
        <v>-1711.849317139988</v>
      </c>
      <c r="G453" s="18">
        <v>-3907.482836324861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22</v>
      </c>
      <c r="C454">
        <v>209.99999999999997</v>
      </c>
      <c r="D454">
        <v>16</v>
      </c>
      <c r="E454" s="18">
        <v>909.6960597465915</v>
      </c>
      <c r="F454" s="18">
        <v>-1537.2891152390166</v>
      </c>
      <c r="G454" s="18">
        <v>-3370.6779025496494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22</v>
      </c>
      <c r="C455">
        <v>209.99999999999997</v>
      </c>
      <c r="D455">
        <v>17</v>
      </c>
      <c r="E455" s="18">
        <v>-1001.6965113812648</v>
      </c>
      <c r="F455" s="18">
        <v>-1175.524287222431</v>
      </c>
      <c r="G455" s="18">
        <v>-2376.213534492661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22</v>
      </c>
      <c r="C456">
        <v>209.99999999999997</v>
      </c>
      <c r="D456">
        <v>18</v>
      </c>
      <c r="E456" s="18">
        <v>-2257.32715587094</v>
      </c>
      <c r="F456" s="18">
        <v>-876.3487677854166</v>
      </c>
      <c r="G456" s="18">
        <v>-1667.2597478327227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7" x14ac:dyDescent="0.25">
      <c r="B457">
        <v>22</v>
      </c>
      <c r="C457">
        <v>209.99999999999997</v>
      </c>
      <c r="D457">
        <v>19</v>
      </c>
      <c r="E457" s="18">
        <v>-4073.363030721496</v>
      </c>
      <c r="F457" s="18">
        <v>-317.1119100570362</v>
      </c>
      <c r="G457" s="18">
        <v>-570.0336548953576</v>
      </c>
    </row>
    <row r="459" spans="2:14" x14ac:dyDescent="0.25">
      <c r="B459">
        <v>23</v>
      </c>
      <c r="C459">
        <v>219.99999999999994</v>
      </c>
      <c r="D459">
        <v>1</v>
      </c>
      <c r="E459" s="18">
        <v>17112.228279488492</v>
      </c>
      <c r="F459" s="18">
        <v>-1471.5214998189306</v>
      </c>
      <c r="G459" s="18">
        <v>-2419.4336695631077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23</v>
      </c>
      <c r="C460">
        <v>219.99999999999994</v>
      </c>
      <c r="D460">
        <v>2</v>
      </c>
      <c r="E460" s="18">
        <v>14865.400510667387</v>
      </c>
      <c r="F460" s="18">
        <v>-1819.1798900975793</v>
      </c>
      <c r="G460" s="18">
        <v>-3107.811160873315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23</v>
      </c>
      <c r="C461">
        <v>219.99999999999994</v>
      </c>
      <c r="D461">
        <v>3</v>
      </c>
      <c r="E461" s="18">
        <v>13775.257882634029</v>
      </c>
      <c r="F461" s="18">
        <v>-2003.697678879807</v>
      </c>
      <c r="G461" s="18">
        <v>-3299.5526880485127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23</v>
      </c>
      <c r="C462">
        <v>219.99999999999994</v>
      </c>
      <c r="D462">
        <v>4</v>
      </c>
      <c r="E462" s="18">
        <v>12639.898240646944</v>
      </c>
      <c r="F462" s="18">
        <v>-2179.612247759734</v>
      </c>
      <c r="G462" s="18">
        <v>-3427.51762507578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23</v>
      </c>
      <c r="C463">
        <v>219.99999999999994</v>
      </c>
      <c r="D463">
        <v>5</v>
      </c>
      <c r="E463" s="18">
        <v>11518.941584801732</v>
      </c>
      <c r="F463" s="18">
        <v>-2326.0661526474773</v>
      </c>
      <c r="G463" s="18">
        <v>-3512.9389555241214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23</v>
      </c>
      <c r="C464">
        <v>219.99999999999994</v>
      </c>
      <c r="D464">
        <v>6</v>
      </c>
      <c r="E464" s="18">
        <v>10541.575676235632</v>
      </c>
      <c r="F464" s="18">
        <v>-2386.299615680997</v>
      </c>
      <c r="G464" s="18">
        <v>-3605.6728549537443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23</v>
      </c>
      <c r="C465">
        <v>219.99999999999994</v>
      </c>
      <c r="D465">
        <v>7</v>
      </c>
      <c r="E465" s="18">
        <v>9620.045170491354</v>
      </c>
      <c r="F465" s="18">
        <v>-2424.8727353558997</v>
      </c>
      <c r="G465" s="18">
        <v>-3673.568518749327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23</v>
      </c>
      <c r="C466">
        <v>219.99999999999994</v>
      </c>
      <c r="D466">
        <v>8</v>
      </c>
      <c r="E466" s="18">
        <v>8782.186506898615</v>
      </c>
      <c r="F466" s="18">
        <v>-2449.1198202977685</v>
      </c>
      <c r="G466" s="18">
        <v>-3721.9875404786144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23</v>
      </c>
      <c r="C467">
        <v>219.99999999999994</v>
      </c>
      <c r="D467">
        <v>9</v>
      </c>
      <c r="E467" s="18">
        <v>7640.78441670778</v>
      </c>
      <c r="F467" s="18">
        <v>-2486.7712569545224</v>
      </c>
      <c r="G467" s="18">
        <v>-3974.000479045064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23</v>
      </c>
      <c r="C468">
        <v>219.99999999999994</v>
      </c>
      <c r="D468">
        <v>10</v>
      </c>
      <c r="E468" s="18">
        <v>6726.065799583823</v>
      </c>
      <c r="F468" s="18">
        <v>-2492.210594896144</v>
      </c>
      <c r="G468" s="18">
        <v>-4140.104856423921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23</v>
      </c>
      <c r="C469">
        <v>219.99999999999994</v>
      </c>
      <c r="D469">
        <v>11</v>
      </c>
      <c r="E469" s="18">
        <v>6025.579860073114</v>
      </c>
      <c r="F469" s="18">
        <v>-2501.341967181489</v>
      </c>
      <c r="G469" s="18">
        <v>-4239.676966393978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23</v>
      </c>
      <c r="C470">
        <v>219.99999999999994</v>
      </c>
      <c r="D470">
        <v>12</v>
      </c>
      <c r="E470" s="18">
        <v>5435.175188264597</v>
      </c>
      <c r="F470" s="18">
        <v>-2515.115484077006</v>
      </c>
      <c r="G470" s="18">
        <v>-4295.768188199267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23</v>
      </c>
      <c r="C471">
        <v>219.99999999999994</v>
      </c>
      <c r="D471">
        <v>13</v>
      </c>
      <c r="E471" s="18">
        <v>4472.067339974688</v>
      </c>
      <c r="F471" s="18">
        <v>-2573.0390250102323</v>
      </c>
      <c r="G471" s="18">
        <v>-4315.698449719171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23</v>
      </c>
      <c r="C472">
        <v>219.99999999999994</v>
      </c>
      <c r="D472">
        <v>14</v>
      </c>
      <c r="E472" s="18">
        <v>3369.79928335847</v>
      </c>
      <c r="F472" s="18">
        <v>-2422.014231332508</v>
      </c>
      <c r="G472" s="18">
        <v>-3987.3653072509387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23</v>
      </c>
      <c r="C473">
        <v>219.99999999999994</v>
      </c>
      <c r="D473">
        <v>15</v>
      </c>
      <c r="E473" s="18">
        <v>1845.9001683335339</v>
      </c>
      <c r="F473" s="18">
        <v>-2099.841969983423</v>
      </c>
      <c r="G473" s="18">
        <v>-3484.2446361682673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23</v>
      </c>
      <c r="C474">
        <v>219.99999999999994</v>
      </c>
      <c r="D474">
        <v>16</v>
      </c>
      <c r="E474" s="18">
        <v>730.9479314222024</v>
      </c>
      <c r="F474" s="18">
        <v>-1846.8120070719779</v>
      </c>
      <c r="G474" s="18">
        <v>-3034.7443903708213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23</v>
      </c>
      <c r="C475">
        <v>219.99999999999994</v>
      </c>
      <c r="D475">
        <v>17</v>
      </c>
      <c r="E475" s="18">
        <v>-1094.6889118879353</v>
      </c>
      <c r="F475" s="18">
        <v>-1389.8270094752313</v>
      </c>
      <c r="G475" s="18">
        <v>-2176.4568739463252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23</v>
      </c>
      <c r="C476">
        <v>219.99999999999994</v>
      </c>
      <c r="D476">
        <v>18</v>
      </c>
      <c r="E476" s="18">
        <v>-2272.739613988697</v>
      </c>
      <c r="F476" s="18">
        <v>-1025.2596002454134</v>
      </c>
      <c r="G476" s="18">
        <v>-1563.9597976104462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7" x14ac:dyDescent="0.25">
      <c r="B477">
        <v>23</v>
      </c>
      <c r="C477">
        <v>219.99999999999994</v>
      </c>
      <c r="D477">
        <v>19</v>
      </c>
      <c r="E477" s="18">
        <v>-3972.532659016866</v>
      </c>
      <c r="F477" s="18">
        <v>-389.2546634469313</v>
      </c>
      <c r="G477" s="18">
        <v>-609.8221466339485</v>
      </c>
    </row>
    <row r="479" spans="2:14" x14ac:dyDescent="0.25">
      <c r="B479">
        <v>24</v>
      </c>
      <c r="C479">
        <v>229.99999999999994</v>
      </c>
      <c r="D479">
        <v>1</v>
      </c>
      <c r="E479" s="18">
        <v>16852.86011644447</v>
      </c>
      <c r="F479" s="18">
        <v>-1821.9093463293843</v>
      </c>
      <c r="G479" s="18">
        <v>-2219.1784111428383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24</v>
      </c>
      <c r="C480">
        <v>229.99999999999994</v>
      </c>
      <c r="D480">
        <v>2</v>
      </c>
      <c r="E480" s="18">
        <v>14365.804360764834</v>
      </c>
      <c r="F480" s="18">
        <v>-2404.642402426316</v>
      </c>
      <c r="G480" s="18">
        <v>-2695.4792370605155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24</v>
      </c>
      <c r="C481">
        <v>229.99999999999994</v>
      </c>
      <c r="D481">
        <v>3</v>
      </c>
      <c r="E481" s="18">
        <v>13084.773123757817</v>
      </c>
      <c r="F481" s="18">
        <v>-2661.763493942214</v>
      </c>
      <c r="G481" s="18">
        <v>-2813.6006068865836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24</v>
      </c>
      <c r="C482">
        <v>229.99999999999994</v>
      </c>
      <c r="D482">
        <v>4</v>
      </c>
      <c r="E482" s="18">
        <v>11986.815993789121</v>
      </c>
      <c r="F482" s="18">
        <v>-2843.623456449093</v>
      </c>
      <c r="G482" s="18">
        <v>-2889.062414313303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24</v>
      </c>
      <c r="C483">
        <v>229.99999999999994</v>
      </c>
      <c r="D483">
        <v>5</v>
      </c>
      <c r="E483" s="18">
        <v>11025.618904907271</v>
      </c>
      <c r="F483" s="18">
        <v>-2964.1870222900548</v>
      </c>
      <c r="G483" s="18">
        <v>-2946.3917010793266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24</v>
      </c>
      <c r="C484">
        <v>229.99999999999994</v>
      </c>
      <c r="D484">
        <v>6</v>
      </c>
      <c r="E484" s="18">
        <v>10174.158446499012</v>
      </c>
      <c r="F484" s="18">
        <v>-3032.6215205910444</v>
      </c>
      <c r="G484" s="18">
        <v>-3006.8976473210632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24</v>
      </c>
      <c r="C485">
        <v>229.99999999999994</v>
      </c>
      <c r="D485">
        <v>7</v>
      </c>
      <c r="E485" s="18">
        <v>9380.52095634344</v>
      </c>
      <c r="F485" s="18">
        <v>-3069.040312494038</v>
      </c>
      <c r="G485" s="18">
        <v>-3063.439993789887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24</v>
      </c>
      <c r="C486">
        <v>229.99999999999994</v>
      </c>
      <c r="D486">
        <v>8</v>
      </c>
      <c r="E486" s="18">
        <v>8615.873340150305</v>
      </c>
      <c r="F486" s="18">
        <v>-3078.1487202853255</v>
      </c>
      <c r="G486" s="18">
        <v>-3122.2144408228473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24</v>
      </c>
      <c r="C487">
        <v>229.99999999999994</v>
      </c>
      <c r="D487">
        <v>9</v>
      </c>
      <c r="E487" s="18">
        <v>7644.217505764198</v>
      </c>
      <c r="F487" s="18">
        <v>-3154.7003405309947</v>
      </c>
      <c r="G487" s="18">
        <v>-3342.342952822868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24</v>
      </c>
      <c r="C488">
        <v>229.99999999999994</v>
      </c>
      <c r="D488">
        <v>10</v>
      </c>
      <c r="E488" s="18">
        <v>6688.32463427844</v>
      </c>
      <c r="F488" s="18">
        <v>-3159.1822899865847</v>
      </c>
      <c r="G488" s="18">
        <v>-3489.1686694325076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24</v>
      </c>
      <c r="C489">
        <v>229.99999999999994</v>
      </c>
      <c r="D489">
        <v>11</v>
      </c>
      <c r="E489" s="18">
        <v>5891.239077013843</v>
      </c>
      <c r="F489" s="18">
        <v>-3142.87905245302</v>
      </c>
      <c r="G489" s="18">
        <v>-3591.5916887426906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24</v>
      </c>
      <c r="C490">
        <v>229.99999999999994</v>
      </c>
      <c r="D490">
        <v>12</v>
      </c>
      <c r="E490" s="18">
        <v>5231.9999462024025</v>
      </c>
      <c r="F490" s="18">
        <v>-3136.2840927056022</v>
      </c>
      <c r="G490" s="18">
        <v>-3634.1436048105697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24</v>
      </c>
      <c r="C491">
        <v>229.99999999999994</v>
      </c>
      <c r="D491">
        <v>13</v>
      </c>
      <c r="E491" s="18">
        <v>4199.657271846662</v>
      </c>
      <c r="F491" s="18">
        <v>-3102.679123961513</v>
      </c>
      <c r="G491" s="18">
        <v>-3673.8564123534024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24</v>
      </c>
      <c r="C492">
        <v>229.99999999999994</v>
      </c>
      <c r="D492">
        <v>14</v>
      </c>
      <c r="E492" s="18">
        <v>3169.153903921282</v>
      </c>
      <c r="F492" s="18">
        <v>-2831.0249960131864</v>
      </c>
      <c r="G492" s="18">
        <v>-3435.3864648898207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24</v>
      </c>
      <c r="C493">
        <v>229.99999999999994</v>
      </c>
      <c r="D493">
        <v>15</v>
      </c>
      <c r="E493" s="18">
        <v>1599.264114617607</v>
      </c>
      <c r="F493" s="18">
        <v>-2409.338847373215</v>
      </c>
      <c r="G493" s="18">
        <v>-3000.286664370283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24</v>
      </c>
      <c r="C494">
        <v>229.99999999999994</v>
      </c>
      <c r="D494">
        <v>16</v>
      </c>
      <c r="E494" s="18">
        <v>475.17867776597996</v>
      </c>
      <c r="F494" s="18">
        <v>-2096.966730397108</v>
      </c>
      <c r="G494" s="18">
        <v>-2621.527354646377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24</v>
      </c>
      <c r="C495">
        <v>229.99999999999994</v>
      </c>
      <c r="D495">
        <v>17</v>
      </c>
      <c r="E495" s="18">
        <v>-1358.132977872709</v>
      </c>
      <c r="F495" s="18">
        <v>-1484.6277047437484</v>
      </c>
      <c r="G495" s="18">
        <v>-1871.934848484639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24</v>
      </c>
      <c r="C496">
        <v>229.99999999999994</v>
      </c>
      <c r="D496">
        <v>18</v>
      </c>
      <c r="E496" s="18">
        <v>-2442.04585574527</v>
      </c>
      <c r="F496" s="18">
        <v>-1074.4367210190003</v>
      </c>
      <c r="G496" s="18">
        <v>-1355.7859349430717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7" x14ac:dyDescent="0.25">
      <c r="B497">
        <v>24</v>
      </c>
      <c r="C497">
        <v>229.99999999999994</v>
      </c>
      <c r="D497">
        <v>19</v>
      </c>
      <c r="E497" s="18">
        <v>-4037.7307392732573</v>
      </c>
      <c r="F497" s="18">
        <v>-408.538953933158</v>
      </c>
      <c r="G497" s="18">
        <v>-519.2061290227838</v>
      </c>
    </row>
    <row r="499" spans="2:14" x14ac:dyDescent="0.25">
      <c r="B499">
        <v>25</v>
      </c>
      <c r="C499">
        <v>239.99999999999994</v>
      </c>
      <c r="D499">
        <v>1</v>
      </c>
      <c r="E499" s="18">
        <v>16822.91130402749</v>
      </c>
      <c r="F499" s="18">
        <v>-2091.0772565373004</v>
      </c>
      <c r="G499" s="18">
        <v>-1846.3121376499744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25</v>
      </c>
      <c r="C500">
        <v>239.99999999999994</v>
      </c>
      <c r="D500">
        <v>2</v>
      </c>
      <c r="E500" s="18">
        <v>14070.917898113932</v>
      </c>
      <c r="F500" s="18">
        <v>-2928.0348018955283</v>
      </c>
      <c r="G500" s="18">
        <v>-2047.8332989882997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25</v>
      </c>
      <c r="C501">
        <v>239.99999999999994</v>
      </c>
      <c r="D501">
        <v>3</v>
      </c>
      <c r="E501" s="18">
        <v>12901.856153672323</v>
      </c>
      <c r="F501" s="18">
        <v>-3190.019900931154</v>
      </c>
      <c r="G501" s="18">
        <v>-2099.054010254754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25</v>
      </c>
      <c r="C502">
        <v>239.99999999999994</v>
      </c>
      <c r="D502">
        <v>4</v>
      </c>
      <c r="E502" s="18">
        <v>11935.566040529277</v>
      </c>
      <c r="F502" s="18">
        <v>-3346.4962168695924</v>
      </c>
      <c r="G502" s="18">
        <v>-2169.9074877760977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25</v>
      </c>
      <c r="C503">
        <v>239.99999999999994</v>
      </c>
      <c r="D503">
        <v>5</v>
      </c>
      <c r="E503" s="18">
        <v>11067.978856668196</v>
      </c>
      <c r="F503" s="18">
        <v>-3453.745620467174</v>
      </c>
      <c r="G503" s="18">
        <v>-2228.184326941016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25</v>
      </c>
      <c r="C504">
        <v>239.99999999999994</v>
      </c>
      <c r="D504">
        <v>6</v>
      </c>
      <c r="E504" s="18">
        <v>10256.541858725841</v>
      </c>
      <c r="F504" s="18">
        <v>-3525.165508161797</v>
      </c>
      <c r="G504" s="18">
        <v>-2285.8786708221046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25</v>
      </c>
      <c r="C505">
        <v>239.99999999999994</v>
      </c>
      <c r="D505">
        <v>7</v>
      </c>
      <c r="E505" s="18">
        <v>9504.385690919622</v>
      </c>
      <c r="F505" s="18">
        <v>-3577.1883787229185</v>
      </c>
      <c r="G505" s="18">
        <v>-2330.6042740806247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25</v>
      </c>
      <c r="C506">
        <v>239.99999999999994</v>
      </c>
      <c r="D506">
        <v>8</v>
      </c>
      <c r="E506" s="18">
        <v>8792.157526062834</v>
      </c>
      <c r="F506" s="18">
        <v>-3613.0310474925127</v>
      </c>
      <c r="G506" s="18">
        <v>-2365.295964650825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25</v>
      </c>
      <c r="C507">
        <v>239.99999999999994</v>
      </c>
      <c r="D507">
        <v>9</v>
      </c>
      <c r="E507" s="18">
        <v>7972.608173647168</v>
      </c>
      <c r="F507" s="18">
        <v>-3784.124341451534</v>
      </c>
      <c r="G507" s="18">
        <v>-2517.212543447239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14" x14ac:dyDescent="0.25">
      <c r="B508">
        <v>25</v>
      </c>
      <c r="C508">
        <v>239.99999999999994</v>
      </c>
      <c r="D508">
        <v>10</v>
      </c>
      <c r="E508" s="18">
        <v>7180.825741674879</v>
      </c>
      <c r="F508" s="18">
        <v>-3862.7924438875825</v>
      </c>
      <c r="G508" s="18">
        <v>-2652.807421861855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25</v>
      </c>
      <c r="C509">
        <v>239.99999999999994</v>
      </c>
      <c r="D509">
        <v>11</v>
      </c>
      <c r="E509" s="18">
        <v>6383.263770283874</v>
      </c>
      <c r="F509" s="18">
        <v>-3840.9967854390607</v>
      </c>
      <c r="G509" s="18">
        <v>-2781.6542011786682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25</v>
      </c>
      <c r="C510">
        <v>239.99999999999994</v>
      </c>
      <c r="D510">
        <v>12</v>
      </c>
      <c r="E510" s="18">
        <v>5652.587608389084</v>
      </c>
      <c r="F510" s="18">
        <v>-3777.7941585667713</v>
      </c>
      <c r="G510" s="18">
        <v>-2915.9941830047437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25</v>
      </c>
      <c r="C511">
        <v>239.99999999999994</v>
      </c>
      <c r="D511">
        <v>13</v>
      </c>
      <c r="E511" s="18">
        <v>4514.101072206957</v>
      </c>
      <c r="F511" s="18">
        <v>-3636.599231115671</v>
      </c>
      <c r="G511" s="18">
        <v>-3075.558700827431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25</v>
      </c>
      <c r="C512">
        <v>239.99999999999994</v>
      </c>
      <c r="D512">
        <v>14</v>
      </c>
      <c r="E512" s="18">
        <v>3331.785765319131</v>
      </c>
      <c r="F512" s="18">
        <v>-3288.9994358440276</v>
      </c>
      <c r="G512" s="18">
        <v>-2907.662440757471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25</v>
      </c>
      <c r="C513">
        <v>239.99999999999994</v>
      </c>
      <c r="D513">
        <v>15</v>
      </c>
      <c r="E513" s="18">
        <v>1637.5892091143146</v>
      </c>
      <c r="F513" s="18">
        <v>-2758.96119421957</v>
      </c>
      <c r="G513" s="18">
        <v>-2523.68274266991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25</v>
      </c>
      <c r="C514">
        <v>239.99999999999994</v>
      </c>
      <c r="D514">
        <v>16</v>
      </c>
      <c r="E514" s="18">
        <v>454.5145945618349</v>
      </c>
      <c r="F514" s="18">
        <v>-2337.694081553411</v>
      </c>
      <c r="G514" s="18">
        <v>-2221.03163631109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25</v>
      </c>
      <c r="C515">
        <v>239.99999999999994</v>
      </c>
      <c r="D515">
        <v>17</v>
      </c>
      <c r="E515" s="18">
        <v>-1552.097392240688</v>
      </c>
      <c r="F515" s="18">
        <v>-1541.74004355525</v>
      </c>
      <c r="G515" s="18">
        <v>-1576.7650024787329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25</v>
      </c>
      <c r="C516">
        <v>239.99999999999994</v>
      </c>
      <c r="D516">
        <v>18</v>
      </c>
      <c r="E516" s="18">
        <v>-2685.9307749147324</v>
      </c>
      <c r="F516" s="18">
        <v>-1059.2867167057905</v>
      </c>
      <c r="G516" s="18">
        <v>-1117.6191978244199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7" x14ac:dyDescent="0.25">
      <c r="B517">
        <v>25</v>
      </c>
      <c r="C517">
        <v>239.99999999999994</v>
      </c>
      <c r="D517">
        <v>19</v>
      </c>
      <c r="E517" s="18">
        <v>-4292.7116678587445</v>
      </c>
      <c r="F517" s="18">
        <v>-329.75830878064994</v>
      </c>
      <c r="G517" s="18">
        <v>-328.5824510703778</v>
      </c>
    </row>
    <row r="519" spans="2:14" x14ac:dyDescent="0.25">
      <c r="B519">
        <v>26</v>
      </c>
      <c r="C519">
        <v>250.00000000000003</v>
      </c>
      <c r="D519">
        <v>1</v>
      </c>
      <c r="E519" s="18">
        <v>16402.86017384153</v>
      </c>
      <c r="F519" s="18">
        <v>-2466.171030639909</v>
      </c>
      <c r="G519" s="18">
        <v>-1379.482518206768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26</v>
      </c>
      <c r="C520">
        <v>250.00000000000003</v>
      </c>
      <c r="D520">
        <v>2</v>
      </c>
      <c r="E520" s="18">
        <v>13718.869376902876</v>
      </c>
      <c r="F520" s="18">
        <v>-3324.228520240989</v>
      </c>
      <c r="G520" s="18">
        <v>-1376.0762869814698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26</v>
      </c>
      <c r="C521">
        <v>250.00000000000003</v>
      </c>
      <c r="D521">
        <v>3</v>
      </c>
      <c r="E521" s="18">
        <v>12744.95786852382</v>
      </c>
      <c r="F521" s="18">
        <v>-3542.008358309781</v>
      </c>
      <c r="G521" s="18">
        <v>-1410.9333713563678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26</v>
      </c>
      <c r="C522">
        <v>250.00000000000003</v>
      </c>
      <c r="D522">
        <v>4</v>
      </c>
      <c r="E522" s="18">
        <v>11872.925768562733</v>
      </c>
      <c r="F522" s="18">
        <v>-3706.337711125449</v>
      </c>
      <c r="G522" s="18">
        <v>-1428.5243211475022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26</v>
      </c>
      <c r="C523">
        <v>250.00000000000003</v>
      </c>
      <c r="D523">
        <v>5</v>
      </c>
      <c r="E523" s="18">
        <v>11068.391549557175</v>
      </c>
      <c r="F523" s="18">
        <v>-3824.0399705365303</v>
      </c>
      <c r="G523" s="18">
        <v>-1457.8706348871594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26</v>
      </c>
      <c r="C524">
        <v>250.00000000000003</v>
      </c>
      <c r="D524">
        <v>6</v>
      </c>
      <c r="E524" s="18">
        <v>10332.108876569117</v>
      </c>
      <c r="F524" s="18">
        <v>-3905.486047511334</v>
      </c>
      <c r="G524" s="18">
        <v>-1498.5915706692597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26</v>
      </c>
      <c r="C525">
        <v>250.00000000000003</v>
      </c>
      <c r="D525">
        <v>7</v>
      </c>
      <c r="E525" s="18">
        <v>9631.833173417352</v>
      </c>
      <c r="F525" s="18">
        <v>-3968.433504874083</v>
      </c>
      <c r="G525" s="18">
        <v>-1531.0056507951028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26</v>
      </c>
      <c r="C526">
        <v>250.00000000000003</v>
      </c>
      <c r="D526">
        <v>8</v>
      </c>
      <c r="E526" s="18">
        <v>8988.870002011941</v>
      </c>
      <c r="F526" s="18">
        <v>-4019.592675333385</v>
      </c>
      <c r="G526" s="18">
        <v>-1554.3550548765008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26</v>
      </c>
      <c r="C527">
        <v>250.00000000000003</v>
      </c>
      <c r="D527">
        <v>9</v>
      </c>
      <c r="E527" s="18">
        <v>8252.707873920064</v>
      </c>
      <c r="F527" s="18">
        <v>-4245.674202980199</v>
      </c>
      <c r="G527" s="18">
        <v>-1679.4218659264632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26</v>
      </c>
      <c r="C528">
        <v>250.00000000000003</v>
      </c>
      <c r="D528">
        <v>10</v>
      </c>
      <c r="E528" s="18">
        <v>7655.125540397144</v>
      </c>
      <c r="F528" s="18">
        <v>-4378.323743754365</v>
      </c>
      <c r="G528" s="18">
        <v>-1783.6000502295408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26</v>
      </c>
      <c r="C529">
        <v>250.00000000000003</v>
      </c>
      <c r="D529">
        <v>11</v>
      </c>
      <c r="E529" s="18">
        <v>7128.5135400788</v>
      </c>
      <c r="F529" s="18">
        <v>-4456.497378530791</v>
      </c>
      <c r="G529" s="18">
        <v>-1887.5318161874104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26</v>
      </c>
      <c r="C530">
        <v>250.00000000000003</v>
      </c>
      <c r="D530">
        <v>12</v>
      </c>
      <c r="E530" s="18">
        <v>6661.153873931227</v>
      </c>
      <c r="F530" s="18">
        <v>-4486.661048542756</v>
      </c>
      <c r="G530" s="18">
        <v>-1976.8965861315053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26</v>
      </c>
      <c r="C531">
        <v>250.00000000000003</v>
      </c>
      <c r="D531">
        <v>13</v>
      </c>
      <c r="E531" s="18">
        <v>5508.708329790149</v>
      </c>
      <c r="F531" s="18">
        <v>-4409.065284635748</v>
      </c>
      <c r="G531" s="18">
        <v>-2188.501569054943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26</v>
      </c>
      <c r="C532">
        <v>250.00000000000003</v>
      </c>
      <c r="D532">
        <v>14</v>
      </c>
      <c r="E532" s="18">
        <v>4141.388778317831</v>
      </c>
      <c r="F532" s="18">
        <v>-3979.1241367274433</v>
      </c>
      <c r="G532" s="18">
        <v>-2166.779263684449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26</v>
      </c>
      <c r="C533">
        <v>250.00000000000003</v>
      </c>
      <c r="D533">
        <v>15</v>
      </c>
      <c r="E533" s="18">
        <v>2174.9563385955594</v>
      </c>
      <c r="F533" s="18">
        <v>-3254.75139592961</v>
      </c>
      <c r="G533" s="18">
        <v>-2039.5887020591163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26</v>
      </c>
      <c r="C534">
        <v>250.00000000000003</v>
      </c>
      <c r="D534">
        <v>16</v>
      </c>
      <c r="E534" s="18">
        <v>922.3508553688713</v>
      </c>
      <c r="F534" s="18">
        <v>-2750.4170666280233</v>
      </c>
      <c r="G534" s="18">
        <v>-1834.6814242562607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26</v>
      </c>
      <c r="C535">
        <v>250.00000000000003</v>
      </c>
      <c r="D535">
        <v>17</v>
      </c>
      <c r="E535" s="18">
        <v>-1331.0326370325402</v>
      </c>
      <c r="F535" s="18">
        <v>-1772.3147137848664</v>
      </c>
      <c r="G535" s="18">
        <v>-1328.4318999337586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26</v>
      </c>
      <c r="C536">
        <v>250.00000000000003</v>
      </c>
      <c r="D536">
        <v>18</v>
      </c>
      <c r="E536" s="18">
        <v>-2582.9617941584797</v>
      </c>
      <c r="F536" s="18">
        <v>-1179.876733401427</v>
      </c>
      <c r="G536" s="18">
        <v>-969.9984270243795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7" x14ac:dyDescent="0.25">
      <c r="B537">
        <v>26</v>
      </c>
      <c r="C537">
        <v>250.00000000000003</v>
      </c>
      <c r="D537">
        <v>19</v>
      </c>
      <c r="E537" s="18">
        <v>-4318.169758120958</v>
      </c>
      <c r="F537" s="18">
        <v>-328.68616400667617</v>
      </c>
      <c r="G537" s="18">
        <v>-285.0232226410464</v>
      </c>
    </row>
    <row r="539" spans="2:14" x14ac:dyDescent="0.25">
      <c r="B539">
        <v>27</v>
      </c>
      <c r="C539">
        <v>260</v>
      </c>
      <c r="D539">
        <v>1</v>
      </c>
      <c r="E539" s="18">
        <v>17113.049469113812</v>
      </c>
      <c r="F539" s="18">
        <v>-2364.0849734805097</v>
      </c>
      <c r="G539" s="18">
        <v>-755.0916055121613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27</v>
      </c>
      <c r="C540">
        <v>260</v>
      </c>
      <c r="D540">
        <v>2</v>
      </c>
      <c r="E540" s="18">
        <v>15584.57958501061</v>
      </c>
      <c r="F540" s="18">
        <v>-2957.0743911130207</v>
      </c>
      <c r="G540" s="18">
        <v>-694.6412418661445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27</v>
      </c>
      <c r="C541">
        <v>260</v>
      </c>
      <c r="D541">
        <v>3</v>
      </c>
      <c r="E541" s="18">
        <v>13401.396220702609</v>
      </c>
      <c r="F541" s="18">
        <v>-3597.3655587769877</v>
      </c>
      <c r="G541" s="18">
        <v>-672.86347763251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27</v>
      </c>
      <c r="C542">
        <v>260</v>
      </c>
      <c r="D542">
        <v>4</v>
      </c>
      <c r="E542" s="18">
        <v>12538.777426234723</v>
      </c>
      <c r="F542" s="18">
        <v>-3782.635160338895</v>
      </c>
      <c r="G542" s="18">
        <v>-700.2764126649993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27</v>
      </c>
      <c r="C543">
        <v>260</v>
      </c>
      <c r="D543">
        <v>5</v>
      </c>
      <c r="E543" s="18">
        <v>11737.913111242176</v>
      </c>
      <c r="F543" s="18">
        <v>-3928.739095650866</v>
      </c>
      <c r="G543" s="18">
        <v>-718.6325722833384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27</v>
      </c>
      <c r="C544">
        <v>260</v>
      </c>
      <c r="D544">
        <v>6</v>
      </c>
      <c r="E544" s="18">
        <v>10999.74504641058</v>
      </c>
      <c r="F544" s="18">
        <v>-4043.4548573568986</v>
      </c>
      <c r="G544" s="18">
        <v>-736.9887319016777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27</v>
      </c>
      <c r="C545">
        <v>260</v>
      </c>
      <c r="D545">
        <v>7</v>
      </c>
      <c r="E545" s="18">
        <v>10327.807348599994</v>
      </c>
      <c r="F545" s="18">
        <v>-4136.515355219281</v>
      </c>
      <c r="G545" s="18">
        <v>-746.2802154755725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27</v>
      </c>
      <c r="C546">
        <v>260</v>
      </c>
      <c r="D546">
        <v>8</v>
      </c>
      <c r="E546" s="18">
        <v>9687.582776052623</v>
      </c>
      <c r="F546" s="18">
        <v>-4211.3331310207</v>
      </c>
      <c r="G546" s="18">
        <v>-764.6363750939113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27</v>
      </c>
      <c r="C547">
        <v>260</v>
      </c>
      <c r="D547">
        <v>9</v>
      </c>
      <c r="E547" s="18">
        <v>9099.358056058567</v>
      </c>
      <c r="F547" s="18">
        <v>-4272.360872545278</v>
      </c>
      <c r="G547" s="18">
        <v>-792.0572107566946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27</v>
      </c>
      <c r="C548">
        <v>260</v>
      </c>
      <c r="D548">
        <v>10</v>
      </c>
      <c r="E548" s="18">
        <v>8517.98085262741</v>
      </c>
      <c r="F548" s="18">
        <v>-4534.8598497159655</v>
      </c>
      <c r="G548" s="18">
        <v>-842.3570419294941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27</v>
      </c>
      <c r="C549">
        <v>260</v>
      </c>
      <c r="D549">
        <v>11</v>
      </c>
      <c r="E549" s="18">
        <v>8092.39633747415</v>
      </c>
      <c r="F549" s="18">
        <v>-4701.845133697934</v>
      </c>
      <c r="G549" s="18">
        <v>-901.5792235639831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27</v>
      </c>
      <c r="C550">
        <v>260</v>
      </c>
      <c r="D550">
        <v>12</v>
      </c>
      <c r="E550" s="18">
        <v>7741.657323242599</v>
      </c>
      <c r="F550" s="18">
        <v>-4835.4408718466875</v>
      </c>
      <c r="G550" s="18">
        <v>-928.0698766942227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27</v>
      </c>
      <c r="C551">
        <v>260</v>
      </c>
      <c r="D551">
        <v>13</v>
      </c>
      <c r="E551" s="18">
        <v>7393.101573813022</v>
      </c>
      <c r="F551" s="18">
        <v>-4949.502093730552</v>
      </c>
      <c r="G551" s="18">
        <v>-979.6819943520029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27</v>
      </c>
      <c r="C552">
        <v>260</v>
      </c>
      <c r="D552">
        <v>14</v>
      </c>
      <c r="E552" s="18">
        <v>6735.183205085433</v>
      </c>
      <c r="F552" s="18">
        <v>-5105.2945014178495</v>
      </c>
      <c r="G552" s="18">
        <v>-1065.458054409239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27</v>
      </c>
      <c r="C553">
        <v>260</v>
      </c>
      <c r="D553">
        <v>15</v>
      </c>
      <c r="E553" s="18">
        <v>5640.820596567974</v>
      </c>
      <c r="F553" s="18">
        <v>-4810.121397692056</v>
      </c>
      <c r="G553" s="18">
        <v>-1093.0845729616935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27</v>
      </c>
      <c r="C554">
        <v>260</v>
      </c>
      <c r="D554">
        <v>16</v>
      </c>
      <c r="E554" s="18">
        <v>3747.6401687195876</v>
      </c>
      <c r="F554" s="18">
        <v>-4159.4290819482085</v>
      </c>
      <c r="G554" s="18">
        <v>-1156.1548022636166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27</v>
      </c>
      <c r="C555">
        <v>260</v>
      </c>
      <c r="D555">
        <v>17</v>
      </c>
      <c r="E555" s="18">
        <v>2301.2354813671905</v>
      </c>
      <c r="F555" s="18">
        <v>-3586.139228931098</v>
      </c>
      <c r="G555" s="18">
        <v>-1186.7326106249532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27</v>
      </c>
      <c r="C556">
        <v>260</v>
      </c>
      <c r="D556">
        <v>18</v>
      </c>
      <c r="E556" s="18">
        <v>-162.9387266837961</v>
      </c>
      <c r="F556" s="18">
        <v>-2464.4599413390483</v>
      </c>
      <c r="G556" s="18">
        <v>-960.8067111597832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27</v>
      </c>
      <c r="C557">
        <v>260</v>
      </c>
      <c r="D557">
        <v>19</v>
      </c>
      <c r="E557" s="18">
        <v>-1726.4291297732852</v>
      </c>
      <c r="F557" s="18">
        <v>-1700.3912982838133</v>
      </c>
      <c r="G557" s="18">
        <v>-727.6224822136058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7" x14ac:dyDescent="0.25">
      <c r="B558">
        <v>27</v>
      </c>
      <c r="C558">
        <v>260</v>
      </c>
      <c r="D558">
        <v>20</v>
      </c>
      <c r="E558" s="18">
        <v>-4046.776418624003</v>
      </c>
      <c r="F558" s="18">
        <v>-481.6051814657576</v>
      </c>
      <c r="G558" s="18">
        <v>-340.51611774503925</v>
      </c>
    </row>
    <row r="560" spans="2:14" x14ac:dyDescent="0.25">
      <c r="B560">
        <v>28</v>
      </c>
      <c r="C560">
        <v>270</v>
      </c>
      <c r="D560">
        <v>1</v>
      </c>
      <c r="E560" s="18">
        <v>15831.862746689701</v>
      </c>
      <c r="F560" s="18">
        <v>-2940.658855894904</v>
      </c>
      <c r="G560" s="18">
        <v>-1.3317912817001343e-12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28</v>
      </c>
      <c r="C561">
        <v>270</v>
      </c>
      <c r="D561">
        <v>2</v>
      </c>
      <c r="E561" s="18">
        <v>14887.875937058567</v>
      </c>
      <c r="F561" s="18">
        <v>-3260.4526071625673</v>
      </c>
      <c r="G561" s="18">
        <v>-1.1816620826721192e-12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28</v>
      </c>
      <c r="C562">
        <v>270</v>
      </c>
      <c r="D562">
        <v>3</v>
      </c>
      <c r="E562" s="18">
        <v>13078.23844287175</v>
      </c>
      <c r="F562" s="18">
        <v>-3755.446100048312</v>
      </c>
      <c r="G562" s="18">
        <v>-4.4070184230804444e-13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28</v>
      </c>
      <c r="C563">
        <v>270</v>
      </c>
      <c r="D563">
        <v>4</v>
      </c>
      <c r="E563" s="18">
        <v>12288.140308544082</v>
      </c>
      <c r="F563" s="18">
        <v>-3928.5516618640017</v>
      </c>
      <c r="G563" s="18">
        <v>-6.683170795440674e-13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28</v>
      </c>
      <c r="C564">
        <v>270</v>
      </c>
      <c r="D564">
        <v>5</v>
      </c>
      <c r="E564" s="18">
        <v>11590.081777081512</v>
      </c>
      <c r="F564" s="18">
        <v>-4065.7979162699176</v>
      </c>
      <c r="G564" s="18">
        <v>-6.029382348060608e-13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28</v>
      </c>
      <c r="C565">
        <v>270</v>
      </c>
      <c r="D565">
        <v>6</v>
      </c>
      <c r="E565" s="18">
        <v>10919.964500906975</v>
      </c>
      <c r="F565" s="18">
        <v>-4181.5213071538665</v>
      </c>
      <c r="G565" s="18">
        <v>-6.610527634620667e-13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28</v>
      </c>
      <c r="C566">
        <v>270</v>
      </c>
      <c r="D566">
        <v>7</v>
      </c>
      <c r="E566" s="18">
        <v>10295.917718918488</v>
      </c>
      <c r="F566" s="18">
        <v>-4279.486462246424</v>
      </c>
      <c r="G566" s="18">
        <v>-2.324581146240235e-13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28</v>
      </c>
      <c r="C567">
        <v>270</v>
      </c>
      <c r="D567">
        <v>8</v>
      </c>
      <c r="E567" s="18">
        <v>9702.587063714995</v>
      </c>
      <c r="F567" s="18">
        <v>-4361.79802040775</v>
      </c>
      <c r="G567" s="18">
        <v>-5.763024091720582e-13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28</v>
      </c>
      <c r="C568">
        <v>270</v>
      </c>
      <c r="D568">
        <v>9</v>
      </c>
      <c r="E568" s="18">
        <v>9137.567173396383</v>
      </c>
      <c r="F568" s="18">
        <v>-4432.815781922306</v>
      </c>
      <c r="G568" s="18">
        <v>-6.53788447380066e-13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28</v>
      </c>
      <c r="C569">
        <v>270</v>
      </c>
      <c r="D569">
        <v>10</v>
      </c>
      <c r="E569" s="18">
        <v>8780.854531128345</v>
      </c>
      <c r="F569" s="18">
        <v>-4643.256988390346</v>
      </c>
      <c r="G569" s="18">
        <v>-5.167598525683085e-13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28</v>
      </c>
      <c r="C570">
        <v>270</v>
      </c>
      <c r="D570">
        <v>11</v>
      </c>
      <c r="E570" s="18">
        <v>8471.548345055582</v>
      </c>
      <c r="F570" s="18">
        <v>-4837.71179556643</v>
      </c>
      <c r="G570" s="18">
        <v>-1.0866050918896992e-12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28</v>
      </c>
      <c r="C571">
        <v>270</v>
      </c>
      <c r="D571">
        <v>12</v>
      </c>
      <c r="E571" s="18">
        <v>8171.19907639217</v>
      </c>
      <c r="F571" s="18">
        <v>-5008.613666669041</v>
      </c>
      <c r="G571" s="18">
        <v>-4.777684807777405e-13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28</v>
      </c>
      <c r="C572">
        <v>270</v>
      </c>
      <c r="D572">
        <v>13</v>
      </c>
      <c r="E572" s="18">
        <v>7946.957395717584</v>
      </c>
      <c r="F572" s="18">
        <v>-5149.33317113616</v>
      </c>
      <c r="G572" s="18">
        <v>-1.117649177710215e-12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28</v>
      </c>
      <c r="C573">
        <v>270</v>
      </c>
      <c r="D573">
        <v>14</v>
      </c>
      <c r="E573" s="18">
        <v>7513.284240003964</v>
      </c>
      <c r="F573" s="18">
        <v>-5409.306186011452</v>
      </c>
      <c r="G573" s="18">
        <v>-1.0845251381397247e-12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28</v>
      </c>
      <c r="C574">
        <v>270</v>
      </c>
      <c r="D574">
        <v>15</v>
      </c>
      <c r="E574" s="18">
        <v>6690.0008168353415</v>
      </c>
      <c r="F574" s="18">
        <v>-5227.358557105921</v>
      </c>
      <c r="G574" s="18">
        <v>-5.185138434171676e-13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28</v>
      </c>
      <c r="C575">
        <v>270</v>
      </c>
      <c r="D575">
        <v>16</v>
      </c>
      <c r="E575" s="18">
        <v>5420.099240749144</v>
      </c>
      <c r="F575" s="18">
        <v>-4886.879129814068</v>
      </c>
      <c r="G575" s="18">
        <v>-7.409602403640747e-13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28</v>
      </c>
      <c r="C576">
        <v>270</v>
      </c>
      <c r="D576">
        <v>17</v>
      </c>
      <c r="E576" s="18">
        <v>4398.307300813494</v>
      </c>
      <c r="F576" s="18">
        <v>-4551.919882185922</v>
      </c>
      <c r="G576" s="18">
        <v>-9.634066373109819e-13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28</v>
      </c>
      <c r="C577">
        <v>270</v>
      </c>
      <c r="D577">
        <v>18</v>
      </c>
      <c r="E577" s="18">
        <v>2308.7541689183035</v>
      </c>
      <c r="F577" s="18">
        <v>-3737.5175014467472</v>
      </c>
      <c r="G577" s="18">
        <v>-9.257395429598583e-13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14" x14ac:dyDescent="0.25">
      <c r="B578">
        <v>28</v>
      </c>
      <c r="C578">
        <v>270</v>
      </c>
      <c r="D578">
        <v>19</v>
      </c>
      <c r="E578" s="18">
        <v>1035.2538797972836</v>
      </c>
      <c r="F578" s="18">
        <v>-3170.1497271545063</v>
      </c>
      <c r="G578" s="18">
        <v>-1.2412025877582214e-12</v>
      </c>
      <c r="H578" s="12">
        <f>E579</f>
      </c>
      <c r="I578" s="12">
        <f>F579</f>
      </c>
      <c r="J578" s="12">
        <f>G579</f>
      </c>
      <c r="K578">
        <f>IF(AND(Pu&gt;=MIN(E578,H578),Pu&lt;=MAX(E578,H578),E578&lt;&gt;H578),1,0)</f>
      </c>
      <c r="L578">
        <f>IF(K578=1,(Pu-E578)/(H578-E578),"")</f>
      </c>
      <c r="M578" s="12">
        <f>IF(K578=1,F578+L578*(I578-F578),"")</f>
      </c>
      <c r="N578" s="12">
        <f>IF(K578=1,G578+L578*(J578-G578),"")</f>
      </c>
    </row>
    <row r="579" spans="2:7" x14ac:dyDescent="0.25">
      <c r="B579">
        <v>28</v>
      </c>
      <c r="C579">
        <v>270</v>
      </c>
      <c r="D579">
        <v>20</v>
      </c>
      <c r="E579" s="18">
        <v>-1386.9705879741575</v>
      </c>
      <c r="F579" s="18">
        <v>-1934.4394333303612</v>
      </c>
      <c r="G579" s="18">
        <v>-9.862744211254962e-13</v>
      </c>
    </row>
    <row r="581" spans="2:14" x14ac:dyDescent="0.25">
      <c r="B581">
        <v>29</v>
      </c>
      <c r="C581">
        <v>280</v>
      </c>
      <c r="D581">
        <v>1</v>
      </c>
      <c r="E581" s="18">
        <v>17113.049469113812</v>
      </c>
      <c r="F581" s="18">
        <v>-2364.084973480511</v>
      </c>
      <c r="G581" s="18">
        <v>755.0916055121608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29</v>
      </c>
      <c r="C582">
        <v>280</v>
      </c>
      <c r="D582">
        <v>2</v>
      </c>
      <c r="E582" s="18">
        <v>15584.579585010602</v>
      </c>
      <c r="F582" s="18">
        <v>-2957.074391113024</v>
      </c>
      <c r="G582" s="18">
        <v>694.6412418661431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29</v>
      </c>
      <c r="C583">
        <v>280</v>
      </c>
      <c r="D583">
        <v>3</v>
      </c>
      <c r="E583" s="18">
        <v>13401.39622070261</v>
      </c>
      <c r="F583" s="18">
        <v>-3597.3655587769886</v>
      </c>
      <c r="G583" s="18">
        <v>672.8634776325082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29</v>
      </c>
      <c r="C584">
        <v>280</v>
      </c>
      <c r="D584">
        <v>4</v>
      </c>
      <c r="E584" s="18">
        <v>12538.777426234723</v>
      </c>
      <c r="F584" s="18">
        <v>-3782.6351603388953</v>
      </c>
      <c r="G584" s="18">
        <v>700.2764126649976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29</v>
      </c>
      <c r="C585">
        <v>280</v>
      </c>
      <c r="D585">
        <v>5</v>
      </c>
      <c r="E585" s="18">
        <v>11737.913111242178</v>
      </c>
      <c r="F585" s="18">
        <v>-3928.7390956508675</v>
      </c>
      <c r="G585" s="18">
        <v>718.6325722833366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29</v>
      </c>
      <c r="C586">
        <v>280</v>
      </c>
      <c r="D586">
        <v>6</v>
      </c>
      <c r="E586" s="18">
        <v>10999.745046410577</v>
      </c>
      <c r="F586" s="18">
        <v>-4043.4548573568986</v>
      </c>
      <c r="G586" s="18">
        <v>736.988731901676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29</v>
      </c>
      <c r="C587">
        <v>280</v>
      </c>
      <c r="D587">
        <v>7</v>
      </c>
      <c r="E587" s="18">
        <v>10327.807348599992</v>
      </c>
      <c r="F587" s="18">
        <v>-4136.515355219281</v>
      </c>
      <c r="G587" s="18">
        <v>746.2802154755701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29</v>
      </c>
      <c r="C588">
        <v>280</v>
      </c>
      <c r="D588">
        <v>8</v>
      </c>
      <c r="E588" s="18">
        <v>9687.582776052615</v>
      </c>
      <c r="F588" s="18">
        <v>-4211.333131020702</v>
      </c>
      <c r="G588" s="18">
        <v>764.6363750939097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29</v>
      </c>
      <c r="C589">
        <v>280</v>
      </c>
      <c r="D589">
        <v>9</v>
      </c>
      <c r="E589" s="18">
        <v>9099.358056058563</v>
      </c>
      <c r="F589" s="18">
        <v>-4272.36087254528</v>
      </c>
      <c r="G589" s="18">
        <v>792.0572107566936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29</v>
      </c>
      <c r="C590">
        <v>280</v>
      </c>
      <c r="D590">
        <v>10</v>
      </c>
      <c r="E590" s="18">
        <v>8517.980852627412</v>
      </c>
      <c r="F590" s="18">
        <v>-4534.859849715966</v>
      </c>
      <c r="G590" s="18">
        <v>842.3570419294921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29</v>
      </c>
      <c r="C591">
        <v>280</v>
      </c>
      <c r="D591">
        <v>11</v>
      </c>
      <c r="E591" s="18">
        <v>8092.396337474147</v>
      </c>
      <c r="F591" s="18">
        <v>-4701.845133697934</v>
      </c>
      <c r="G591" s="18">
        <v>901.5792235639803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29</v>
      </c>
      <c r="C592">
        <v>280</v>
      </c>
      <c r="D592">
        <v>12</v>
      </c>
      <c r="E592" s="18">
        <v>7741.657323242597</v>
      </c>
      <c r="F592" s="18">
        <v>-4835.4408718466875</v>
      </c>
      <c r="G592" s="18">
        <v>928.0698766942209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29</v>
      </c>
      <c r="C593">
        <v>280</v>
      </c>
      <c r="D593">
        <v>13</v>
      </c>
      <c r="E593" s="18">
        <v>7393.1015738130245</v>
      </c>
      <c r="F593" s="18">
        <v>-4949.502093730552</v>
      </c>
      <c r="G593" s="18">
        <v>979.6819943519996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29</v>
      </c>
      <c r="C594">
        <v>280</v>
      </c>
      <c r="D594">
        <v>14</v>
      </c>
      <c r="E594" s="18">
        <v>6735.183205085431</v>
      </c>
      <c r="F594" s="18">
        <v>-5105.2945014178495</v>
      </c>
      <c r="G594" s="18">
        <v>1065.4580544092362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29</v>
      </c>
      <c r="C595">
        <v>280</v>
      </c>
      <c r="D595">
        <v>15</v>
      </c>
      <c r="E595" s="18">
        <v>5640.820596567974</v>
      </c>
      <c r="F595" s="18">
        <v>-4810.121397692058</v>
      </c>
      <c r="G595" s="18">
        <v>1093.0845729616917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29</v>
      </c>
      <c r="C596">
        <v>280</v>
      </c>
      <c r="D596">
        <v>16</v>
      </c>
      <c r="E596" s="18">
        <v>3747.6401687195876</v>
      </c>
      <c r="F596" s="18">
        <v>-4159.4290819482085</v>
      </c>
      <c r="G596" s="18">
        <v>1156.1548022636136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29</v>
      </c>
      <c r="C597">
        <v>280</v>
      </c>
      <c r="D597">
        <v>17</v>
      </c>
      <c r="E597" s="18">
        <v>2301.235481367188</v>
      </c>
      <c r="F597" s="18">
        <v>-3586.1392289310966</v>
      </c>
      <c r="G597" s="18">
        <v>1186.7326106249511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29</v>
      </c>
      <c r="C598">
        <v>280</v>
      </c>
      <c r="D598">
        <v>18</v>
      </c>
      <c r="E598" s="18">
        <v>-162.93872668379885</v>
      </c>
      <c r="F598" s="18">
        <v>-2464.4599413390465</v>
      </c>
      <c r="G598" s="18">
        <v>960.8067111597811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29</v>
      </c>
      <c r="C599">
        <v>280</v>
      </c>
      <c r="D599">
        <v>19</v>
      </c>
      <c r="E599" s="18">
        <v>-1726.4291297732848</v>
      </c>
      <c r="F599" s="18">
        <v>-1700.3912982838137</v>
      </c>
      <c r="G599" s="18">
        <v>727.6224822136047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7" x14ac:dyDescent="0.25">
      <c r="B600">
        <v>29</v>
      </c>
      <c r="C600">
        <v>280</v>
      </c>
      <c r="D600">
        <v>20</v>
      </c>
      <c r="E600" s="18">
        <v>-4046.776418624003</v>
      </c>
      <c r="F600" s="18">
        <v>-481.6051814657576</v>
      </c>
      <c r="G600" s="18">
        <v>340.51611774503897</v>
      </c>
    </row>
    <row r="602" spans="2:14" x14ac:dyDescent="0.25">
      <c r="B602">
        <v>30</v>
      </c>
      <c r="C602">
        <v>290.00000000000006</v>
      </c>
      <c r="D602">
        <v>1</v>
      </c>
      <c r="E602" s="18">
        <v>16402.860173841535</v>
      </c>
      <c r="F602" s="18">
        <v>-2466.1710306399073</v>
      </c>
      <c r="G602" s="18">
        <v>1379.48251820677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30</v>
      </c>
      <c r="C603">
        <v>290.00000000000006</v>
      </c>
      <c r="D603">
        <v>2</v>
      </c>
      <c r="E603" s="18">
        <v>13718.869376902878</v>
      </c>
      <c r="F603" s="18">
        <v>-3324.2285202409867</v>
      </c>
      <c r="G603" s="18">
        <v>1376.0762869814719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30</v>
      </c>
      <c r="C604">
        <v>290.00000000000006</v>
      </c>
      <c r="D604">
        <v>3</v>
      </c>
      <c r="E604" s="18">
        <v>12744.957868523814</v>
      </c>
      <c r="F604" s="18">
        <v>-3542.008358309781</v>
      </c>
      <c r="G604" s="18">
        <v>1410.9333713563692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30</v>
      </c>
      <c r="C605">
        <v>290.00000000000006</v>
      </c>
      <c r="D605">
        <v>4</v>
      </c>
      <c r="E605" s="18">
        <v>11872.925768562733</v>
      </c>
      <c r="F605" s="18">
        <v>-3706.3377111254467</v>
      </c>
      <c r="G605" s="18">
        <v>1428.5243211475042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30</v>
      </c>
      <c r="C606">
        <v>290.00000000000006</v>
      </c>
      <c r="D606">
        <v>5</v>
      </c>
      <c r="E606" s="18">
        <v>11068.391549557175</v>
      </c>
      <c r="F606" s="18">
        <v>-3824.0399705365303</v>
      </c>
      <c r="G606" s="18">
        <v>1457.8706348871613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30</v>
      </c>
      <c r="C607">
        <v>290.00000000000006</v>
      </c>
      <c r="D607">
        <v>6</v>
      </c>
      <c r="E607" s="18">
        <v>10332.108876569117</v>
      </c>
      <c r="F607" s="18">
        <v>-3905.486047511333</v>
      </c>
      <c r="G607" s="18">
        <v>1498.591570669262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30</v>
      </c>
      <c r="C608">
        <v>290.00000000000006</v>
      </c>
      <c r="D608">
        <v>7</v>
      </c>
      <c r="E608" s="18">
        <v>9631.833173417348</v>
      </c>
      <c r="F608" s="18">
        <v>-3968.4335048740827</v>
      </c>
      <c r="G608" s="18">
        <v>1531.0056507951042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30</v>
      </c>
      <c r="C609">
        <v>290.00000000000006</v>
      </c>
      <c r="D609">
        <v>8</v>
      </c>
      <c r="E609" s="18">
        <v>8988.87000201194</v>
      </c>
      <c r="F609" s="18">
        <v>-4019.5926753333842</v>
      </c>
      <c r="G609" s="18">
        <v>1554.355054876503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30</v>
      </c>
      <c r="C610">
        <v>290.00000000000006</v>
      </c>
      <c r="D610">
        <v>9</v>
      </c>
      <c r="E610" s="18">
        <v>8252.707873920059</v>
      </c>
      <c r="F610" s="18">
        <v>-4245.674202980197</v>
      </c>
      <c r="G610" s="18">
        <v>1679.4218659264657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30</v>
      </c>
      <c r="C611">
        <v>290.00000000000006</v>
      </c>
      <c r="D611">
        <v>10</v>
      </c>
      <c r="E611" s="18">
        <v>7655.125540397136</v>
      </c>
      <c r="F611" s="18">
        <v>-4378.323743754362</v>
      </c>
      <c r="G611" s="18">
        <v>1783.600050229543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30</v>
      </c>
      <c r="C612">
        <v>290.00000000000006</v>
      </c>
      <c r="D612">
        <v>11</v>
      </c>
      <c r="E612" s="18">
        <v>7128.513540078797</v>
      </c>
      <c r="F612" s="18">
        <v>-4456.497378530788</v>
      </c>
      <c r="G612" s="18">
        <v>1887.5318161874127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30</v>
      </c>
      <c r="C613">
        <v>290.00000000000006</v>
      </c>
      <c r="D613">
        <v>12</v>
      </c>
      <c r="E613" s="18">
        <v>6661.153873931218</v>
      </c>
      <c r="F613" s="18">
        <v>-4486.6610485427545</v>
      </c>
      <c r="G613" s="18">
        <v>1976.8965861315078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14" x14ac:dyDescent="0.25">
      <c r="B614">
        <v>30</v>
      </c>
      <c r="C614">
        <v>290.00000000000006</v>
      </c>
      <c r="D614">
        <v>13</v>
      </c>
      <c r="E614" s="18">
        <v>5508.708329790143</v>
      </c>
      <c r="F614" s="18">
        <v>-4409.065284635744</v>
      </c>
      <c r="G614" s="18">
        <v>2188.501569054946</v>
      </c>
      <c r="H614" s="12">
        <f>E615</f>
      </c>
      <c r="I614" s="12">
        <f>F615</f>
      </c>
      <c r="J614" s="12">
        <f>G615</f>
      </c>
      <c r="K614">
        <f>IF(AND(Pu&gt;=MIN(E614,H614),Pu&lt;=MAX(E614,H614),E614&lt;&gt;H614),1,0)</f>
      </c>
      <c r="L614">
        <f>IF(K614=1,(Pu-E614)/(H614-E614),"")</f>
      </c>
      <c r="M614" s="12">
        <f>IF(K614=1,F614+L614*(I614-F614),"")</f>
      </c>
      <c r="N614" s="12">
        <f>IF(K614=1,G614+L614*(J614-G614),"")</f>
      </c>
    </row>
    <row r="615" spans="2:14" x14ac:dyDescent="0.25">
      <c r="B615">
        <v>30</v>
      </c>
      <c r="C615">
        <v>290.00000000000006</v>
      </c>
      <c r="D615">
        <v>14</v>
      </c>
      <c r="E615" s="18">
        <v>4141.388778317824</v>
      </c>
      <c r="F615" s="18">
        <v>-3979.124136727441</v>
      </c>
      <c r="G615" s="18">
        <v>2166.7792636844506</v>
      </c>
      <c r="H615" s="12">
        <f>E616</f>
      </c>
      <c r="I615" s="12">
        <f>F616</f>
      </c>
      <c r="J615" s="12">
        <f>G616</f>
      </c>
      <c r="K615">
        <f>IF(AND(Pu&gt;=MIN(E615,H615),Pu&lt;=MAX(E615,H615),E615&lt;&gt;H615),1,0)</f>
      </c>
      <c r="L615">
        <f>IF(K615=1,(Pu-E615)/(H615-E615),"")</f>
      </c>
      <c r="M615" s="12">
        <f>IF(K615=1,F615+L615*(I615-F615),"")</f>
      </c>
      <c r="N615" s="12">
        <f>IF(K615=1,G615+L615*(J615-G615),"")</f>
      </c>
    </row>
    <row r="616" spans="2:14" x14ac:dyDescent="0.25">
      <c r="B616">
        <v>30</v>
      </c>
      <c r="C616">
        <v>290.00000000000006</v>
      </c>
      <c r="D616">
        <v>15</v>
      </c>
      <c r="E616" s="18">
        <v>2174.956338595555</v>
      </c>
      <c r="F616" s="18">
        <v>-3254.7513959296084</v>
      </c>
      <c r="G616" s="18">
        <v>2039.5887020591172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30</v>
      </c>
      <c r="C617">
        <v>290.00000000000006</v>
      </c>
      <c r="D617">
        <v>16</v>
      </c>
      <c r="E617" s="18">
        <v>922.3508553688686</v>
      </c>
      <c r="F617" s="18">
        <v>-2750.417066628022</v>
      </c>
      <c r="G617" s="18">
        <v>1834.6814242562616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30</v>
      </c>
      <c r="C618">
        <v>290.00000000000006</v>
      </c>
      <c r="D618">
        <v>17</v>
      </c>
      <c r="E618" s="18">
        <v>-1331.0326370325452</v>
      </c>
      <c r="F618" s="18">
        <v>-1772.3147137848641</v>
      </c>
      <c r="G618" s="18">
        <v>1328.431899933759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30</v>
      </c>
      <c r="C619">
        <v>290.00000000000006</v>
      </c>
      <c r="D619">
        <v>18</v>
      </c>
      <c r="E619" s="18">
        <v>-2582.9617941584816</v>
      </c>
      <c r="F619" s="18">
        <v>-1179.8767334014258</v>
      </c>
      <c r="G619" s="18">
        <v>969.9984270243798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7" x14ac:dyDescent="0.25">
      <c r="B620">
        <v>30</v>
      </c>
      <c r="C620">
        <v>290.00000000000006</v>
      </c>
      <c r="D620">
        <v>19</v>
      </c>
      <c r="E620" s="18">
        <v>-4318.169758120962</v>
      </c>
      <c r="F620" s="18">
        <v>-328.686164006675</v>
      </c>
      <c r="G620" s="18">
        <v>285.023222641046</v>
      </c>
    </row>
    <row r="622" spans="2:14" x14ac:dyDescent="0.25">
      <c r="B622">
        <v>31</v>
      </c>
      <c r="C622">
        <v>299.99999999999994</v>
      </c>
      <c r="D622">
        <v>1</v>
      </c>
      <c r="E622" s="18">
        <v>16822.911304027486</v>
      </c>
      <c r="F622" s="18">
        <v>-2091.077256537302</v>
      </c>
      <c r="G622" s="18">
        <v>1846.3121376499714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31</v>
      </c>
      <c r="C623">
        <v>299.99999999999994</v>
      </c>
      <c r="D623">
        <v>2</v>
      </c>
      <c r="E623" s="18">
        <v>14070.917898113932</v>
      </c>
      <c r="F623" s="18">
        <v>-2928.034801895532</v>
      </c>
      <c r="G623" s="18">
        <v>2047.8332989882947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31</v>
      </c>
      <c r="C624">
        <v>299.99999999999994</v>
      </c>
      <c r="D624">
        <v>3</v>
      </c>
      <c r="E624" s="18">
        <v>12901.856153672325</v>
      </c>
      <c r="F624" s="18">
        <v>-3190.0199009311577</v>
      </c>
      <c r="G624" s="18">
        <v>2099.0540102547484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31</v>
      </c>
      <c r="C625">
        <v>299.99999999999994</v>
      </c>
      <c r="D625">
        <v>4</v>
      </c>
      <c r="E625" s="18">
        <v>11935.566040529275</v>
      </c>
      <c r="F625" s="18">
        <v>-3346.4962168695965</v>
      </c>
      <c r="G625" s="18">
        <v>2169.907487776093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31</v>
      </c>
      <c r="C626">
        <v>299.99999999999994</v>
      </c>
      <c r="D626">
        <v>5</v>
      </c>
      <c r="E626" s="18">
        <v>11067.978856668195</v>
      </c>
      <c r="F626" s="18">
        <v>-3453.7456204671785</v>
      </c>
      <c r="G626" s="18">
        <v>2228.18432694101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31</v>
      </c>
      <c r="C627">
        <v>299.99999999999994</v>
      </c>
      <c r="D627">
        <v>6</v>
      </c>
      <c r="E627" s="18">
        <v>10256.541858725835</v>
      </c>
      <c r="F627" s="18">
        <v>-3525.165508161801</v>
      </c>
      <c r="G627" s="18">
        <v>2285.8786708220973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31</v>
      </c>
      <c r="C628">
        <v>299.99999999999994</v>
      </c>
      <c r="D628">
        <v>7</v>
      </c>
      <c r="E628" s="18">
        <v>9504.385690919626</v>
      </c>
      <c r="F628" s="18">
        <v>-3577.1883787229217</v>
      </c>
      <c r="G628" s="18">
        <v>2330.6042740806192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31</v>
      </c>
      <c r="C629">
        <v>299.99999999999994</v>
      </c>
      <c r="D629">
        <v>8</v>
      </c>
      <c r="E629" s="18">
        <v>8792.157526062832</v>
      </c>
      <c r="F629" s="18">
        <v>-3613.0310474925163</v>
      </c>
      <c r="G629" s="18">
        <v>2365.295964650819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31</v>
      </c>
      <c r="C630">
        <v>299.99999999999994</v>
      </c>
      <c r="D630">
        <v>9</v>
      </c>
      <c r="E630" s="18">
        <v>7972.608173647171</v>
      </c>
      <c r="F630" s="18">
        <v>-3784.124341451537</v>
      </c>
      <c r="G630" s="18">
        <v>2517.2125434472337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31</v>
      </c>
      <c r="C631">
        <v>299.99999999999994</v>
      </c>
      <c r="D631">
        <v>10</v>
      </c>
      <c r="E631" s="18">
        <v>7180.825741674879</v>
      </c>
      <c r="F631" s="18">
        <v>-3862.792443887587</v>
      </c>
      <c r="G631" s="18">
        <v>2652.8074218618494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31</v>
      </c>
      <c r="C632">
        <v>299.99999999999994</v>
      </c>
      <c r="D632">
        <v>11</v>
      </c>
      <c r="E632" s="18">
        <v>6383.263770283877</v>
      </c>
      <c r="F632" s="18">
        <v>-3840.996785439065</v>
      </c>
      <c r="G632" s="18">
        <v>2781.654201178661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31</v>
      </c>
      <c r="C633">
        <v>299.99999999999994</v>
      </c>
      <c r="D633">
        <v>12</v>
      </c>
      <c r="E633" s="18">
        <v>5652.587608389086</v>
      </c>
      <c r="F633" s="18">
        <v>-3777.7941585667754</v>
      </c>
      <c r="G633" s="18">
        <v>2915.994183004738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31</v>
      </c>
      <c r="C634">
        <v>299.99999999999994</v>
      </c>
      <c r="D634">
        <v>13</v>
      </c>
      <c r="E634" s="18">
        <v>4514.10107220696</v>
      </c>
      <c r="F634" s="18">
        <v>-3636.5992311156765</v>
      </c>
      <c r="G634" s="18">
        <v>3075.5587008274256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31</v>
      </c>
      <c r="C635">
        <v>299.99999999999994</v>
      </c>
      <c r="D635">
        <v>14</v>
      </c>
      <c r="E635" s="18">
        <v>3331.7857653191327</v>
      </c>
      <c r="F635" s="18">
        <v>-3288.999435844031</v>
      </c>
      <c r="G635" s="18">
        <v>2907.6624407574673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31</v>
      </c>
      <c r="C636">
        <v>299.99999999999994</v>
      </c>
      <c r="D636">
        <v>15</v>
      </c>
      <c r="E636" s="18">
        <v>1637.5892091143169</v>
      </c>
      <c r="F636" s="18">
        <v>-2758.9611942195725</v>
      </c>
      <c r="G636" s="18">
        <v>2523.682742669908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31</v>
      </c>
      <c r="C637">
        <v>299.99999999999994</v>
      </c>
      <c r="D637">
        <v>16</v>
      </c>
      <c r="E637" s="18">
        <v>454.51459456183653</v>
      </c>
      <c r="F637" s="18">
        <v>-2337.694081553414</v>
      </c>
      <c r="G637" s="18">
        <v>2221.031636311087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31</v>
      </c>
      <c r="C638">
        <v>299.99999999999994</v>
      </c>
      <c r="D638">
        <v>17</v>
      </c>
      <c r="E638" s="18">
        <v>-1552.097392240691</v>
      </c>
      <c r="F638" s="18">
        <v>-1541.7400435552497</v>
      </c>
      <c r="G638" s="18">
        <v>1576.7650024787304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31</v>
      </c>
      <c r="C639">
        <v>299.99999999999994</v>
      </c>
      <c r="D639">
        <v>18</v>
      </c>
      <c r="E639" s="18">
        <v>-2685.9307749147333</v>
      </c>
      <c r="F639" s="18">
        <v>-1059.286716705791</v>
      </c>
      <c r="G639" s="18">
        <v>1117.6191978244192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7" x14ac:dyDescent="0.25">
      <c r="B640">
        <v>31</v>
      </c>
      <c r="C640">
        <v>299.99999999999994</v>
      </c>
      <c r="D640">
        <v>19</v>
      </c>
      <c r="E640" s="18">
        <v>-4292.711667858746</v>
      </c>
      <c r="F640" s="18">
        <v>-329.7583087806496</v>
      </c>
      <c r="G640" s="18">
        <v>328.5824510703776</v>
      </c>
    </row>
    <row r="642" spans="2:14" x14ac:dyDescent="0.25">
      <c r="B642">
        <v>32</v>
      </c>
      <c r="C642">
        <v>310.00000000000006</v>
      </c>
      <c r="D642">
        <v>1</v>
      </c>
      <c r="E642" s="18">
        <v>16852.86011644447</v>
      </c>
      <c r="F642" s="18">
        <v>-1821.9093463293848</v>
      </c>
      <c r="G642" s="18">
        <v>2219.1784111428374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32</v>
      </c>
      <c r="C643">
        <v>310.00000000000006</v>
      </c>
      <c r="D643">
        <v>2</v>
      </c>
      <c r="E643" s="18">
        <v>14365.804360764834</v>
      </c>
      <c r="F643" s="18">
        <v>-2404.642402426316</v>
      </c>
      <c r="G643" s="18">
        <v>2695.4792370605146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32</v>
      </c>
      <c r="C644">
        <v>310.00000000000006</v>
      </c>
      <c r="D644">
        <v>3</v>
      </c>
      <c r="E644" s="18">
        <v>13084.773123757817</v>
      </c>
      <c r="F644" s="18">
        <v>-2661.7634939422146</v>
      </c>
      <c r="G644" s="18">
        <v>2813.600606886583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32</v>
      </c>
      <c r="C645">
        <v>310.00000000000006</v>
      </c>
      <c r="D645">
        <v>4</v>
      </c>
      <c r="E645" s="18">
        <v>11986.815993789121</v>
      </c>
      <c r="F645" s="18">
        <v>-2843.6234564490946</v>
      </c>
      <c r="G645" s="18">
        <v>2889.062414313302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32</v>
      </c>
      <c r="C646">
        <v>310.00000000000006</v>
      </c>
      <c r="D646">
        <v>5</v>
      </c>
      <c r="E646" s="18">
        <v>11025.618904907271</v>
      </c>
      <c r="F646" s="18">
        <v>-2964.187022290057</v>
      </c>
      <c r="G646" s="18">
        <v>2946.391701079325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32</v>
      </c>
      <c r="C647">
        <v>310.00000000000006</v>
      </c>
      <c r="D647">
        <v>6</v>
      </c>
      <c r="E647" s="18">
        <v>10174.158446499008</v>
      </c>
      <c r="F647" s="18">
        <v>-3032.621520591046</v>
      </c>
      <c r="G647" s="18">
        <v>3006.897647321061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32</v>
      </c>
      <c r="C648">
        <v>310.00000000000006</v>
      </c>
      <c r="D648">
        <v>7</v>
      </c>
      <c r="E648" s="18">
        <v>9380.52095634344</v>
      </c>
      <c r="F648" s="18">
        <v>-3069.0403124940394</v>
      </c>
      <c r="G648" s="18">
        <v>3063.4399937898856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32</v>
      </c>
      <c r="C649">
        <v>310.00000000000006</v>
      </c>
      <c r="D649">
        <v>8</v>
      </c>
      <c r="E649" s="18">
        <v>8615.873340150305</v>
      </c>
      <c r="F649" s="18">
        <v>-3078.1487202853264</v>
      </c>
      <c r="G649" s="18">
        <v>3122.214440822845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14" x14ac:dyDescent="0.25">
      <c r="B650">
        <v>32</v>
      </c>
      <c r="C650">
        <v>310.00000000000006</v>
      </c>
      <c r="D650">
        <v>9</v>
      </c>
      <c r="E650" s="18">
        <v>7644.217505764201</v>
      </c>
      <c r="F650" s="18">
        <v>-3154.700340530996</v>
      </c>
      <c r="G650" s="18">
        <v>3342.342952822867</v>
      </c>
      <c r="H650" s="12">
        <f>E651</f>
      </c>
      <c r="I650" s="12">
        <f>F651</f>
      </c>
      <c r="J650" s="12">
        <f>G651</f>
      </c>
      <c r="K650">
        <f>IF(AND(Pu&gt;=MIN(E650,H650),Pu&lt;=MAX(E650,H650),E650&lt;&gt;H650),1,0)</f>
      </c>
      <c r="L650">
        <f>IF(K650=1,(Pu-E650)/(H650-E650),"")</f>
      </c>
      <c r="M650" s="12">
        <f>IF(K650=1,F650+L650*(I650-F650),"")</f>
      </c>
      <c r="N650" s="12">
        <f>IF(K650=1,G650+L650*(J650-G650),"")</f>
      </c>
    </row>
    <row r="651" spans="2:14" x14ac:dyDescent="0.25">
      <c r="B651">
        <v>32</v>
      </c>
      <c r="C651">
        <v>310.00000000000006</v>
      </c>
      <c r="D651">
        <v>10</v>
      </c>
      <c r="E651" s="18">
        <v>6688.32463427844</v>
      </c>
      <c r="F651" s="18">
        <v>-3159.1822899865847</v>
      </c>
      <c r="G651" s="18">
        <v>3489.1686694325053</v>
      </c>
      <c r="H651" s="12">
        <f>E652</f>
      </c>
      <c r="I651" s="12">
        <f>F652</f>
      </c>
      <c r="J651" s="12">
        <f>G652</f>
      </c>
      <c r="K651">
        <f>IF(AND(Pu&gt;=MIN(E651,H651),Pu&lt;=MAX(E651,H651),E651&lt;&gt;H651),1,0)</f>
      </c>
      <c r="L651">
        <f>IF(K651=1,(Pu-E651)/(H651-E651),"")</f>
      </c>
      <c r="M651" s="12">
        <f>IF(K651=1,F651+L651*(I651-F651),"")</f>
      </c>
      <c r="N651" s="12">
        <f>IF(K651=1,G651+L651*(J651-G651),"")</f>
      </c>
    </row>
    <row r="652" spans="2:14" x14ac:dyDescent="0.25">
      <c r="B652">
        <v>32</v>
      </c>
      <c r="C652">
        <v>310.00000000000006</v>
      </c>
      <c r="D652">
        <v>11</v>
      </c>
      <c r="E652" s="18">
        <v>5891.239077013844</v>
      </c>
      <c r="F652" s="18">
        <v>-3142.87905245302</v>
      </c>
      <c r="G652" s="18">
        <v>3591.5916887426893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32</v>
      </c>
      <c r="C653">
        <v>310.00000000000006</v>
      </c>
      <c r="D653">
        <v>12</v>
      </c>
      <c r="E653" s="18">
        <v>5231.999946202404</v>
      </c>
      <c r="F653" s="18">
        <v>-3136.284092705603</v>
      </c>
      <c r="G653" s="18">
        <v>3634.143604810569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32</v>
      </c>
      <c r="C654">
        <v>310.00000000000006</v>
      </c>
      <c r="D654">
        <v>13</v>
      </c>
      <c r="E654" s="18">
        <v>4199.657271846663</v>
      </c>
      <c r="F654" s="18">
        <v>-3102.6791239615145</v>
      </c>
      <c r="G654" s="18">
        <v>3673.8564123534006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32</v>
      </c>
      <c r="C655">
        <v>310.00000000000006</v>
      </c>
      <c r="D655">
        <v>14</v>
      </c>
      <c r="E655" s="18">
        <v>3169.1539039212817</v>
      </c>
      <c r="F655" s="18">
        <v>-2831.024996013187</v>
      </c>
      <c r="G655" s="18">
        <v>3435.3864648898198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32</v>
      </c>
      <c r="C656">
        <v>310.00000000000006</v>
      </c>
      <c r="D656">
        <v>15</v>
      </c>
      <c r="E656" s="18">
        <v>1599.2641146176054</v>
      </c>
      <c r="F656" s="18">
        <v>-2409.338847373215</v>
      </c>
      <c r="G656" s="18">
        <v>3000.2866643702823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32</v>
      </c>
      <c r="C657">
        <v>310.00000000000006</v>
      </c>
      <c r="D657">
        <v>16</v>
      </c>
      <c r="E657" s="18">
        <v>475.1786777659796</v>
      </c>
      <c r="F657" s="18">
        <v>-2096.9667303971087</v>
      </c>
      <c r="G657" s="18">
        <v>2621.5273546463754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32</v>
      </c>
      <c r="C658">
        <v>310.00000000000006</v>
      </c>
      <c r="D658">
        <v>17</v>
      </c>
      <c r="E658" s="18">
        <v>-1358.1329778727088</v>
      </c>
      <c r="F658" s="18">
        <v>-1484.6277047437488</v>
      </c>
      <c r="G658" s="18">
        <v>1871.934848484639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32</v>
      </c>
      <c r="C659">
        <v>310.00000000000006</v>
      </c>
      <c r="D659">
        <v>18</v>
      </c>
      <c r="E659" s="18">
        <v>-2442.04585574527</v>
      </c>
      <c r="F659" s="18">
        <v>-1074.4367210190005</v>
      </c>
      <c r="G659" s="18">
        <v>1355.7859349430707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7" x14ac:dyDescent="0.25">
      <c r="B660">
        <v>32</v>
      </c>
      <c r="C660">
        <v>310.00000000000006</v>
      </c>
      <c r="D660">
        <v>19</v>
      </c>
      <c r="E660" s="18">
        <v>-4037.730739273256</v>
      </c>
      <c r="F660" s="18">
        <v>-408.5389539331583</v>
      </c>
      <c r="G660" s="18">
        <v>519.2061290227841</v>
      </c>
    </row>
    <row r="662" spans="2:14" x14ac:dyDescent="0.25">
      <c r="B662">
        <v>33</v>
      </c>
      <c r="C662">
        <v>320.00000000000006</v>
      </c>
      <c r="D662">
        <v>1</v>
      </c>
      <c r="E662" s="18">
        <v>17112.228279488492</v>
      </c>
      <c r="F662" s="18">
        <v>-1471.5214998189333</v>
      </c>
      <c r="G662" s="18">
        <v>2419.433669563107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33</v>
      </c>
      <c r="C663">
        <v>320.00000000000006</v>
      </c>
      <c r="D663">
        <v>2</v>
      </c>
      <c r="E663" s="18">
        <v>14865.40051066738</v>
      </c>
      <c r="F663" s="18">
        <v>-1819.1798900975823</v>
      </c>
      <c r="G663" s="18">
        <v>3107.8111608733143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33</v>
      </c>
      <c r="C664">
        <v>320.00000000000006</v>
      </c>
      <c r="D664">
        <v>3</v>
      </c>
      <c r="E664" s="18">
        <v>13775.257882634025</v>
      </c>
      <c r="F664" s="18">
        <v>-2003.6976788798092</v>
      </c>
      <c r="G664" s="18">
        <v>3299.5526880485104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33</v>
      </c>
      <c r="C665">
        <v>320.00000000000006</v>
      </c>
      <c r="D665">
        <v>4</v>
      </c>
      <c r="E665" s="18">
        <v>12639.898240646944</v>
      </c>
      <c r="F665" s="18">
        <v>-2179.6122477597373</v>
      </c>
      <c r="G665" s="18">
        <v>3427.5176250757777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33</v>
      </c>
      <c r="C666">
        <v>320.00000000000006</v>
      </c>
      <c r="D666">
        <v>5</v>
      </c>
      <c r="E666" s="18">
        <v>11518.94158480173</v>
      </c>
      <c r="F666" s="18">
        <v>-2326.066152647481</v>
      </c>
      <c r="G666" s="18">
        <v>3512.9389555241187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33</v>
      </c>
      <c r="C667">
        <v>320.00000000000006</v>
      </c>
      <c r="D667">
        <v>6</v>
      </c>
      <c r="E667" s="18">
        <v>10541.57567623563</v>
      </c>
      <c r="F667" s="18">
        <v>-2386.299615681001</v>
      </c>
      <c r="G667" s="18">
        <v>3605.6728549537415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33</v>
      </c>
      <c r="C668">
        <v>320.00000000000006</v>
      </c>
      <c r="D668">
        <v>7</v>
      </c>
      <c r="E668" s="18">
        <v>9620.045170491354</v>
      </c>
      <c r="F668" s="18">
        <v>-2424.8727353559043</v>
      </c>
      <c r="G668" s="18">
        <v>3673.5685187493236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33</v>
      </c>
      <c r="C669">
        <v>320.00000000000006</v>
      </c>
      <c r="D669">
        <v>8</v>
      </c>
      <c r="E669" s="18">
        <v>8782.186506898619</v>
      </c>
      <c r="F669" s="18">
        <v>-2449.119820297772</v>
      </c>
      <c r="G669" s="18">
        <v>3721.9875404786117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33</v>
      </c>
      <c r="C670">
        <v>320.00000000000006</v>
      </c>
      <c r="D670">
        <v>9</v>
      </c>
      <c r="E670" s="18">
        <v>7640.784416707781</v>
      </c>
      <c r="F670" s="18">
        <v>-2486.771256954526</v>
      </c>
      <c r="G670" s="18">
        <v>3974.000479045062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33</v>
      </c>
      <c r="C671">
        <v>320.00000000000006</v>
      </c>
      <c r="D671">
        <v>10</v>
      </c>
      <c r="E671" s="18">
        <v>6726.065799583826</v>
      </c>
      <c r="F671" s="18">
        <v>-2492.2105948961475</v>
      </c>
      <c r="G671" s="18">
        <v>4140.104856423919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33</v>
      </c>
      <c r="C672">
        <v>320.00000000000006</v>
      </c>
      <c r="D672">
        <v>11</v>
      </c>
      <c r="E672" s="18">
        <v>6025.579860073118</v>
      </c>
      <c r="F672" s="18">
        <v>-2501.3419671814927</v>
      </c>
      <c r="G672" s="18">
        <v>4239.676966393975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33</v>
      </c>
      <c r="C673">
        <v>320.00000000000006</v>
      </c>
      <c r="D673">
        <v>12</v>
      </c>
      <c r="E673" s="18">
        <v>5435.175188264599</v>
      </c>
      <c r="F673" s="18">
        <v>-2515.115484077009</v>
      </c>
      <c r="G673" s="18">
        <v>4295.768188199265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33</v>
      </c>
      <c r="C674">
        <v>320.00000000000006</v>
      </c>
      <c r="D674">
        <v>13</v>
      </c>
      <c r="E674" s="18">
        <v>4472.067339974688</v>
      </c>
      <c r="F674" s="18">
        <v>-2573.039025010237</v>
      </c>
      <c r="G674" s="18">
        <v>4315.698449719168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33</v>
      </c>
      <c r="C675">
        <v>320.00000000000006</v>
      </c>
      <c r="D675">
        <v>14</v>
      </c>
      <c r="E675" s="18">
        <v>3369.7992833584703</v>
      </c>
      <c r="F675" s="18">
        <v>-2422.0142313325114</v>
      </c>
      <c r="G675" s="18">
        <v>3987.3653072509364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33</v>
      </c>
      <c r="C676">
        <v>320.00000000000006</v>
      </c>
      <c r="D676">
        <v>15</v>
      </c>
      <c r="E676" s="18">
        <v>1845.900168333538</v>
      </c>
      <c r="F676" s="18">
        <v>-2099.8419699834258</v>
      </c>
      <c r="G676" s="18">
        <v>3484.2446361682664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33</v>
      </c>
      <c r="C677">
        <v>320.00000000000006</v>
      </c>
      <c r="D677">
        <v>16</v>
      </c>
      <c r="E677" s="18">
        <v>730.9479314222019</v>
      </c>
      <c r="F677" s="18">
        <v>-1846.8120070719795</v>
      </c>
      <c r="G677" s="18">
        <v>3034.7443903708195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33</v>
      </c>
      <c r="C678">
        <v>320.00000000000006</v>
      </c>
      <c r="D678">
        <v>17</v>
      </c>
      <c r="E678" s="18">
        <v>-1094.6889118879321</v>
      </c>
      <c r="F678" s="18">
        <v>-1389.8270094752334</v>
      </c>
      <c r="G678" s="18">
        <v>2176.4568739463257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33</v>
      </c>
      <c r="C679">
        <v>320.00000000000006</v>
      </c>
      <c r="D679">
        <v>18</v>
      </c>
      <c r="E679" s="18">
        <v>-2272.739613988694</v>
      </c>
      <c r="F679" s="18">
        <v>-1025.259600245415</v>
      </c>
      <c r="G679" s="18">
        <v>1563.9597976104465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7" x14ac:dyDescent="0.25">
      <c r="B680">
        <v>33</v>
      </c>
      <c r="C680">
        <v>320.00000000000006</v>
      </c>
      <c r="D680">
        <v>19</v>
      </c>
      <c r="E680" s="18">
        <v>-3972.5326590168647</v>
      </c>
      <c r="F680" s="18">
        <v>-389.2546634469325</v>
      </c>
      <c r="G680" s="18">
        <v>609.8221466339494</v>
      </c>
    </row>
    <row r="682" spans="2:14" x14ac:dyDescent="0.25">
      <c r="B682">
        <v>34</v>
      </c>
      <c r="C682">
        <v>330.00000000000006</v>
      </c>
      <c r="D682">
        <v>1</v>
      </c>
      <c r="E682" s="18">
        <v>16998.009337410247</v>
      </c>
      <c r="F682" s="18">
        <v>-1133.6483233342217</v>
      </c>
      <c r="G682" s="18">
        <v>2709.8726552965213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34</v>
      </c>
      <c r="C683">
        <v>330.00000000000006</v>
      </c>
      <c r="D683">
        <v>2</v>
      </c>
      <c r="E683" s="18">
        <v>15021.685687512982</v>
      </c>
      <c r="F683" s="18">
        <v>-1322.3102911534027</v>
      </c>
      <c r="G683" s="18">
        <v>3396.3693219095753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34</v>
      </c>
      <c r="C684">
        <v>330.00000000000006</v>
      </c>
      <c r="D684">
        <v>3</v>
      </c>
      <c r="E684" s="18">
        <v>14002.391562563787</v>
      </c>
      <c r="F684" s="18">
        <v>-1447.9367613454633</v>
      </c>
      <c r="G684" s="18">
        <v>3620.9807499718295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34</v>
      </c>
      <c r="C685">
        <v>330.00000000000006</v>
      </c>
      <c r="D685">
        <v>4</v>
      </c>
      <c r="E685" s="18">
        <v>12917.191162616708</v>
      </c>
      <c r="F685" s="18">
        <v>-1568.6732710273855</v>
      </c>
      <c r="G685" s="18">
        <v>3801.6815566804426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14" x14ac:dyDescent="0.25">
      <c r="B686">
        <v>34</v>
      </c>
      <c r="C686">
        <v>330.00000000000006</v>
      </c>
      <c r="D686">
        <v>5</v>
      </c>
      <c r="E686" s="18">
        <v>11836.053318345912</v>
      </c>
      <c r="F686" s="18">
        <v>-1678.6753427579417</v>
      </c>
      <c r="G686" s="18">
        <v>3932.163454980796</v>
      </c>
      <c r="H686" s="12">
        <f>E687</f>
      </c>
      <c r="I686" s="12">
        <f>F687</f>
      </c>
      <c r="J686" s="12">
        <f>G687</f>
      </c>
      <c r="K686">
        <f>IF(AND(Pu&gt;=MIN(E686,H686),Pu&lt;=MAX(E686,H686),E686&lt;&gt;H686),1,0)</f>
      </c>
      <c r="L686">
        <f>IF(K686=1,(Pu-E686)/(H686-E686),"")</f>
      </c>
      <c r="M686" s="12">
        <f>IF(K686=1,F686+L686*(I686-F686),"")</f>
      </c>
      <c r="N686" s="12">
        <f>IF(K686=1,G686+L686*(J686-G686),"")</f>
      </c>
    </row>
    <row r="687" spans="2:14" x14ac:dyDescent="0.25">
      <c r="B687">
        <v>34</v>
      </c>
      <c r="C687">
        <v>330.00000000000006</v>
      </c>
      <c r="D687">
        <v>6</v>
      </c>
      <c r="E687" s="18">
        <v>10727.012526339864</v>
      </c>
      <c r="F687" s="18">
        <v>-1769.947839356137</v>
      </c>
      <c r="G687" s="18">
        <v>4024.5058086536583</v>
      </c>
      <c r="H687" s="12">
        <f>E688</f>
      </c>
      <c r="I687" s="12">
        <f>F688</f>
      </c>
      <c r="J687" s="12">
        <f>G688</f>
      </c>
      <c r="K687">
        <f>IF(AND(Pu&gt;=MIN(E687,H687),Pu&lt;=MAX(E687,H687),E687&lt;&gt;H687),1,0)</f>
      </c>
      <c r="L687">
        <f>IF(K687=1,(Pu-E687)/(H687-E687),"")</f>
      </c>
      <c r="M687" s="12">
        <f>IF(K687=1,F687+L687*(I687-F687),"")</f>
      </c>
      <c r="N687" s="12">
        <f>IF(K687=1,G687+L687*(J687-G687),"")</f>
      </c>
    </row>
    <row r="688" spans="2:14" x14ac:dyDescent="0.25">
      <c r="B688">
        <v>34</v>
      </c>
      <c r="C688">
        <v>330.00000000000006</v>
      </c>
      <c r="D688">
        <v>7</v>
      </c>
      <c r="E688" s="18">
        <v>9665.022708480567</v>
      </c>
      <c r="F688" s="18">
        <v>-1805.482595355889</v>
      </c>
      <c r="G688" s="18">
        <v>4101.973909609852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34</v>
      </c>
      <c r="C689">
        <v>330.00000000000006</v>
      </c>
      <c r="D689">
        <v>8</v>
      </c>
      <c r="E689" s="18">
        <v>8691.31874850863</v>
      </c>
      <c r="F689" s="18">
        <v>-1787.0400065559834</v>
      </c>
      <c r="G689" s="18">
        <v>4169.332745253194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34</v>
      </c>
      <c r="C690">
        <v>330.00000000000006</v>
      </c>
      <c r="D690">
        <v>9</v>
      </c>
      <c r="E690" s="18">
        <v>7538.850561970994</v>
      </c>
      <c r="F690" s="18">
        <v>-1814.5178557291308</v>
      </c>
      <c r="G690" s="18">
        <v>4423.590850130432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34</v>
      </c>
      <c r="C691">
        <v>330.00000000000006</v>
      </c>
      <c r="D691">
        <v>10</v>
      </c>
      <c r="E691" s="18">
        <v>6664.820375148367</v>
      </c>
      <c r="F691" s="18">
        <v>-1823.347741754344</v>
      </c>
      <c r="G691" s="18">
        <v>4579.5157997130445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34</v>
      </c>
      <c r="C692">
        <v>330.00000000000006</v>
      </c>
      <c r="D692">
        <v>11</v>
      </c>
      <c r="E692" s="18">
        <v>6015.583142120543</v>
      </c>
      <c r="F692" s="18">
        <v>-1839.7091926541034</v>
      </c>
      <c r="G692" s="18">
        <v>4680.595031632149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34</v>
      </c>
      <c r="C693">
        <v>330.00000000000006</v>
      </c>
      <c r="D693">
        <v>12</v>
      </c>
      <c r="E693" s="18">
        <v>5523.813323565006</v>
      </c>
      <c r="F693" s="18">
        <v>-1876.9741645261354</v>
      </c>
      <c r="G693" s="18">
        <v>4748.332897726923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34</v>
      </c>
      <c r="C694">
        <v>330.00000000000006</v>
      </c>
      <c r="D694">
        <v>13</v>
      </c>
      <c r="E694" s="18">
        <v>4712.473903860888</v>
      </c>
      <c r="F694" s="18">
        <v>-1932.0039260876258</v>
      </c>
      <c r="G694" s="18">
        <v>4863.813696206679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34</v>
      </c>
      <c r="C695">
        <v>330.00000000000006</v>
      </c>
      <c r="D695">
        <v>14</v>
      </c>
      <c r="E695" s="18">
        <v>3655.5890284883108</v>
      </c>
      <c r="F695" s="18">
        <v>-1848.0920579585443</v>
      </c>
      <c r="G695" s="18">
        <v>4552.941779706578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34</v>
      </c>
      <c r="C696">
        <v>330.00000000000006</v>
      </c>
      <c r="D696">
        <v>15</v>
      </c>
      <c r="E696" s="18">
        <v>2045.6972224165586</v>
      </c>
      <c r="F696" s="18">
        <v>-1711.8493171399873</v>
      </c>
      <c r="G696" s="18">
        <v>3907.4828363248616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34</v>
      </c>
      <c r="C697">
        <v>330.00000000000006</v>
      </c>
      <c r="D697">
        <v>16</v>
      </c>
      <c r="E697" s="18">
        <v>909.6960597465938</v>
      </c>
      <c r="F697" s="18">
        <v>-1537.289115239016</v>
      </c>
      <c r="G697" s="18">
        <v>3370.677902549651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34</v>
      </c>
      <c r="C698">
        <v>330.00000000000006</v>
      </c>
      <c r="D698">
        <v>17</v>
      </c>
      <c r="E698" s="18">
        <v>-1001.6965113812608</v>
      </c>
      <c r="F698" s="18">
        <v>-1175.5242872224312</v>
      </c>
      <c r="G698" s="18">
        <v>2376.2135344926633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34</v>
      </c>
      <c r="C699">
        <v>330.00000000000006</v>
      </c>
      <c r="D699">
        <v>18</v>
      </c>
      <c r="E699" s="18">
        <v>-2257.3271558709394</v>
      </c>
      <c r="F699" s="18">
        <v>-876.3487677854164</v>
      </c>
      <c r="G699" s="18">
        <v>1667.2597478327234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7" x14ac:dyDescent="0.25">
      <c r="B700">
        <v>34</v>
      </c>
      <c r="C700">
        <v>330.00000000000006</v>
      </c>
      <c r="D700">
        <v>19</v>
      </c>
      <c r="E700" s="18">
        <v>-4073.363030721496</v>
      </c>
      <c r="F700" s="18">
        <v>-317.1119100570364</v>
      </c>
      <c r="G700" s="18">
        <v>570.0336548953582</v>
      </c>
    </row>
    <row r="702" spans="2:14" x14ac:dyDescent="0.25">
      <c r="B702">
        <v>35</v>
      </c>
      <c r="C702">
        <v>340</v>
      </c>
      <c r="D702">
        <v>1</v>
      </c>
      <c r="E702" s="18">
        <v>17661.28868259638</v>
      </c>
      <c r="F702" s="18">
        <v>-755.7966530112396</v>
      </c>
      <c r="G702" s="18">
        <v>2570.7936325713395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35</v>
      </c>
      <c r="C703">
        <v>340</v>
      </c>
      <c r="D703">
        <v>2</v>
      </c>
      <c r="E703" s="18">
        <v>16743.450831778515</v>
      </c>
      <c r="F703" s="18">
        <v>-770.3842995786213</v>
      </c>
      <c r="G703" s="18">
        <v>3008.3515358189384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35</v>
      </c>
      <c r="C704">
        <v>340</v>
      </c>
      <c r="D704">
        <v>3</v>
      </c>
      <c r="E704" s="18">
        <v>14997.463353751455</v>
      </c>
      <c r="F704" s="18">
        <v>-844.8362812468906</v>
      </c>
      <c r="G704" s="18">
        <v>3631.3056186022504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35</v>
      </c>
      <c r="C705">
        <v>340</v>
      </c>
      <c r="D705">
        <v>4</v>
      </c>
      <c r="E705" s="18">
        <v>14116.457475587224</v>
      </c>
      <c r="F705" s="18">
        <v>-935.0496609914561</v>
      </c>
      <c r="G705" s="18">
        <v>3845.336014835609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35</v>
      </c>
      <c r="C706">
        <v>340</v>
      </c>
      <c r="D706">
        <v>5</v>
      </c>
      <c r="E706" s="18">
        <v>13119.134658210109</v>
      </c>
      <c r="F706" s="18">
        <v>-1033.1924703428472</v>
      </c>
      <c r="G706" s="18">
        <v>4031.2409707891575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35</v>
      </c>
      <c r="C707">
        <v>340</v>
      </c>
      <c r="D707">
        <v>6</v>
      </c>
      <c r="E707" s="18">
        <v>12026.13458863319</v>
      </c>
      <c r="F707" s="18">
        <v>-1119.8848694123562</v>
      </c>
      <c r="G707" s="18">
        <v>4182.643202301281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35</v>
      </c>
      <c r="C708">
        <v>340</v>
      </c>
      <c r="D708">
        <v>7</v>
      </c>
      <c r="E708" s="18">
        <v>10842.044474839007</v>
      </c>
      <c r="F708" s="18">
        <v>-1156.5697052873281</v>
      </c>
      <c r="G708" s="18">
        <v>4310.236130861473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35</v>
      </c>
      <c r="C709">
        <v>340</v>
      </c>
      <c r="D709">
        <v>8</v>
      </c>
      <c r="E709" s="18">
        <v>9724.273454792436</v>
      </c>
      <c r="F709" s="18">
        <v>-1176.0495099052832</v>
      </c>
      <c r="G709" s="18">
        <v>4398.407896564589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35</v>
      </c>
      <c r="C710">
        <v>340</v>
      </c>
      <c r="D710">
        <v>9</v>
      </c>
      <c r="E710" s="18">
        <v>8674.594833372263</v>
      </c>
      <c r="F710" s="18">
        <v>-1192.979138481094</v>
      </c>
      <c r="G710" s="18">
        <v>4451.136389177951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35</v>
      </c>
      <c r="C711">
        <v>340</v>
      </c>
      <c r="D711">
        <v>10</v>
      </c>
      <c r="E711" s="18">
        <v>7474.884744198228</v>
      </c>
      <c r="F711" s="18">
        <v>-1204.6625259261402</v>
      </c>
      <c r="G711" s="18">
        <v>4706.622224603461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35</v>
      </c>
      <c r="C712">
        <v>340</v>
      </c>
      <c r="D712">
        <v>11</v>
      </c>
      <c r="E712" s="18">
        <v>6683.147634954877</v>
      </c>
      <c r="F712" s="18">
        <v>-1191.5846198642255</v>
      </c>
      <c r="G712" s="18">
        <v>4870.856005963086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35</v>
      </c>
      <c r="C713">
        <v>340</v>
      </c>
      <c r="D713">
        <v>12</v>
      </c>
      <c r="E713" s="18">
        <v>6151.460452514533</v>
      </c>
      <c r="F713" s="18">
        <v>-1199.0158494810696</v>
      </c>
      <c r="G713" s="18">
        <v>5005.025565601777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35</v>
      </c>
      <c r="C714">
        <v>340</v>
      </c>
      <c r="D714">
        <v>13</v>
      </c>
      <c r="E714" s="18">
        <v>5728.343520434133</v>
      </c>
      <c r="F714" s="18">
        <v>-1218.9073693314704</v>
      </c>
      <c r="G714" s="18">
        <v>5116.6546927174695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35</v>
      </c>
      <c r="C715">
        <v>340</v>
      </c>
      <c r="D715">
        <v>14</v>
      </c>
      <c r="E715" s="18">
        <v>4975.555954215021</v>
      </c>
      <c r="F715" s="18">
        <v>-1273.3932198357475</v>
      </c>
      <c r="G715" s="18">
        <v>5293.524447100558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35</v>
      </c>
      <c r="C716">
        <v>340</v>
      </c>
      <c r="D716">
        <v>15</v>
      </c>
      <c r="E716" s="18">
        <v>4095.865080124988</v>
      </c>
      <c r="F716" s="18">
        <v>-1250.1774789449912</v>
      </c>
      <c r="G716" s="18">
        <v>5025.044388982337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35</v>
      </c>
      <c r="C717">
        <v>340</v>
      </c>
      <c r="D717">
        <v>16</v>
      </c>
      <c r="E717" s="18">
        <v>2696.1416014966844</v>
      </c>
      <c r="F717" s="18">
        <v>-1200.3584430619044</v>
      </c>
      <c r="G717" s="18">
        <v>4486.872835850122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35</v>
      </c>
      <c r="C718">
        <v>340</v>
      </c>
      <c r="D718">
        <v>17</v>
      </c>
      <c r="E718" s="18">
        <v>1509.3047649668233</v>
      </c>
      <c r="F718" s="18">
        <v>-1156.933290307327</v>
      </c>
      <c r="G718" s="18">
        <v>3927.2364508109945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35</v>
      </c>
      <c r="C719">
        <v>340</v>
      </c>
      <c r="D719">
        <v>18</v>
      </c>
      <c r="E719" s="18">
        <v>-548.8293482471053</v>
      </c>
      <c r="F719" s="18">
        <v>-932.2241061775336</v>
      </c>
      <c r="G719" s="18">
        <v>2790.752839245715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35</v>
      </c>
      <c r="C720">
        <v>340</v>
      </c>
      <c r="D720">
        <v>19</v>
      </c>
      <c r="E720" s="18">
        <v>-1899.7628894055867</v>
      </c>
      <c r="F720" s="18">
        <v>-722.4243459519845</v>
      </c>
      <c r="G720" s="18">
        <v>1973.9777904676166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7" x14ac:dyDescent="0.25">
      <c r="B721">
        <v>35</v>
      </c>
      <c r="C721">
        <v>340</v>
      </c>
      <c r="D721">
        <v>20</v>
      </c>
      <c r="E721" s="18">
        <v>-3982.282724002073</v>
      </c>
      <c r="F721" s="18">
        <v>-292.4386457396257</v>
      </c>
      <c r="G721" s="18">
        <v>646.9904106743114</v>
      </c>
    </row>
    <row r="723" spans="2:14" x14ac:dyDescent="0.25">
      <c r="B723">
        <v>36</v>
      </c>
      <c r="C723">
        <v>350.00000000000006</v>
      </c>
      <c r="D723">
        <v>1</v>
      </c>
      <c r="E723" s="18">
        <v>17160.537291896107</v>
      </c>
      <c r="F723" s="18">
        <v>-389.966150884746</v>
      </c>
      <c r="G723" s="18">
        <v>2926.298908993572</v>
      </c>
      <c r="H723" s="12">
        <f>E724</f>
      </c>
      <c r="I723" s="12">
        <f>F724</f>
      </c>
      <c r="J723" s="12">
        <f>G724</f>
      </c>
      <c r="K723">
        <f>IF(AND(Pu&gt;=MIN(E723,H723),Pu&lt;=MAX(E723,H723),E723&lt;&gt;H723),1,0)</f>
      </c>
      <c r="L723">
        <f>IF(K723=1,(Pu-E723)/(H723-E723),"")</f>
      </c>
      <c r="M723" s="12">
        <f>IF(K723=1,F723+L723*(I723-F723),"")</f>
      </c>
      <c r="N723" s="12">
        <f>IF(K723=1,G723+L723*(J723-G723),"")</f>
      </c>
    </row>
    <row r="724" spans="2:14" x14ac:dyDescent="0.25">
      <c r="B724">
        <v>36</v>
      </c>
      <c r="C724">
        <v>350.00000000000006</v>
      </c>
      <c r="D724">
        <v>2</v>
      </c>
      <c r="E724" s="18">
        <v>16482.91567810358</v>
      </c>
      <c r="F724" s="18">
        <v>-379.93417592649007</v>
      </c>
      <c r="G724" s="18">
        <v>3233.0061365175334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36</v>
      </c>
      <c r="C725">
        <v>350.00000000000006</v>
      </c>
      <c r="D725">
        <v>3</v>
      </c>
      <c r="E725" s="18">
        <v>14953.5664631096</v>
      </c>
      <c r="F725" s="18">
        <v>-409.16726777160574</v>
      </c>
      <c r="G725" s="18">
        <v>3785.0816502798584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36</v>
      </c>
      <c r="C726">
        <v>350.00000000000006</v>
      </c>
      <c r="D726">
        <v>4</v>
      </c>
      <c r="E726" s="18">
        <v>14189.916972432497</v>
      </c>
      <c r="F726" s="18">
        <v>-452.4963823426904</v>
      </c>
      <c r="G726" s="18">
        <v>3985.8088712490335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36</v>
      </c>
      <c r="C727">
        <v>350.00000000000006</v>
      </c>
      <c r="D727">
        <v>5</v>
      </c>
      <c r="E727" s="18">
        <v>13224.121873534466</v>
      </c>
      <c r="F727" s="18">
        <v>-527.1542102059892</v>
      </c>
      <c r="G727" s="18">
        <v>4176.260623380165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36</v>
      </c>
      <c r="C728">
        <v>350.00000000000006</v>
      </c>
      <c r="D728">
        <v>6</v>
      </c>
      <c r="E728" s="18">
        <v>12049.303200243863</v>
      </c>
      <c r="F728" s="18">
        <v>-557.3194740297529</v>
      </c>
      <c r="G728" s="18">
        <v>4357.216258753513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36</v>
      </c>
      <c r="C729">
        <v>350.00000000000006</v>
      </c>
      <c r="D729">
        <v>7</v>
      </c>
      <c r="E729" s="18">
        <v>10882.030146337185</v>
      </c>
      <c r="F729" s="18">
        <v>-569.1636399553831</v>
      </c>
      <c r="G729" s="18">
        <v>4495.080660339652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36</v>
      </c>
      <c r="C730">
        <v>350.00000000000006</v>
      </c>
      <c r="D730">
        <v>8</v>
      </c>
      <c r="E730" s="18">
        <v>9807.20478747905</v>
      </c>
      <c r="F730" s="18">
        <v>-581.0078058810137</v>
      </c>
      <c r="G730" s="18">
        <v>4590.107387345258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36</v>
      </c>
      <c r="C731">
        <v>350.00000000000006</v>
      </c>
      <c r="D731">
        <v>9</v>
      </c>
      <c r="E731" s="18">
        <v>8811.744902672026</v>
      </c>
      <c r="F731" s="18">
        <v>-592.8519718066442</v>
      </c>
      <c r="G731" s="18">
        <v>4653.419777870587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36</v>
      </c>
      <c r="C732">
        <v>350.00000000000006</v>
      </c>
      <c r="D732">
        <v>10</v>
      </c>
      <c r="E732" s="18">
        <v>7554.821235245547</v>
      </c>
      <c r="F732" s="18">
        <v>-629.2636304450851</v>
      </c>
      <c r="G732" s="18">
        <v>4872.53436107189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36</v>
      </c>
      <c r="C733">
        <v>350.00000000000006</v>
      </c>
      <c r="D733">
        <v>11</v>
      </c>
      <c r="E733" s="18">
        <v>6714.25420960463</v>
      </c>
      <c r="F733" s="18">
        <v>-622.4741719124372</v>
      </c>
      <c r="G733" s="18">
        <v>5024.666822220722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36</v>
      </c>
      <c r="C734">
        <v>350.00000000000006</v>
      </c>
      <c r="D734">
        <v>12</v>
      </c>
      <c r="E734" s="18">
        <v>6241.5951684703905</v>
      </c>
      <c r="F734" s="18">
        <v>-598.2748259247431</v>
      </c>
      <c r="G734" s="18">
        <v>5177.739773431791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36</v>
      </c>
      <c r="C735">
        <v>350.00000000000006</v>
      </c>
      <c r="D735">
        <v>13</v>
      </c>
      <c r="E735" s="18">
        <v>5851.642581568081</v>
      </c>
      <c r="F735" s="18">
        <v>-595.6463231611663</v>
      </c>
      <c r="G735" s="18">
        <v>5330.454135196836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36</v>
      </c>
      <c r="C736">
        <v>350.00000000000006</v>
      </c>
      <c r="D736">
        <v>14</v>
      </c>
      <c r="E736" s="18">
        <v>5343.848383686961</v>
      </c>
      <c r="F736" s="18">
        <v>-620.2554043386118</v>
      </c>
      <c r="G736" s="18">
        <v>5582.254286576712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36</v>
      </c>
      <c r="C737">
        <v>350.00000000000006</v>
      </c>
      <c r="D737">
        <v>15</v>
      </c>
      <c r="E737" s="18">
        <v>4531.627976453661</v>
      </c>
      <c r="F737" s="18">
        <v>-608.8460989297042</v>
      </c>
      <c r="G737" s="18">
        <v>5377.676827712432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36</v>
      </c>
      <c r="C738">
        <v>350.00000000000006</v>
      </c>
      <c r="D738">
        <v>16</v>
      </c>
      <c r="E738" s="18">
        <v>3291.2263651946137</v>
      </c>
      <c r="F738" s="18">
        <v>-600.5467022609341</v>
      </c>
      <c r="G738" s="18">
        <v>4954.469212448918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36</v>
      </c>
      <c r="C739">
        <v>350.00000000000006</v>
      </c>
      <c r="D739">
        <v>17</v>
      </c>
      <c r="E739" s="18">
        <v>2460.184350772147</v>
      </c>
      <c r="F739" s="18">
        <v>-612.8935805719902</v>
      </c>
      <c r="G739" s="18">
        <v>4582.550901470419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36</v>
      </c>
      <c r="C740">
        <v>350.00000000000006</v>
      </c>
      <c r="D740">
        <v>18</v>
      </c>
      <c r="E740" s="18">
        <v>500.36993141700304</v>
      </c>
      <c r="F740" s="18">
        <v>-581.2281355654478</v>
      </c>
      <c r="G740" s="18">
        <v>3546.0071740757585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36</v>
      </c>
      <c r="C741">
        <v>350.00000000000006</v>
      </c>
      <c r="D741">
        <v>19</v>
      </c>
      <c r="E741" s="18">
        <v>-928.4233044961038</v>
      </c>
      <c r="F741" s="18">
        <v>-445.17445946813064</v>
      </c>
      <c r="G741" s="18">
        <v>2694.0934504567167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7" x14ac:dyDescent="0.25">
      <c r="B742">
        <v>36</v>
      </c>
      <c r="C742">
        <v>350.00000000000006</v>
      </c>
      <c r="D742">
        <v>20</v>
      </c>
      <c r="E742" s="18">
        <v>-3501.252292005911</v>
      </c>
      <c r="F742" s="18">
        <v>-298.965802237539</v>
      </c>
      <c r="G742" s="18">
        <v>987.3053401915666</v>
      </c>
    </row>
    <row r="745" spans="2:13" x14ac:dyDescent="0.25">
      <c r="B745" s="3" t="s">
        <v>248</v>
      </c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2:5" x14ac:dyDescent="0.25">
      <c r="B746" t="s">
        <v>249</v>
      </c>
      <c r="C746" s="17">
        <f>SUMPRODUCT(--(K8:K743=1))</f>
      </c>
      <c r="E746" s="2" t="s">
        <v>250</v>
      </c>
    </row>
    <row r="747" spans="2:5" x14ac:dyDescent="0.25">
      <c r="B747" t="s">
        <v>251</v>
      </c>
      <c r="C747" s="17">
        <f>IFERROR(SUMPRODUCT((K8:K743=1)*(ABS(MOD(DEGREES(ATAN2(IF(M8:M743="",1,M8:M743),IF(N8:N743="",0,N8:N743)))-theta_L+180,360)-180)&lt;=6)*SQRT(IF(M8:M743="",0,M8:M743)^2+IF(N8:N743="",0,N8:N743)^2))/MAX(1,SUMPRODUCT((K8:K743=1)*(ABS(MOD(DEGREES(ATAN2(IF(M8:M743="",1,M8:M743),IF(N8:N743="",0,N8:N743)))-theta_L+180,360)-180)&lt;=6))),"")</f>
      </c>
      <c r="E747" s="2" t="s">
        <v>252</v>
      </c>
    </row>
    <row r="748" spans="2:5" x14ac:dyDescent="0.25">
      <c r="B748" t="s">
        <v>253</v>
      </c>
      <c r="C748" s="17">
        <f>Mu</f>
      </c>
      <c r="E748" s="2" t="s">
        <v>254</v>
      </c>
    </row>
    <row r="749" spans="2:5" x14ac:dyDescent="0.25">
      <c r="B749" t="s">
        <v>255</v>
      </c>
      <c r="C749" s="17">
        <f>IFERROR(Mu/C747,"")</f>
      </c>
      <c r="E749" s="2" t="s">
        <v>256</v>
      </c>
    </row>
    <row r="751" spans="2:5" x14ac:dyDescent="0.25">
      <c r="B751" t="s">
        <v>257</v>
      </c>
      <c r="C751" s="22" t="s">
        <v>258</v>
      </c>
      <c r="E751" s="2" t="s">
        <v>259</v>
      </c>
    </row>
  </sheetData>
  <mergeCells count="3">
    <mergeCell ref="B1:N1"/>
    <mergeCell ref="B2:N4"/>
    <mergeCell ref="B745:M7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3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260</v>
      </c>
      <c r="C1" s="1"/>
      <c r="D1" s="1"/>
      <c r="E1" s="1"/>
      <c r="F1" s="1"/>
    </row>
    <row r="2" spans="2:7" x14ac:dyDescent="0.25">
      <c r="B2" s="2" t="s">
        <v>261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141</v>
      </c>
      <c r="C6" s="11" t="s">
        <v>262</v>
      </c>
      <c r="D6" s="11" t="s">
        <v>240</v>
      </c>
      <c r="E6" s="11" t="s">
        <v>263</v>
      </c>
      <c r="F6" s="11" t="s">
        <v>218</v>
      </c>
      <c r="G6" s="11" t="s">
        <v>219</v>
      </c>
    </row>
    <row r="7" spans="2:7" x14ac:dyDescent="0.25">
      <c r="B7">
        <v>1</v>
      </c>
      <c r="C7">
        <v>1</v>
      </c>
      <c r="D7" s="18">
        <v>17670.345615483235</v>
      </c>
      <c r="E7" s="18">
        <v>-2234.7895747703374</v>
      </c>
      <c r="F7" s="18">
        <v>-2085.2180703321987</v>
      </c>
      <c r="G7" s="18">
        <v>-803.8345866297667</v>
      </c>
    </row>
    <row r="8" spans="2:7" x14ac:dyDescent="0.25">
      <c r="B8">
        <v>2</v>
      </c>
      <c r="C8">
        <v>1</v>
      </c>
      <c r="D8" s="18">
        <v>17670.345615483235</v>
      </c>
      <c r="E8" s="18">
        <v>-1973.841410420717</v>
      </c>
      <c r="F8" s="18">
        <v>-1841.734820783854</v>
      </c>
      <c r="G8" s="18">
        <v>-709.9737765607338</v>
      </c>
    </row>
    <row r="9" spans="2:7" x14ac:dyDescent="0.25">
      <c r="B9">
        <v>3</v>
      </c>
      <c r="C9">
        <v>1</v>
      </c>
      <c r="D9" s="18">
        <v>17670.345615483235</v>
      </c>
      <c r="E9" s="18">
        <v>-1844.655676882907</v>
      </c>
      <c r="F9" s="18">
        <v>-1721.1953171798762</v>
      </c>
      <c r="G9" s="18">
        <v>-663.5067794487127</v>
      </c>
    </row>
    <row r="10" spans="2:7" x14ac:dyDescent="0.25">
      <c r="B10">
        <v>4</v>
      </c>
      <c r="C10">
        <v>1</v>
      </c>
      <c r="D10" s="18">
        <v>17670.345615483235</v>
      </c>
      <c r="E10" s="18">
        <v>-1754.2041295361912</v>
      </c>
      <c r="F10" s="18">
        <v>-1636.7975720202392</v>
      </c>
      <c r="G10" s="18">
        <v>-630.972135922401</v>
      </c>
    </row>
    <row r="11" spans="2:7" x14ac:dyDescent="0.25">
      <c r="B11">
        <v>5</v>
      </c>
      <c r="C11">
        <v>1</v>
      </c>
      <c r="D11" s="18">
        <v>17670.345615483235</v>
      </c>
      <c r="E11" s="18">
        <v>-1560.2825802294085</v>
      </c>
      <c r="F11" s="18">
        <v>-1455.854935001326</v>
      </c>
      <c r="G11" s="18">
        <v>-561.2202227286764</v>
      </c>
    </row>
    <row r="12" spans="2:7" x14ac:dyDescent="0.25">
      <c r="B12">
        <v>6</v>
      </c>
      <c r="C12">
        <v>1</v>
      </c>
      <c r="D12" s="18">
        <v>17670.345615483235</v>
      </c>
      <c r="E12" s="18">
        <v>-1410.9030006924122</v>
      </c>
      <c r="F12" s="18">
        <v>-1316.4731327476704</v>
      </c>
      <c r="G12" s="18">
        <v>-507.4896729159987</v>
      </c>
    </row>
    <row r="13" spans="2:7" x14ac:dyDescent="0.25">
      <c r="B13">
        <v>7</v>
      </c>
      <c r="C13">
        <v>1</v>
      </c>
      <c r="D13" s="18">
        <v>17670.345615483235</v>
      </c>
      <c r="E13" s="18">
        <v>-1284.6462543794746</v>
      </c>
      <c r="F13" s="18">
        <v>-1198.6665831354362</v>
      </c>
      <c r="G13" s="18">
        <v>-462.07620731393695</v>
      </c>
    </row>
    <row r="14" spans="2:7" x14ac:dyDescent="0.25">
      <c r="B14">
        <v>8</v>
      </c>
      <c r="C14">
        <v>1</v>
      </c>
      <c r="D14" s="18">
        <v>17670.345615483235</v>
      </c>
      <c r="E14" s="18">
        <v>-1141.327094362709</v>
      </c>
      <c r="F14" s="18">
        <v>-1064.93958455549</v>
      </c>
      <c r="G14" s="18">
        <v>-410.5255382716217</v>
      </c>
    </row>
    <row r="15" spans="2:7" x14ac:dyDescent="0.25">
      <c r="B15">
        <v>9</v>
      </c>
      <c r="C15">
        <v>1</v>
      </c>
      <c r="D15" s="18">
        <v>17670.345615483235</v>
      </c>
      <c r="E15" s="18">
        <v>-1019.7674877813917</v>
      </c>
      <c r="F15" s="18">
        <v>-951.5158013378306</v>
      </c>
      <c r="G15" s="18">
        <v>-366.8015934267418</v>
      </c>
    </row>
    <row r="16" spans="2:7" x14ac:dyDescent="0.25">
      <c r="B16">
        <v>10</v>
      </c>
      <c r="C16">
        <v>1</v>
      </c>
      <c r="D16" s="18">
        <v>17670.345615483235</v>
      </c>
      <c r="E16" s="18">
        <v>-903.4597609699357</v>
      </c>
      <c r="F16" s="18">
        <v>-842.9923965374335</v>
      </c>
      <c r="G16" s="18">
        <v>-324.9667045589867</v>
      </c>
    </row>
    <row r="17" spans="2:7" x14ac:dyDescent="0.25">
      <c r="B17">
        <v>11</v>
      </c>
      <c r="C17">
        <v>1</v>
      </c>
      <c r="D17" s="18">
        <v>17670.345615483235</v>
      </c>
      <c r="E17" s="18">
        <v>-783.732116407952</v>
      </c>
      <c r="F17" s="18">
        <v>-731.2779645490816</v>
      </c>
      <c r="G17" s="18">
        <v>-281.90170069412494</v>
      </c>
    </row>
    <row r="18" spans="2:7" x14ac:dyDescent="0.25">
      <c r="B18">
        <v>12</v>
      </c>
      <c r="C18">
        <v>1</v>
      </c>
      <c r="D18" s="18">
        <v>17670.345615483235</v>
      </c>
      <c r="E18" s="18">
        <v>-668.0022329497502</v>
      </c>
      <c r="F18" s="18">
        <v>-623.29372881213</v>
      </c>
      <c r="G18" s="18">
        <v>-240.27465710999013</v>
      </c>
    </row>
    <row r="19" spans="2:7" x14ac:dyDescent="0.25">
      <c r="B19">
        <v>13</v>
      </c>
      <c r="C19">
        <v>1</v>
      </c>
      <c r="D19" s="18">
        <v>17670.345615483235</v>
      </c>
      <c r="E19" s="18">
        <v>-443.48401277635014</v>
      </c>
      <c r="F19" s="18">
        <v>-413.8022155574605</v>
      </c>
      <c r="G19" s="18">
        <v>-159.5173845947547</v>
      </c>
    </row>
    <row r="20" spans="2:7" x14ac:dyDescent="0.25">
      <c r="B20">
        <v>14</v>
      </c>
      <c r="C20">
        <v>1</v>
      </c>
      <c r="D20" s="18">
        <v>17670.345615483235</v>
      </c>
      <c r="E20" s="18">
        <v>-438.7297266640513</v>
      </c>
      <c r="F20" s="18">
        <v>-409.36612751372894</v>
      </c>
      <c r="G20" s="18">
        <v>-157.80730877600908</v>
      </c>
    </row>
    <row r="21" spans="2:7" x14ac:dyDescent="0.25">
      <c r="B21">
        <v>15</v>
      </c>
      <c r="C21">
        <v>1</v>
      </c>
      <c r="D21" s="18">
        <v>17670.345615483235</v>
      </c>
      <c r="E21" s="18">
        <v>-437.6534046313667</v>
      </c>
      <c r="F21" s="18">
        <v>-408.36184228822555</v>
      </c>
      <c r="G21" s="18">
        <v>-157.4201649992566</v>
      </c>
    </row>
    <row r="22" spans="2:7" x14ac:dyDescent="0.25">
      <c r="B22">
        <v>16</v>
      </c>
      <c r="C22">
        <v>1</v>
      </c>
      <c r="D22" s="18">
        <v>17670.345615483235</v>
      </c>
      <c r="E22" s="18">
        <v>-212.44881878964168</v>
      </c>
      <c r="F22" s="18">
        <v>-198.22990090976128</v>
      </c>
      <c r="G22" s="18">
        <v>-76.41601265716648</v>
      </c>
    </row>
    <row r="23" spans="2:7" x14ac:dyDescent="0.25">
      <c r="B23">
        <v>17</v>
      </c>
      <c r="C23">
        <v>1</v>
      </c>
      <c r="D23" s="18">
        <v>17670.345615483235</v>
      </c>
      <c r="E23" s="18">
        <v>-107.13613533782988</v>
      </c>
      <c r="F23" s="18">
        <v>-99.96565578884862</v>
      </c>
      <c r="G23" s="18">
        <v>-38.53594630771685</v>
      </c>
    </row>
    <row r="24" spans="2:7" x14ac:dyDescent="0.25">
      <c r="B24">
        <v>18</v>
      </c>
      <c r="C24">
        <v>1</v>
      </c>
      <c r="D24" s="18">
        <v>17670.345615483235</v>
      </c>
      <c r="E24" s="18">
        <v>6.306245291983853e-14</v>
      </c>
      <c r="F24" s="18">
        <v>2.5140272845185274e-13</v>
      </c>
      <c r="G24" s="18">
        <v>-4.76837158203125e-13</v>
      </c>
    </row>
    <row r="25" spans="2:7" x14ac:dyDescent="0.25">
      <c r="B25">
        <v>19</v>
      </c>
      <c r="C25">
        <v>1</v>
      </c>
      <c r="D25" s="18">
        <v>17670.345615483235</v>
      </c>
      <c r="E25" s="18">
        <v>76.21691633350781</v>
      </c>
      <c r="F25" s="18">
        <v>71.11581913476613</v>
      </c>
      <c r="G25" s="18">
        <v>27.414569195596695</v>
      </c>
    </row>
    <row r="26" spans="2:7" x14ac:dyDescent="0.25">
      <c r="B26">
        <v>20</v>
      </c>
      <c r="C26">
        <v>1</v>
      </c>
      <c r="D26" s="18">
        <v>17670.345615483235</v>
      </c>
      <c r="E26" s="18">
        <v>201.0447848219225</v>
      </c>
      <c r="F26" s="18">
        <v>187.58912382155881</v>
      </c>
      <c r="G26" s="18">
        <v>72.31407973522853</v>
      </c>
    </row>
    <row r="27" spans="2:7" x14ac:dyDescent="0.25">
      <c r="B27">
        <v>21</v>
      </c>
      <c r="C27">
        <v>1</v>
      </c>
      <c r="D27" s="18">
        <v>17670.345615483235</v>
      </c>
      <c r="E27" s="18">
        <v>225.55242147954533</v>
      </c>
      <c r="F27" s="18">
        <v>210.45649683803745</v>
      </c>
      <c r="G27" s="18">
        <v>81.12926582896948</v>
      </c>
    </row>
    <row r="28" spans="2:7" x14ac:dyDescent="0.25">
      <c r="B28">
        <v>22</v>
      </c>
      <c r="C28">
        <v>1</v>
      </c>
      <c r="D28" s="18">
        <v>17670.345615483235</v>
      </c>
      <c r="E28" s="18">
        <v>392.725519162196</v>
      </c>
      <c r="F28" s="18">
        <v>366.440920649884</v>
      </c>
      <c r="G28" s="18">
        <v>141.25999106074525</v>
      </c>
    </row>
    <row r="29" spans="2:7" x14ac:dyDescent="0.25">
      <c r="B29">
        <v>23</v>
      </c>
      <c r="C29">
        <v>1</v>
      </c>
      <c r="D29" s="18">
        <v>17670.345615483235</v>
      </c>
      <c r="E29" s="18">
        <v>393.04529019512995</v>
      </c>
      <c r="F29" s="18">
        <v>366.73928983138103</v>
      </c>
      <c r="G29" s="18">
        <v>141.37500995065642</v>
      </c>
    </row>
    <row r="30" spans="2:7" x14ac:dyDescent="0.25">
      <c r="B30">
        <v>24</v>
      </c>
      <c r="C30">
        <v>1</v>
      </c>
      <c r="D30" s="18">
        <v>17670.345615483235</v>
      </c>
      <c r="E30" s="18">
        <v>396.5307081568597</v>
      </c>
      <c r="F30" s="18">
        <v>369.99143338821085</v>
      </c>
      <c r="G30" s="18">
        <v>142.62868481030654</v>
      </c>
    </row>
    <row r="31" spans="2:7" x14ac:dyDescent="0.25">
      <c r="B31">
        <v>25</v>
      </c>
      <c r="C31">
        <v>1</v>
      </c>
      <c r="D31" s="18">
        <v>17670.345615483235</v>
      </c>
      <c r="E31" s="18">
        <v>505.2468984567252</v>
      </c>
      <c r="F31" s="18">
        <v>471.4313931545572</v>
      </c>
      <c r="G31" s="18">
        <v>181.73296329640817</v>
      </c>
    </row>
    <row r="32" spans="2:7" x14ac:dyDescent="0.25">
      <c r="B32">
        <v>26</v>
      </c>
      <c r="C32">
        <v>1</v>
      </c>
      <c r="D32" s="18">
        <v>17670.345615483235</v>
      </c>
      <c r="E32" s="18">
        <v>566.8930864391025</v>
      </c>
      <c r="F32" s="18">
        <v>528.9516834759218</v>
      </c>
      <c r="G32" s="18">
        <v>203.90656683991338</v>
      </c>
    </row>
    <row r="33" spans="2:7" x14ac:dyDescent="0.25">
      <c r="B33">
        <v>27</v>
      </c>
      <c r="C33">
        <v>1</v>
      </c>
      <c r="D33" s="18">
        <v>17670.345615483235</v>
      </c>
      <c r="E33" s="18">
        <v>638.3366430645208</v>
      </c>
      <c r="F33" s="18">
        <v>595.6136175416531</v>
      </c>
      <c r="G33" s="18">
        <v>229.604199608428</v>
      </c>
    </row>
    <row r="34" spans="2:7" x14ac:dyDescent="0.25">
      <c r="B34">
        <v>28</v>
      </c>
      <c r="C34">
        <v>1</v>
      </c>
      <c r="D34" s="18">
        <v>17670.345615483235</v>
      </c>
      <c r="E34" s="18">
        <v>727.878203024874</v>
      </c>
      <c r="F34" s="18">
        <v>679.1622795646762</v>
      </c>
      <c r="G34" s="18">
        <v>261.8115284994764</v>
      </c>
    </row>
    <row r="35" spans="2:7" x14ac:dyDescent="0.25">
      <c r="B35">
        <v>29</v>
      </c>
      <c r="C35">
        <v>1</v>
      </c>
      <c r="D35" s="18">
        <v>17670.345615483235</v>
      </c>
      <c r="E35" s="18">
        <v>780.9125002054402</v>
      </c>
      <c r="F35" s="18">
        <v>728.6470615221226</v>
      </c>
      <c r="G35" s="18">
        <v>280.8875090001113</v>
      </c>
    </row>
    <row r="36" spans="2:7" x14ac:dyDescent="0.25">
      <c r="B36">
        <v>30</v>
      </c>
      <c r="C36">
        <v>1</v>
      </c>
      <c r="D36" s="18">
        <v>17670.345615483235</v>
      </c>
      <c r="E36" s="18">
        <v>874.7581771995377</v>
      </c>
      <c r="F36" s="18">
        <v>816.2117717301347</v>
      </c>
      <c r="G36" s="18">
        <v>314.6429917646544</v>
      </c>
    </row>
    <row r="37" spans="2:7" x14ac:dyDescent="0.25">
      <c r="B37">
        <v>31</v>
      </c>
      <c r="C37">
        <v>1</v>
      </c>
      <c r="D37" s="18">
        <v>17670.345615483235</v>
      </c>
      <c r="E37" s="18">
        <v>938.3289957594014</v>
      </c>
      <c r="F37" s="18">
        <v>875.5278796551771</v>
      </c>
      <c r="G37" s="18">
        <v>337.5088683714199</v>
      </c>
    </row>
    <row r="38" spans="2:7" x14ac:dyDescent="0.25">
      <c r="B38">
        <v>32</v>
      </c>
      <c r="C38">
        <v>1</v>
      </c>
      <c r="D38" s="18">
        <v>17670.345615483235</v>
      </c>
      <c r="E38" s="18">
        <v>1024.8358593431167</v>
      </c>
      <c r="F38" s="18">
        <v>956.2449535081208</v>
      </c>
      <c r="G38" s="18">
        <v>368.6246430799174</v>
      </c>
    </row>
    <row r="39" spans="2:7" x14ac:dyDescent="0.25">
      <c r="B39">
        <v>33</v>
      </c>
      <c r="C39">
        <v>1</v>
      </c>
      <c r="D39" s="18">
        <v>17670.345615483235</v>
      </c>
      <c r="E39" s="18">
        <v>1126.837854328781</v>
      </c>
      <c r="F39" s="18">
        <v>1051.4200901542185</v>
      </c>
      <c r="G39" s="18">
        <v>405.31388326627325</v>
      </c>
    </row>
    <row r="40" spans="2:7" x14ac:dyDescent="0.25">
      <c r="B40">
        <v>34</v>
      </c>
      <c r="C40">
        <v>1</v>
      </c>
      <c r="D40" s="18">
        <v>17670.345615483235</v>
      </c>
      <c r="E40" s="18">
        <v>1194.658703399803</v>
      </c>
      <c r="F40" s="18">
        <v>1114.7017796809387</v>
      </c>
      <c r="G40" s="18">
        <v>429.7084592896054</v>
      </c>
    </row>
    <row r="41" spans="2:7" x14ac:dyDescent="0.25">
      <c r="B41">
        <v>35</v>
      </c>
      <c r="C41">
        <v>1</v>
      </c>
      <c r="D41" s="18">
        <v>17670.345615483235</v>
      </c>
      <c r="E41" s="18">
        <v>1292.6136232392348</v>
      </c>
      <c r="F41" s="18">
        <v>1206.1007065566903</v>
      </c>
      <c r="G41" s="18">
        <v>464.9420013583586</v>
      </c>
    </row>
    <row r="42" spans="2:7" x14ac:dyDescent="0.25">
      <c r="B42">
        <v>36</v>
      </c>
      <c r="C42">
        <v>1</v>
      </c>
      <c r="D42" s="18">
        <v>17670.345615483235</v>
      </c>
      <c r="E42" s="18">
        <v>1443.214393152931</v>
      </c>
      <c r="F42" s="18">
        <v>1346.6219665335955</v>
      </c>
      <c r="G42" s="18">
        <v>519.111802844989</v>
      </c>
    </row>
    <row r="43" spans="2:7" x14ac:dyDescent="0.25">
      <c r="B43">
        <v>37</v>
      </c>
      <c r="C43">
        <v>1</v>
      </c>
      <c r="D43" s="18">
        <v>17670.345615483235</v>
      </c>
      <c r="E43" s="18">
        <v>1622.2602831464887</v>
      </c>
      <c r="F43" s="18">
        <v>1513.684552402176</v>
      </c>
      <c r="G43" s="18">
        <v>583.5130693425385</v>
      </c>
    </row>
    <row r="44" spans="2:7" x14ac:dyDescent="0.25">
      <c r="B44">
        <v>38</v>
      </c>
      <c r="C44">
        <v>1</v>
      </c>
      <c r="D44" s="18">
        <v>17670.345615483235</v>
      </c>
      <c r="E44" s="18">
        <v>1786.739491223845</v>
      </c>
      <c r="F44" s="18">
        <v>1667.155385069757</v>
      </c>
      <c r="G44" s="18">
        <v>642.6748256558328</v>
      </c>
    </row>
    <row r="45" spans="2:7" x14ac:dyDescent="0.25">
      <c r="B45">
        <v>39</v>
      </c>
      <c r="C45">
        <v>1</v>
      </c>
      <c r="D45" s="18">
        <v>17670.345615483235</v>
      </c>
      <c r="E45" s="18">
        <v>1890.2160145870635</v>
      </c>
      <c r="F45" s="18">
        <v>1763.7063618633147</v>
      </c>
      <c r="G45" s="18">
        <v>679.8944410158633</v>
      </c>
    </row>
    <row r="46" spans="2:7" x14ac:dyDescent="0.25">
      <c r="B46">
        <v>40</v>
      </c>
      <c r="C46">
        <v>1</v>
      </c>
      <c r="D46" s="18">
        <v>17670.345615483235</v>
      </c>
      <c r="E46" s="18">
        <v>2181.9835417887584</v>
      </c>
      <c r="F46" s="18">
        <v>2035.9462751534231</v>
      </c>
      <c r="G46" s="18">
        <v>784.8407107980041</v>
      </c>
    </row>
    <row r="47" spans="2:7" x14ac:dyDescent="0.25">
      <c r="B47">
        <v>41</v>
      </c>
      <c r="C47">
        <v>1</v>
      </c>
      <c r="D47" s="18">
        <v>17670.345615483235</v>
      </c>
      <c r="E47" s="18">
        <v>2204.8401184591457</v>
      </c>
      <c r="F47" s="18">
        <v>2057.273091439436</v>
      </c>
      <c r="G47" s="18">
        <v>793.0620248165735</v>
      </c>
    </row>
    <row r="48" spans="2:7" x14ac:dyDescent="0.25">
      <c r="B48">
        <v>42</v>
      </c>
      <c r="C48">
        <v>1</v>
      </c>
      <c r="D48" s="18">
        <v>17670.345615483235</v>
      </c>
      <c r="E48" s="18">
        <v>2234.7895747703396</v>
      </c>
      <c r="F48" s="18">
        <v>2085.2180703322</v>
      </c>
      <c r="G48" s="18">
        <v>803.8345866297674</v>
      </c>
    </row>
    <row r="49" spans="2:7" x14ac:dyDescent="0.25">
      <c r="B49">
        <v>43</v>
      </c>
      <c r="C49">
        <v>1</v>
      </c>
      <c r="D49" s="18">
        <v>17312.41897526079</v>
      </c>
      <c r="E49" s="18">
        <v>2406.902521664397</v>
      </c>
      <c r="F49" s="18">
        <v>2245.8117257945933</v>
      </c>
      <c r="G49" s="18">
        <v>865.742133130844</v>
      </c>
    </row>
    <row r="50" spans="2:7" x14ac:dyDescent="0.25">
      <c r="B50">
        <v>44</v>
      </c>
      <c r="C50">
        <v>1</v>
      </c>
      <c r="D50" s="18">
        <v>16864.238544529217</v>
      </c>
      <c r="E50" s="18">
        <v>2561.8928736680623</v>
      </c>
      <c r="F50" s="18">
        <v>2390.428778949767</v>
      </c>
      <c r="G50" s="18">
        <v>921.490829536532</v>
      </c>
    </row>
    <row r="51" spans="2:7" x14ac:dyDescent="0.25">
      <c r="B51">
        <v>45</v>
      </c>
      <c r="C51">
        <v>1</v>
      </c>
      <c r="D51" s="18">
        <v>16663.240396056448</v>
      </c>
      <c r="E51" s="18">
        <v>2631.40232041706</v>
      </c>
      <c r="F51" s="18">
        <v>2455.286050549801</v>
      </c>
      <c r="G51" s="18">
        <v>946.4927796194996</v>
      </c>
    </row>
    <row r="52" spans="2:7" x14ac:dyDescent="0.25">
      <c r="B52">
        <v>46</v>
      </c>
      <c r="C52">
        <v>1</v>
      </c>
      <c r="D52" s="18">
        <v>16001.44002453427</v>
      </c>
      <c r="E52" s="18">
        <v>2901.1621765111886</v>
      </c>
      <c r="F52" s="18">
        <v>2706.9912369924655</v>
      </c>
      <c r="G52" s="18">
        <v>1043.5230794118252</v>
      </c>
    </row>
    <row r="53" spans="2:7" x14ac:dyDescent="0.25">
      <c r="B53">
        <v>47</v>
      </c>
      <c r="C53">
        <v>1</v>
      </c>
      <c r="D53" s="18">
        <v>15276.558196044116</v>
      </c>
      <c r="E53" s="18">
        <v>3097.997644831612</v>
      </c>
      <c r="F53" s="18">
        <v>2890.6527682872984</v>
      </c>
      <c r="G53" s="18">
        <v>1114.3231042095445</v>
      </c>
    </row>
    <row r="54" spans="2:7" x14ac:dyDescent="0.25">
      <c r="B54">
        <v>48</v>
      </c>
      <c r="C54">
        <v>1</v>
      </c>
      <c r="D54" s="18">
        <v>13681.717876580104</v>
      </c>
      <c r="E54" s="18">
        <v>3596.9294162937595</v>
      </c>
      <c r="F54" s="18">
        <v>3356.1916975274885</v>
      </c>
      <c r="G54" s="18">
        <v>1293.7845706480332</v>
      </c>
    </row>
    <row r="55" spans="2:7" x14ac:dyDescent="0.25">
      <c r="B55">
        <v>49</v>
      </c>
      <c r="C55">
        <v>1</v>
      </c>
      <c r="D55" s="18">
        <v>13587.900709550526</v>
      </c>
      <c r="E55" s="18">
        <v>3617.1975269530485</v>
      </c>
      <c r="F55" s="18">
        <v>3375.1032904019935</v>
      </c>
      <c r="G55" s="18">
        <v>1301.074835708112</v>
      </c>
    </row>
    <row r="56" spans="2:7" x14ac:dyDescent="0.25">
      <c r="B56">
        <v>50</v>
      </c>
      <c r="C56">
        <v>1</v>
      </c>
      <c r="D56" s="18">
        <v>12733.276607323629</v>
      </c>
      <c r="E56" s="18">
        <v>3810.685313797142</v>
      </c>
      <c r="F56" s="18">
        <v>3555.6411961049726</v>
      </c>
      <c r="G56" s="18">
        <v>1370.670728275185</v>
      </c>
    </row>
    <row r="57" spans="2:7" x14ac:dyDescent="0.25">
      <c r="B57">
        <v>51</v>
      </c>
      <c r="C57">
        <v>1</v>
      </c>
      <c r="D57" s="18">
        <v>12690.477697550998</v>
      </c>
      <c r="E57" s="18">
        <v>3818.4970747214993</v>
      </c>
      <c r="F57" s="18">
        <v>3562.93012622371</v>
      </c>
      <c r="G57" s="18">
        <v>1373.4805514837644</v>
      </c>
    </row>
    <row r="58" spans="2:7" x14ac:dyDescent="0.25">
      <c r="B58">
        <v>52</v>
      </c>
      <c r="C58">
        <v>1</v>
      </c>
      <c r="D58" s="18">
        <v>11877.474664358302</v>
      </c>
      <c r="E58" s="18">
        <v>3971.27250378744</v>
      </c>
      <c r="F58" s="18">
        <v>3705.4804982979103</v>
      </c>
      <c r="G58" s="18">
        <v>1428.4325591612776</v>
      </c>
    </row>
    <row r="59" spans="2:7" x14ac:dyDescent="0.25">
      <c r="B59">
        <v>53</v>
      </c>
      <c r="C59">
        <v>1</v>
      </c>
      <c r="D59" s="18">
        <v>11873.208198962664</v>
      </c>
      <c r="E59" s="18">
        <v>3972.0393145171342</v>
      </c>
      <c r="F59" s="18">
        <v>3706.195987401732</v>
      </c>
      <c r="G59" s="18">
        <v>1428.7083743847265</v>
      </c>
    </row>
    <row r="60" spans="2:7" x14ac:dyDescent="0.25">
      <c r="B60">
        <v>54</v>
      </c>
      <c r="C60">
        <v>1</v>
      </c>
      <c r="D60" s="18">
        <v>11872.94275686741</v>
      </c>
      <c r="E60" s="18">
        <v>3972.0866133665936</v>
      </c>
      <c r="F60" s="18">
        <v>3706.240120601883</v>
      </c>
      <c r="G60" s="18">
        <v>1428.7253873740178</v>
      </c>
    </row>
    <row r="61" spans="2:7" x14ac:dyDescent="0.25">
      <c r="B61">
        <v>55</v>
      </c>
      <c r="C61">
        <v>1</v>
      </c>
      <c r="D61" s="18">
        <v>11084.131683012325</v>
      </c>
      <c r="E61" s="18">
        <v>4089.0465103956267</v>
      </c>
      <c r="F61" s="18">
        <v>3815.372046731526</v>
      </c>
      <c r="G61" s="18">
        <v>1470.7948562591382</v>
      </c>
    </row>
    <row r="62" spans="2:7" x14ac:dyDescent="0.25">
      <c r="B62">
        <v>56</v>
      </c>
      <c r="C62">
        <v>1</v>
      </c>
      <c r="D62" s="18">
        <v>11068.384197665375</v>
      </c>
      <c r="E62" s="18">
        <v>4091.2664244366306</v>
      </c>
      <c r="F62" s="18">
        <v>3817.4433848678523</v>
      </c>
      <c r="G62" s="18">
        <v>1471.5933402442297</v>
      </c>
    </row>
    <row r="63" spans="2:7" x14ac:dyDescent="0.25">
      <c r="B63">
        <v>57</v>
      </c>
      <c r="C63">
        <v>1</v>
      </c>
      <c r="D63" s="18">
        <v>10337.761020994822</v>
      </c>
      <c r="E63" s="18">
        <v>4181.905678774246</v>
      </c>
      <c r="F63" s="18">
        <v>3902.016274038258</v>
      </c>
      <c r="G63" s="18">
        <v>1504.1955003605328</v>
      </c>
    </row>
    <row r="64" spans="2:7" x14ac:dyDescent="0.25">
      <c r="B64">
        <v>58</v>
      </c>
      <c r="C64">
        <v>1</v>
      </c>
      <c r="D64" s="18">
        <v>10331.547199996237</v>
      </c>
      <c r="E64" s="18">
        <v>4182.594711509764</v>
      </c>
      <c r="F64" s="18">
        <v>3902.659190725974</v>
      </c>
      <c r="G64" s="18">
        <v>1504.4433395085146</v>
      </c>
    </row>
    <row r="65" spans="2:7" x14ac:dyDescent="0.25">
      <c r="B65">
        <v>59</v>
      </c>
      <c r="C65">
        <v>1</v>
      </c>
      <c r="D65" s="18">
        <v>9735.550746902754</v>
      </c>
      <c r="E65" s="18">
        <v>4243.095112882574</v>
      </c>
      <c r="F65" s="18">
        <v>3959.110380417021</v>
      </c>
      <c r="G65" s="18">
        <v>1526.204813464489</v>
      </c>
    </row>
    <row r="66" spans="2:7" x14ac:dyDescent="0.25">
      <c r="B66">
        <v>60</v>
      </c>
      <c r="C66">
        <v>1</v>
      </c>
      <c r="D66" s="18">
        <v>9631.911407068528</v>
      </c>
      <c r="E66" s="18">
        <v>4253.452291652173</v>
      </c>
      <c r="F66" s="18">
        <v>3968.7743669381002</v>
      </c>
      <c r="G66" s="18">
        <v>1529.9302015765963</v>
      </c>
    </row>
    <row r="67" spans="2:7" x14ac:dyDescent="0.25">
      <c r="B67">
        <v>61</v>
      </c>
      <c r="C67">
        <v>1</v>
      </c>
      <c r="D67" s="18">
        <v>9631.082549121842</v>
      </c>
      <c r="E67" s="18">
        <v>4253.546154778261</v>
      </c>
      <c r="F67" s="18">
        <v>3968.8619479295567</v>
      </c>
      <c r="G67" s="18">
        <v>1529.9639633356496</v>
      </c>
    </row>
    <row r="68" spans="2:7" x14ac:dyDescent="0.25">
      <c r="B68">
        <v>62</v>
      </c>
      <c r="C68">
        <v>1</v>
      </c>
      <c r="D68" s="18">
        <v>8989.491340964054</v>
      </c>
      <c r="E68" s="18">
        <v>4309.439192540031</v>
      </c>
      <c r="F68" s="18">
        <v>4021.0141387498406</v>
      </c>
      <c r="G68" s="18">
        <v>1550.0682082327703</v>
      </c>
    </row>
    <row r="69" spans="2:7" x14ac:dyDescent="0.25">
      <c r="B69">
        <v>63</v>
      </c>
      <c r="C69">
        <v>1</v>
      </c>
      <c r="D69" s="18">
        <v>8986.36990766312</v>
      </c>
      <c r="E69" s="18">
        <v>4310.847710183572</v>
      </c>
      <c r="F69" s="18">
        <v>4022.32838617423</v>
      </c>
      <c r="G69" s="18">
        <v>1550.5748399132376</v>
      </c>
    </row>
    <row r="70" spans="2:7" x14ac:dyDescent="0.25">
      <c r="B70">
        <v>64</v>
      </c>
      <c r="C70">
        <v>1</v>
      </c>
      <c r="D70" s="18">
        <v>8264.6632167188</v>
      </c>
      <c r="E70" s="18">
        <v>4564.181888541133</v>
      </c>
      <c r="F70" s="18">
        <v>4258.7072437220295</v>
      </c>
      <c r="G70" s="18">
        <v>1641.6969647156002</v>
      </c>
    </row>
    <row r="71" spans="2:7" x14ac:dyDescent="0.25">
      <c r="B71">
        <v>65</v>
      </c>
      <c r="C71">
        <v>1</v>
      </c>
      <c r="D71" s="18">
        <v>8245.521951060366</v>
      </c>
      <c r="E71" s="18">
        <v>4572.128443314535</v>
      </c>
      <c r="F71" s="18">
        <v>4266.12194611614</v>
      </c>
      <c r="G71" s="18">
        <v>1644.5552721121994</v>
      </c>
    </row>
    <row r="72" spans="2:7" x14ac:dyDescent="0.25">
      <c r="B72">
        <v>66</v>
      </c>
      <c r="C72">
        <v>1</v>
      </c>
      <c r="D72" s="18">
        <v>7696.73229023202</v>
      </c>
      <c r="E72" s="18">
        <v>4725.369867349661</v>
      </c>
      <c r="F72" s="18">
        <v>4409.107124733829</v>
      </c>
      <c r="G72" s="18">
        <v>1699.6748941716908</v>
      </c>
    </row>
    <row r="73" spans="2:7" x14ac:dyDescent="0.25">
      <c r="B73">
        <v>67</v>
      </c>
      <c r="C73">
        <v>1</v>
      </c>
      <c r="D73" s="18">
        <v>7663.159543900818</v>
      </c>
      <c r="E73" s="18">
        <v>4737.863497598905</v>
      </c>
      <c r="F73" s="18">
        <v>4420.764572868492</v>
      </c>
      <c r="G73" s="18">
        <v>1704.168745503505</v>
      </c>
    </row>
    <row r="74" spans="2:7" x14ac:dyDescent="0.25">
      <c r="B74">
        <v>68</v>
      </c>
      <c r="C74">
        <v>1</v>
      </c>
      <c r="D74" s="18">
        <v>7222.568847007574</v>
      </c>
      <c r="E74" s="18">
        <v>4838.458326980016</v>
      </c>
      <c r="F74" s="18">
        <v>4514.62672363901</v>
      </c>
      <c r="G74" s="18">
        <v>1740.3518403261871</v>
      </c>
    </row>
    <row r="75" spans="2:7" x14ac:dyDescent="0.25">
      <c r="B75">
        <v>69</v>
      </c>
      <c r="C75">
        <v>1</v>
      </c>
      <c r="D75" s="18">
        <v>7169.383462488378</v>
      </c>
      <c r="E75" s="18">
        <v>4857.7743706059155</v>
      </c>
      <c r="F75" s="18">
        <v>4532.64997006488</v>
      </c>
      <c r="G75" s="18">
        <v>1747.2996550639316</v>
      </c>
    </row>
    <row r="76" spans="2:7" x14ac:dyDescent="0.25">
      <c r="B76">
        <v>70</v>
      </c>
      <c r="C76">
        <v>1</v>
      </c>
      <c r="D76" s="18">
        <v>6815.137902172251</v>
      </c>
      <c r="E76" s="18">
        <v>4912.841542494866</v>
      </c>
      <c r="F76" s="18">
        <v>4584.03156912068</v>
      </c>
      <c r="G76" s="18">
        <v>1767.106843110607</v>
      </c>
    </row>
    <row r="77" spans="2:7" x14ac:dyDescent="0.25">
      <c r="B77">
        <v>71</v>
      </c>
      <c r="C77">
        <v>1</v>
      </c>
      <c r="D77" s="18">
        <v>6677.076179991088</v>
      </c>
      <c r="E77" s="18">
        <v>4951.087075565988</v>
      </c>
      <c r="F77" s="18">
        <v>4619.717379350748</v>
      </c>
      <c r="G77" s="18">
        <v>1780.863432372403</v>
      </c>
    </row>
    <row r="78" spans="2:7" x14ac:dyDescent="0.25">
      <c r="B78">
        <v>72</v>
      </c>
      <c r="C78">
        <v>1</v>
      </c>
      <c r="D78" s="18">
        <v>5939.597130211347</v>
      </c>
      <c r="E78" s="18">
        <v>4987.471458213939</v>
      </c>
      <c r="F78" s="18">
        <v>4653.6666034888585</v>
      </c>
      <c r="G78" s="18">
        <v>1793.950581836397</v>
      </c>
    </row>
    <row r="79" spans="2:7" x14ac:dyDescent="0.25">
      <c r="B79">
        <v>73</v>
      </c>
      <c r="C79">
        <v>1</v>
      </c>
      <c r="D79" s="18">
        <v>5560.373172263182</v>
      </c>
      <c r="E79" s="18">
        <v>4893.415175265811</v>
      </c>
      <c r="F79" s="18">
        <v>4565.9053829041995</v>
      </c>
      <c r="G79" s="18">
        <v>1760.1193459217986</v>
      </c>
    </row>
    <row r="80" spans="2:7" x14ac:dyDescent="0.25">
      <c r="B80">
        <v>74</v>
      </c>
      <c r="C80">
        <v>1</v>
      </c>
      <c r="D80" s="18">
        <v>4822.09462432778</v>
      </c>
      <c r="E80" s="18">
        <v>4668.8572598560495</v>
      </c>
      <c r="F80" s="18">
        <v>4356.37683116273</v>
      </c>
      <c r="G80" s="18">
        <v>1679.347795371498</v>
      </c>
    </row>
    <row r="81" spans="2:7" x14ac:dyDescent="0.25">
      <c r="B81">
        <v>75</v>
      </c>
      <c r="C81">
        <v>1</v>
      </c>
      <c r="D81" s="18">
        <v>3910.6875232492584</v>
      </c>
      <c r="E81" s="18">
        <v>4377.76459276171</v>
      </c>
      <c r="F81" s="18">
        <v>4084.7666104873942</v>
      </c>
      <c r="G81" s="18">
        <v>1574.6442669649</v>
      </c>
    </row>
    <row r="82" spans="2:7" x14ac:dyDescent="0.25">
      <c r="B82">
        <v>76</v>
      </c>
      <c r="C82">
        <v>1</v>
      </c>
      <c r="D82" s="18">
        <v>3176.768728707864</v>
      </c>
      <c r="E82" s="18">
        <v>4105.836644579057</v>
      </c>
      <c r="F82" s="18">
        <v>3831.038439486284</v>
      </c>
      <c r="G82" s="18">
        <v>1476.834123098023</v>
      </c>
    </row>
    <row r="83" spans="2:7" x14ac:dyDescent="0.25">
      <c r="B83">
        <v>77</v>
      </c>
      <c r="C83">
        <v>1</v>
      </c>
      <c r="D83" s="18">
        <v>2276.034488569148</v>
      </c>
      <c r="E83" s="18">
        <v>3772.493559143484</v>
      </c>
      <c r="F83" s="18">
        <v>3520.00556497416</v>
      </c>
      <c r="G83" s="18">
        <v>1356.9334826475542</v>
      </c>
    </row>
    <row r="84" spans="2:7" x14ac:dyDescent="0.25">
      <c r="B84">
        <v>78</v>
      </c>
      <c r="C84">
        <v>1</v>
      </c>
      <c r="D84" s="18">
        <v>2023.0816349536212</v>
      </c>
      <c r="E84" s="18">
        <v>3662.69339325676</v>
      </c>
      <c r="F84" s="18">
        <v>3417.5541786703734</v>
      </c>
      <c r="G84" s="18">
        <v>1317.4393074670986</v>
      </c>
    </row>
    <row r="85" spans="2:7" x14ac:dyDescent="0.25">
      <c r="B85">
        <v>79</v>
      </c>
      <c r="C85">
        <v>1</v>
      </c>
      <c r="D85" s="18">
        <v>-34.31342075417191</v>
      </c>
      <c r="E85" s="18">
        <v>2703.9835470103426</v>
      </c>
      <c r="F85" s="18">
        <v>2523.0095118402196</v>
      </c>
      <c r="G85" s="18">
        <v>972.5996224893429</v>
      </c>
    </row>
    <row r="86" spans="2:7" x14ac:dyDescent="0.25">
      <c r="B86">
        <v>80</v>
      </c>
      <c r="C86">
        <v>1</v>
      </c>
      <c r="D86" s="18">
        <v>-144.58702319349518</v>
      </c>
      <c r="E86" s="18">
        <v>2651.3643804013213</v>
      </c>
      <c r="F86" s="18">
        <v>2473.9120763153433</v>
      </c>
      <c r="G86" s="18">
        <v>953.6729608843854</v>
      </c>
    </row>
    <row r="87" spans="2:7" x14ac:dyDescent="0.25">
      <c r="B87">
        <v>81</v>
      </c>
      <c r="C87">
        <v>1</v>
      </c>
      <c r="D87" s="18">
        <v>-152.46417959881072</v>
      </c>
      <c r="E87" s="18">
        <v>2647.8458649281206</v>
      </c>
      <c r="F87" s="18">
        <v>2470.6290504196204</v>
      </c>
      <c r="G87" s="18">
        <v>952.4073811345595</v>
      </c>
    </row>
    <row r="88" spans="2:7" x14ac:dyDescent="0.25">
      <c r="B88">
        <v>82</v>
      </c>
      <c r="C88">
        <v>1</v>
      </c>
      <c r="D88" s="18">
        <v>-1572.5000854716905</v>
      </c>
      <c r="E88" s="18">
        <v>1910.1560306103713</v>
      </c>
      <c r="F88" s="18">
        <v>1782.3118190409944</v>
      </c>
      <c r="G88" s="18">
        <v>687.0666932576135</v>
      </c>
    </row>
    <row r="89" spans="2:7" x14ac:dyDescent="0.25">
      <c r="B89">
        <v>83</v>
      </c>
      <c r="C89">
        <v>1</v>
      </c>
      <c r="D89" s="18">
        <v>-1696.4882829819098</v>
      </c>
      <c r="E89" s="18">
        <v>1844.4836028428772</v>
      </c>
      <c r="F89" s="18">
        <v>1721.0347598272929</v>
      </c>
      <c r="G89" s="18">
        <v>663.4448858966757</v>
      </c>
    </row>
    <row r="90" spans="2:7" x14ac:dyDescent="0.25">
      <c r="B90">
        <v>84</v>
      </c>
      <c r="C90">
        <v>1</v>
      </c>
      <c r="D90" s="18">
        <v>-3589.3994585750506</v>
      </c>
      <c r="E90" s="18">
        <v>783.8980408469943</v>
      </c>
      <c r="F90" s="18">
        <v>731.4327838853209</v>
      </c>
      <c r="G90" s="18">
        <v>281.9613822875846</v>
      </c>
    </row>
    <row r="91" spans="2:7" x14ac:dyDescent="0.25">
      <c r="B91">
        <v>85</v>
      </c>
      <c r="C91">
        <v>1</v>
      </c>
      <c r="D91" s="18">
        <v>-4921.996042232201</v>
      </c>
      <c r="E91" s="18">
        <v>1.8223386311120326e-14</v>
      </c>
      <c r="F91" s="18">
        <v>0</v>
      </c>
      <c r="G91" s="18">
        <v>5.066394805908203e-14</v>
      </c>
    </row>
    <row r="92" spans="2:7" x14ac:dyDescent="0.25">
      <c r="B92">
        <v>86</v>
      </c>
      <c r="C92">
        <v>1</v>
      </c>
      <c r="D92" s="18">
        <v>-3589.39945857505</v>
      </c>
      <c r="E92" s="18">
        <v>-783.8980408469946</v>
      </c>
      <c r="F92" s="18">
        <v>-731.4327838853212</v>
      </c>
      <c r="G92" s="18">
        <v>-281.96138228758474</v>
      </c>
    </row>
    <row r="93" spans="2:7" x14ac:dyDescent="0.25">
      <c r="B93">
        <v>87</v>
      </c>
      <c r="C93">
        <v>1</v>
      </c>
      <c r="D93" s="18">
        <v>-1696.4882829819094</v>
      </c>
      <c r="E93" s="18">
        <v>-1844.4836028428772</v>
      </c>
      <c r="F93" s="18">
        <v>-1721.0347598272929</v>
      </c>
      <c r="G93" s="18">
        <v>-663.4448858966757</v>
      </c>
    </row>
    <row r="94" spans="2:7" x14ac:dyDescent="0.25">
      <c r="B94">
        <v>88</v>
      </c>
      <c r="C94">
        <v>1</v>
      </c>
      <c r="D94" s="18">
        <v>-1572.5000854716907</v>
      </c>
      <c r="E94" s="18">
        <v>-1910.1560306103709</v>
      </c>
      <c r="F94" s="18">
        <v>-1782.311819040994</v>
      </c>
      <c r="G94" s="18">
        <v>-687.0666932576135</v>
      </c>
    </row>
    <row r="95" spans="2:7" x14ac:dyDescent="0.25">
      <c r="B95">
        <v>89</v>
      </c>
      <c r="C95">
        <v>1</v>
      </c>
      <c r="D95" s="18">
        <v>-152.4641795988073</v>
      </c>
      <c r="E95" s="18">
        <v>-2647.845864928123</v>
      </c>
      <c r="F95" s="18">
        <v>-2470.6290504196227</v>
      </c>
      <c r="G95" s="18">
        <v>-952.4073811345604</v>
      </c>
    </row>
    <row r="96" spans="2:7" x14ac:dyDescent="0.25">
      <c r="B96">
        <v>90</v>
      </c>
      <c r="C96">
        <v>1</v>
      </c>
      <c r="D96" s="18">
        <v>-144.58702319349234</v>
      </c>
      <c r="E96" s="18">
        <v>-2651.364380401324</v>
      </c>
      <c r="F96" s="18">
        <v>-2473.912076315346</v>
      </c>
      <c r="G96" s="18">
        <v>-953.6729608843862</v>
      </c>
    </row>
    <row r="97" spans="2:7" x14ac:dyDescent="0.25">
      <c r="B97">
        <v>91</v>
      </c>
      <c r="C97">
        <v>1</v>
      </c>
      <c r="D97" s="18">
        <v>-34.31342075417749</v>
      </c>
      <c r="E97" s="18">
        <v>-2703.983547010341</v>
      </c>
      <c r="F97" s="18">
        <v>-2523.009511840218</v>
      </c>
      <c r="G97" s="18">
        <v>-972.5996224893422</v>
      </c>
    </row>
    <row r="98" spans="2:7" x14ac:dyDescent="0.25">
      <c r="B98">
        <v>92</v>
      </c>
      <c r="C98">
        <v>1</v>
      </c>
      <c r="D98" s="18">
        <v>2023.0816349536203</v>
      </c>
      <c r="E98" s="18">
        <v>-3662.6933932567604</v>
      </c>
      <c r="F98" s="18">
        <v>-3417.554178670374</v>
      </c>
      <c r="G98" s="18">
        <v>-1317.4393074670986</v>
      </c>
    </row>
    <row r="99" spans="2:7" x14ac:dyDescent="0.25">
      <c r="B99">
        <v>93</v>
      </c>
      <c r="C99">
        <v>1</v>
      </c>
      <c r="D99" s="18">
        <v>2276.034488569149</v>
      </c>
      <c r="E99" s="18">
        <v>-3772.4935591434855</v>
      </c>
      <c r="F99" s="18">
        <v>-3520.005564974161</v>
      </c>
      <c r="G99" s="18">
        <v>-1356.9334826475545</v>
      </c>
    </row>
    <row r="100" spans="2:7" x14ac:dyDescent="0.25">
      <c r="B100">
        <v>94</v>
      </c>
      <c r="C100">
        <v>1</v>
      </c>
      <c r="D100" s="18">
        <v>3176.768728707867</v>
      </c>
      <c r="E100" s="18">
        <v>-4105.836644579058</v>
      </c>
      <c r="F100" s="18">
        <v>-3831.0384394862854</v>
      </c>
      <c r="G100" s="18">
        <v>-1476.8341230980234</v>
      </c>
    </row>
    <row r="101" spans="2:7" x14ac:dyDescent="0.25">
      <c r="B101">
        <v>95</v>
      </c>
      <c r="C101">
        <v>1</v>
      </c>
      <c r="D101" s="18">
        <v>3910.687523249262</v>
      </c>
      <c r="E101" s="18">
        <v>-4377.764592761711</v>
      </c>
      <c r="F101" s="18">
        <v>-4084.766610487395</v>
      </c>
      <c r="G101" s="18">
        <v>-1574.6442669649005</v>
      </c>
    </row>
    <row r="102" spans="2:7" x14ac:dyDescent="0.25">
      <c r="B102">
        <v>96</v>
      </c>
      <c r="C102">
        <v>1</v>
      </c>
      <c r="D102" s="18">
        <v>4822.09462432778</v>
      </c>
      <c r="E102" s="18">
        <v>-4668.8572598560495</v>
      </c>
      <c r="F102" s="18">
        <v>-4356.37683116273</v>
      </c>
      <c r="G102" s="18">
        <v>-1679.3477953714978</v>
      </c>
    </row>
    <row r="103" spans="2:7" x14ac:dyDescent="0.25">
      <c r="B103">
        <v>97</v>
      </c>
      <c r="C103">
        <v>1</v>
      </c>
      <c r="D103" s="18">
        <v>5560.373172263185</v>
      </c>
      <c r="E103" s="18">
        <v>-4893.415175265813</v>
      </c>
      <c r="F103" s="18">
        <v>-4565.905382904201</v>
      </c>
      <c r="G103" s="18">
        <v>-1760.119345921799</v>
      </c>
    </row>
    <row r="104" spans="2:7" x14ac:dyDescent="0.25">
      <c r="B104">
        <v>98</v>
      </c>
      <c r="C104">
        <v>1</v>
      </c>
      <c r="D104" s="18">
        <v>5939.597130211349</v>
      </c>
      <c r="E104" s="18">
        <v>-4987.4714582139395</v>
      </c>
      <c r="F104" s="18">
        <v>-4653.666603488859</v>
      </c>
      <c r="G104" s="18">
        <v>-1793.9505818363978</v>
      </c>
    </row>
    <row r="105" spans="2:7" x14ac:dyDescent="0.25">
      <c r="B105">
        <v>99</v>
      </c>
      <c r="C105">
        <v>1</v>
      </c>
      <c r="D105" s="18">
        <v>6677.076179991092</v>
      </c>
      <c r="E105" s="18">
        <v>-4951.087075565986</v>
      </c>
      <c r="F105" s="18">
        <v>-4619.717379350747</v>
      </c>
      <c r="G105" s="18">
        <v>-1780.8634323724027</v>
      </c>
    </row>
    <row r="106" spans="2:7" x14ac:dyDescent="0.25">
      <c r="B106">
        <v>100</v>
      </c>
      <c r="C106">
        <v>1</v>
      </c>
      <c r="D106" s="18">
        <v>6815.137902172254</v>
      </c>
      <c r="E106" s="18">
        <v>-4912.841542494866</v>
      </c>
      <c r="F106" s="18">
        <v>-4584.03156912068</v>
      </c>
      <c r="G106" s="18">
        <v>-1767.1068431106066</v>
      </c>
    </row>
    <row r="107" spans="2:7" x14ac:dyDescent="0.25">
      <c r="B107">
        <v>101</v>
      </c>
      <c r="C107">
        <v>1</v>
      </c>
      <c r="D107" s="18">
        <v>7169.3834624883775</v>
      </c>
      <c r="E107" s="18">
        <v>-4857.7743706059155</v>
      </c>
      <c r="F107" s="18">
        <v>-4532.64997006488</v>
      </c>
      <c r="G107" s="18">
        <v>-1747.299655063932</v>
      </c>
    </row>
    <row r="108" spans="2:7" x14ac:dyDescent="0.25">
      <c r="B108">
        <v>102</v>
      </c>
      <c r="C108">
        <v>1</v>
      </c>
      <c r="D108" s="18">
        <v>7222.568847007573</v>
      </c>
      <c r="E108" s="18">
        <v>-4838.458326980016</v>
      </c>
      <c r="F108" s="18">
        <v>-4514.62672363901</v>
      </c>
      <c r="G108" s="18">
        <v>-1740.3518403261874</v>
      </c>
    </row>
    <row r="109" spans="2:7" x14ac:dyDescent="0.25">
      <c r="B109">
        <v>103</v>
      </c>
      <c r="C109">
        <v>1</v>
      </c>
      <c r="D109" s="18">
        <v>7663.1595439008215</v>
      </c>
      <c r="E109" s="18">
        <v>-4737.863497598905</v>
      </c>
      <c r="F109" s="18">
        <v>-4420.764572868492</v>
      </c>
      <c r="G109" s="18">
        <v>-1704.1687455035049</v>
      </c>
    </row>
    <row r="110" spans="2:7" x14ac:dyDescent="0.25">
      <c r="B110">
        <v>104</v>
      </c>
      <c r="C110">
        <v>1</v>
      </c>
      <c r="D110" s="18">
        <v>7696.732290232024</v>
      </c>
      <c r="E110" s="18">
        <v>-4725.36986734966</v>
      </c>
      <c r="F110" s="18">
        <v>-4409.107124733828</v>
      </c>
      <c r="G110" s="18">
        <v>-1699.6748941716905</v>
      </c>
    </row>
    <row r="111" spans="2:7" x14ac:dyDescent="0.25">
      <c r="B111">
        <v>105</v>
      </c>
      <c r="C111">
        <v>1</v>
      </c>
      <c r="D111" s="18">
        <v>8245.521951060367</v>
      </c>
      <c r="E111" s="18">
        <v>-4572.128443314535</v>
      </c>
      <c r="F111" s="18">
        <v>-4266.121946116141</v>
      </c>
      <c r="G111" s="18">
        <v>-1644.5552721121996</v>
      </c>
    </row>
    <row r="112" spans="2:7" x14ac:dyDescent="0.25">
      <c r="B112">
        <v>106</v>
      </c>
      <c r="C112">
        <v>1</v>
      </c>
      <c r="D112" s="18">
        <v>8264.663216718798</v>
      </c>
      <c r="E112" s="18">
        <v>-4564.181888541134</v>
      </c>
      <c r="F112" s="18">
        <v>-4258.70724372203</v>
      </c>
      <c r="G112" s="18">
        <v>-1641.6969647156004</v>
      </c>
    </row>
    <row r="113" spans="2:7" x14ac:dyDescent="0.25">
      <c r="B113">
        <v>107</v>
      </c>
      <c r="C113">
        <v>1</v>
      </c>
      <c r="D113" s="18">
        <v>8986.36990766312</v>
      </c>
      <c r="E113" s="18">
        <v>-4310.847710183572</v>
      </c>
      <c r="F113" s="18">
        <v>-4022.32838617423</v>
      </c>
      <c r="G113" s="18">
        <v>-1550.5748399132376</v>
      </c>
    </row>
    <row r="114" spans="2:7" x14ac:dyDescent="0.25">
      <c r="B114">
        <v>108</v>
      </c>
      <c r="C114">
        <v>1</v>
      </c>
      <c r="D114" s="18">
        <v>8989.491340964052</v>
      </c>
      <c r="E114" s="18">
        <v>-4309.439192540031</v>
      </c>
      <c r="F114" s="18">
        <v>-4021.014138749841</v>
      </c>
      <c r="G114" s="18">
        <v>-1550.0682082327705</v>
      </c>
    </row>
    <row r="115" spans="2:7" x14ac:dyDescent="0.25">
      <c r="B115">
        <v>109</v>
      </c>
      <c r="C115">
        <v>1</v>
      </c>
      <c r="D115" s="18">
        <v>9631.08254912184</v>
      </c>
      <c r="E115" s="18">
        <v>-4253.546154778261</v>
      </c>
      <c r="F115" s="18">
        <v>-3968.8619479295567</v>
      </c>
      <c r="G115" s="18">
        <v>-1529.96396333565</v>
      </c>
    </row>
    <row r="116" spans="2:7" x14ac:dyDescent="0.25">
      <c r="B116">
        <v>110</v>
      </c>
      <c r="C116">
        <v>1</v>
      </c>
      <c r="D116" s="18">
        <v>9631.911407068526</v>
      </c>
      <c r="E116" s="18">
        <v>-4253.452291652173</v>
      </c>
      <c r="F116" s="18">
        <v>-3968.7743669381002</v>
      </c>
      <c r="G116" s="18">
        <v>-1529.9302015765966</v>
      </c>
    </row>
    <row r="117" spans="2:7" x14ac:dyDescent="0.25">
      <c r="B117">
        <v>111</v>
      </c>
      <c r="C117">
        <v>1</v>
      </c>
      <c r="D117" s="18">
        <v>9735.550746902609</v>
      </c>
      <c r="E117" s="18">
        <v>-4243.095112882588</v>
      </c>
      <c r="F117" s="18">
        <v>-3959.110380417035</v>
      </c>
      <c r="G117" s="18">
        <v>-1526.2048134644942</v>
      </c>
    </row>
    <row r="118" spans="2:7" x14ac:dyDescent="0.25">
      <c r="B118">
        <v>112</v>
      </c>
      <c r="C118">
        <v>1</v>
      </c>
      <c r="D118" s="18">
        <v>10331.547199996232</v>
      </c>
      <c r="E118" s="18">
        <v>-4182.594711509762</v>
      </c>
      <c r="F118" s="18">
        <v>-3902.659190725973</v>
      </c>
      <c r="G118" s="18">
        <v>-1504.4433395085143</v>
      </c>
    </row>
    <row r="119" spans="2:7" x14ac:dyDescent="0.25">
      <c r="B119">
        <v>113</v>
      </c>
      <c r="C119">
        <v>1</v>
      </c>
      <c r="D119" s="18">
        <v>10337.761020994818</v>
      </c>
      <c r="E119" s="18">
        <v>-4181.905678774245</v>
      </c>
      <c r="F119" s="18">
        <v>-3902.0162740382566</v>
      </c>
      <c r="G119" s="18">
        <v>-1504.1955003605324</v>
      </c>
    </row>
    <row r="120" spans="2:7" x14ac:dyDescent="0.25">
      <c r="B120">
        <v>114</v>
      </c>
      <c r="C120">
        <v>1</v>
      </c>
      <c r="D120" s="18">
        <v>11068.384197665373</v>
      </c>
      <c r="E120" s="18">
        <v>-4091.2664244366306</v>
      </c>
      <c r="F120" s="18">
        <v>-3817.443384867852</v>
      </c>
      <c r="G120" s="18">
        <v>-1471.5933402442295</v>
      </c>
    </row>
    <row r="121" spans="2:7" x14ac:dyDescent="0.25">
      <c r="B121">
        <v>115</v>
      </c>
      <c r="C121">
        <v>1</v>
      </c>
      <c r="D121" s="18">
        <v>11084.131683012325</v>
      </c>
      <c r="E121" s="18">
        <v>-4089.0465103956262</v>
      </c>
      <c r="F121" s="18">
        <v>-3815.3720467315256</v>
      </c>
      <c r="G121" s="18">
        <v>-1470.7948562591375</v>
      </c>
    </row>
    <row r="122" spans="2:7" x14ac:dyDescent="0.25">
      <c r="B122">
        <v>116</v>
      </c>
      <c r="C122">
        <v>1</v>
      </c>
      <c r="D122" s="18">
        <v>11872.942756867404</v>
      </c>
      <c r="E122" s="18">
        <v>-3972.086613366595</v>
      </c>
      <c r="F122" s="18">
        <v>-3706.240120601884</v>
      </c>
      <c r="G122" s="18">
        <v>-1428.7253873740178</v>
      </c>
    </row>
    <row r="123" spans="2:7" x14ac:dyDescent="0.25">
      <c r="B123">
        <v>117</v>
      </c>
      <c r="C123">
        <v>1</v>
      </c>
      <c r="D123" s="18">
        <v>11873.20819896266</v>
      </c>
      <c r="E123" s="18">
        <v>-3972.0393145171347</v>
      </c>
      <c r="F123" s="18">
        <v>-3706.1959874017325</v>
      </c>
      <c r="G123" s="18">
        <v>-1428.7083743847265</v>
      </c>
    </row>
    <row r="124" spans="2:7" x14ac:dyDescent="0.25">
      <c r="B124">
        <v>118</v>
      </c>
      <c r="C124">
        <v>1</v>
      </c>
      <c r="D124" s="18">
        <v>11877.474664358322</v>
      </c>
      <c r="E124" s="18">
        <v>-3971.2725037874375</v>
      </c>
      <c r="F124" s="18">
        <v>-3705.480498297907</v>
      </c>
      <c r="G124" s="18">
        <v>-1428.432559161276</v>
      </c>
    </row>
    <row r="125" spans="2:7" x14ac:dyDescent="0.25">
      <c r="B125">
        <v>119</v>
      </c>
      <c r="C125">
        <v>1</v>
      </c>
      <c r="D125" s="18">
        <v>12690.477697551</v>
      </c>
      <c r="E125" s="18">
        <v>-3818.4970747215016</v>
      </c>
      <c r="F125" s="18">
        <v>-3562.9301262237113</v>
      </c>
      <c r="G125" s="18">
        <v>-1373.4805514837649</v>
      </c>
    </row>
    <row r="126" spans="2:7" x14ac:dyDescent="0.25">
      <c r="B126">
        <v>120</v>
      </c>
      <c r="C126">
        <v>1</v>
      </c>
      <c r="D126" s="18">
        <v>12733.276607323629</v>
      </c>
      <c r="E126" s="18">
        <v>-3810.685313797144</v>
      </c>
      <c r="F126" s="18">
        <v>-3555.641196104974</v>
      </c>
      <c r="G126" s="18">
        <v>-1370.6707282751854</v>
      </c>
    </row>
    <row r="127" spans="2:7" x14ac:dyDescent="0.25">
      <c r="B127">
        <v>121</v>
      </c>
      <c r="C127">
        <v>1</v>
      </c>
      <c r="D127" s="18">
        <v>13587.900709550519</v>
      </c>
      <c r="E127" s="18">
        <v>-3617.197526953049</v>
      </c>
      <c r="F127" s="18">
        <v>-3375.103290401994</v>
      </c>
      <c r="G127" s="18">
        <v>-1301.0748357081125</v>
      </c>
    </row>
    <row r="128" spans="2:7" x14ac:dyDescent="0.25">
      <c r="B128">
        <v>122</v>
      </c>
      <c r="C128">
        <v>1</v>
      </c>
      <c r="D128" s="18">
        <v>13681.717876580093</v>
      </c>
      <c r="E128" s="18">
        <v>-3596.9294162937604</v>
      </c>
      <c r="F128" s="18">
        <v>-3356.19169752749</v>
      </c>
      <c r="G128" s="18">
        <v>-1293.7845706480337</v>
      </c>
    </row>
    <row r="129" spans="2:7" x14ac:dyDescent="0.25">
      <c r="B129">
        <v>123</v>
      </c>
      <c r="C129">
        <v>1</v>
      </c>
      <c r="D129" s="18">
        <v>15276.558196044107</v>
      </c>
      <c r="E129" s="18">
        <v>-3097.9976448316133</v>
      </c>
      <c r="F129" s="18">
        <v>-2890.6527682872998</v>
      </c>
      <c r="G129" s="18">
        <v>-1114.323104209545</v>
      </c>
    </row>
    <row r="130" spans="2:7" x14ac:dyDescent="0.25">
      <c r="B130">
        <v>124</v>
      </c>
      <c r="C130">
        <v>1</v>
      </c>
      <c r="D130" s="18">
        <v>16001.440024534266</v>
      </c>
      <c r="E130" s="18">
        <v>-2901.16217651119</v>
      </c>
      <c r="F130" s="18">
        <v>-2706.991236992467</v>
      </c>
      <c r="G130" s="18">
        <v>-1043.5230794118256</v>
      </c>
    </row>
    <row r="131" spans="2:7" x14ac:dyDescent="0.25">
      <c r="B131">
        <v>125</v>
      </c>
      <c r="C131">
        <v>1</v>
      </c>
      <c r="D131" s="18">
        <v>16663.24039605645</v>
      </c>
      <c r="E131" s="18">
        <v>-2631.40232041706</v>
      </c>
      <c r="F131" s="18">
        <v>-2455.2860505498015</v>
      </c>
      <c r="G131" s="18">
        <v>-946.4927796194999</v>
      </c>
    </row>
    <row r="132" spans="2:7" x14ac:dyDescent="0.25">
      <c r="B132">
        <v>126</v>
      </c>
      <c r="C132">
        <v>1</v>
      </c>
      <c r="D132" s="18">
        <v>16864.238544529213</v>
      </c>
      <c r="E132" s="18">
        <v>-2561.892873668063</v>
      </c>
      <c r="F132" s="18">
        <v>-2390.428778949768</v>
      </c>
      <c r="G132" s="18">
        <v>-921.4908295365323</v>
      </c>
    </row>
    <row r="133" spans="2:7" x14ac:dyDescent="0.25">
      <c r="B133">
        <v>127</v>
      </c>
      <c r="C133">
        <v>1</v>
      </c>
      <c r="D133" s="18">
        <v>17312.418975260785</v>
      </c>
      <c r="E133" s="18">
        <v>-2406.902521664397</v>
      </c>
      <c r="F133" s="18">
        <v>-2245.8117257945933</v>
      </c>
      <c r="G133" s="18">
        <v>-865.7421331308441</v>
      </c>
    </row>
    <row r="134" spans="2:7" x14ac:dyDescent="0.25">
      <c r="B134">
        <v>128</v>
      </c>
      <c r="C134">
        <v>1</v>
      </c>
      <c r="D134" s="18">
        <v>17670.345615483235</v>
      </c>
      <c r="E134" s="18">
        <v>-2234.7895747703374</v>
      </c>
      <c r="F134" s="18">
        <v>-2085.2180703321987</v>
      </c>
      <c r="G134" s="18">
        <v>-803.8345866297667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264</v>
      </c>
      <c r="C1" s="1"/>
      <c r="D1" s="1"/>
      <c r="E1" s="1"/>
    </row>
    <row r="3" spans="2:5" x14ac:dyDescent="0.25">
      <c r="B3" t="s">
        <v>265</v>
      </c>
      <c r="C3" s="23">
        <v>76.70920734333504</v>
      </c>
      <c r="D3" t="s">
        <v>72</v>
      </c>
      <c r="E3" s="2" t="s">
        <v>266</v>
      </c>
    </row>
    <row r="4" spans="2:5" x14ac:dyDescent="0.25">
      <c r="B4" t="s">
        <v>267</v>
      </c>
      <c r="C4" s="23">
        <v>1369.9439547293935</v>
      </c>
      <c r="D4" t="s">
        <v>75</v>
      </c>
      <c r="E4" s="2" t="s">
        <v>268</v>
      </c>
    </row>
    <row r="5" spans="2:4" x14ac:dyDescent="0.25">
      <c r="B5" t="s">
        <v>269</v>
      </c>
      <c r="C5" s="23">
        <v>1095.9551637835148</v>
      </c>
      <c r="D5" t="s">
        <v>75</v>
      </c>
    </row>
    <row r="6" spans="2:5" x14ac:dyDescent="0.25">
      <c r="B6" t="s">
        <v>270</v>
      </c>
      <c r="C6" s="23">
        <v>868224.2240480406</v>
      </c>
      <c r="D6" t="s">
        <v>271</v>
      </c>
      <c r="E6" s="2" t="s">
        <v>272</v>
      </c>
    </row>
    <row r="7" spans="2:4" x14ac:dyDescent="0.25">
      <c r="B7" t="s">
        <v>273</v>
      </c>
      <c r="C7" s="23">
        <v>22139.717713225033</v>
      </c>
      <c r="D7" t="s">
        <v>100</v>
      </c>
    </row>
    <row r="8" spans="2:4" x14ac:dyDescent="0.25">
      <c r="B8" t="s">
        <v>274</v>
      </c>
      <c r="C8" s="23">
        <v>3545.7065340046433</v>
      </c>
      <c r="D8" t="s">
        <v>100</v>
      </c>
    </row>
    <row r="9" spans="2:4" x14ac:dyDescent="0.25">
      <c r="B9" t="s">
        <v>275</v>
      </c>
      <c r="C9" s="23">
        <v>25685.424247229676</v>
      </c>
      <c r="D9" t="s">
        <v>100</v>
      </c>
    </row>
    <row r="10" spans="2:4" x14ac:dyDescent="0.25">
      <c r="B10" t="s">
        <v>276</v>
      </c>
      <c r="C10" s="23">
        <v>3824.7294202481844</v>
      </c>
      <c r="D10" t="s">
        <v>103</v>
      </c>
    </row>
    <row r="11" spans="2:4" x14ac:dyDescent="0.25">
      <c r="B11" t="s">
        <v>277</v>
      </c>
      <c r="C11" s="23">
        <v>1474.402047554542</v>
      </c>
      <c r="D11" t="s">
        <v>103</v>
      </c>
    </row>
    <row r="12" spans="2:5" x14ac:dyDescent="0.25">
      <c r="B12" t="s">
        <v>226</v>
      </c>
      <c r="C12" s="23">
        <v>0</v>
      </c>
      <c r="D12" t="s">
        <v>31</v>
      </c>
      <c r="E12" s="2" t="s">
        <v>278</v>
      </c>
    </row>
    <row r="13" spans="2:5" x14ac:dyDescent="0.25">
      <c r="B13" t="s">
        <v>279</v>
      </c>
      <c r="C13" s="23">
        <v>0.65</v>
      </c>
      <c r="D13" t="s">
        <v>31</v>
      </c>
      <c r="E13" s="2" t="s">
        <v>280</v>
      </c>
    </row>
    <row r="14" spans="2:5" x14ac:dyDescent="0.25">
      <c r="B14" t="s">
        <v>281</v>
      </c>
      <c r="C14" s="23">
        <v>1.493988417014516</v>
      </c>
      <c r="D14" t="s">
        <v>31</v>
      </c>
      <c r="E14" s="2" t="s">
        <v>282</v>
      </c>
    </row>
    <row r="15" spans="2:5" x14ac:dyDescent="0.25">
      <c r="B15" t="s">
        <v>283</v>
      </c>
      <c r="C15" s="23">
        <v>0.6693492323041778</v>
      </c>
      <c r="D15" t="s">
        <v>31</v>
      </c>
      <c r="E15" s="2" t="s">
        <v>284</v>
      </c>
    </row>
    <row r="16" spans="2:4" x14ac:dyDescent="0.25">
      <c r="B16" t="s">
        <v>285</v>
      </c>
      <c r="C16" t="s">
        <v>20</v>
      </c>
      <c r="D16" t="s">
        <v>11</v>
      </c>
    </row>
    <row r="18" spans="2:5" x14ac:dyDescent="0.25">
      <c r="B18" s="3" t="s">
        <v>286</v>
      </c>
      <c r="C18" s="3"/>
      <c r="D18" s="3"/>
      <c r="E18" s="3"/>
    </row>
    <row r="19" spans="2:4" x14ac:dyDescent="0.25">
      <c r="B19" t="s">
        <v>287</v>
      </c>
      <c r="C19" s="19">
        <f>C13*C9-C15*Pu</f>
      </c>
      <c r="D19" t="s">
        <v>100</v>
      </c>
    </row>
    <row r="20" spans="2:4" x14ac:dyDescent="0.25">
      <c r="B20" t="s">
        <v>288</v>
      </c>
      <c r="C20" s="19">
        <f>C13*C10-C15*Mux</f>
      </c>
      <c r="D20" t="s">
        <v>103</v>
      </c>
    </row>
    <row r="21" spans="2:4" x14ac:dyDescent="0.25">
      <c r="B21" t="s">
        <v>289</v>
      </c>
      <c r="C21" s="19">
        <f>C13*C11-C15*Muy</f>
      </c>
      <c r="D21" t="s">
        <v>103</v>
      </c>
    </row>
    <row r="22" spans="2:5" x14ac:dyDescent="0.25">
      <c r="B22" s="13" t="s">
        <v>290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291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292</v>
      </c>
      <c r="C1" s="1"/>
      <c r="D1" s="1"/>
      <c r="E1" s="1"/>
    </row>
    <row r="2" ht="28" customHeight="1" spans="2:5" x14ac:dyDescent="0.25">
      <c r="B2" s="2" t="s">
        <v>293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294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295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296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297</v>
      </c>
      <c r="C10" s="25" t="s">
        <v>298</v>
      </c>
      <c r="D10" t="s">
        <v>11</v>
      </c>
    </row>
    <row r="11" spans="2:5" x14ac:dyDescent="0.25">
      <c r="B11" t="s">
        <v>299</v>
      </c>
      <c r="C11" s="25" t="s">
        <v>300</v>
      </c>
      <c r="D11" t="s">
        <v>11</v>
      </c>
      <c r="E11" s="2" t="s">
        <v>301</v>
      </c>
    </row>
    <row r="13" spans="2:5" x14ac:dyDescent="0.25">
      <c r="B13" s="3" t="s">
        <v>302</v>
      </c>
      <c r="C13" s="3"/>
      <c r="D13" s="3"/>
      <c r="E13" s="3"/>
    </row>
    <row r="14" spans="2:4" x14ac:dyDescent="0.25">
      <c r="B14" t="s">
        <v>99</v>
      </c>
      <c r="C14" s="17">
        <v>24942.922102452183</v>
      </c>
      <c r="D14" t="s">
        <v>100</v>
      </c>
    </row>
    <row r="15" spans="2:4" x14ac:dyDescent="0.25">
      <c r="B15" t="s">
        <v>102</v>
      </c>
      <c r="C15" s="17">
        <v>3714.165943842699</v>
      </c>
      <c r="D15" t="s">
        <v>103</v>
      </c>
    </row>
    <row r="16" spans="2:4" x14ac:dyDescent="0.25">
      <c r="B16" t="s">
        <v>104</v>
      </c>
      <c r="C16" s="17">
        <v>1431.7807276950741</v>
      </c>
      <c r="D16" t="s">
        <v>103</v>
      </c>
    </row>
    <row r="17" spans="2:5" x14ac:dyDescent="0.25">
      <c r="B17" t="s">
        <v>303</v>
      </c>
      <c r="C17" s="17">
        <v>1.493988417014516</v>
      </c>
      <c r="D17" t="s">
        <v>31</v>
      </c>
      <c r="E17" s="2" t="s">
        <v>304</v>
      </c>
    </row>
    <row r="18" spans="2:5" x14ac:dyDescent="0.25">
      <c r="B18" t="s">
        <v>255</v>
      </c>
      <c r="C18" s="26" t="s">
        <v>305</v>
      </c>
      <c r="D18" t="s">
        <v>31</v>
      </c>
      <c r="E18" s="2" t="s">
        <v>306</v>
      </c>
    </row>
    <row r="19" spans="2:4" x14ac:dyDescent="0.25">
      <c r="B19" t="s">
        <v>307</v>
      </c>
      <c r="C19" s="26" t="s">
        <v>41</v>
      </c>
      <c r="D19" t="s">
        <v>11</v>
      </c>
    </row>
    <row r="20" spans="2:4" x14ac:dyDescent="0.25">
      <c r="B20" t="s">
        <v>308</v>
      </c>
      <c r="C20" s="26" t="s">
        <v>41</v>
      </c>
      <c r="D20" t="s">
        <v>11</v>
      </c>
    </row>
    <row r="21" spans="2:4" x14ac:dyDescent="0.25">
      <c r="B21" t="s">
        <v>309</v>
      </c>
      <c r="C21" s="26" t="s">
        <v>310</v>
      </c>
      <c r="D21" t="s">
        <v>11</v>
      </c>
    </row>
    <row r="23" spans="2:3" x14ac:dyDescent="0.25">
      <c r="B23" s="13" t="s">
        <v>311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312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2026-08-11T23:36:00Z</dcterms:created>
  <dcterms:modified xsi:type="dcterms:W3CDTF">2026-08-11T23:36:00Z</dcterms:modified>
</cp:coreProperties>
</file>