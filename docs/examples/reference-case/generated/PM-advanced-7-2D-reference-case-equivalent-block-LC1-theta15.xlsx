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Input!$C$57</definedName>
    <definedName name="Mux">Input!$C$58</definedName>
    <definedName name="Muy">Input!$C$59</definedName>
    <definedName name="theta_L">Input!$C$61</definedName>
    <definedName name="Mu">Input!$C$62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Block!$B$6:$B$20</definedName>
    <definedName name="Blk_c">Block!$C$6:$C$20</definedName>
    <definedName name="Blk_Cc">Block!$J$6:$J$20</definedName>
    <definedName name="Blk_Mcx">Block!$K$6:$K$20</definedName>
    <definedName name="Blk_Mcy">Block!$L$6:$L$20</definedName>
    <definedName name="Stl_St">Steel!$B$6:$B$275</definedName>
    <definedName name="Stl_Ept">Steel!$H$6:$H$275</definedName>
    <definedName name="Stl_F">Steel!$M$6:$M$275</definedName>
    <definedName name="Stl_Mx">Steel!$N$6:$N$275</definedName>
    <definedName name="Stl_My">Steel!$O$6:$O$275</definedName>
  </definedNames>
  <calcPr calcId="171027" fullCalcOnLoad="1"/>
</workbook>
</file>

<file path=xl/sharedStrings.xml><?xml version="1.0" encoding="utf-8"?>
<sst xmlns="http://schemas.openxmlformats.org/spreadsheetml/2006/main" count="689" uniqueCount="311">
  <si>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</si>
  <si>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</si>
  <si>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</si>
  <si>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</si>
  <si>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</si>
  <si>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</si>
  <si>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</si>
  <si>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2026-08-06 11:43:48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</si>
  <si>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</si>
  <si>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</si>
  <si>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</si>
  <si>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</si>
  <si>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</si>
  <si>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</si>
  <si>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</si>
  <si>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</si>
  <si>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</si>
  <si>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</si>
  <si>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</si>
  <si>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</si>
  <si>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</si>
  <si>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</si>
  <si>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</si>
  <si>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</si>
  <si>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</si>
  <si>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</si>
  <si>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</si>
  <si>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</si>
  <si>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</si>
  <si>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</si>
  <si>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</si>
  <si>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</si>
  <si>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</si>
  <si>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</si>
  <si>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</si>
  <si>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</si>
  <si>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</si>
  <si>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</si>
  <si>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</si>
  <si>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</si>
  <si>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</si>
  <si>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</si>
  <si>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</si>
  <si>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</si>
  <si>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</si>
  <si>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</si>
  <si>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</si>
  <si>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</si>
  <si>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</si>
  <si>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</si>
  <si>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</si>
  <si>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</si>
  <si>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</si>
  <si>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</si>
  <si>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</si>
  <si>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</si>
  <si>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</si>
  <si>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</si>
  <si>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</si>
  <si>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</si>
  <si>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</si>
  <si>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</si>
  <si>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</si>
  <si>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</si>
  <si>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</si>
  <si>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</si>
  <si>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</si>
  <si>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</si>
  <si>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</si>
  <si>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</si>
  <si>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</si>
  <si>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</si>
  <si>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</si>
  <si>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audited direction; snapped from the requested 15.0000° to the nearest sampled direction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</si>
  <si>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</si>
  <si>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</si>
  <si>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</si>
  <si>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</si>
  <si>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</si>
  <si>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</si>
  <si>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</si>
  <si>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</si>
  <si>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</si>
  <si>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</si>
  <si>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requested station schedule</t>
  </si>
  <si>
    <t>unified-22-v1</t>
  </si>
  <si>
    <t>active layers at θ</t>
  </si>
  <si>
    <t>non-pole layers remaining after coincident layers and the design axial cap are removed from mesh topology</t>
  </si>
  <si>
    <t>sampled directions</t>
  </si>
  <si>
    <t>seed 24</t>
  </si>
  <si>
    <t>direction interpolation error</t>
  </si>
  <si>
    <t>within the requested tolerance</t>
  </si>
  <si>
    <t>station chord diagnostic</t>
  </si>
  <si>
    <t>diagnostic only; the requested station schedule is fixed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</si>
  <si>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</si>
  <si>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</si>
  <si>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</si>
  <si>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</si>
  <si>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</si>
  <si>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</si>
  <si>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</si>
  <si>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</si>
  <si>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</si>
  <si>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</si>
  <si>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</si>
  <si>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</si>
  <si>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</si>
  <si>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</si>
  <si>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</si>
  <si>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</si>
  <si>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</si>
  <si>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</si>
  <si>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</si>
  <si>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</si>
  <si>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</si>
  <si>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</si>
  <si>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</si>
  <si>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</si>
  <si>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</si>
  <si>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</si>
  <si>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</si>
  <si>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</si>
  <si>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</si>
  <si>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</si>
  <si>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</si>
  <si>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</si>
  <si>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</si>
  <si>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</si>
  <si>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</si>
  <si>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88 x station surface grid (MxMy_FixedP)</t>
  </si>
  <si>
    <t>avoids re-solving every state in the sheet;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</si>
  <si>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</si>
  <si>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</si>
  <si>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</si>
  <si>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</si>
  <si>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</si>
  <si>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</si>
  <si>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</si>
  <si>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</si>
  <si>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</si>
  <si>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</si>
  <si>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</si>
  <si>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</si>
  <si>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</si>
  <si>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</si>
  <si>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</si>
  <si>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</si>
  <si>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</si>
  <si>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</si>
  <si>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</si>
  <si>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</si>
  <si>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</si>
  <si>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</si>
  <si>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</si>
  <si>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</si>
  <si>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</si>
  <si>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</si>
  <si>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</si>
  <si>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</si>
  <si>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</si>
  <si>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</si>
  <si>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</si>
  <si>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</si>
  <si>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</si>
  <si>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</si>
  <si>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</si>
  <si>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</si>
  <si>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</si>
  <si>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</si>
  <si>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</si>
  <si>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</si>
  <si>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</si>
  <si>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</si>
  <si>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</si>
  <si>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</si>
  <si>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</si>
  <si>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</si>
  <si>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</si>
  <si>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</si>
  <si>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</si>
  <si>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</si>
  <si>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</si>
  <si>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</si>
  <si>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</si>
  <si>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</si>
  <si>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</si>
  <si>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</si>
  <si>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</si>
  <si>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</si>
  <si>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</si>
  <si>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</si>
  <si>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</si>
  <si>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</si>
  <si>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</si>
  <si>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</si>
  <si>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</si>
  <si>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</si>
  <si>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</si>
  <si>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</si>
  <si>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</si>
  <si>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</si>
  <si>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</si>
  <si>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</si>
  <si>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</si>
  <si>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</si>
  <si>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</si>
  <si>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</si>
  <si>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</si>
  <si>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</si>
  <si>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</si>
  <si>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</si>
  <si>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</si>
  <si>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</si>
  <si>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</si>
  <si>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</si>
  <si>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</si>
  <si>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</si>
  <si>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</si>
  <si>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</si>
  <si>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</si>
  <si>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</si>
  <si>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</si>
  <si>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</si>
  <si>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</si>
  <si>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</si>
  <si>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</si>
  <si>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</si>
  <si>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</si>
  <si>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</si>
  <si>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</si>
  <si>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</si>
  <si>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</si>
  <si>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</si>
  <si>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</si>
  <si>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solver's design surface, sampled direction by direction. Everything after it — the P-interval bracket, the linear interpolation to Pu, and the ray query at θ_L — is a formula, because that logic is what a reviewer needs to see.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</si>
  <si>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</si>
  <si>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</si>
  <si>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</si>
  <si>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</si>
  <si>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</si>
  <si>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</si>
  <si>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</si>
  <si>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</si>
  <si>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</si>
  <si>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</si>
  <si>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</si>
  <si>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</si>
  <si>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</si>
  <si>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</si>
  <si>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</si>
  <si>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</si>
  <si>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</si>
  <si>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</si>
  <si>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</si>
  <si>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</si>
  <si>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</si>
  <si>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</si>
  <si>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</si>
  <si>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VERTICAL P–Mθ SECTION THROUGH THE DEMAND DIRECTION</t>
  </si>
  <si>
    <t>A true plane cut of the design surface at θ_L, produced by the same slicer the Results plot uses. Mθ is the signed projection of (Mx, My) onto the demand direction, so a pole sits at Mθ = 0.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</si>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</sst>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7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22</v>
      </c>
      <c r="D49" t="s">
        <v>31</v>
      </c>
      <c r="E49" s="2" t="s">
        <v>85</v>
      </c>
    </row>
    <row r="50" spans="2:5" x14ac:dyDescent="0.25">
      <c r="B50" t="s">
        <v>86</v>
      </c>
      <c r="C50" s="5">
        <v>15</v>
      </c>
      <c r="D50" t="s">
        <v>31</v>
      </c>
      <c r="E50" s="2" t="s">
        <v>87</v>
      </c>
    </row>
    <row r="51" spans="2:5" x14ac:dyDescent="0.25">
      <c r="B51" t="s">
        <v>88</v>
      </c>
      <c r="C51" s="5">
        <v>88</v>
      </c>
      <c r="D51" t="s">
        <v>31</v>
      </c>
      <c r="E51" s="2" t="s">
        <v>89</v>
      </c>
    </row>
    <row r="52" spans="2:5" x14ac:dyDescent="0.25">
      <c r="B52" t="s">
        <v>90</v>
      </c>
      <c r="C52" s="6">
        <v>0.006987826062915529</v>
      </c>
      <c r="D52" t="s">
        <v>31</v>
      </c>
      <c r="E52" s="2" t="s">
        <v>91</v>
      </c>
    </row>
    <row r="53" spans="2:5" x14ac:dyDescent="0.25">
      <c r="B53" t="s">
        <v>92</v>
      </c>
      <c r="C53" s="5">
        <v>0.042761488733683614</v>
      </c>
      <c r="D53" t="s">
        <v>31</v>
      </c>
      <c r="E53" s="2" t="s">
        <v>93</v>
      </c>
    </row>
    <row r="54" spans="2:5" x14ac:dyDescent="0.25">
      <c r="B54" t="s">
        <v>94</v>
      </c>
      <c r="C54" s="4" t="s">
        <v>41</v>
      </c>
      <c r="D54" t="s">
        <v>11</v>
      </c>
      <c r="E54" s="2" t="s">
        <v>95</v>
      </c>
    </row>
    <row r="56" spans="2:5" x14ac:dyDescent="0.25">
      <c r="B56" s="3" t="s">
        <v>96</v>
      </c>
      <c r="C56" s="3"/>
      <c r="D56" s="3"/>
      <c r="E56" s="3"/>
    </row>
    <row r="57" spans="2:5" x14ac:dyDescent="0.25">
      <c r="B57" t="s">
        <v>97</v>
      </c>
      <c r="C57" s="5">
        <v>24942.922102452183</v>
      </c>
      <c r="D57" t="s">
        <v>98</v>
      </c>
      <c r="E57" s="2" t="s">
        <v>99</v>
      </c>
    </row>
    <row r="58" spans="2:4" x14ac:dyDescent="0.25">
      <c r="B58" t="s">
        <v>100</v>
      </c>
      <c r="C58" s="5">
        <v>3714.165943842699</v>
      </c>
      <c r="D58" t="s">
        <v>101</v>
      </c>
    </row>
    <row r="59" spans="2:4" x14ac:dyDescent="0.25">
      <c r="B59" t="s">
        <v>102</v>
      </c>
      <c r="C59" s="5">
        <v>1431.7807276950741</v>
      </c>
      <c r="D59" t="s">
        <v>101</v>
      </c>
    </row>
    <row r="61" spans="2:5" x14ac:dyDescent="0.25">
      <c r="B61" t="s">
        <v>103</v>
      </c>
      <c r="C61" s="7">
        <f>IF(AND(Mux=0,Muy=0),0,DEGREES(ATAN2(Mux,Muy)))</f>
      </c>
      <c r="D61" t="s">
        <v>72</v>
      </c>
      <c r="E61" s="2" t="s">
        <v>104</v>
      </c>
    </row>
    <row r="62" spans="2:4" x14ac:dyDescent="0.25">
      <c r="B62" t="s">
        <v>105</v>
      </c>
      <c r="C62" s="8">
        <f>SQRT(Mux^2+Muy^2)</f>
      </c>
      <c r="D62" t="s">
        <v>101</v>
      </c>
    </row>
    <row r="64" spans="2:5" x14ac:dyDescent="0.25">
      <c r="B64" s="3" t="s">
        <v>106</v>
      </c>
      <c r="C64" s="3"/>
      <c r="D64" s="3"/>
      <c r="E64" s="3"/>
    </row>
    <row r="65" spans="2:3" x14ac:dyDescent="0.25">
      <c r="B65" t="s">
        <v>107</v>
      </c>
      <c r="C65" t="s">
        <v>108</v>
      </c>
    </row>
    <row r="66" spans="2:5" x14ac:dyDescent="0.25">
      <c r="B66" t="s">
        <v>109</v>
      </c>
      <c r="C66" t="s">
        <v>110</v>
      </c>
      <c r="E66" s="2" t="s">
        <v>111</v>
      </c>
    </row>
    <row r="68" spans="2:5" x14ac:dyDescent="0.25">
      <c r="B68" s="3" t="s">
        <v>112</v>
      </c>
      <c r="C68" s="3"/>
      <c r="D68" s="3"/>
      <c r="E68" s="3"/>
    </row>
    <row r="69" spans="2:5" x14ac:dyDescent="0.25">
      <c r="B69" t="s">
        <v>113</v>
      </c>
      <c r="C69" s="9" t="s">
        <v>114</v>
      </c>
      <c r="E69" s="2" t="s">
        <v>115</v>
      </c>
    </row>
    <row r="70" spans="2:5" x14ac:dyDescent="0.25">
      <c r="B70" t="s">
        <v>116</v>
      </c>
      <c r="C70" s="9" t="s">
        <v>114</v>
      </c>
      <c r="E70" s="2" t="s">
        <v>117</v>
      </c>
    </row>
    <row r="71" spans="2:5" x14ac:dyDescent="0.25">
      <c r="B71" t="s">
        <v>118</v>
      </c>
      <c r="C71" s="10" t="s">
        <v>119</v>
      </c>
      <c r="E71" s="2" t="s">
        <v>120</v>
      </c>
    </row>
    <row r="72" spans="2:5" x14ac:dyDescent="0.25">
      <c r="B72" t="s">
        <v>121</v>
      </c>
      <c r="C72" s="9" t="s">
        <v>114</v>
      </c>
      <c r="E72" s="2" t="s">
        <v>122</v>
      </c>
    </row>
    <row r="73" spans="2:5" x14ac:dyDescent="0.25">
      <c r="B73" t="s">
        <v>123</v>
      </c>
      <c r="C73" s="9" t="s">
        <v>114</v>
      </c>
      <c r="E73" s="2" t="s">
        <v>124</v>
      </c>
    </row>
    <row r="74" spans="2:5" x14ac:dyDescent="0.25">
      <c r="B74" t="s">
        <v>125</v>
      </c>
      <c r="C74" s="10" t="s">
        <v>119</v>
      </c>
      <c r="E74" s="2" t="s">
        <v>126</v>
      </c>
    </row>
    <row r="75" spans="2:5" x14ac:dyDescent="0.25">
      <c r="B75" t="s">
        <v>127</v>
      </c>
      <c r="C75" s="10" t="s">
        <v>119</v>
      </c>
      <c r="E75" s="2" t="s">
        <v>128</v>
      </c>
    </row>
    <row r="76" spans="2:5" x14ac:dyDescent="0.25">
      <c r="B76" t="s">
        <v>129</v>
      </c>
      <c r="C76" s="9" t="s">
        <v>114</v>
      </c>
      <c r="E76" s="2" t="s">
        <v>130</v>
      </c>
    </row>
    <row r="77" spans="2:5" x14ac:dyDescent="0.25">
      <c r="B77" t="s">
        <v>131</v>
      </c>
      <c r="C77" s="10" t="s">
        <v>119</v>
      </c>
      <c r="E77" s="2" t="s">
        <v>132</v>
      </c>
    </row>
    <row r="78" spans="2:5" x14ac:dyDescent="0.25">
      <c r="B78" t="s">
        <v>133</v>
      </c>
      <c r="C78" s="9" t="s">
        <v>114</v>
      </c>
      <c r="E78" s="2" t="s">
        <v>134</v>
      </c>
    </row>
    <row r="79" spans="2:5" x14ac:dyDescent="0.25">
      <c r="B79" t="s">
        <v>135</v>
      </c>
      <c r="C79" s="10" t="s">
        <v>119</v>
      </c>
      <c r="E79" s="2" t="s">
        <v>136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6:E56"/>
    <mergeCell ref="B64:E64"/>
    <mergeCell ref="B68:E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137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138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139</v>
      </c>
      <c r="C4" s="11" t="s">
        <v>140</v>
      </c>
      <c r="D4" s="11" t="s">
        <v>141</v>
      </c>
      <c r="E4" s="11" t="s">
        <v>142</v>
      </c>
      <c r="F4" s="11" t="s">
        <v>143</v>
      </c>
      <c r="G4" s="11" t="s">
        <v>144</v>
      </c>
      <c r="H4" s="11" t="s">
        <v>145</v>
      </c>
      <c r="I4" s="11" t="s">
        <v>146</v>
      </c>
    </row>
    <row r="5" spans="2:9" x14ac:dyDescent="0.25">
      <c r="B5">
        <v>1</v>
      </c>
      <c r="C5">
        <v>1</v>
      </c>
      <c r="D5" t="s">
        <v>147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147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147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147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147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147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147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147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148</v>
      </c>
      <c r="G13" s="14">
        <f>SUM(G5:G12)/2</f>
      </c>
      <c r="H13" s="14">
        <f>SUM(H5:H12)/6</f>
      </c>
      <c r="I13" s="14">
        <f>SUM(I5:I12)/6</f>
      </c>
      <c r="J13" s="15" t="s">
        <v>149</v>
      </c>
    </row>
    <row r="15" spans="2:9" x14ac:dyDescent="0.25">
      <c r="B15">
        <v>1</v>
      </c>
      <c r="C15">
        <v>1</v>
      </c>
      <c r="D15" t="s">
        <v>150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150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150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150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150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150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150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150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148</v>
      </c>
      <c r="G23" s="14">
        <f>SUM(G15:G22)/2</f>
      </c>
      <c r="H23" s="14">
        <f>SUM(H15:H22)/6</f>
      </c>
      <c r="I23" s="14">
        <f>SUM(I15:I22)/6</f>
      </c>
      <c r="J23" s="15" t="s">
        <v>151</v>
      </c>
    </row>
    <row r="25" spans="2:9" x14ac:dyDescent="0.25">
      <c r="B25">
        <v>1</v>
      </c>
      <c r="C25">
        <v>1</v>
      </c>
      <c r="D25" t="s">
        <v>152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152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152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152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152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152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152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152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148</v>
      </c>
      <c r="G33" s="14">
        <f>SUM(G25:G32)/2</f>
      </c>
      <c r="H33" s="14">
        <f>SUM(H25:H32)/6</f>
      </c>
      <c r="I33" s="14">
        <f>SUM(I25:I32)/6</f>
      </c>
      <c r="J33" s="15" t="s">
        <v>151</v>
      </c>
    </row>
    <row r="35" spans="4:10" x14ac:dyDescent="0.25">
      <c r="D35" s="13" t="s">
        <v>153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154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139</v>
      </c>
      <c r="C38" s="11" t="s">
        <v>155</v>
      </c>
      <c r="D38" s="11" t="s">
        <v>156</v>
      </c>
      <c r="E38" s="11" t="s">
        <v>142</v>
      </c>
      <c r="F38" s="11" t="s">
        <v>143</v>
      </c>
      <c r="G38" s="11" t="s">
        <v>157</v>
      </c>
      <c r="H38" s="11" t="s">
        <v>158</v>
      </c>
    </row>
    <row r="39" spans="2:8" x14ac:dyDescent="0.25">
      <c r="B39">
        <v>1</v>
      </c>
      <c r="C39" t="s">
        <v>159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160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161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162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163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164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165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166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167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168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169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170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171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172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173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174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175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176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177</v>
      </c>
      <c r="G57" s="16">
        <f>SUM(G39:G56)</f>
      </c>
      <c r="J57" s="2" t="s">
        <v>178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179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180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181</v>
      </c>
      <c r="C4" s="11" t="s">
        <v>141</v>
      </c>
      <c r="D4" s="11" t="s">
        <v>182</v>
      </c>
      <c r="E4" s="11" t="s">
        <v>142</v>
      </c>
      <c r="F4" s="11" t="s">
        <v>143</v>
      </c>
      <c r="G4" s="11" t="s">
        <v>183</v>
      </c>
      <c r="H4" s="11" t="s">
        <v>184</v>
      </c>
      <c r="I4" s="11" t="s">
        <v>185</v>
      </c>
    </row>
    <row r="5" spans="2:9" x14ac:dyDescent="0.25">
      <c r="B5">
        <v>1</v>
      </c>
      <c r="C5" t="s">
        <v>147</v>
      </c>
      <c r="D5">
        <v>1</v>
      </c>
      <c r="E5" s="17">
        <v>-353.5382907247961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147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147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147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147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147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147</v>
      </c>
      <c r="D11">
        <v>1</v>
      </c>
      <c r="E11" s="17">
        <v>-648.6453734808758</v>
      </c>
      <c r="F11" s="17">
        <v>501.3546265191241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186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150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150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150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150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150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150</v>
      </c>
      <c r="D18">
        <v>-1</v>
      </c>
      <c r="E18" s="17">
        <v>-407.1281292110207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150</v>
      </c>
      <c r="D19">
        <v>-1</v>
      </c>
      <c r="E19" s="17">
        <v>-550</v>
      </c>
      <c r="F19" s="17">
        <v>133.20508075688736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150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186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152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152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152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152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152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152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152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152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186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187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147</v>
      </c>
      <c r="D33">
        <v>1</v>
      </c>
      <c r="E33" s="17">
        <v>-276.1023553303064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147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147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147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147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147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147</v>
      </c>
      <c r="D39">
        <v>1</v>
      </c>
      <c r="E39" s="17">
        <v>-587.5735767111514</v>
      </c>
      <c r="F39" s="17">
        <v>562.4264232888486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186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150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150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150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150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150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150</v>
      </c>
      <c r="D46">
        <v>-1</v>
      </c>
      <c r="E46" s="17">
        <v>-329.6921938165309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150</v>
      </c>
      <c r="D47">
        <v>-1</v>
      </c>
      <c r="E47" s="17">
        <v>-524.1761170895954</v>
      </c>
      <c r="F47" s="17">
        <v>325.8238829104046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186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152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152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152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152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152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152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152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152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186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187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147</v>
      </c>
      <c r="D60">
        <v>1</v>
      </c>
      <c r="E60" s="17">
        <v>-105.83241483538131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147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147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147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147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147</v>
      </c>
      <c r="D65">
        <v>1</v>
      </c>
      <c r="E65" s="17">
        <v>-427.3714457527283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186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150</v>
      </c>
      <c r="D67">
        <v>-1</v>
      </c>
      <c r="E67" s="17">
        <v>-373.7816072665037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150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150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150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150</v>
      </c>
      <c r="D71">
        <v>-1</v>
      </c>
      <c r="E71" s="17">
        <v>-178.5635834471226</v>
      </c>
      <c r="F71" s="17">
        <v>-328.5635834471226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186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152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152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152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152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152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152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152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152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186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187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147</v>
      </c>
      <c r="D84">
        <v>1</v>
      </c>
      <c r="E84" s="17">
        <v>24.839865079328206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147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147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147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147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147</v>
      </c>
      <c r="D89">
        <v>1</v>
      </c>
      <c r="E89" s="17">
        <v>-296.69916583801876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186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150</v>
      </c>
      <c r="D91">
        <v>-1</v>
      </c>
      <c r="E91" s="17">
        <v>-240.5871661133883</v>
      </c>
      <c r="F91" s="17">
        <v>390.58716611338826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150</v>
      </c>
      <c r="D92">
        <v>-1</v>
      </c>
      <c r="E92" s="17">
        <v>-150</v>
      </c>
      <c r="F92" s="17">
        <v>300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150</v>
      </c>
      <c r="D93">
        <v>-1</v>
      </c>
      <c r="E93" s="17">
        <v>-150</v>
      </c>
      <c r="F93" s="17">
        <v>52.511259664541086</v>
      </c>
      <c r="G93">
        <f>E93*F91-E91*F93</f>
      </c>
      <c r="H93">
        <f>(E93+E91)*G93</f>
      </c>
      <c r="I93">
        <f>(F93+F91)*G93</f>
      </c>
    </row>
    <row r="94" spans="2:9" x14ac:dyDescent="0.25">
      <c r="B94">
        <v>4</v>
      </c>
      <c r="C94" t="s">
        <v>186</v>
      </c>
      <c r="G94" s="13">
        <f>D91*ABS(SUM(G91:G93)/2)</f>
      </c>
      <c r="H94" s="13">
        <f>D91*SIGN(SUM(G91:G93))*SUM(H91:H93)/6</f>
      </c>
      <c r="I94" s="13">
        <f>D91*SIGN(SUM(G91:G93))*SUM(I91:I93)/6</f>
      </c>
    </row>
    <row r="95" spans="2:9" x14ac:dyDescent="0.25">
      <c r="B95">
        <v>4</v>
      </c>
      <c r="C95" t="s">
        <v>152</v>
      </c>
      <c r="D95">
        <v>-1</v>
      </c>
      <c r="E95" s="17">
        <v>250</v>
      </c>
      <c r="F95" s="17">
        <v>400</v>
      </c>
      <c r="G95">
        <f>E95*F96-E96*F95</f>
      </c>
      <c r="H95">
        <f>(E95+E96)*G95</f>
      </c>
      <c r="I95">
        <f>(F95+F96)*G95</f>
      </c>
    </row>
    <row r="96" spans="2:9" x14ac:dyDescent="0.25">
      <c r="B96">
        <v>4</v>
      </c>
      <c r="C96" t="s">
        <v>152</v>
      </c>
      <c r="D96">
        <v>-1</v>
      </c>
      <c r="E96" s="17">
        <v>450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152</v>
      </c>
      <c r="D97">
        <v>-1</v>
      </c>
      <c r="E97" s="17">
        <v>550</v>
      </c>
      <c r="F97" s="17">
        <v>300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152</v>
      </c>
      <c r="D98">
        <v>-1</v>
      </c>
      <c r="E98" s="17">
        <v>550</v>
      </c>
      <c r="F98" s="17">
        <v>-300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152</v>
      </c>
      <c r="D99">
        <v>-1</v>
      </c>
      <c r="E99" s="17">
        <v>450</v>
      </c>
      <c r="F99" s="17">
        <v>-400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152</v>
      </c>
      <c r="D100">
        <v>-1</v>
      </c>
      <c r="E100" s="17">
        <v>250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152</v>
      </c>
      <c r="D101">
        <v>-1</v>
      </c>
      <c r="E101" s="17">
        <v>150</v>
      </c>
      <c r="F101" s="17">
        <v>-300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152</v>
      </c>
      <c r="D102">
        <v>-1</v>
      </c>
      <c r="E102" s="17">
        <v>150</v>
      </c>
      <c r="F102" s="17">
        <v>300</v>
      </c>
      <c r="G102">
        <f>E102*F95-E95*F102</f>
      </c>
      <c r="H102">
        <f>(E102+E95)*G102</f>
      </c>
      <c r="I102">
        <f>(F102+F95)*G102</f>
      </c>
    </row>
    <row r="103" spans="2:9" x14ac:dyDescent="0.25">
      <c r="B103">
        <v>4</v>
      </c>
      <c r="C103" t="s">
        <v>186</v>
      </c>
      <c r="G103" s="13">
        <f>D95*ABS(SUM(G95:G102)/2)</f>
      </c>
      <c r="H103" s="13">
        <f>D95*SIGN(SUM(G95:G102))*SUM(H95:H102)/6</f>
      </c>
      <c r="I103" s="13">
        <f>D95*SIGN(SUM(G95:G102))*SUM(I95:I102)/6</f>
      </c>
    </row>
    <row r="104" spans="2:9" x14ac:dyDescent="0.25">
      <c r="B104">
        <v>4</v>
      </c>
      <c r="C104" s="13" t="s">
        <v>187</v>
      </c>
      <c r="G104" s="14">
        <f>G90+G94+G103</f>
      </c>
      <c r="H104" s="14">
        <f>H90+H94+H103</f>
      </c>
      <c r="I104" s="14">
        <f>I90+I94+I103</f>
      </c>
    </row>
    <row r="106" spans="2:9" x14ac:dyDescent="0.25">
      <c r="B106">
        <v>5</v>
      </c>
      <c r="C106" t="s">
        <v>147</v>
      </c>
      <c r="D106">
        <v>1</v>
      </c>
      <c r="E106" s="17">
        <v>128.2887533451402</v>
      </c>
      <c r="F106" s="17">
        <v>-600</v>
      </c>
      <c r="G106">
        <f>E106*F107-E107*F106</f>
      </c>
      <c r="H106">
        <f>(E106+E107)*G106</f>
      </c>
      <c r="I106">
        <f>(F106+F107)*G106</f>
      </c>
    </row>
    <row r="107" spans="2:9" x14ac:dyDescent="0.25">
      <c r="B107">
        <v>5</v>
      </c>
      <c r="C107" t="s">
        <v>147</v>
      </c>
      <c r="D107">
        <v>1</v>
      </c>
      <c r="E107" s="17">
        <v>550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147</v>
      </c>
      <c r="D108">
        <v>1</v>
      </c>
      <c r="E108" s="17">
        <v>750</v>
      </c>
      <c r="F108" s="17">
        <v>-400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147</v>
      </c>
      <c r="D109">
        <v>1</v>
      </c>
      <c r="E109" s="17">
        <v>750</v>
      </c>
      <c r="F109" s="17">
        <v>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147</v>
      </c>
      <c r="D110">
        <v>1</v>
      </c>
      <c r="E110" s="17">
        <v>550</v>
      </c>
      <c r="F110" s="17">
        <v>600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147</v>
      </c>
      <c r="D111">
        <v>1</v>
      </c>
      <c r="E111" s="17">
        <v>-193.25027757220676</v>
      </c>
      <c r="F111" s="17">
        <v>600</v>
      </c>
      <c r="G111">
        <f>E111*F106-E106*F111</f>
      </c>
      <c r="H111">
        <f>(E111+E106)*G111</f>
      </c>
      <c r="I111">
        <f>(F111+F106)*G111</f>
      </c>
    </row>
    <row r="112" spans="2:9" x14ac:dyDescent="0.25">
      <c r="B112">
        <v>5</v>
      </c>
      <c r="C112" t="s">
        <v>186</v>
      </c>
      <c r="G112" s="13">
        <f>D106*ABS(SUM(G106:G111)/2)</f>
      </c>
      <c r="H112" s="13">
        <f>D106*SIGN(SUM(G106:G111))*SUM(H106:H111)/6</f>
      </c>
      <c r="I112" s="13">
        <f>D106*SIGN(SUM(G106:G111))*SUM(I106:I111)/6</f>
      </c>
    </row>
    <row r="113" spans="2:9" x14ac:dyDescent="0.25">
      <c r="B113">
        <v>5</v>
      </c>
      <c r="C113" t="s">
        <v>150</v>
      </c>
      <c r="D113">
        <v>-1</v>
      </c>
      <c r="E113" s="17">
        <v>250</v>
      </c>
      <c r="F113" s="17">
        <v>400</v>
      </c>
      <c r="G113">
        <f>E113*F114-E114*F113</f>
      </c>
      <c r="H113">
        <f>(E113+E114)*G113</f>
      </c>
      <c r="I113">
        <f>(F113+F114)*G113</f>
      </c>
    </row>
    <row r="114" spans="2:9" x14ac:dyDescent="0.25">
      <c r="B114">
        <v>5</v>
      </c>
      <c r="C114" t="s">
        <v>150</v>
      </c>
      <c r="D114">
        <v>-1</v>
      </c>
      <c r="E114" s="17">
        <v>450</v>
      </c>
      <c r="F114" s="17">
        <v>400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150</v>
      </c>
      <c r="D115">
        <v>-1</v>
      </c>
      <c r="E115" s="17">
        <v>550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150</v>
      </c>
      <c r="D116">
        <v>-1</v>
      </c>
      <c r="E116" s="17">
        <v>550</v>
      </c>
      <c r="F116" s="17">
        <v>-300</v>
      </c>
      <c r="G116">
        <f>E116*F117-E117*F116</f>
      </c>
      <c r="H116">
        <f>(E116+E117)*G116</f>
      </c>
      <c r="I116">
        <f>(F116+F117)*G116</f>
      </c>
    </row>
    <row r="117" spans="2:9" x14ac:dyDescent="0.25">
      <c r="B117">
        <v>5</v>
      </c>
      <c r="C117" t="s">
        <v>150</v>
      </c>
      <c r="D117">
        <v>-1</v>
      </c>
      <c r="E117" s="17">
        <v>450</v>
      </c>
      <c r="F117" s="17">
        <v>-400</v>
      </c>
      <c r="G117">
        <f>E117*F118-E118*F117</f>
      </c>
      <c r="H117">
        <f>(E117+E118)*G117</f>
      </c>
      <c r="I117">
        <f>(F117+F118)*G117</f>
      </c>
    </row>
    <row r="118" spans="2:9" x14ac:dyDescent="0.25">
      <c r="B118">
        <v>5</v>
      </c>
      <c r="C118" t="s">
        <v>150</v>
      </c>
      <c r="D118">
        <v>-1</v>
      </c>
      <c r="E118" s="17">
        <v>250</v>
      </c>
      <c r="F118" s="17">
        <v>-400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150</v>
      </c>
      <c r="D119">
        <v>-1</v>
      </c>
      <c r="E119" s="17">
        <v>150</v>
      </c>
      <c r="F119" s="17">
        <v>-300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150</v>
      </c>
      <c r="D120">
        <v>-1</v>
      </c>
      <c r="E120" s="17">
        <v>150</v>
      </c>
      <c r="F120" s="17">
        <v>300</v>
      </c>
      <c r="G120">
        <f>E120*F113-E113*F120</f>
      </c>
      <c r="H120">
        <f>(E120+E113)*G120</f>
      </c>
      <c r="I120">
        <f>(F120+F113)*G120</f>
      </c>
    </row>
    <row r="121" spans="2:9" x14ac:dyDescent="0.25">
      <c r="B121">
        <v>5</v>
      </c>
      <c r="C121" t="s">
        <v>186</v>
      </c>
      <c r="G121" s="13">
        <f>D113*ABS(SUM(G113:G120)/2)</f>
      </c>
      <c r="H121" s="13">
        <f>D113*SIGN(SUM(G113:G120))*SUM(H113:H120)/6</f>
      </c>
      <c r="I121" s="13">
        <f>D113*SIGN(SUM(G113:G120))*SUM(I113:I120)/6</f>
      </c>
    </row>
    <row r="122" spans="2:9" x14ac:dyDescent="0.25">
      <c r="B122">
        <v>5</v>
      </c>
      <c r="C122" s="13" t="s">
        <v>187</v>
      </c>
      <c r="G122" s="14">
        <f>G112+G121</f>
      </c>
      <c r="H122" s="14">
        <f>H112+H121</f>
      </c>
      <c r="I122" s="14">
        <f>I112+I121</f>
      </c>
    </row>
    <row r="124" spans="2:9" x14ac:dyDescent="0.25">
      <c r="B124">
        <v>6</v>
      </c>
      <c r="C124" t="s">
        <v>147</v>
      </c>
      <c r="D124">
        <v>1</v>
      </c>
      <c r="E124" s="17">
        <v>212.2189834475912</v>
      </c>
      <c r="F124" s="17">
        <v>-600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6</v>
      </c>
      <c r="C125" t="s">
        <v>147</v>
      </c>
      <c r="D125">
        <v>1</v>
      </c>
      <c r="E125" s="17">
        <v>550</v>
      </c>
      <c r="F125" s="17">
        <v>-600</v>
      </c>
      <c r="G125">
        <f>E125*F126-E126*F125</f>
      </c>
      <c r="H125">
        <f>(E125+E126)*G125</f>
      </c>
      <c r="I125">
        <f>(F125+F126)*G125</f>
      </c>
    </row>
    <row r="126" spans="2:9" x14ac:dyDescent="0.25">
      <c r="B126">
        <v>6</v>
      </c>
      <c r="C126" t="s">
        <v>147</v>
      </c>
      <c r="D126">
        <v>1</v>
      </c>
      <c r="E126" s="17">
        <v>750</v>
      </c>
      <c r="F126" s="17">
        <v>-400</v>
      </c>
      <c r="G126">
        <f>E126*F127-E127*F126</f>
      </c>
      <c r="H126">
        <f>(E126+E127)*G126</f>
      </c>
      <c r="I126">
        <f>(F126+F127)*G126</f>
      </c>
    </row>
    <row r="127" spans="2:9" x14ac:dyDescent="0.25">
      <c r="B127">
        <v>6</v>
      </c>
      <c r="C127" t="s">
        <v>147</v>
      </c>
      <c r="D127">
        <v>1</v>
      </c>
      <c r="E127" s="17">
        <v>750</v>
      </c>
      <c r="F127" s="17">
        <v>400</v>
      </c>
      <c r="G127">
        <f>E127*F128-E128*F127</f>
      </c>
      <c r="H127">
        <f>(E127+E128)*G127</f>
      </c>
      <c r="I127">
        <f>(F127+F128)*G127</f>
      </c>
    </row>
    <row r="128" spans="2:9" x14ac:dyDescent="0.25">
      <c r="B128">
        <v>6</v>
      </c>
      <c r="C128" t="s">
        <v>147</v>
      </c>
      <c r="D128">
        <v>1</v>
      </c>
      <c r="E128" s="17">
        <v>550</v>
      </c>
      <c r="F128" s="17">
        <v>600</v>
      </c>
      <c r="G128">
        <f>E128*F129-E129*F128</f>
      </c>
      <c r="H128">
        <f>(E128+E129)*G128</f>
      </c>
      <c r="I128">
        <f>(F128+F129)*G128</f>
      </c>
    </row>
    <row r="129" spans="2:9" x14ac:dyDescent="0.25">
      <c r="B129">
        <v>6</v>
      </c>
      <c r="C129" t="s">
        <v>147</v>
      </c>
      <c r="D129">
        <v>1</v>
      </c>
      <c r="E129" s="17">
        <v>-109.32004746975576</v>
      </c>
      <c r="F129" s="17">
        <v>600</v>
      </c>
      <c r="G129">
        <f>E129*F124-E124*F129</f>
      </c>
      <c r="H129">
        <f>(E129+E124)*G129</f>
      </c>
      <c r="I129">
        <f>(F129+F124)*G129</f>
      </c>
    </row>
    <row r="130" spans="2:9" x14ac:dyDescent="0.25">
      <c r="B130">
        <v>6</v>
      </c>
      <c r="C130" t="s">
        <v>186</v>
      </c>
      <c r="G130" s="13">
        <f>D124*ABS(SUM(G124:G129)/2)</f>
      </c>
      <c r="H130" s="13">
        <f>D124*SIGN(SUM(G124:G129))*SUM(H124:H129)/6</f>
      </c>
      <c r="I130" s="13">
        <f>D124*SIGN(SUM(G124:G129))*SUM(I124:I129)/6</f>
      </c>
    </row>
    <row r="131" spans="2:9" x14ac:dyDescent="0.25">
      <c r="B131">
        <v>6</v>
      </c>
      <c r="C131" t="s">
        <v>150</v>
      </c>
      <c r="D131">
        <v>-1</v>
      </c>
      <c r="E131" s="17">
        <v>250</v>
      </c>
      <c r="F131" s="17">
        <v>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150</v>
      </c>
      <c r="D132">
        <v>-1</v>
      </c>
      <c r="E132" s="17">
        <v>450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150</v>
      </c>
      <c r="D133">
        <v>-1</v>
      </c>
      <c r="E133" s="17">
        <v>550</v>
      </c>
      <c r="F133" s="17">
        <v>300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150</v>
      </c>
      <c r="D134">
        <v>-1</v>
      </c>
      <c r="E134" s="17">
        <v>550</v>
      </c>
      <c r="F134" s="17">
        <v>-300</v>
      </c>
      <c r="G134">
        <f>E134*F135-E135*F134</f>
      </c>
      <c r="H134">
        <f>(E134+E135)*G134</f>
      </c>
      <c r="I134">
        <f>(F134+F135)*G134</f>
      </c>
    </row>
    <row r="135" spans="2:9" x14ac:dyDescent="0.25">
      <c r="B135">
        <v>6</v>
      </c>
      <c r="C135" t="s">
        <v>150</v>
      </c>
      <c r="D135">
        <v>-1</v>
      </c>
      <c r="E135" s="17">
        <v>450</v>
      </c>
      <c r="F135" s="17">
        <v>-400</v>
      </c>
      <c r="G135">
        <f>E135*F136-E136*F135</f>
      </c>
      <c r="H135">
        <f>(E135+E136)*G135</f>
      </c>
      <c r="I135">
        <f>(F135+F136)*G135</f>
      </c>
    </row>
    <row r="136" spans="2:9" x14ac:dyDescent="0.25">
      <c r="B136">
        <v>6</v>
      </c>
      <c r="C136" t="s">
        <v>150</v>
      </c>
      <c r="D136">
        <v>-1</v>
      </c>
      <c r="E136" s="17">
        <v>250</v>
      </c>
      <c r="F136" s="17">
        <v>-400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150</v>
      </c>
      <c r="D137">
        <v>-1</v>
      </c>
      <c r="E137" s="17">
        <v>150</v>
      </c>
      <c r="F137" s="17">
        <v>-300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150</v>
      </c>
      <c r="D138">
        <v>-1</v>
      </c>
      <c r="E138" s="17">
        <v>150</v>
      </c>
      <c r="F138" s="17">
        <v>300</v>
      </c>
      <c r="G138">
        <f>E138*F131-E131*F138</f>
      </c>
      <c r="H138">
        <f>(E138+E131)*G138</f>
      </c>
      <c r="I138">
        <f>(F138+F131)*G138</f>
      </c>
    </row>
    <row r="139" spans="2:9" x14ac:dyDescent="0.25">
      <c r="B139">
        <v>6</v>
      </c>
      <c r="C139" t="s">
        <v>186</v>
      </c>
      <c r="G139" s="13">
        <f>D131*ABS(SUM(G131:G138)/2)</f>
      </c>
      <c r="H139" s="13">
        <f>D131*SIGN(SUM(G131:G138))*SUM(H131:H138)/6</f>
      </c>
      <c r="I139" s="13">
        <f>D131*SIGN(SUM(G131:G138))*SUM(I131:I138)/6</f>
      </c>
    </row>
    <row r="140" spans="2:9" x14ac:dyDescent="0.25">
      <c r="B140">
        <v>6</v>
      </c>
      <c r="C140" s="13" t="s">
        <v>187</v>
      </c>
      <c r="G140" s="14">
        <f>G130+G139</f>
      </c>
      <c r="H140" s="14">
        <f>H130+H139</f>
      </c>
      <c r="I140" s="14">
        <f>I130+I139</f>
      </c>
    </row>
    <row r="142" spans="2:9" x14ac:dyDescent="0.25">
      <c r="B142">
        <v>7</v>
      </c>
      <c r="C142" t="s">
        <v>147</v>
      </c>
      <c r="D142">
        <v>1</v>
      </c>
      <c r="E142" s="17">
        <v>340.1126674132312</v>
      </c>
      <c r="F142" s="17">
        <v>-600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7</v>
      </c>
      <c r="C143" t="s">
        <v>147</v>
      </c>
      <c r="D143">
        <v>1</v>
      </c>
      <c r="E143" s="17">
        <v>550</v>
      </c>
      <c r="F143" s="17">
        <v>-600</v>
      </c>
      <c r="G143">
        <f>E143*F144-E144*F143</f>
      </c>
      <c r="H143">
        <f>(E143+E144)*G143</f>
      </c>
      <c r="I143">
        <f>(F143+F144)*G143</f>
      </c>
    </row>
    <row r="144" spans="2:9" x14ac:dyDescent="0.25">
      <c r="B144">
        <v>7</v>
      </c>
      <c r="C144" t="s">
        <v>147</v>
      </c>
      <c r="D144">
        <v>1</v>
      </c>
      <c r="E144" s="17">
        <v>750</v>
      </c>
      <c r="F144" s="17">
        <v>-400</v>
      </c>
      <c r="G144">
        <f>E144*F145-E145*F144</f>
      </c>
      <c r="H144">
        <f>(E144+E145)*G144</f>
      </c>
      <c r="I144">
        <f>(F144+F145)*G144</f>
      </c>
    </row>
    <row r="145" spans="2:9" x14ac:dyDescent="0.25">
      <c r="B145">
        <v>7</v>
      </c>
      <c r="C145" t="s">
        <v>147</v>
      </c>
      <c r="D145">
        <v>1</v>
      </c>
      <c r="E145" s="17">
        <v>750</v>
      </c>
      <c r="F145" s="17">
        <v>400</v>
      </c>
      <c r="G145">
        <f>E145*F146-E146*F145</f>
      </c>
      <c r="H145">
        <f>(E145+E146)*G145</f>
      </c>
      <c r="I145">
        <f>(F145+F146)*G145</f>
      </c>
    </row>
    <row r="146" spans="2:9" x14ac:dyDescent="0.25">
      <c r="B146">
        <v>7</v>
      </c>
      <c r="C146" t="s">
        <v>147</v>
      </c>
      <c r="D146">
        <v>1</v>
      </c>
      <c r="E146" s="17">
        <v>550</v>
      </c>
      <c r="F146" s="17">
        <v>600</v>
      </c>
      <c r="G146">
        <f>E146*F147-E147*F146</f>
      </c>
      <c r="H146">
        <f>(E146+E147)*G146</f>
      </c>
      <c r="I146">
        <f>(F146+F147)*G146</f>
      </c>
    </row>
    <row r="147" spans="2:9" x14ac:dyDescent="0.25">
      <c r="B147">
        <v>7</v>
      </c>
      <c r="C147" t="s">
        <v>147</v>
      </c>
      <c r="D147">
        <v>1</v>
      </c>
      <c r="E147" s="17">
        <v>18.573636495884216</v>
      </c>
      <c r="F147" s="17">
        <v>600</v>
      </c>
      <c r="G147">
        <f>E147*F142-E142*F147</f>
      </c>
      <c r="H147">
        <f>(E147+E142)*G147</f>
      </c>
      <c r="I147">
        <f>(F147+F142)*G147</f>
      </c>
    </row>
    <row r="148" spans="2:9" x14ac:dyDescent="0.25">
      <c r="B148">
        <v>7</v>
      </c>
      <c r="C148" t="s">
        <v>186</v>
      </c>
      <c r="G148" s="13">
        <f>D142*ABS(SUM(G142:G147)/2)</f>
      </c>
      <c r="H148" s="13">
        <f>D142*SIGN(SUM(G142:G147))*SUM(H142:H147)/6</f>
      </c>
      <c r="I148" s="13">
        <f>D142*SIGN(SUM(G142:G147))*SUM(I142:I147)/6</f>
      </c>
    </row>
    <row r="149" spans="2:9" x14ac:dyDescent="0.25">
      <c r="B149">
        <v>7</v>
      </c>
      <c r="C149" t="s">
        <v>150</v>
      </c>
      <c r="D149">
        <v>-1</v>
      </c>
      <c r="E149" s="17">
        <v>250</v>
      </c>
      <c r="F149" s="17">
        <v>400</v>
      </c>
      <c r="G149">
        <f>E149*F150-E150*F149</f>
      </c>
      <c r="H149">
        <f>(E149+E150)*G149</f>
      </c>
      <c r="I149">
        <f>(F149+F150)*G149</f>
      </c>
    </row>
    <row r="150" spans="2:9" x14ac:dyDescent="0.25">
      <c r="B150">
        <v>7</v>
      </c>
      <c r="C150" t="s">
        <v>150</v>
      </c>
      <c r="D150">
        <v>-1</v>
      </c>
      <c r="E150" s="17">
        <v>450</v>
      </c>
      <c r="F150" s="17">
        <v>400</v>
      </c>
      <c r="G150">
        <f>E150*F151-E151*F150</f>
      </c>
      <c r="H150">
        <f>(E150+E151)*G150</f>
      </c>
      <c r="I150">
        <f>(F150+F151)*G150</f>
      </c>
    </row>
    <row r="151" spans="2:9" x14ac:dyDescent="0.25">
      <c r="B151">
        <v>7</v>
      </c>
      <c r="C151" t="s">
        <v>150</v>
      </c>
      <c r="D151">
        <v>-1</v>
      </c>
      <c r="E151" s="17">
        <v>550</v>
      </c>
      <c r="F151" s="17">
        <v>300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150</v>
      </c>
      <c r="D152">
        <v>-1</v>
      </c>
      <c r="E152" s="17">
        <v>550</v>
      </c>
      <c r="F152" s="17">
        <v>-300</v>
      </c>
      <c r="G152">
        <f>E152*F153-E153*F152</f>
      </c>
      <c r="H152">
        <f>(E152+E153)*G152</f>
      </c>
      <c r="I152">
        <f>(F152+F153)*G152</f>
      </c>
    </row>
    <row r="153" spans="2:9" x14ac:dyDescent="0.25">
      <c r="B153">
        <v>7</v>
      </c>
      <c r="C153" t="s">
        <v>150</v>
      </c>
      <c r="D153">
        <v>-1</v>
      </c>
      <c r="E153" s="17">
        <v>450</v>
      </c>
      <c r="F153" s="17">
        <v>-400</v>
      </c>
      <c r="G153">
        <f>E153*F154-E154*F153</f>
      </c>
      <c r="H153">
        <f>(E153+E154)*G153</f>
      </c>
      <c r="I153">
        <f>(F153+F154)*G153</f>
      </c>
    </row>
    <row r="154" spans="2:9" x14ac:dyDescent="0.25">
      <c r="B154">
        <v>7</v>
      </c>
      <c r="C154" t="s">
        <v>150</v>
      </c>
      <c r="D154">
        <v>-1</v>
      </c>
      <c r="E154" s="17">
        <v>286.5228289270067</v>
      </c>
      <c r="F154" s="17">
        <v>-400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150</v>
      </c>
      <c r="D155">
        <v>-1</v>
      </c>
      <c r="E155" s="17">
        <v>150</v>
      </c>
      <c r="F155" s="17">
        <v>109.51013394862338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150</v>
      </c>
      <c r="D156">
        <v>-1</v>
      </c>
      <c r="E156" s="17">
        <v>150</v>
      </c>
      <c r="F156" s="17">
        <v>300</v>
      </c>
      <c r="G156">
        <f>E156*F149-E149*F156</f>
      </c>
      <c r="H156">
        <f>(E156+E149)*G156</f>
      </c>
      <c r="I156">
        <f>(F156+F149)*G156</f>
      </c>
    </row>
    <row r="157" spans="2:9" x14ac:dyDescent="0.25">
      <c r="B157">
        <v>7</v>
      </c>
      <c r="C157" t="s">
        <v>186</v>
      </c>
      <c r="G157" s="13">
        <f>D149*ABS(SUM(G149:G156)/2)</f>
      </c>
      <c r="H157" s="13">
        <f>D149*SIGN(SUM(G149:G156))*SUM(H149:H156)/6</f>
      </c>
      <c r="I157" s="13">
        <f>D149*SIGN(SUM(G149:G156))*SUM(I149:I156)/6</f>
      </c>
    </row>
    <row r="158" spans="2:9" x14ac:dyDescent="0.25">
      <c r="B158">
        <v>7</v>
      </c>
      <c r="C158" s="13" t="s">
        <v>187</v>
      </c>
      <c r="G158" s="14">
        <f>G148+G157</f>
      </c>
      <c r="H158" s="14">
        <f>H148+H157</f>
      </c>
      <c r="I158" s="14">
        <f>I148+I157</f>
      </c>
    </row>
    <row r="160" spans="2:9" x14ac:dyDescent="0.25">
      <c r="B160">
        <v>8</v>
      </c>
      <c r="C160" t="s">
        <v>147</v>
      </c>
      <c r="D160">
        <v>1</v>
      </c>
      <c r="E160" s="17">
        <v>432.9669859088327</v>
      </c>
      <c r="F160" s="17">
        <v>-600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8</v>
      </c>
      <c r="C161" t="s">
        <v>147</v>
      </c>
      <c r="D161">
        <v>1</v>
      </c>
      <c r="E161" s="17">
        <v>550</v>
      </c>
      <c r="F161" s="17">
        <v>-600</v>
      </c>
      <c r="G161">
        <f>E161*F162-E162*F161</f>
      </c>
      <c r="H161">
        <f>(E161+E162)*G161</f>
      </c>
      <c r="I161">
        <f>(F161+F162)*G161</f>
      </c>
    </row>
    <row r="162" spans="2:9" x14ac:dyDescent="0.25">
      <c r="B162">
        <v>8</v>
      </c>
      <c r="C162" t="s">
        <v>147</v>
      </c>
      <c r="D162">
        <v>1</v>
      </c>
      <c r="E162" s="17">
        <v>750</v>
      </c>
      <c r="F162" s="17">
        <v>-400</v>
      </c>
      <c r="G162">
        <f>E162*F163-E163*F162</f>
      </c>
      <c r="H162">
        <f>(E162+E163)*G162</f>
      </c>
      <c r="I162">
        <f>(F162+F163)*G162</f>
      </c>
    </row>
    <row r="163" spans="2:9" x14ac:dyDescent="0.25">
      <c r="B163">
        <v>8</v>
      </c>
      <c r="C163" t="s">
        <v>147</v>
      </c>
      <c r="D163">
        <v>1</v>
      </c>
      <c r="E163" s="17">
        <v>750</v>
      </c>
      <c r="F163" s="17">
        <v>400</v>
      </c>
      <c r="G163">
        <f>E163*F164-E164*F163</f>
      </c>
      <c r="H163">
        <f>(E163+E164)*G163</f>
      </c>
      <c r="I163">
        <f>(F163+F164)*G163</f>
      </c>
    </row>
    <row r="164" spans="2:9" x14ac:dyDescent="0.25">
      <c r="B164">
        <v>8</v>
      </c>
      <c r="C164" t="s">
        <v>147</v>
      </c>
      <c r="D164">
        <v>1</v>
      </c>
      <c r="E164" s="17">
        <v>550</v>
      </c>
      <c r="F164" s="17">
        <v>600</v>
      </c>
      <c r="G164">
        <f>E164*F165-E165*F164</f>
      </c>
      <c r="H164">
        <f>(E164+E165)*G164</f>
      </c>
      <c r="I164">
        <f>(F164+F165)*G164</f>
      </c>
    </row>
    <row r="165" spans="2:9" x14ac:dyDescent="0.25">
      <c r="B165">
        <v>8</v>
      </c>
      <c r="C165" t="s">
        <v>147</v>
      </c>
      <c r="D165">
        <v>1</v>
      </c>
      <c r="E165" s="17">
        <v>111.42795499148576</v>
      </c>
      <c r="F165" s="17">
        <v>600</v>
      </c>
      <c r="G165">
        <f>E165*F160-E160*F165</f>
      </c>
      <c r="H165">
        <f>(E165+E160)*G165</f>
      </c>
      <c r="I165">
        <f>(F165+F160)*G165</f>
      </c>
    </row>
    <row r="166" spans="2:9" x14ac:dyDescent="0.25">
      <c r="B166">
        <v>8</v>
      </c>
      <c r="C166" t="s">
        <v>186</v>
      </c>
      <c r="G166" s="13">
        <f>D160*ABS(SUM(G160:G165)/2)</f>
      </c>
      <c r="H166" s="13">
        <f>D160*SIGN(SUM(G160:G165))*SUM(H160:H165)/6</f>
      </c>
      <c r="I166" s="13">
        <f>D160*SIGN(SUM(G160:G165))*SUM(I160:I165)/6</f>
      </c>
    </row>
    <row r="167" spans="2:9" x14ac:dyDescent="0.25">
      <c r="B167">
        <v>8</v>
      </c>
      <c r="C167" t="s">
        <v>150</v>
      </c>
      <c r="D167">
        <v>-1</v>
      </c>
      <c r="E167" s="17">
        <v>250</v>
      </c>
      <c r="F167" s="17">
        <v>400</v>
      </c>
      <c r="G167">
        <f>E167*F168-E168*F167</f>
      </c>
      <c r="H167">
        <f>(E167+E168)*G167</f>
      </c>
      <c r="I167">
        <f>(F167+F168)*G167</f>
      </c>
    </row>
    <row r="168" spans="2:9" x14ac:dyDescent="0.25">
      <c r="B168">
        <v>8</v>
      </c>
      <c r="C168" t="s">
        <v>150</v>
      </c>
      <c r="D168">
        <v>-1</v>
      </c>
      <c r="E168" s="17">
        <v>450</v>
      </c>
      <c r="F168" s="17">
        <v>400</v>
      </c>
      <c r="G168">
        <f>E168*F169-E169*F168</f>
      </c>
      <c r="H168">
        <f>(E168+E169)*G168</f>
      </c>
      <c r="I168">
        <f>(F168+F169)*G168</f>
      </c>
    </row>
    <row r="169" spans="2:9" x14ac:dyDescent="0.25">
      <c r="B169">
        <v>8</v>
      </c>
      <c r="C169" t="s">
        <v>150</v>
      </c>
      <c r="D169">
        <v>-1</v>
      </c>
      <c r="E169" s="17">
        <v>550</v>
      </c>
      <c r="F169" s="17">
        <v>300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150</v>
      </c>
      <c r="D170">
        <v>-1</v>
      </c>
      <c r="E170" s="17">
        <v>550</v>
      </c>
      <c r="F170" s="17">
        <v>-300</v>
      </c>
      <c r="G170">
        <f>E170*F171-E171*F170</f>
      </c>
      <c r="H170">
        <f>(E170+E171)*G170</f>
      </c>
      <c r="I170">
        <f>(F170+F171)*G170</f>
      </c>
    </row>
    <row r="171" spans="2:9" x14ac:dyDescent="0.25">
      <c r="B171">
        <v>8</v>
      </c>
      <c r="C171" t="s">
        <v>150</v>
      </c>
      <c r="D171">
        <v>-1</v>
      </c>
      <c r="E171" s="17">
        <v>450</v>
      </c>
      <c r="F171" s="17">
        <v>-400</v>
      </c>
      <c r="G171">
        <f>E171*F172-E172*F171</f>
      </c>
      <c r="H171">
        <f>(E171+E172)*G171</f>
      </c>
      <c r="I171">
        <f>(F171+F172)*G171</f>
      </c>
    </row>
    <row r="172" spans="2:9" x14ac:dyDescent="0.25">
      <c r="B172">
        <v>8</v>
      </c>
      <c r="C172" t="s">
        <v>150</v>
      </c>
      <c r="D172">
        <v>-1</v>
      </c>
      <c r="E172" s="17">
        <v>379.37714742260823</v>
      </c>
      <c r="F172" s="17">
        <v>-400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150</v>
      </c>
      <c r="D173">
        <v>-1</v>
      </c>
      <c r="E173" s="17">
        <v>182.97664683286897</v>
      </c>
      <c r="F173" s="17">
        <v>332.97664683286894</v>
      </c>
      <c r="G173">
        <f>E173*F167-E167*F173</f>
      </c>
      <c r="H173">
        <f>(E173+E167)*G173</f>
      </c>
      <c r="I173">
        <f>(F173+F167)*G173</f>
      </c>
    </row>
    <row r="174" spans="2:9" x14ac:dyDescent="0.25">
      <c r="B174">
        <v>8</v>
      </c>
      <c r="C174" t="s">
        <v>186</v>
      </c>
      <c r="G174" s="13">
        <f>D167*ABS(SUM(G167:G173)/2)</f>
      </c>
      <c r="H174" s="13">
        <f>D167*SIGN(SUM(G167:G173))*SUM(H167:H173)/6</f>
      </c>
      <c r="I174" s="13">
        <f>D167*SIGN(SUM(G167:G173))*SUM(I167:I173)/6</f>
      </c>
    </row>
    <row r="175" spans="2:9" x14ac:dyDescent="0.25">
      <c r="B175">
        <v>8</v>
      </c>
      <c r="C175" s="13" t="s">
        <v>187</v>
      </c>
      <c r="G175" s="14">
        <f>G166+G174</f>
      </c>
      <c r="H175" s="14">
        <f>H166+H174</f>
      </c>
      <c r="I175" s="14">
        <f>I166+I174</f>
      </c>
    </row>
    <row r="177" spans="2:9" x14ac:dyDescent="0.25">
      <c r="B177">
        <v>9</v>
      </c>
      <c r="C177" t="s">
        <v>147</v>
      </c>
      <c r="D177">
        <v>1</v>
      </c>
      <c r="E177" s="17">
        <v>503.4467698271808</v>
      </c>
      <c r="F177" s="17">
        <v>-600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9</v>
      </c>
      <c r="C178" t="s">
        <v>147</v>
      </c>
      <c r="D178">
        <v>1</v>
      </c>
      <c r="E178" s="17">
        <v>550</v>
      </c>
      <c r="F178" s="17">
        <v>-600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9</v>
      </c>
      <c r="C179" t="s">
        <v>147</v>
      </c>
      <c r="D179">
        <v>1</v>
      </c>
      <c r="E179" s="17">
        <v>750</v>
      </c>
      <c r="F179" s="17">
        <v>-400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9</v>
      </c>
      <c r="C180" t="s">
        <v>147</v>
      </c>
      <c r="D180">
        <v>1</v>
      </c>
      <c r="E180" s="17">
        <v>750</v>
      </c>
      <c r="F180" s="17">
        <v>400</v>
      </c>
      <c r="G180">
        <f>E180*F181-E181*F180</f>
      </c>
      <c r="H180">
        <f>(E180+E181)*G180</f>
      </c>
      <c r="I180">
        <f>(F180+F181)*G180</f>
      </c>
    </row>
    <row r="181" spans="2:9" x14ac:dyDescent="0.25">
      <c r="B181">
        <v>9</v>
      </c>
      <c r="C181" t="s">
        <v>147</v>
      </c>
      <c r="D181">
        <v>1</v>
      </c>
      <c r="E181" s="17">
        <v>550</v>
      </c>
      <c r="F181" s="17">
        <v>600</v>
      </c>
      <c r="G181">
        <f>E181*F182-E182*F181</f>
      </c>
      <c r="H181">
        <f>(E181+E182)*G181</f>
      </c>
      <c r="I181">
        <f>(F181+F182)*G181</f>
      </c>
    </row>
    <row r="182" spans="2:9" x14ac:dyDescent="0.25">
      <c r="B182">
        <v>9</v>
      </c>
      <c r="C182" t="s">
        <v>147</v>
      </c>
      <c r="D182">
        <v>1</v>
      </c>
      <c r="E182" s="17">
        <v>181.90773890983394</v>
      </c>
      <c r="F182" s="17">
        <v>600</v>
      </c>
      <c r="G182">
        <f>E182*F177-E177*F182</f>
      </c>
      <c r="H182">
        <f>(E182+E177)*G182</f>
      </c>
      <c r="I182">
        <f>(F182+F177)*G182</f>
      </c>
    </row>
    <row r="183" spans="2:9" x14ac:dyDescent="0.25">
      <c r="B183">
        <v>9</v>
      </c>
      <c r="C183" t="s">
        <v>186</v>
      </c>
      <c r="G183" s="13">
        <f>D177*ABS(SUM(G177:G182)/2)</f>
      </c>
      <c r="H183" s="13">
        <f>D177*SIGN(SUM(G177:G182))*SUM(H177:H182)/6</f>
      </c>
      <c r="I183" s="13">
        <f>D177*SIGN(SUM(G177:G182))*SUM(I177:I182)/6</f>
      </c>
    </row>
    <row r="184" spans="2:9" x14ac:dyDescent="0.25">
      <c r="B184">
        <v>9</v>
      </c>
      <c r="C184" t="s">
        <v>150</v>
      </c>
      <c r="D184">
        <v>-1</v>
      </c>
      <c r="E184" s="17">
        <v>250</v>
      </c>
      <c r="F184" s="17">
        <v>400</v>
      </c>
      <c r="G184">
        <f>E184*F185-E185*F184</f>
      </c>
      <c r="H184">
        <f>(E184+E185)*G184</f>
      </c>
      <c r="I184">
        <f>(F184+F185)*G184</f>
      </c>
    </row>
    <row r="185" spans="2:9" x14ac:dyDescent="0.25">
      <c r="B185">
        <v>9</v>
      </c>
      <c r="C185" t="s">
        <v>150</v>
      </c>
      <c r="D185">
        <v>-1</v>
      </c>
      <c r="E185" s="17">
        <v>450</v>
      </c>
      <c r="F185" s="17">
        <v>400</v>
      </c>
      <c r="G185">
        <f>E185*F186-E186*F185</f>
      </c>
      <c r="H185">
        <f>(E185+E186)*G185</f>
      </c>
      <c r="I185">
        <f>(F185+F186)*G185</f>
      </c>
    </row>
    <row r="186" spans="2:9" x14ac:dyDescent="0.25">
      <c r="B186">
        <v>9</v>
      </c>
      <c r="C186" t="s">
        <v>150</v>
      </c>
      <c r="D186">
        <v>-1</v>
      </c>
      <c r="E186" s="17">
        <v>550</v>
      </c>
      <c r="F186" s="17">
        <v>300</v>
      </c>
      <c r="G186">
        <f>E186*F187-E187*F186</f>
      </c>
      <c r="H186">
        <f>(E186+E187)*G186</f>
      </c>
      <c r="I186">
        <f>(F186+F187)*G186</f>
      </c>
    </row>
    <row r="187" spans="2:9" x14ac:dyDescent="0.25">
      <c r="B187">
        <v>9</v>
      </c>
      <c r="C187" t="s">
        <v>150</v>
      </c>
      <c r="D187">
        <v>-1</v>
      </c>
      <c r="E187" s="17">
        <v>550</v>
      </c>
      <c r="F187" s="17">
        <v>-300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150</v>
      </c>
      <c r="D188">
        <v>-1</v>
      </c>
      <c r="E188" s="17">
        <v>450</v>
      </c>
      <c r="F188" s="17">
        <v>-400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150</v>
      </c>
      <c r="D189">
        <v>-1</v>
      </c>
      <c r="E189" s="17">
        <v>449.85693134095635</v>
      </c>
      <c r="F189" s="17">
        <v>-400</v>
      </c>
      <c r="G189">
        <f>E189*F190-E190*F189</f>
      </c>
      <c r="H189">
        <f>(E189+E190)*G189</f>
      </c>
      <c r="I189">
        <f>(F189+F190)*G189</f>
      </c>
    </row>
    <row r="190" spans="2:9" x14ac:dyDescent="0.25">
      <c r="B190">
        <v>9</v>
      </c>
      <c r="C190" t="s">
        <v>150</v>
      </c>
      <c r="D190">
        <v>-1</v>
      </c>
      <c r="E190" s="17">
        <v>238.56229990088553</v>
      </c>
      <c r="F190" s="17">
        <v>388.56229990088553</v>
      </c>
      <c r="G190">
        <f>E190*F184-E184*F190</f>
      </c>
      <c r="H190">
        <f>(E190+E184)*G190</f>
      </c>
      <c r="I190">
        <f>(F190+F184)*G190</f>
      </c>
    </row>
    <row r="191" spans="2:9" x14ac:dyDescent="0.25">
      <c r="B191">
        <v>9</v>
      </c>
      <c r="C191" t="s">
        <v>186</v>
      </c>
      <c r="G191" s="13">
        <f>D184*ABS(SUM(G184:G190)/2)</f>
      </c>
      <c r="H191" s="13">
        <f>D184*SIGN(SUM(G184:G190))*SUM(H184:H190)/6</f>
      </c>
      <c r="I191" s="13">
        <f>D184*SIGN(SUM(G184:G190))*SUM(I184:I190)/6</f>
      </c>
    </row>
    <row r="192" spans="2:9" x14ac:dyDescent="0.25">
      <c r="B192">
        <v>9</v>
      </c>
      <c r="C192" s="13" t="s">
        <v>187</v>
      </c>
      <c r="G192" s="14">
        <f>G183+G191</f>
      </c>
      <c r="H192" s="14">
        <f>H183+H191</f>
      </c>
      <c r="I192" s="14">
        <f>I183+I191</f>
      </c>
    </row>
    <row r="194" spans="2:9" x14ac:dyDescent="0.25">
      <c r="B194">
        <v>10</v>
      </c>
      <c r="C194" t="s">
        <v>147</v>
      </c>
      <c r="D194">
        <v>1</v>
      </c>
      <c r="E194" s="17">
        <v>556.9163741100501</v>
      </c>
      <c r="F194" s="17">
        <v>-593.0836258899499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10</v>
      </c>
      <c r="C195" t="s">
        <v>147</v>
      </c>
      <c r="D195">
        <v>1</v>
      </c>
      <c r="E195" s="17">
        <v>750</v>
      </c>
      <c r="F195" s="17">
        <v>-400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10</v>
      </c>
      <c r="C196" t="s">
        <v>147</v>
      </c>
      <c r="D196">
        <v>1</v>
      </c>
      <c r="E196" s="17">
        <v>750</v>
      </c>
      <c r="F196" s="17">
        <v>400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10</v>
      </c>
      <c r="C197" t="s">
        <v>147</v>
      </c>
      <c r="D197">
        <v>1</v>
      </c>
      <c r="E197" s="17">
        <v>550</v>
      </c>
      <c r="F197" s="17">
        <v>600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10</v>
      </c>
      <c r="C198" t="s">
        <v>147</v>
      </c>
      <c r="D198">
        <v>1</v>
      </c>
      <c r="E198" s="17">
        <v>237.2305800500427</v>
      </c>
      <c r="F198" s="17">
        <v>600</v>
      </c>
      <c r="G198">
        <f>E198*F194-E194*F198</f>
      </c>
      <c r="H198">
        <f>(E198+E194)*G198</f>
      </c>
      <c r="I198">
        <f>(F198+F194)*G198</f>
      </c>
    </row>
    <row r="199" spans="2:9" x14ac:dyDescent="0.25">
      <c r="B199">
        <v>10</v>
      </c>
      <c r="C199" t="s">
        <v>186</v>
      </c>
      <c r="G199" s="13">
        <f>D194*ABS(SUM(G194:G198)/2)</f>
      </c>
      <c r="H199" s="13">
        <f>D194*SIGN(SUM(G194:G198))*SUM(H194:H198)/6</f>
      </c>
      <c r="I199" s="13">
        <f>D194*SIGN(SUM(G194:G198))*SUM(I194:I198)/6</f>
      </c>
    </row>
    <row r="200" spans="2:9" x14ac:dyDescent="0.25">
      <c r="B200">
        <v>10</v>
      </c>
      <c r="C200" t="s">
        <v>150</v>
      </c>
      <c r="D200">
        <v>-1</v>
      </c>
      <c r="E200" s="17">
        <v>290.8204185362672</v>
      </c>
      <c r="F200" s="17">
        <v>400</v>
      </c>
      <c r="G200">
        <f>E200*F201-E201*F200</f>
      </c>
      <c r="H200">
        <f>(E200+E201)*G200</f>
      </c>
      <c r="I200">
        <f>(F200+F201)*G200</f>
      </c>
    </row>
    <row r="201" spans="2:9" x14ac:dyDescent="0.25">
      <c r="B201">
        <v>10</v>
      </c>
      <c r="C201" t="s">
        <v>150</v>
      </c>
      <c r="D201">
        <v>-1</v>
      </c>
      <c r="E201" s="17">
        <v>450</v>
      </c>
      <c r="F201" s="17">
        <v>400</v>
      </c>
      <c r="G201">
        <f>E201*F202-E202*F201</f>
      </c>
      <c r="H201">
        <f>(E201+E202)*G201</f>
      </c>
      <c r="I201">
        <f>(F201+F202)*G201</f>
      </c>
    </row>
    <row r="202" spans="2:9" x14ac:dyDescent="0.25">
      <c r="B202">
        <v>10</v>
      </c>
      <c r="C202" t="s">
        <v>150</v>
      </c>
      <c r="D202">
        <v>-1</v>
      </c>
      <c r="E202" s="17">
        <v>550</v>
      </c>
      <c r="F202" s="17">
        <v>300</v>
      </c>
      <c r="G202">
        <f>E202*F203-E203*F202</f>
      </c>
      <c r="H202">
        <f>(E202+E203)*G202</f>
      </c>
      <c r="I202">
        <f>(F202+F203)*G202</f>
      </c>
    </row>
    <row r="203" spans="2:9" x14ac:dyDescent="0.25">
      <c r="B203">
        <v>10</v>
      </c>
      <c r="C203" t="s">
        <v>150</v>
      </c>
      <c r="D203">
        <v>-1</v>
      </c>
      <c r="E203" s="17">
        <v>550</v>
      </c>
      <c r="F203" s="17">
        <v>-300</v>
      </c>
      <c r="G203">
        <f>E203*F204-E204*F203</f>
      </c>
      <c r="H203">
        <f>(E203+E204)*G203</f>
      </c>
      <c r="I203">
        <f>(F203+F204)*G203</f>
      </c>
    </row>
    <row r="204" spans="2:9" x14ac:dyDescent="0.25">
      <c r="B204">
        <v>10</v>
      </c>
      <c r="C204" t="s">
        <v>150</v>
      </c>
      <c r="D204">
        <v>-1</v>
      </c>
      <c r="E204" s="17">
        <v>493.51891448849403</v>
      </c>
      <c r="F204" s="17">
        <v>-356.48108551150597</v>
      </c>
      <c r="G204">
        <f>E204*F200-E200*F204</f>
      </c>
      <c r="H204">
        <f>(E204+E200)*G204</f>
      </c>
      <c r="I204">
        <f>(F204+F200)*G204</f>
      </c>
    </row>
    <row r="205" spans="2:9" x14ac:dyDescent="0.25">
      <c r="B205">
        <v>10</v>
      </c>
      <c r="C205" t="s">
        <v>186</v>
      </c>
      <c r="G205" s="13">
        <f>D200*ABS(SUM(G200:G204)/2)</f>
      </c>
      <c r="H205" s="13">
        <f>D200*SIGN(SUM(G200:G204))*SUM(H200:H204)/6</f>
      </c>
      <c r="I205" s="13">
        <f>D200*SIGN(SUM(G200:G204))*SUM(I200:I204)/6</f>
      </c>
    </row>
    <row r="206" spans="2:9" x14ac:dyDescent="0.25">
      <c r="B206">
        <v>10</v>
      </c>
      <c r="C206" s="13" t="s">
        <v>187</v>
      </c>
      <c r="G206" s="14">
        <f>G199+G205</f>
      </c>
      <c r="H206" s="14">
        <f>H199+H205</f>
      </c>
      <c r="I206" s="14">
        <f>I199+I205</f>
      </c>
    </row>
    <row r="208" spans="2:9" x14ac:dyDescent="0.25">
      <c r="B208">
        <v>11</v>
      </c>
      <c r="C208" t="s">
        <v>147</v>
      </c>
      <c r="D208">
        <v>1</v>
      </c>
      <c r="E208" s="17">
        <v>621.01257202405</v>
      </c>
      <c r="F208" s="17">
        <v>-528.98742797595</v>
      </c>
      <c r="G208">
        <f>E208*F209-E209*F208</f>
      </c>
      <c r="H208">
        <f>(E208+E209)*G208</f>
      </c>
      <c r="I208">
        <f>(F208+F209)*G208</f>
      </c>
    </row>
    <row r="209" spans="2:9" x14ac:dyDescent="0.25">
      <c r="B209">
        <v>11</v>
      </c>
      <c r="C209" t="s">
        <v>147</v>
      </c>
      <c r="D209">
        <v>1</v>
      </c>
      <c r="E209" s="17">
        <v>750</v>
      </c>
      <c r="F209" s="17">
        <v>-400</v>
      </c>
      <c r="G209">
        <f>E209*F210-E210*F209</f>
      </c>
      <c r="H209">
        <f>(E209+E210)*G209</f>
      </c>
      <c r="I209">
        <f>(F209+F210)*G209</f>
      </c>
    </row>
    <row r="210" spans="2:9" x14ac:dyDescent="0.25">
      <c r="B210">
        <v>11</v>
      </c>
      <c r="C210" t="s">
        <v>147</v>
      </c>
      <c r="D210">
        <v>1</v>
      </c>
      <c r="E210" s="17">
        <v>750</v>
      </c>
      <c r="F210" s="17">
        <v>400</v>
      </c>
      <c r="G210">
        <f>E210*F211-E211*F210</f>
      </c>
      <c r="H210">
        <f>(E210+E211)*G210</f>
      </c>
      <c r="I210">
        <f>(F210+F211)*G210</f>
      </c>
    </row>
    <row r="211" spans="2:9" x14ac:dyDescent="0.25">
      <c r="B211">
        <v>11</v>
      </c>
      <c r="C211" t="s">
        <v>147</v>
      </c>
      <c r="D211">
        <v>1</v>
      </c>
      <c r="E211" s="17">
        <v>550</v>
      </c>
      <c r="F211" s="17">
        <v>600</v>
      </c>
      <c r="G211">
        <f>E211*F212-E212*F211</f>
      </c>
      <c r="H211">
        <f>(E211+E212)*G211</f>
      </c>
      <c r="I211">
        <f>(F211+F212)*G211</f>
      </c>
    </row>
    <row r="212" spans="2:9" x14ac:dyDescent="0.25">
      <c r="B212">
        <v>11</v>
      </c>
      <c r="C212" t="s">
        <v>147</v>
      </c>
      <c r="D212">
        <v>1</v>
      </c>
      <c r="E212" s="17">
        <v>318.5013024330042</v>
      </c>
      <c r="F212" s="17">
        <v>600</v>
      </c>
      <c r="G212">
        <f>E212*F208-E208*F212</f>
      </c>
      <c r="H212">
        <f>(E212+E208)*G212</f>
      </c>
      <c r="I212">
        <f>(F212+F208)*G212</f>
      </c>
    </row>
    <row r="213" spans="2:9" x14ac:dyDescent="0.25">
      <c r="B213">
        <v>11</v>
      </c>
      <c r="C213" t="s">
        <v>186</v>
      </c>
      <c r="G213" s="13">
        <f>D208*ABS(SUM(G208:G212)/2)</f>
      </c>
      <c r="H213" s="13">
        <f>D208*SIGN(SUM(G208:G212))*SUM(H208:H212)/6</f>
      </c>
      <c r="I213" s="13">
        <f>D208*SIGN(SUM(G208:G212))*SUM(I208:I212)/6</f>
      </c>
    </row>
    <row r="214" spans="2:9" x14ac:dyDescent="0.25">
      <c r="B214">
        <v>11</v>
      </c>
      <c r="C214" t="s">
        <v>150</v>
      </c>
      <c r="D214">
        <v>-1</v>
      </c>
      <c r="E214" s="17">
        <v>372.0911409192287</v>
      </c>
      <c r="F214" s="17">
        <v>400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11</v>
      </c>
      <c r="C215" t="s">
        <v>150</v>
      </c>
      <c r="D215">
        <v>-1</v>
      </c>
      <c r="E215" s="17">
        <v>450</v>
      </c>
      <c r="F215" s="17">
        <v>400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11</v>
      </c>
      <c r="C216" t="s">
        <v>150</v>
      </c>
      <c r="D216">
        <v>-1</v>
      </c>
      <c r="E216" s="17">
        <v>550</v>
      </c>
      <c r="F216" s="17">
        <v>300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11</v>
      </c>
      <c r="C217" t="s">
        <v>150</v>
      </c>
      <c r="D217">
        <v>-1</v>
      </c>
      <c r="E217" s="17">
        <v>550</v>
      </c>
      <c r="F217" s="17">
        <v>-263.96490120605085</v>
      </c>
      <c r="G217">
        <f>E217*F214-E214*F217</f>
      </c>
      <c r="H217">
        <f>(E217+E214)*G217</f>
      </c>
      <c r="I217">
        <f>(F217+F214)*G217</f>
      </c>
    </row>
    <row r="218" spans="2:9" x14ac:dyDescent="0.25">
      <c r="B218">
        <v>11</v>
      </c>
      <c r="C218" t="s">
        <v>186</v>
      </c>
      <c r="G218" s="13">
        <f>D214*ABS(SUM(G214:G217)/2)</f>
      </c>
      <c r="H218" s="13">
        <f>D214*SIGN(SUM(G214:G217))*SUM(H214:H217)/6</f>
      </c>
      <c r="I218" s="13">
        <f>D214*SIGN(SUM(G214:G217))*SUM(I214:I217)/6</f>
      </c>
    </row>
    <row r="219" spans="2:9" x14ac:dyDescent="0.25">
      <c r="B219">
        <v>11</v>
      </c>
      <c r="C219" s="13" t="s">
        <v>187</v>
      </c>
      <c r="G219" s="14">
        <f>G213+G218</f>
      </c>
      <c r="H219" s="14">
        <f>H213+H218</f>
      </c>
      <c r="I219" s="14">
        <f>I213+I218</f>
      </c>
    </row>
    <row r="221" spans="2:9" x14ac:dyDescent="0.25">
      <c r="B221">
        <v>12</v>
      </c>
      <c r="C221" t="s">
        <v>147</v>
      </c>
      <c r="D221">
        <v>1</v>
      </c>
      <c r="E221" s="17">
        <v>665.8317179338394</v>
      </c>
      <c r="F221" s="17">
        <v>-484.1682820661606</v>
      </c>
      <c r="G221">
        <f>E221*F222-E222*F221</f>
      </c>
      <c r="H221">
        <f>(E221+E222)*G221</f>
      </c>
      <c r="I221">
        <f>(F221+F222)*G221</f>
      </c>
    </row>
    <row r="222" spans="2:9" x14ac:dyDescent="0.25">
      <c r="B222">
        <v>12</v>
      </c>
      <c r="C222" t="s">
        <v>147</v>
      </c>
      <c r="D222">
        <v>1</v>
      </c>
      <c r="E222" s="17">
        <v>750</v>
      </c>
      <c r="F222" s="17">
        <v>-400</v>
      </c>
      <c r="G222">
        <f>E222*F223-E223*F222</f>
      </c>
      <c r="H222">
        <f>(E222+E223)*G222</f>
      </c>
      <c r="I222">
        <f>(F222+F223)*G222</f>
      </c>
    </row>
    <row r="223" spans="2:9" x14ac:dyDescent="0.25">
      <c r="B223">
        <v>12</v>
      </c>
      <c r="C223" t="s">
        <v>147</v>
      </c>
      <c r="D223">
        <v>1</v>
      </c>
      <c r="E223" s="17">
        <v>750</v>
      </c>
      <c r="F223" s="17">
        <v>400</v>
      </c>
      <c r="G223">
        <f>E223*F224-E224*F223</f>
      </c>
      <c r="H223">
        <f>(E223+E224)*G223</f>
      </c>
      <c r="I223">
        <f>(F223+F224)*G223</f>
      </c>
    </row>
    <row r="224" spans="2:9" x14ac:dyDescent="0.25">
      <c r="B224">
        <v>12</v>
      </c>
      <c r="C224" t="s">
        <v>147</v>
      </c>
      <c r="D224">
        <v>1</v>
      </c>
      <c r="E224" s="17">
        <v>550</v>
      </c>
      <c r="F224" s="17">
        <v>600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12</v>
      </c>
      <c r="C225" t="s">
        <v>147</v>
      </c>
      <c r="D225">
        <v>1</v>
      </c>
      <c r="E225" s="17">
        <v>375.3297022947744</v>
      </c>
      <c r="F225" s="17">
        <v>600</v>
      </c>
      <c r="G225">
        <f>E225*F221-E221*F225</f>
      </c>
      <c r="H225">
        <f>(E225+E221)*G225</f>
      </c>
      <c r="I225">
        <f>(F225+F221)*G225</f>
      </c>
    </row>
    <row r="226" spans="2:9" x14ac:dyDescent="0.25">
      <c r="B226">
        <v>12</v>
      </c>
      <c r="C226" t="s">
        <v>186</v>
      </c>
      <c r="G226" s="13">
        <f>D221*ABS(SUM(G221:G225)/2)</f>
      </c>
      <c r="H226" s="13">
        <f>D221*SIGN(SUM(G221:G225))*SUM(H221:H225)/6</f>
      </c>
      <c r="I226" s="13">
        <f>D221*SIGN(SUM(G221:G225))*SUM(I221:I225)/6</f>
      </c>
    </row>
    <row r="227" spans="2:9" x14ac:dyDescent="0.25">
      <c r="B227">
        <v>12</v>
      </c>
      <c r="C227" t="s">
        <v>150</v>
      </c>
      <c r="D227">
        <v>-1</v>
      </c>
      <c r="E227" s="17">
        <v>428.9195407809989</v>
      </c>
      <c r="F227" s="17">
        <v>400</v>
      </c>
      <c r="G227">
        <f>E227*F228-E228*F227</f>
      </c>
      <c r="H227">
        <f>(E227+E228)*G227</f>
      </c>
      <c r="I227">
        <f>(F227+F228)*G227</f>
      </c>
    </row>
    <row r="228" spans="2:9" x14ac:dyDescent="0.25">
      <c r="B228">
        <v>12</v>
      </c>
      <c r="C228" t="s">
        <v>150</v>
      </c>
      <c r="D228">
        <v>-1</v>
      </c>
      <c r="E228" s="17">
        <v>450</v>
      </c>
      <c r="F228" s="17">
        <v>400</v>
      </c>
      <c r="G228">
        <f>E228*F229-E229*F228</f>
      </c>
      <c r="H228">
        <f>(E228+E229)*G228</f>
      </c>
      <c r="I228">
        <f>(F228+F229)*G228</f>
      </c>
    </row>
    <row r="229" spans="2:9" x14ac:dyDescent="0.25">
      <c r="B229">
        <v>12</v>
      </c>
      <c r="C229" t="s">
        <v>150</v>
      </c>
      <c r="D229">
        <v>-1</v>
      </c>
      <c r="E229" s="17">
        <v>550</v>
      </c>
      <c r="F229" s="17">
        <v>300</v>
      </c>
      <c r="G229">
        <f>E229*F230-E230*F229</f>
      </c>
      <c r="H229">
        <f>(E229+E230)*G229</f>
      </c>
      <c r="I229">
        <f>(F229+F230)*G229</f>
      </c>
    </row>
    <row r="230" spans="2:9" x14ac:dyDescent="0.25">
      <c r="B230">
        <v>12</v>
      </c>
      <c r="C230" t="s">
        <v>150</v>
      </c>
      <c r="D230">
        <v>-1</v>
      </c>
      <c r="E230" s="17">
        <v>550</v>
      </c>
      <c r="F230" s="17">
        <v>-51.87842560908416</v>
      </c>
      <c r="G230">
        <f>E230*F227-E227*F230</f>
      </c>
      <c r="H230">
        <f>(E230+E227)*G230</f>
      </c>
      <c r="I230">
        <f>(F230+F227)*G230</f>
      </c>
    </row>
    <row r="231" spans="2:9" x14ac:dyDescent="0.25">
      <c r="B231">
        <v>12</v>
      </c>
      <c r="C231" t="s">
        <v>186</v>
      </c>
      <c r="G231" s="13">
        <f>D227*ABS(SUM(G227:G230)/2)</f>
      </c>
      <c r="H231" s="13">
        <f>D227*SIGN(SUM(G227:G230))*SUM(H227:H230)/6</f>
      </c>
      <c r="I231" s="13">
        <f>D227*SIGN(SUM(G227:G230))*SUM(I227:I230)/6</f>
      </c>
    </row>
    <row r="232" spans="2:9" x14ac:dyDescent="0.25">
      <c r="B232">
        <v>12</v>
      </c>
      <c r="C232" s="13" t="s">
        <v>187</v>
      </c>
      <c r="G232" s="14">
        <f>G226+G231</f>
      </c>
      <c r="H232" s="14">
        <f>H226+H231</f>
      </c>
      <c r="I232" s="14">
        <f>I226+I231</f>
      </c>
    </row>
    <row r="234" spans="2:9" x14ac:dyDescent="0.25">
      <c r="B234">
        <v>13</v>
      </c>
      <c r="C234" t="s">
        <v>147</v>
      </c>
      <c r="D234">
        <v>1</v>
      </c>
      <c r="E234" s="17">
        <v>735.0197437235416</v>
      </c>
      <c r="F234" s="17">
        <v>-414.98025627645836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13</v>
      </c>
      <c r="C235" t="s">
        <v>147</v>
      </c>
      <c r="D235">
        <v>1</v>
      </c>
      <c r="E235" s="17">
        <v>750</v>
      </c>
      <c r="F235" s="17">
        <v>-400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13</v>
      </c>
      <c r="C236" t="s">
        <v>147</v>
      </c>
      <c r="D236">
        <v>1</v>
      </c>
      <c r="E236" s="17">
        <v>750</v>
      </c>
      <c r="F236" s="17">
        <v>400</v>
      </c>
      <c r="G236">
        <f>E236*F237-E237*F236</f>
      </c>
      <c r="H236">
        <f>(E236+E237)*G236</f>
      </c>
      <c r="I236">
        <f>(F236+F237)*G236</f>
      </c>
    </row>
    <row r="237" spans="2:9" x14ac:dyDescent="0.25">
      <c r="B237">
        <v>13</v>
      </c>
      <c r="C237" t="s">
        <v>147</v>
      </c>
      <c r="D237">
        <v>1</v>
      </c>
      <c r="E237" s="17">
        <v>550</v>
      </c>
      <c r="F237" s="17">
        <v>600</v>
      </c>
      <c r="G237">
        <f>E237*F238-E238*F237</f>
      </c>
      <c r="H237">
        <f>(E237+E238)*G237</f>
      </c>
      <c r="I237">
        <f>(F237+F238)*G237</f>
      </c>
    </row>
    <row r="238" spans="2:9" x14ac:dyDescent="0.25">
      <c r="B238">
        <v>13</v>
      </c>
      <c r="C238" t="s">
        <v>147</v>
      </c>
      <c r="D238">
        <v>1</v>
      </c>
      <c r="E238" s="17">
        <v>463.05660372073095</v>
      </c>
      <c r="F238" s="17">
        <v>600</v>
      </c>
      <c r="G238">
        <f>E238*F234-E234*F238</f>
      </c>
      <c r="H238">
        <f>(E238+E234)*G238</f>
      </c>
      <c r="I238">
        <f>(F238+F234)*G238</f>
      </c>
    </row>
    <row r="239" spans="2:9" x14ac:dyDescent="0.25">
      <c r="B239">
        <v>13</v>
      </c>
      <c r="C239" t="s">
        <v>186</v>
      </c>
      <c r="G239" s="13">
        <f>D234*ABS(SUM(G234:G238)/2)</f>
      </c>
      <c r="H239" s="13">
        <f>D234*SIGN(SUM(G234:G238))*SUM(H234:H238)/6</f>
      </c>
      <c r="I239" s="13">
        <f>D234*SIGN(SUM(G234:G238))*SUM(I234:I238)/6</f>
      </c>
    </row>
    <row r="240" spans="2:9" x14ac:dyDescent="0.25">
      <c r="B240">
        <v>13</v>
      </c>
      <c r="C240" t="s">
        <v>150</v>
      </c>
      <c r="D240">
        <v>-1</v>
      </c>
      <c r="E240" s="17">
        <v>541.0407331265526</v>
      </c>
      <c r="F240" s="17">
        <v>308.9592668734474</v>
      </c>
      <c r="G240">
        <f>E240*F241-E241*F240</f>
      </c>
      <c r="H240">
        <f>(E240+E241)*G240</f>
      </c>
      <c r="I240">
        <f>(F240+F241)*G240</f>
      </c>
    </row>
    <row r="241" spans="2:9" x14ac:dyDescent="0.25">
      <c r="B241">
        <v>13</v>
      </c>
      <c r="C241" t="s">
        <v>150</v>
      </c>
      <c r="D241">
        <v>-1</v>
      </c>
      <c r="E241" s="17">
        <v>550</v>
      </c>
      <c r="F241" s="17">
        <v>300</v>
      </c>
      <c r="G241">
        <f>E241*F242-E242*F241</f>
      </c>
      <c r="H241">
        <f>(E241+E242)*G241</f>
      </c>
      <c r="I241">
        <f>(F241+F242)*G241</f>
      </c>
    </row>
    <row r="242" spans="2:9" x14ac:dyDescent="0.25">
      <c r="B242">
        <v>13</v>
      </c>
      <c r="C242" t="s">
        <v>150</v>
      </c>
      <c r="D242">
        <v>-1</v>
      </c>
      <c r="E242" s="17">
        <v>550</v>
      </c>
      <c r="F242" s="17">
        <v>275.5228277031729</v>
      </c>
      <c r="G242">
        <f>E242*F240-E240*F242</f>
      </c>
      <c r="H242">
        <f>(E242+E240)*G242</f>
      </c>
      <c r="I242">
        <f>(F242+F240)*G242</f>
      </c>
    </row>
    <row r="243" spans="2:9" x14ac:dyDescent="0.25">
      <c r="B243">
        <v>13</v>
      </c>
      <c r="C243" t="s">
        <v>186</v>
      </c>
      <c r="G243" s="13">
        <f>D240*ABS(SUM(G240:G242)/2)</f>
      </c>
      <c r="H243" s="13">
        <f>D240*SIGN(SUM(G240:G242))*SUM(H240:H242)/6</f>
      </c>
      <c r="I243" s="13">
        <f>D240*SIGN(SUM(G240:G242))*SUM(I240:I242)/6</f>
      </c>
    </row>
    <row r="244" spans="2:9" x14ac:dyDescent="0.25">
      <c r="B244">
        <v>13</v>
      </c>
      <c r="C244" s="13" t="s">
        <v>187</v>
      </c>
      <c r="G244" s="14">
        <f>G239+G243</f>
      </c>
      <c r="H244" s="14">
        <f>H239+H243</f>
      </c>
      <c r="I244" s="14">
        <f>I239+I243</f>
      </c>
    </row>
    <row r="246" spans="2:9" x14ac:dyDescent="0.25">
      <c r="B246">
        <v>14</v>
      </c>
      <c r="C246" t="s">
        <v>147</v>
      </c>
      <c r="D246">
        <v>1</v>
      </c>
      <c r="E246" s="17">
        <v>750</v>
      </c>
      <c r="F246" s="17">
        <v>-284.0016398598304</v>
      </c>
      <c r="G246">
        <f>E246*F247-E247*F246</f>
      </c>
      <c r="H246">
        <f>(E246+E247)*G246</f>
      </c>
      <c r="I246">
        <f>(F246+F247)*G246</f>
      </c>
    </row>
    <row r="247" spans="2:9" x14ac:dyDescent="0.25">
      <c r="B247">
        <v>14</v>
      </c>
      <c r="C247" t="s">
        <v>147</v>
      </c>
      <c r="D247">
        <v>1</v>
      </c>
      <c r="E247" s="17">
        <v>750</v>
      </c>
      <c r="F247" s="17">
        <v>400</v>
      </c>
      <c r="G247">
        <f>E247*F248-E248*F247</f>
      </c>
      <c r="H247">
        <f>(E247+E248)*G247</f>
      </c>
      <c r="I247">
        <f>(F247+F248)*G247</f>
      </c>
    </row>
    <row r="248" spans="2:9" x14ac:dyDescent="0.25">
      <c r="B248">
        <v>14</v>
      </c>
      <c r="C248" t="s">
        <v>147</v>
      </c>
      <c r="D248">
        <v>1</v>
      </c>
      <c r="E248" s="17">
        <v>550</v>
      </c>
      <c r="F248" s="17">
        <v>600</v>
      </c>
      <c r="G248">
        <f>E248*F249-E249*F248</f>
      </c>
      <c r="H248">
        <f>(E248+E249)*G248</f>
      </c>
      <c r="I248">
        <f>(F248+F249)*G248</f>
      </c>
    </row>
    <row r="249" spans="2:9" x14ac:dyDescent="0.25">
      <c r="B249">
        <v>14</v>
      </c>
      <c r="C249" t="s">
        <v>147</v>
      </c>
      <c r="D249">
        <v>1</v>
      </c>
      <c r="E249" s="17">
        <v>513.1324744917705</v>
      </c>
      <c r="F249" s="17">
        <v>600</v>
      </c>
      <c r="G249">
        <f>E249*F246-E246*F249</f>
      </c>
      <c r="H249">
        <f>(E249+E246)*G249</f>
      </c>
      <c r="I249">
        <f>(F249+F246)*G249</f>
      </c>
    </row>
    <row r="250" spans="2:9" x14ac:dyDescent="0.25">
      <c r="B250">
        <v>14</v>
      </c>
      <c r="C250" t="s">
        <v>186</v>
      </c>
      <c r="G250" s="13">
        <f>D246*ABS(SUM(G246:G249)/2)</f>
      </c>
      <c r="H250" s="13">
        <f>D246*SIGN(SUM(G246:G249))*SUM(H246:H249)/6</f>
      </c>
      <c r="I250" s="13">
        <f>D246*SIGN(SUM(G246:G249))*SUM(I246:I249)/6</f>
      </c>
    </row>
    <row r="251" spans="2:9" x14ac:dyDescent="0.25">
      <c r="B251">
        <v>14</v>
      </c>
      <c r="C251" s="13" t="s">
        <v>187</v>
      </c>
      <c r="G251" s="14">
        <f>G250</f>
      </c>
      <c r="H251" s="14">
        <f>H250</f>
      </c>
      <c r="I251" s="14">
        <f>I250</f>
      </c>
    </row>
    <row r="253" spans="2:9" x14ac:dyDescent="0.25">
      <c r="B253">
        <v>15</v>
      </c>
      <c r="C253" t="s">
        <v>147</v>
      </c>
      <c r="D253">
        <v>1</v>
      </c>
      <c r="E253" s="17">
        <v>750</v>
      </c>
      <c r="F253" s="17">
        <v>31.934452454179223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15</v>
      </c>
      <c r="C254" t="s">
        <v>147</v>
      </c>
      <c r="D254">
        <v>1</v>
      </c>
      <c r="E254" s="17">
        <v>750</v>
      </c>
      <c r="F254" s="17">
        <v>400</v>
      </c>
      <c r="G254">
        <f>E254*F255-E255*F254</f>
      </c>
      <c r="H254">
        <f>(E254+E255)*G254</f>
      </c>
      <c r="I254">
        <f>(F254+F255)*G254</f>
      </c>
    </row>
    <row r="255" spans="2:9" x14ac:dyDescent="0.25">
      <c r="B255">
        <v>15</v>
      </c>
      <c r="C255" t="s">
        <v>147</v>
      </c>
      <c r="D255">
        <v>1</v>
      </c>
      <c r="E255" s="17">
        <v>615.2786593404006</v>
      </c>
      <c r="F255" s="17">
        <v>534.7213406595994</v>
      </c>
      <c r="G255">
        <f>E255*F253-E253*F255</f>
      </c>
      <c r="H255">
        <f>(E255+E253)*G255</f>
      </c>
      <c r="I255">
        <f>(F255+F253)*G255</f>
      </c>
    </row>
    <row r="256" spans="2:9" x14ac:dyDescent="0.25">
      <c r="B256">
        <v>15</v>
      </c>
      <c r="C256" t="s">
        <v>186</v>
      </c>
      <c r="G256" s="13">
        <f>D253*ABS(SUM(G253:G255)/2)</f>
      </c>
      <c r="H256" s="13">
        <f>D253*SIGN(SUM(G253:G255))*SUM(H253:H255)/6</f>
      </c>
      <c r="I256" s="13">
        <f>D253*SIGN(SUM(G253:G255))*SUM(I253:I255)/6</f>
      </c>
    </row>
    <row r="257" spans="2:9" x14ac:dyDescent="0.25">
      <c r="B257">
        <v>15</v>
      </c>
      <c r="C257" s="13" t="s">
        <v>187</v>
      </c>
      <c r="G257" s="14">
        <f>G256</f>
      </c>
      <c r="H257" s="14">
        <f>H256</f>
      </c>
      <c r="I257" s="14">
        <f>I256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188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190</v>
      </c>
      <c r="C5" s="11" t="s">
        <v>191</v>
      </c>
      <c r="D5" s="11" t="s">
        <v>192</v>
      </c>
      <c r="E5" s="11" t="s">
        <v>193</v>
      </c>
      <c r="F5" s="11" t="s">
        <v>194</v>
      </c>
      <c r="G5" s="11" t="s">
        <v>195</v>
      </c>
      <c r="H5" s="11" t="s">
        <v>196</v>
      </c>
      <c r="I5" s="11" t="s">
        <v>197</v>
      </c>
      <c r="J5" s="11" t="s">
        <v>198</v>
      </c>
      <c r="K5" s="11" t="s">
        <v>199</v>
      </c>
      <c r="L5" s="11" t="s">
        <v>200</v>
      </c>
      <c r="M5" s="11" t="s">
        <v>201</v>
      </c>
    </row>
    <row r="6" spans="2:13" x14ac:dyDescent="0.25">
      <c r="B6">
        <v>1</v>
      </c>
      <c r="C6" s="17">
        <v>1655.943975515619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904090.221567438</v>
      </c>
    </row>
    <row r="7" spans="2:13" x14ac:dyDescent="0.25">
      <c r="B7">
        <v>2</v>
      </c>
      <c r="C7" s="17">
        <v>1562.4472631651322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867341.9089847957</v>
      </c>
    </row>
    <row r="8" spans="2:13" x14ac:dyDescent="0.25">
      <c r="B8">
        <v>3</v>
      </c>
      <c r="C8" s="17">
        <v>1356.8620969591937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793405.4972965524</v>
      </c>
    </row>
    <row r="9" spans="2:13" x14ac:dyDescent="0.25">
      <c r="B9">
        <v>4</v>
      </c>
      <c r="C9" s="17">
        <v>1199.0874345220782</v>
      </c>
      <c r="D9" s="12">
        <f>beta_1*C9</f>
      </c>
      <c r="E9" s="12">
        <f>Block_Clip!G104</f>
      </c>
      <c r="F9" s="12">
        <f>Block_Clip!H104</f>
      </c>
      <c r="G9" s="12">
        <f>Block_Clip!I104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711905.9286392336</v>
      </c>
    </row>
    <row r="10" spans="2:13" x14ac:dyDescent="0.25">
      <c r="B10">
        <v>5</v>
      </c>
      <c r="C10" s="17">
        <v>1074.1824934260283</v>
      </c>
      <c r="D10" s="12">
        <f>beta_1*C10</f>
      </c>
      <c r="E10" s="12">
        <f>Block_Clip!G122</f>
      </c>
      <c r="F10" s="12">
        <f>Block_Clip!H122</f>
      </c>
      <c r="G10" s="12">
        <f>Block_Clip!I122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598976.9145362398</v>
      </c>
    </row>
    <row r="11" spans="2:13" x14ac:dyDescent="0.25">
      <c r="B11">
        <v>6</v>
      </c>
      <c r="C11" s="17">
        <v>972.8445223481012</v>
      </c>
      <c r="D11" s="12">
        <f>beta_1*C11</f>
      </c>
      <c r="E11" s="12">
        <f>Block_Clip!G140</f>
      </c>
      <c r="F11" s="12">
        <f>Block_Clip!H140</f>
      </c>
      <c r="G11" s="12">
        <f>Block_Clip!I140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498260.63841329864</v>
      </c>
    </row>
    <row r="12" spans="2:13" x14ac:dyDescent="0.25">
      <c r="B12">
        <v>7</v>
      </c>
      <c r="C12" s="17">
        <v>818.4247568960216</v>
      </c>
      <c r="D12" s="12">
        <f>beta_1*C12</f>
      </c>
      <c r="E12" s="12">
        <f>Block_Clip!G158</f>
      </c>
      <c r="F12" s="12">
        <f>Block_Clip!H158</f>
      </c>
      <c r="G12" s="12">
        <f>Block_Clip!I158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374568.10008135275</v>
      </c>
    </row>
    <row r="13" spans="2:13" x14ac:dyDescent="0.25">
      <c r="B13">
        <v>8</v>
      </c>
      <c r="C13" s="17">
        <v>706.3117764993063</v>
      </c>
      <c r="D13" s="12">
        <f>beta_1*C13</f>
      </c>
      <c r="E13" s="12">
        <f>Block_Clip!G175</f>
      </c>
      <c r="F13" s="12">
        <f>Block_Clip!H175</f>
      </c>
      <c r="G13" s="12">
        <f>Block_Clip!I175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323968.9080402689</v>
      </c>
    </row>
    <row r="14" spans="2:13" x14ac:dyDescent="0.25">
      <c r="B14">
        <v>9</v>
      </c>
      <c r="C14" s="17">
        <v>621.2139721017995</v>
      </c>
      <c r="D14" s="12">
        <f>beta_1*C14</f>
      </c>
      <c r="E14" s="12">
        <f>Block_Clip!G192</f>
      </c>
      <c r="F14" s="12">
        <f>Block_Clip!H192</f>
      </c>
      <c r="G14" s="12">
        <f>Block_Clip!I192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293012.0354328243</v>
      </c>
    </row>
    <row r="15" spans="2:13" x14ac:dyDescent="0.25">
      <c r="B15">
        <v>10</v>
      </c>
      <c r="C15" s="17">
        <v>554.4167708005308</v>
      </c>
      <c r="D15" s="12">
        <f>beta_1*C15</f>
      </c>
      <c r="E15" s="12">
        <f>Block_Clip!G206</f>
      </c>
      <c r="F15" s="12">
        <f>Block_Clip!H206</f>
      </c>
      <c r="G15" s="12">
        <f>Block_Clip!I206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269629.6068515874</v>
      </c>
    </row>
    <row r="16" spans="2:13" x14ac:dyDescent="0.25">
      <c r="B16">
        <v>11</v>
      </c>
      <c r="C16" s="17">
        <v>456.2899087119413</v>
      </c>
      <c r="D16" s="12">
        <f>beta_1*C16</f>
      </c>
      <c r="E16" s="12">
        <f>Block_Clip!G219</f>
      </c>
      <c r="F16" s="12">
        <f>Block_Clip!H219</f>
      </c>
      <c r="G16" s="12">
        <f>Block_Clip!I219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234009.39733691973</v>
      </c>
    </row>
    <row r="17" spans="2:13" x14ac:dyDescent="0.25">
      <c r="B17">
        <v>12</v>
      </c>
      <c r="C17" s="17">
        <v>387.6748848454839</v>
      </c>
      <c r="D17" s="12">
        <f>beta_1*C17</f>
      </c>
      <c r="E17" s="12">
        <f>Block_Clip!G232</f>
      </c>
      <c r="F17" s="12">
        <f>Block_Clip!H232</f>
      </c>
      <c r="G17" s="12">
        <f>Block_Clip!I232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202830.14389327238</v>
      </c>
    </row>
    <row r="18" spans="2:13" x14ac:dyDescent="0.25">
      <c r="B18">
        <v>13</v>
      </c>
      <c r="C18" s="17">
        <v>281.7527851609255</v>
      </c>
      <c r="D18" s="12">
        <f>beta_1*C18</f>
      </c>
      <c r="E18" s="12">
        <f>Block_Clip!G244</f>
      </c>
      <c r="F18" s="12">
        <f>Block_Clip!H244</f>
      </c>
      <c r="G18" s="12">
        <f>Block_Clip!I244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133001.42032495682</v>
      </c>
    </row>
    <row r="19" spans="2:13" x14ac:dyDescent="0.25">
      <c r="B19">
        <v>14</v>
      </c>
      <c r="C19" s="17">
        <v>221.2908140963492</v>
      </c>
      <c r="D19" s="12">
        <f>beta_1*C19</f>
      </c>
      <c r="E19" s="12">
        <f>Block_Clip!G251</f>
      </c>
      <c r="F19" s="12">
        <f>Block_Clip!H251</f>
      </c>
      <c r="G19" s="12">
        <f>Block_Clip!I251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84695.64048940752</v>
      </c>
    </row>
    <row r="20" spans="2:13" x14ac:dyDescent="0.25">
      <c r="B20">
        <v>15</v>
      </c>
      <c r="C20" s="17">
        <v>119.07796693868214</v>
      </c>
      <c r="D20" s="12">
        <f>beta_1*C20</f>
      </c>
      <c r="E20" s="12">
        <f>Block_Clip!G257</f>
      </c>
      <c r="F20" s="12">
        <f>Block_Clip!H257</f>
      </c>
      <c r="G20" s="12">
        <f>Block_Clip!I257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24793.142007991235</v>
      </c>
    </row>
    <row r="22" spans="2:8" x14ac:dyDescent="0.25">
      <c r="B22" s="13" t="s">
        <v>202</v>
      </c>
      <c r="E22" s="19">
        <f>MAX(ABS(E6:E20-M6:M20))</f>
      </c>
      <c r="F22">
        <f>IF(E22&lt;=0.000001*MAX(M6:M20),"OK - the clipped polygon reproduces the area used by the kernel","CHECK - clipped area disagrees")</f>
      </c>
      <c r="H22" s="2" t="s">
        <v>203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27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190</v>
      </c>
      <c r="C5" s="11" t="s">
        <v>206</v>
      </c>
      <c r="D5" s="11" t="s">
        <v>191</v>
      </c>
      <c r="E5" s="11" t="s">
        <v>207</v>
      </c>
      <c r="F5" s="11" t="s">
        <v>208</v>
      </c>
      <c r="G5" s="11" t="s">
        <v>209</v>
      </c>
      <c r="H5" s="11" t="s">
        <v>210</v>
      </c>
      <c r="I5" s="11" t="s">
        <v>211</v>
      </c>
      <c r="J5" s="11" t="s">
        <v>212</v>
      </c>
      <c r="K5" s="11" t="s">
        <v>213</v>
      </c>
      <c r="L5" s="11" t="s">
        <v>214</v>
      </c>
      <c r="M5" s="11" t="s">
        <v>215</v>
      </c>
      <c r="N5" s="11" t="s">
        <v>216</v>
      </c>
      <c r="O5" s="11" t="s">
        <v>217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3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190</v>
      </c>
      <c r="C6" s="11" t="s">
        <v>191</v>
      </c>
      <c r="D6" s="11" t="s">
        <v>198</v>
      </c>
      <c r="E6" s="11" t="s">
        <v>220</v>
      </c>
      <c r="F6" s="11" t="s">
        <v>221</v>
      </c>
      <c r="G6" s="11" t="s">
        <v>222</v>
      </c>
      <c r="H6" s="11" t="s">
        <v>223</v>
      </c>
      <c r="I6" s="11" t="s">
        <v>224</v>
      </c>
      <c r="J6" s="11" t="s">
        <v>225</v>
      </c>
      <c r="K6" s="11" t="s">
        <v>226</v>
      </c>
      <c r="L6" s="11" t="s">
        <v>227</v>
      </c>
      <c r="M6" s="11" t="s">
        <v>228</v>
      </c>
      <c r="N6" s="11" t="s">
        <v>229</v>
      </c>
      <c r="O6" s="11" t="s">
        <v>230</v>
      </c>
      <c r="P6" s="11" t="s">
        <v>231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17396.106570752956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16626.93932990995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14973.985384972373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13193.626987880905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10869.609998374528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8734.688734939808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6706.847717516592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5800.618413798187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5190.594334869808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4312.180659173069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3015.2867777491065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1978.2368931134822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-80.09316185950794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-1514.3820201479796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-3857.426617095661</v>
      </c>
      <c r="P21" s="19">
        <f>L21-O21</f>
      </c>
    </row>
    <row r="23" spans="2:16" x14ac:dyDescent="0.25">
      <c r="B23" s="13" t="s">
        <v>232</v>
      </c>
      <c r="L23">
        <f>IF(P23&lt;=0.000001*MAX(ABS(O7:O21)),"OK - the sheet reproduces the design resultants","CHECK - the sheet and the solver disagree")</f>
      </c>
      <c r="P23" s="19">
        <f>MAX(ABS(P7:P21))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1387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235</v>
      </c>
      <c r="C7" s="11" t="s">
        <v>236</v>
      </c>
      <c r="D7" s="11" t="s">
        <v>237</v>
      </c>
      <c r="E7" s="11" t="s">
        <v>238</v>
      </c>
      <c r="F7" s="11" t="s">
        <v>216</v>
      </c>
      <c r="G7" s="11" t="s">
        <v>217</v>
      </c>
      <c r="H7" s="11" t="s">
        <v>239</v>
      </c>
      <c r="I7" s="11" t="s">
        <v>240</v>
      </c>
      <c r="J7" s="11" t="s">
        <v>241</v>
      </c>
      <c r="K7" s="11" t="s">
        <v>242</v>
      </c>
      <c r="L7" s="11" t="s">
        <v>243</v>
      </c>
      <c r="M7" s="11" t="s">
        <v>244</v>
      </c>
      <c r="N7" s="11" t="s">
        <v>245</v>
      </c>
    </row>
    <row r="8" spans="2:14" x14ac:dyDescent="0.25">
      <c r="B8">
        <v>1</v>
      </c>
      <c r="C8">
        <v>0</v>
      </c>
      <c r="D8">
        <v>1</v>
      </c>
      <c r="E8" s="18">
        <v>16729.912727771847</v>
      </c>
      <c r="F8" s="18">
        <v>4.842877388000488e-14</v>
      </c>
      <c r="G8" s="18">
        <v>3174.4158204826354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16256.710414302552</v>
      </c>
      <c r="F9" s="18">
        <v>-2.9057264328002935e-14</v>
      </c>
      <c r="G9" s="18">
        <v>3378.863791222955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14806.758881028089</v>
      </c>
      <c r="F10" s="18">
        <v>-3.002583980560303e-13</v>
      </c>
      <c r="G10" s="18">
        <v>3880.0922716141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13152.449960230397</v>
      </c>
      <c r="F11" s="18">
        <v>-9.685754776000977e-15</v>
      </c>
      <c r="G11" s="18">
        <v>4269.512275466682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10875.75001078793</v>
      </c>
      <c r="F12" s="18">
        <v>-9.685754776000977e-15</v>
      </c>
      <c r="G12" s="18">
        <v>4600.75578429855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8968.920285263712</v>
      </c>
      <c r="F13" s="18">
        <v>1.743435859680176e-13</v>
      </c>
      <c r="G13" s="18">
        <v>4781.543944731383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6813.738571802294</v>
      </c>
      <c r="F14" s="18">
        <v>3.203749656677246e-14</v>
      </c>
      <c r="G14" s="18">
        <v>5104.322117480474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6115.948112681747</v>
      </c>
      <c r="F15" s="18">
        <v>8.754432201385496e-14</v>
      </c>
      <c r="G15" s="18">
        <v>5437.974372072232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5651.216252728246</v>
      </c>
      <c r="F16" s="18">
        <v>-3.799796104431152e-14</v>
      </c>
      <c r="G16" s="18">
        <v>5733.468299427717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4911.672282887007</v>
      </c>
      <c r="F17" s="18">
        <v>-1.424923539161682e-14</v>
      </c>
      <c r="G17" s="18">
        <v>5550.13844608314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3863.9307841404243</v>
      </c>
      <c r="F18" s="18">
        <v>1.0686926543712616e-13</v>
      </c>
      <c r="G18" s="18">
        <v>5231.774613725775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3078.510649788941</v>
      </c>
      <c r="F19" s="18">
        <v>9.34116542339325e-14</v>
      </c>
      <c r="G19" s="18">
        <v>4941.459462632535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1836.3300516777654</v>
      </c>
      <c r="F20" s="18">
        <v>-2.818182110786438e-13</v>
      </c>
      <c r="G20" s="18">
        <v>4363.068796673947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574.3755570888032</v>
      </c>
      <c r="F21" s="18">
        <v>1.2665987014770508e-14</v>
      </c>
      <c r="G21" s="18">
        <v>3684.9592098968396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7" x14ac:dyDescent="0.25">
      <c r="B22">
        <v>1</v>
      </c>
      <c r="C22">
        <v>0</v>
      </c>
      <c r="D22">
        <v>15</v>
      </c>
      <c r="E22" s="18">
        <v>-1575.8014989798983</v>
      </c>
      <c r="F22" s="18">
        <v>0</v>
      </c>
      <c r="G22" s="18">
        <v>2317.290836598565</v>
      </c>
    </row>
    <row r="24" spans="2:14" x14ac:dyDescent="0.25">
      <c r="B24">
        <v>2</v>
      </c>
      <c r="C24">
        <v>3.7500000000000213</v>
      </c>
      <c r="D24">
        <v>1</v>
      </c>
      <c r="E24" s="18">
        <v>16878.345566701537</v>
      </c>
      <c r="F24" s="18">
        <v>142.84572011692694</v>
      </c>
      <c r="G24" s="18">
        <v>3099.049468698061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2</v>
      </c>
      <c r="C25">
        <v>3.7500000000000213</v>
      </c>
      <c r="D25">
        <v>2</v>
      </c>
      <c r="E25" s="18">
        <v>16330.36671689179</v>
      </c>
      <c r="F25" s="18">
        <v>135.57144034317392</v>
      </c>
      <c r="G25" s="18">
        <v>3336.5490125395904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2</v>
      </c>
      <c r="C26">
        <v>3.7500000000000213</v>
      </c>
      <c r="D26">
        <v>3</v>
      </c>
      <c r="E26" s="18">
        <v>14862.710373988528</v>
      </c>
      <c r="F26" s="18">
        <v>155.49914082286935</v>
      </c>
      <c r="G26" s="18">
        <v>3850.3200819173894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14" x14ac:dyDescent="0.25">
      <c r="B27">
        <v>2</v>
      </c>
      <c r="C27">
        <v>3.7500000000000213</v>
      </c>
      <c r="D27">
        <v>4</v>
      </c>
      <c r="E27" s="18">
        <v>13217.78413483472</v>
      </c>
      <c r="F27" s="18">
        <v>205.298670985609</v>
      </c>
      <c r="G27" s="18">
        <v>4238.924136589595</v>
      </c>
      <c r="H27" s="12">
        <f>E28</f>
      </c>
      <c r="I27" s="12">
        <f>F28</f>
      </c>
      <c r="J27" s="12">
        <f>G28</f>
      </c>
      <c r="K27">
        <f>IF(AND(Pu&gt;=MIN(E27,H27),Pu&lt;=MAX(E27,H27),E27&lt;&gt;H27),1,0)</f>
      </c>
      <c r="L27">
        <f>IF(K27=1,(Pu-E27)/(H27-E27),"")</f>
      </c>
      <c r="M27" s="12">
        <f>IF(K27=1,F27+L27*(I27-F27),"")</f>
      </c>
      <c r="N27" s="12">
        <f>IF(K27=1,G27+L27*(J27-G27),"")</f>
      </c>
    </row>
    <row r="28" spans="2:14" x14ac:dyDescent="0.25">
      <c r="B28">
        <v>2</v>
      </c>
      <c r="C28">
        <v>3.7500000000000213</v>
      </c>
      <c r="D28">
        <v>5</v>
      </c>
      <c r="E28" s="18">
        <v>10881.986042428462</v>
      </c>
      <c r="F28" s="18">
        <v>213.0052714628321</v>
      </c>
      <c r="G28" s="18">
        <v>4571.967742376357</v>
      </c>
      <c r="H28" s="12">
        <f>E29</f>
      </c>
      <c r="I28" s="12">
        <f>F29</f>
      </c>
      <c r="J28" s="12">
        <f>G29</f>
      </c>
      <c r="K28">
        <f>IF(AND(Pu&gt;=MIN(E28,H28),Pu&lt;=MAX(E28,H28),E28&lt;&gt;H28),1,0)</f>
      </c>
      <c r="L28">
        <f>IF(K28=1,(Pu-E28)/(H28-E28),"")</f>
      </c>
      <c r="M28" s="12">
        <f>IF(K28=1,F28+L28*(I28-F28),"")</f>
      </c>
      <c r="N28" s="12">
        <f>IF(K28=1,G28+L28*(J28-G28),"")</f>
      </c>
    </row>
    <row r="29" spans="2:14" x14ac:dyDescent="0.25">
      <c r="B29">
        <v>2</v>
      </c>
      <c r="C29">
        <v>3.7500000000000213</v>
      </c>
      <c r="D29">
        <v>6</v>
      </c>
      <c r="E29" s="18">
        <v>8916.334864531293</v>
      </c>
      <c r="F29" s="18">
        <v>226.40137590395906</v>
      </c>
      <c r="G29" s="18">
        <v>4741.215745525986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2</v>
      </c>
      <c r="C30">
        <v>3.7500000000000213</v>
      </c>
      <c r="D30">
        <v>7</v>
      </c>
      <c r="E30" s="18">
        <v>6753.592659725928</v>
      </c>
      <c r="F30" s="18">
        <v>243.97713600764484</v>
      </c>
      <c r="G30" s="18">
        <v>5079.0482727335075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2</v>
      </c>
      <c r="C31">
        <v>3.7500000000000213</v>
      </c>
      <c r="D31">
        <v>8</v>
      </c>
      <c r="E31" s="18">
        <v>6017.104238211599</v>
      </c>
      <c r="F31" s="18">
        <v>228.61787017906252</v>
      </c>
      <c r="G31" s="18">
        <v>5405.711313256287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2</v>
      </c>
      <c r="C32">
        <v>3.7500000000000213</v>
      </c>
      <c r="D32">
        <v>9</v>
      </c>
      <c r="E32" s="18">
        <v>5511.6246682756</v>
      </c>
      <c r="F32" s="18">
        <v>229.28415071179177</v>
      </c>
      <c r="G32" s="18">
        <v>5686.417094913698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2</v>
      </c>
      <c r="C33">
        <v>3.7500000000000213</v>
      </c>
      <c r="D33">
        <v>10</v>
      </c>
      <c r="E33" s="18">
        <v>4752.98126958113</v>
      </c>
      <c r="F33" s="18">
        <v>239.1302837164737</v>
      </c>
      <c r="G33" s="18">
        <v>5492.026326148359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2</v>
      </c>
      <c r="C34">
        <v>3.7500000000000213</v>
      </c>
      <c r="D34">
        <v>11</v>
      </c>
      <c r="E34" s="18">
        <v>3662.2123836499227</v>
      </c>
      <c r="F34" s="18">
        <v>212.04754755942906</v>
      </c>
      <c r="G34" s="18">
        <v>5146.746521213866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2</v>
      </c>
      <c r="C35">
        <v>3.7500000000000213</v>
      </c>
      <c r="D35">
        <v>12</v>
      </c>
      <c r="E35" s="18">
        <v>2869.327987175858</v>
      </c>
      <c r="F35" s="18">
        <v>233.28674929608812</v>
      </c>
      <c r="G35" s="18">
        <v>4837.7166549338945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2</v>
      </c>
      <c r="C36">
        <v>3.7500000000000213</v>
      </c>
      <c r="D36">
        <v>13</v>
      </c>
      <c r="E36" s="18">
        <v>1360.7864781884984</v>
      </c>
      <c r="F36" s="18">
        <v>254.23986803445933</v>
      </c>
      <c r="G36" s="18">
        <v>4098.932574043671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2</v>
      </c>
      <c r="C37">
        <v>3.7500000000000213</v>
      </c>
      <c r="D37">
        <v>14</v>
      </c>
      <c r="E37" s="18">
        <v>-33.04742147350684</v>
      </c>
      <c r="F37" s="18">
        <v>175.81198152325632</v>
      </c>
      <c r="G37" s="18">
        <v>3305.9869897678536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7" x14ac:dyDescent="0.25">
      <c r="B38">
        <v>2</v>
      </c>
      <c r="C38">
        <v>3.7500000000000213</v>
      </c>
      <c r="D38">
        <v>15</v>
      </c>
      <c r="E38" s="18">
        <v>-2388.175237836481</v>
      </c>
      <c r="F38" s="18">
        <v>140.89646742940133</v>
      </c>
      <c r="G38" s="18">
        <v>1764.5562582840125</v>
      </c>
    </row>
    <row r="40" spans="2:14" x14ac:dyDescent="0.25">
      <c r="B40">
        <v>3</v>
      </c>
      <c r="C40">
        <v>7.499999999999991</v>
      </c>
      <c r="D40">
        <v>1</v>
      </c>
      <c r="E40" s="18">
        <v>17041.11927125074</v>
      </c>
      <c r="F40" s="18">
        <v>298.0481382390434</v>
      </c>
      <c r="G40" s="18">
        <v>3000.9233066719034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3</v>
      </c>
      <c r="C41">
        <v>7.499999999999991</v>
      </c>
      <c r="D41">
        <v>2</v>
      </c>
      <c r="E41" s="18">
        <v>16416.290551901628</v>
      </c>
      <c r="F41" s="18">
        <v>279.97507543809036</v>
      </c>
      <c r="G41" s="18">
        <v>3279.766682804768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3</v>
      </c>
      <c r="C42">
        <v>7.499999999999991</v>
      </c>
      <c r="D42">
        <v>3</v>
      </c>
      <c r="E42" s="18">
        <v>14925.04392262736</v>
      </c>
      <c r="F42" s="18">
        <v>304.61443063641025</v>
      </c>
      <c r="G42" s="18">
        <v>3812.3993015871115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14" x14ac:dyDescent="0.25">
      <c r="B43">
        <v>3</v>
      </c>
      <c r="C43">
        <v>7.499999999999991</v>
      </c>
      <c r="D43">
        <v>4</v>
      </c>
      <c r="E43" s="18">
        <v>13232.013031610762</v>
      </c>
      <c r="F43" s="18">
        <v>395.82677398972515</v>
      </c>
      <c r="G43" s="18">
        <v>4205.31345827388</v>
      </c>
      <c r="H43" s="12">
        <f>E44</f>
      </c>
      <c r="I43" s="12">
        <f>F44</f>
      </c>
      <c r="J43" s="12">
        <f>G44</f>
      </c>
      <c r="K43">
        <f>IF(AND(Pu&gt;=MIN(E43,H43),Pu&lt;=MAX(E43,H43),E43&lt;&gt;H43),1,0)</f>
      </c>
      <c r="L43">
        <f>IF(K43=1,(Pu-E43)/(H43-E43),"")</f>
      </c>
      <c r="M43" s="12">
        <f>IF(K43=1,F43+L43*(I43-F43),"")</f>
      </c>
      <c r="N43" s="12">
        <f>IF(K43=1,G43+L43*(J43-G43),"")</f>
      </c>
    </row>
    <row r="44" spans="2:14" x14ac:dyDescent="0.25">
      <c r="B44">
        <v>3</v>
      </c>
      <c r="C44">
        <v>7.499999999999991</v>
      </c>
      <c r="D44">
        <v>5</v>
      </c>
      <c r="E44" s="18">
        <v>10887.63029809592</v>
      </c>
      <c r="F44" s="18">
        <v>423.9017302457378</v>
      </c>
      <c r="G44" s="18">
        <v>4529.05263243267</v>
      </c>
      <c r="H44" s="12">
        <f>E45</f>
      </c>
      <c r="I44" s="12">
        <f>F45</f>
      </c>
      <c r="J44" s="12">
        <f>G45</f>
      </c>
      <c r="K44">
        <f>IF(AND(Pu&gt;=MIN(E44,H44),Pu&lt;=MAX(E44,H44),E44&lt;&gt;H44),1,0)</f>
      </c>
      <c r="L44">
        <f>IF(K44=1,(Pu-E44)/(H44-E44),"")</f>
      </c>
      <c r="M44" s="12">
        <f>IF(K44=1,F44+L44*(I44-F44),"")</f>
      </c>
      <c r="N44" s="12">
        <f>IF(K44=1,G44+L44*(J44-G44),"")</f>
      </c>
    </row>
    <row r="45" spans="2:14" x14ac:dyDescent="0.25">
      <c r="B45">
        <v>3</v>
      </c>
      <c r="C45">
        <v>7.499999999999991</v>
      </c>
      <c r="D45">
        <v>6</v>
      </c>
      <c r="E45" s="18">
        <v>8848.813736068716</v>
      </c>
      <c r="F45" s="18">
        <v>443.5658065348863</v>
      </c>
      <c r="G45" s="18">
        <v>4691.802793414547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3</v>
      </c>
      <c r="C46">
        <v>7.499999999999991</v>
      </c>
      <c r="D46">
        <v>7</v>
      </c>
      <c r="E46" s="18">
        <v>6727.140198317345</v>
      </c>
      <c r="F46" s="18">
        <v>471.8944422036127</v>
      </c>
      <c r="G46" s="18">
        <v>5050.2723776445755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3</v>
      </c>
      <c r="C47">
        <v>7.499999999999991</v>
      </c>
      <c r="D47">
        <v>8</v>
      </c>
      <c r="E47" s="18">
        <v>5909.953437695702</v>
      </c>
      <c r="F47" s="18">
        <v>445.40133881503675</v>
      </c>
      <c r="G47" s="18">
        <v>5362.481722794369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14" x14ac:dyDescent="0.25">
      <c r="B48">
        <v>3</v>
      </c>
      <c r="C48">
        <v>7.499999999999991</v>
      </c>
      <c r="D48">
        <v>9</v>
      </c>
      <c r="E48" s="18">
        <v>5400.921056229419</v>
      </c>
      <c r="F48" s="18">
        <v>470.02928329912874</v>
      </c>
      <c r="G48" s="18">
        <v>5623.403484269305</v>
      </c>
      <c r="H48" s="12">
        <f>E49</f>
      </c>
      <c r="I48" s="12">
        <f>F49</f>
      </c>
      <c r="J48" s="12">
        <f>G49</f>
      </c>
      <c r="K48">
        <f>IF(AND(Pu&gt;=MIN(E48,H48),Pu&lt;=MAX(E48,H48),E48&lt;&gt;H48),1,0)</f>
      </c>
      <c r="L48">
        <f>IF(K48=1,(Pu-E48)/(H48-E48),"")</f>
      </c>
      <c r="M48" s="12">
        <f>IF(K48=1,F48+L48*(I48-F48),"")</f>
      </c>
      <c r="N48" s="12">
        <f>IF(K48=1,G48+L48*(J48-G48),"")</f>
      </c>
    </row>
    <row r="49" spans="2:14" x14ac:dyDescent="0.25">
      <c r="B49">
        <v>3</v>
      </c>
      <c r="C49">
        <v>7.499999999999991</v>
      </c>
      <c r="D49">
        <v>10</v>
      </c>
      <c r="E49" s="18">
        <v>4617.211129947834</v>
      </c>
      <c r="F49" s="18">
        <v>463.0724579727057</v>
      </c>
      <c r="G49" s="18">
        <v>5430.1099658660805</v>
      </c>
      <c r="H49" s="12">
        <f>E50</f>
      </c>
      <c r="I49" s="12">
        <f>F50</f>
      </c>
      <c r="J49" s="12">
        <f>G50</f>
      </c>
      <c r="K49">
        <f>IF(AND(Pu&gt;=MIN(E49,H49),Pu&lt;=MAX(E49,H49),E49&lt;&gt;H49),1,0)</f>
      </c>
      <c r="L49">
        <f>IF(K49=1,(Pu-E49)/(H49-E49),"")</f>
      </c>
      <c r="M49" s="12">
        <f>IF(K49=1,F49+L49*(I49-F49),"")</f>
      </c>
      <c r="N49" s="12">
        <f>IF(K49=1,G49+L49*(J49-G49),"")</f>
      </c>
    </row>
    <row r="50" spans="2:14" x14ac:dyDescent="0.25">
      <c r="B50">
        <v>3</v>
      </c>
      <c r="C50">
        <v>7.499999999999991</v>
      </c>
      <c r="D50">
        <v>11</v>
      </c>
      <c r="E50" s="18">
        <v>3456.878086088929</v>
      </c>
      <c r="F50" s="18">
        <v>439.18026162851044</v>
      </c>
      <c r="G50" s="18">
        <v>5046.491828498283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3</v>
      </c>
      <c r="C51">
        <v>7.499999999999991</v>
      </c>
      <c r="D51">
        <v>12</v>
      </c>
      <c r="E51" s="18">
        <v>2642.2195718862627</v>
      </c>
      <c r="F51" s="18">
        <v>461.7194835760783</v>
      </c>
      <c r="G51" s="18">
        <v>4701.140161321622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3</v>
      </c>
      <c r="C52">
        <v>7.499999999999991</v>
      </c>
      <c r="D52">
        <v>13</v>
      </c>
      <c r="E52" s="18">
        <v>827.8851112706449</v>
      </c>
      <c r="F52" s="18">
        <v>466.6244063080739</v>
      </c>
      <c r="G52" s="18">
        <v>3765.179223205349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3</v>
      </c>
      <c r="C53">
        <v>7.499999999999991</v>
      </c>
      <c r="D53">
        <v>14</v>
      </c>
      <c r="E53" s="18">
        <v>-603.9292155204927</v>
      </c>
      <c r="F53" s="18">
        <v>345.51408034423656</v>
      </c>
      <c r="G53" s="18">
        <v>2922.6882470344594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7" x14ac:dyDescent="0.25">
      <c r="B54">
        <v>3</v>
      </c>
      <c r="C54">
        <v>7.499999999999991</v>
      </c>
      <c r="D54">
        <v>15</v>
      </c>
      <c r="E54" s="18">
        <v>-3132.6607018387913</v>
      </c>
      <c r="F54" s="18">
        <v>261.006623924591</v>
      </c>
      <c r="G54" s="18">
        <v>1244.8149052970346</v>
      </c>
    </row>
    <row r="56" spans="2:14" x14ac:dyDescent="0.25">
      <c r="B56">
        <v>4</v>
      </c>
      <c r="C56">
        <v>9.375000000000002</v>
      </c>
      <c r="D56">
        <v>1</v>
      </c>
      <c r="E56" s="18">
        <v>17121.551614686734</v>
      </c>
      <c r="F56" s="18">
        <v>372.9952355502026</v>
      </c>
      <c r="G56" s="18">
        <v>2948.836890151126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4</v>
      </c>
      <c r="C57">
        <v>9.375000000000002</v>
      </c>
      <c r="D57">
        <v>2</v>
      </c>
      <c r="E57" s="18">
        <v>16465.44498020479</v>
      </c>
      <c r="F57" s="18">
        <v>354.61124124745356</v>
      </c>
      <c r="G57" s="18">
        <v>3245.4542620473603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4</v>
      </c>
      <c r="C58">
        <v>9.375000000000002</v>
      </c>
      <c r="D58">
        <v>3</v>
      </c>
      <c r="E58" s="18">
        <v>14947.423013202531</v>
      </c>
      <c r="F58" s="18">
        <v>383.34108624296766</v>
      </c>
      <c r="G58" s="18">
        <v>3792.3596270177623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4</v>
      </c>
      <c r="C59">
        <v>9.375000000000002</v>
      </c>
      <c r="D59">
        <v>4</v>
      </c>
      <c r="E59" s="18">
        <v>13227.019337593121</v>
      </c>
      <c r="F59" s="18">
        <v>494.4944842405193</v>
      </c>
      <c r="G59" s="18">
        <v>4183.752792410161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4</v>
      </c>
      <c r="C60">
        <v>9.375000000000002</v>
      </c>
      <c r="D60">
        <v>5</v>
      </c>
      <c r="E60" s="18">
        <v>10883.466836920876</v>
      </c>
      <c r="F60" s="18">
        <v>532.8076414481359</v>
      </c>
      <c r="G60" s="18">
        <v>4503.997933224706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4</v>
      </c>
      <c r="C61">
        <v>9.375000000000002</v>
      </c>
      <c r="D61">
        <v>6</v>
      </c>
      <c r="E61" s="18">
        <v>8821.092466351005</v>
      </c>
      <c r="F61" s="18">
        <v>555.5000320709158</v>
      </c>
      <c r="G61" s="18">
        <v>4663.447362444937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4</v>
      </c>
      <c r="C62">
        <v>9.375000000000002</v>
      </c>
      <c r="D62">
        <v>7</v>
      </c>
      <c r="E62" s="18">
        <v>6715.568829273755</v>
      </c>
      <c r="F62" s="18">
        <v>585.7050546982817</v>
      </c>
      <c r="G62" s="18">
        <v>5031.644420699809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4</v>
      </c>
      <c r="C63">
        <v>9.375000000000002</v>
      </c>
      <c r="D63">
        <v>8</v>
      </c>
      <c r="E63" s="18">
        <v>5865.764549419649</v>
      </c>
      <c r="F63" s="18">
        <v>557.879141708225</v>
      </c>
      <c r="G63" s="18">
        <v>5339.006487355408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4</v>
      </c>
      <c r="C64">
        <v>9.375000000000002</v>
      </c>
      <c r="D64">
        <v>9</v>
      </c>
      <c r="E64" s="18">
        <v>5362.548656505966</v>
      </c>
      <c r="F64" s="18">
        <v>580.416711397241</v>
      </c>
      <c r="G64" s="18">
        <v>5594.769163088008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4</v>
      </c>
      <c r="C65">
        <v>9.375000000000002</v>
      </c>
      <c r="D65">
        <v>10</v>
      </c>
      <c r="E65" s="18">
        <v>4553.105339698417</v>
      </c>
      <c r="F65" s="18">
        <v>572.3958139006181</v>
      </c>
      <c r="G65" s="18">
        <v>5391.300411491213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4</v>
      </c>
      <c r="C66">
        <v>9.375000000000002</v>
      </c>
      <c r="D66">
        <v>11</v>
      </c>
      <c r="E66" s="18">
        <v>3334.8956407799064</v>
      </c>
      <c r="F66" s="18">
        <v>558.859277054022</v>
      </c>
      <c r="G66" s="18">
        <v>4980.310621129451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4</v>
      </c>
      <c r="C67">
        <v>9.375000000000002</v>
      </c>
      <c r="D67">
        <v>12</v>
      </c>
      <c r="E67" s="18">
        <v>2512.8950118458797</v>
      </c>
      <c r="F67" s="18">
        <v>574.5227064705736</v>
      </c>
      <c r="G67" s="18">
        <v>4617.127075088248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4</v>
      </c>
      <c r="C68">
        <v>9.375000000000002</v>
      </c>
      <c r="D68">
        <v>13</v>
      </c>
      <c r="E68" s="18">
        <v>580.2816539297017</v>
      </c>
      <c r="F68" s="18">
        <v>553.576911830293</v>
      </c>
      <c r="G68" s="18">
        <v>3600.1449851628904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14" x14ac:dyDescent="0.25">
      <c r="B69">
        <v>4</v>
      </c>
      <c r="C69">
        <v>9.375000000000002</v>
      </c>
      <c r="D69">
        <v>14</v>
      </c>
      <c r="E69" s="18">
        <v>-844.0031307759481</v>
      </c>
      <c r="F69" s="18">
        <v>420.1132620387138</v>
      </c>
      <c r="G69" s="18">
        <v>2754.0409194897725</v>
      </c>
      <c r="H69" s="12">
        <f>E70</f>
      </c>
      <c r="I69" s="12">
        <f>F70</f>
      </c>
      <c r="J69" s="12">
        <f>G70</f>
      </c>
      <c r="K69">
        <f>IF(AND(Pu&gt;=MIN(E69,H69),Pu&lt;=MAX(E69,H69),E69&lt;&gt;H69),1,0)</f>
      </c>
      <c r="L69">
        <f>IF(K69=1,(Pu-E69)/(H69-E69),"")</f>
      </c>
      <c r="M69" s="12">
        <f>IF(K69=1,F69+L69*(I69-F69),"")</f>
      </c>
      <c r="N69" s="12">
        <f>IF(K69=1,G69+L69*(J69-G69),"")</f>
      </c>
    </row>
    <row r="70" spans="2:7" x14ac:dyDescent="0.25">
      <c r="B70">
        <v>4</v>
      </c>
      <c r="C70">
        <v>9.375000000000002</v>
      </c>
      <c r="D70">
        <v>15</v>
      </c>
      <c r="E70" s="18">
        <v>-3427.0823081795957</v>
      </c>
      <c r="F70" s="18">
        <v>293.9518300709575</v>
      </c>
      <c r="G70" s="18">
        <v>1039.1459504458653</v>
      </c>
    </row>
    <row r="72" spans="2:14" x14ac:dyDescent="0.25">
      <c r="B72">
        <v>5</v>
      </c>
      <c r="C72">
        <v>11.250000000000012</v>
      </c>
      <c r="D72">
        <v>1</v>
      </c>
      <c r="E72" s="18">
        <v>17212.13165170929</v>
      </c>
      <c r="F72" s="18">
        <v>437.2921604065479</v>
      </c>
      <c r="G72" s="18">
        <v>2891.0599009281786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5</v>
      </c>
      <c r="C73">
        <v>11.250000000000012</v>
      </c>
      <c r="D73">
        <v>2</v>
      </c>
      <c r="E73" s="18">
        <v>16519.460124918147</v>
      </c>
      <c r="F73" s="18">
        <v>431.2521662463507</v>
      </c>
      <c r="G73" s="18">
        <v>3206.5503609632297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5</v>
      </c>
      <c r="C74">
        <v>11.250000000000012</v>
      </c>
      <c r="D74">
        <v>3</v>
      </c>
      <c r="E74" s="18">
        <v>14965.487713727658</v>
      </c>
      <c r="F74" s="18">
        <v>461.0708016581126</v>
      </c>
      <c r="G74" s="18">
        <v>3769.9120292637895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5</v>
      </c>
      <c r="C75">
        <v>11.250000000000012</v>
      </c>
      <c r="D75">
        <v>4</v>
      </c>
      <c r="E75" s="18">
        <v>13216.621640242704</v>
      </c>
      <c r="F75" s="18">
        <v>592.1743745601591</v>
      </c>
      <c r="G75" s="18">
        <v>4160.790971154465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5</v>
      </c>
      <c r="C76">
        <v>11.250000000000012</v>
      </c>
      <c r="D76">
        <v>5</v>
      </c>
      <c r="E76" s="18">
        <v>10879.081737460103</v>
      </c>
      <c r="F76" s="18">
        <v>642.0154648317161</v>
      </c>
      <c r="G76" s="18">
        <v>4476.362841886772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5</v>
      </c>
      <c r="C77">
        <v>11.250000000000012</v>
      </c>
      <c r="D77">
        <v>6</v>
      </c>
      <c r="E77" s="18">
        <v>8792.875148562776</v>
      </c>
      <c r="F77" s="18">
        <v>667.6772366798037</v>
      </c>
      <c r="G77" s="18">
        <v>4632.4639983855695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5</v>
      </c>
      <c r="C78">
        <v>11.250000000000012</v>
      </c>
      <c r="D78">
        <v>7</v>
      </c>
      <c r="E78" s="18">
        <v>6713.679864579505</v>
      </c>
      <c r="F78" s="18">
        <v>695.2520996857813</v>
      </c>
      <c r="G78" s="18">
        <v>5010.392681245933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5</v>
      </c>
      <c r="C79">
        <v>11.250000000000012</v>
      </c>
      <c r="D79">
        <v>8</v>
      </c>
      <c r="E79" s="18">
        <v>5831.157966474206</v>
      </c>
      <c r="F79" s="18">
        <v>675.29682300606</v>
      </c>
      <c r="G79" s="18">
        <v>5309.470114081759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14" x14ac:dyDescent="0.25">
      <c r="B80">
        <v>5</v>
      </c>
      <c r="C80">
        <v>11.250000000000012</v>
      </c>
      <c r="D80">
        <v>9</v>
      </c>
      <c r="E80" s="18">
        <v>5306.270338386785</v>
      </c>
      <c r="F80" s="18">
        <v>699.9432678353747</v>
      </c>
      <c r="G80" s="18">
        <v>5556.215332623594</v>
      </c>
      <c r="H80" s="12">
        <f>E81</f>
      </c>
      <c r="I80" s="12">
        <f>F81</f>
      </c>
      <c r="J80" s="12">
        <f>G81</f>
      </c>
      <c r="K80">
        <f>IF(AND(Pu&gt;=MIN(E80,H80),Pu&lt;=MAX(E80,H80),E80&lt;&gt;H80),1,0)</f>
      </c>
      <c r="L80">
        <f>IF(K80=1,(Pu-E80)/(H80-E80),"")</f>
      </c>
      <c r="M80" s="12">
        <f>IF(K80=1,F80+L80*(I80-F80),"")</f>
      </c>
      <c r="N80" s="12">
        <f>IF(K80=1,G80+L80*(J80-G80),"")</f>
      </c>
    </row>
    <row r="81" spans="2:14" x14ac:dyDescent="0.25">
      <c r="B81">
        <v>5</v>
      </c>
      <c r="C81">
        <v>11.250000000000012</v>
      </c>
      <c r="D81">
        <v>10</v>
      </c>
      <c r="E81" s="18">
        <v>4486.787837789113</v>
      </c>
      <c r="F81" s="18">
        <v>682.4889259468019</v>
      </c>
      <c r="G81" s="18">
        <v>5348.582468973014</v>
      </c>
      <c r="H81" s="12">
        <f>E82</f>
      </c>
      <c r="I81" s="12">
        <f>F82</f>
      </c>
      <c r="J81" s="12">
        <f>G82</f>
      </c>
      <c r="K81">
        <f>IF(AND(Pu&gt;=MIN(E81,H81),Pu&lt;=MAX(E81,H81),E81&lt;&gt;H81),1,0)</f>
      </c>
      <c r="L81">
        <f>IF(K81=1,(Pu-E81)/(H81-E81),"")</f>
      </c>
      <c r="M81" s="12">
        <f>IF(K81=1,F81+L81*(I81-F81),"")</f>
      </c>
      <c r="N81" s="12">
        <f>IF(K81=1,G81+L81*(J81-G81),"")</f>
      </c>
    </row>
    <row r="82" spans="2:14" x14ac:dyDescent="0.25">
      <c r="B82">
        <v>5</v>
      </c>
      <c r="C82">
        <v>11.250000000000012</v>
      </c>
      <c r="D82">
        <v>11</v>
      </c>
      <c r="E82" s="18">
        <v>3213.415908590942</v>
      </c>
      <c r="F82" s="18">
        <v>685.7499813084285</v>
      </c>
      <c r="G82" s="18">
        <v>4903.049244396637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5</v>
      </c>
      <c r="C83">
        <v>11.250000000000012</v>
      </c>
      <c r="D83">
        <v>12</v>
      </c>
      <c r="E83" s="18">
        <v>2349.0271176060633</v>
      </c>
      <c r="F83" s="18">
        <v>689.3683325730691</v>
      </c>
      <c r="G83" s="18">
        <v>4509.293644184415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5</v>
      </c>
      <c r="C84">
        <v>11.250000000000012</v>
      </c>
      <c r="D84">
        <v>13</v>
      </c>
      <c r="E84" s="18">
        <v>344.2283341995771</v>
      </c>
      <c r="F84" s="18">
        <v>634.7169232778416</v>
      </c>
      <c r="G84" s="18">
        <v>3438.974391736205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5</v>
      </c>
      <c r="C85">
        <v>11.250000000000012</v>
      </c>
      <c r="D85">
        <v>14</v>
      </c>
      <c r="E85" s="18">
        <v>-1093.5867277694517</v>
      </c>
      <c r="F85" s="18">
        <v>493.68337837191626</v>
      </c>
      <c r="G85" s="18">
        <v>2575.67559780518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7" x14ac:dyDescent="0.25">
      <c r="B86">
        <v>5</v>
      </c>
      <c r="C86">
        <v>11.250000000000012</v>
      </c>
      <c r="D86">
        <v>15</v>
      </c>
      <c r="E86" s="18">
        <v>-3610.574019672962</v>
      </c>
      <c r="F86" s="18">
        <v>299.4289314905262</v>
      </c>
      <c r="G86" s="18">
        <v>910.562100029779</v>
      </c>
    </row>
    <row r="88" spans="2:14" x14ac:dyDescent="0.25">
      <c r="B88">
        <v>6</v>
      </c>
      <c r="C88">
        <v>14.999999999999982</v>
      </c>
      <c r="D88">
        <v>1</v>
      </c>
      <c r="E88" s="18">
        <v>17396.106570752956</v>
      </c>
      <c r="F88" s="18">
        <v>579.4296736754594</v>
      </c>
      <c r="G88" s="18">
        <v>2763.877879608644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14" x14ac:dyDescent="0.25">
      <c r="B89">
        <v>6</v>
      </c>
      <c r="C89">
        <v>14.999999999999982</v>
      </c>
      <c r="D89">
        <v>2</v>
      </c>
      <c r="E89" s="18">
        <v>16626.93932990995</v>
      </c>
      <c r="F89" s="18">
        <v>582.0306216671493</v>
      </c>
      <c r="G89" s="18">
        <v>3122.655407199273</v>
      </c>
      <c r="H89" s="12">
        <f>E90</f>
      </c>
      <c r="I89" s="12">
        <f>F90</f>
      </c>
      <c r="J89" s="12">
        <f>G90</f>
      </c>
      <c r="K89">
        <f>IF(AND(Pu&gt;=MIN(E89,H89),Pu&lt;=MAX(E89,H89),E89&lt;&gt;H89),1,0)</f>
      </c>
      <c r="L89">
        <f>IF(K89=1,(Pu-E89)/(H89-E89),"")</f>
      </c>
      <c r="M89" s="12">
        <f>IF(K89=1,F89+L89*(I89-F89),"")</f>
      </c>
      <c r="N89" s="12">
        <f>IF(K89=1,G89+L89*(J89-G89),"")</f>
      </c>
    </row>
    <row r="90" spans="2:14" x14ac:dyDescent="0.25">
      <c r="B90">
        <v>6</v>
      </c>
      <c r="C90">
        <v>14.999999999999982</v>
      </c>
      <c r="D90">
        <v>3</v>
      </c>
      <c r="E90" s="18">
        <v>14973.985384972373</v>
      </c>
      <c r="F90" s="18">
        <v>618.1362181597362</v>
      </c>
      <c r="G90" s="18">
        <v>3719.878340891543</v>
      </c>
      <c r="H90" s="12">
        <f>E91</f>
      </c>
      <c r="I90" s="12">
        <f>F91</f>
      </c>
      <c r="J90" s="12">
        <f>G91</f>
      </c>
      <c r="K90">
        <f>IF(AND(Pu&gt;=MIN(E90,H90),Pu&lt;=MAX(E90,H90),E90&lt;&gt;H90),1,0)</f>
      </c>
      <c r="L90">
        <f>IF(K90=1,(Pu-E90)/(H90-E90),"")</f>
      </c>
      <c r="M90" s="12">
        <f>IF(K90=1,F90+L90*(I90-F90),"")</f>
      </c>
      <c r="N90" s="12">
        <f>IF(K90=1,G90+L90*(J90-G90),"")</f>
      </c>
    </row>
    <row r="91" spans="2:14" x14ac:dyDescent="0.25">
      <c r="B91">
        <v>6</v>
      </c>
      <c r="C91">
        <v>14.999999999999982</v>
      </c>
      <c r="D91">
        <v>4</v>
      </c>
      <c r="E91" s="18">
        <v>13193.626987880905</v>
      </c>
      <c r="F91" s="18">
        <v>777.8633120621788</v>
      </c>
      <c r="G91" s="18">
        <v>4110.488214651377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6</v>
      </c>
      <c r="C92">
        <v>14.999999999999982</v>
      </c>
      <c r="D92">
        <v>5</v>
      </c>
      <c r="E92" s="18">
        <v>10869.609998374528</v>
      </c>
      <c r="F92" s="18">
        <v>862.4058025434072</v>
      </c>
      <c r="G92" s="18">
        <v>4412.655517154713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6</v>
      </c>
      <c r="C93">
        <v>14.999999999999982</v>
      </c>
      <c r="D93">
        <v>6</v>
      </c>
      <c r="E93" s="18">
        <v>8734.688734939808</v>
      </c>
      <c r="F93" s="18">
        <v>893.8606206080419</v>
      </c>
      <c r="G93" s="18">
        <v>4561.875849733287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6</v>
      </c>
      <c r="C94">
        <v>14.999999999999982</v>
      </c>
      <c r="D94">
        <v>7</v>
      </c>
      <c r="E94" s="18">
        <v>6706.847717516592</v>
      </c>
      <c r="F94" s="18">
        <v>908.9184833632903</v>
      </c>
      <c r="G94" s="18">
        <v>4958.246326976182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6</v>
      </c>
      <c r="C95">
        <v>14.999999999999982</v>
      </c>
      <c r="D95">
        <v>8</v>
      </c>
      <c r="E95" s="18">
        <v>5800.618413798188</v>
      </c>
      <c r="F95" s="18">
        <v>899.5876857644422</v>
      </c>
      <c r="G95" s="18">
        <v>5242.972515638743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6</v>
      </c>
      <c r="C96">
        <v>14.999999999999982</v>
      </c>
      <c r="D96">
        <v>9</v>
      </c>
      <c r="E96" s="18">
        <v>5190.594334869809</v>
      </c>
      <c r="F96" s="18">
        <v>941.4781320015703</v>
      </c>
      <c r="G96" s="18">
        <v>5467.88362035534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6</v>
      </c>
      <c r="C97">
        <v>14.999999999999982</v>
      </c>
      <c r="D97">
        <v>10</v>
      </c>
      <c r="E97" s="18">
        <v>4312.180659173069</v>
      </c>
      <c r="F97" s="18">
        <v>921.882990293025</v>
      </c>
      <c r="G97" s="18">
        <v>5225.148871858852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6</v>
      </c>
      <c r="C98">
        <v>14.999999999999982</v>
      </c>
      <c r="D98">
        <v>11</v>
      </c>
      <c r="E98" s="18">
        <v>3015.2867777491024</v>
      </c>
      <c r="F98" s="18">
        <v>909.4053524504546</v>
      </c>
      <c r="G98" s="18">
        <v>4745.210553116553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6</v>
      </c>
      <c r="C99">
        <v>14.999999999999982</v>
      </c>
      <c r="D99">
        <v>12</v>
      </c>
      <c r="E99" s="18">
        <v>1978.2368931134804</v>
      </c>
      <c r="F99" s="18">
        <v>900.4860405500606</v>
      </c>
      <c r="G99" s="18">
        <v>4264.198673383868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6</v>
      </c>
      <c r="C100">
        <v>14.999999999999982</v>
      </c>
      <c r="D100">
        <v>13</v>
      </c>
      <c r="E100" s="18">
        <v>-80.09316185951072</v>
      </c>
      <c r="F100" s="18">
        <v>777.3311116508266</v>
      </c>
      <c r="G100" s="18">
        <v>3138.8072754623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6</v>
      </c>
      <c r="C101">
        <v>14.999999999999982</v>
      </c>
      <c r="D101">
        <v>14</v>
      </c>
      <c r="E101" s="18">
        <v>-1514.3820201479814</v>
      </c>
      <c r="F101" s="18">
        <v>615.3395957419025</v>
      </c>
      <c r="G101" s="18">
        <v>2266.3062395565544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7" x14ac:dyDescent="0.25">
      <c r="B102">
        <v>6</v>
      </c>
      <c r="C102">
        <v>14.999999999999982</v>
      </c>
      <c r="D102">
        <v>15</v>
      </c>
      <c r="E102" s="18">
        <v>-3857.426617095661</v>
      </c>
      <c r="F102" s="18">
        <v>296.4630531108412</v>
      </c>
      <c r="G102" s="18">
        <v>737.3919092917507</v>
      </c>
    </row>
    <row r="104" spans="2:14" x14ac:dyDescent="0.25">
      <c r="B104">
        <v>7</v>
      </c>
      <c r="C104">
        <v>18.750000000000004</v>
      </c>
      <c r="D104">
        <v>1</v>
      </c>
      <c r="E104" s="18">
        <v>17595.35023414</v>
      </c>
      <c r="F104" s="18">
        <v>713.569476287568</v>
      </c>
      <c r="G104" s="18">
        <v>2620.3604149080356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7</v>
      </c>
      <c r="C105">
        <v>18.750000000000004</v>
      </c>
      <c r="D105">
        <v>2</v>
      </c>
      <c r="E105" s="18">
        <v>16717.056801764666</v>
      </c>
      <c r="F105" s="18">
        <v>723.1575758834126</v>
      </c>
      <c r="G105" s="18">
        <v>3038.583304001599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7</v>
      </c>
      <c r="C106">
        <v>18.750000000000004</v>
      </c>
      <c r="D106">
        <v>3</v>
      </c>
      <c r="E106" s="18">
        <v>14992.086879493487</v>
      </c>
      <c r="F106" s="18">
        <v>787.1716353099504</v>
      </c>
      <c r="G106" s="18">
        <v>3655.208539164532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7</v>
      </c>
      <c r="C107">
        <v>18.750000000000004</v>
      </c>
      <c r="D107">
        <v>4</v>
      </c>
      <c r="E107" s="18">
        <v>13139.928457218397</v>
      </c>
      <c r="F107" s="18">
        <v>969.2618977882398</v>
      </c>
      <c r="G107" s="18">
        <v>4053.1678360255446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7</v>
      </c>
      <c r="C108">
        <v>18.750000000000004</v>
      </c>
      <c r="D108">
        <v>5</v>
      </c>
      <c r="E108" s="18">
        <v>10845.789418349847</v>
      </c>
      <c r="F108" s="18">
        <v>1080.212396188379</v>
      </c>
      <c r="G108" s="18">
        <v>4338.9050391011015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14" x14ac:dyDescent="0.25">
      <c r="B109">
        <v>7</v>
      </c>
      <c r="C109">
        <v>18.750000000000004</v>
      </c>
      <c r="D109">
        <v>6</v>
      </c>
      <c r="E109" s="18">
        <v>8688.78989375458</v>
      </c>
      <c r="F109" s="18">
        <v>1116.782914041434</v>
      </c>
      <c r="G109" s="18">
        <v>4481.197285218684</v>
      </c>
      <c r="H109" s="12">
        <f>E110</f>
      </c>
      <c r="I109" s="12">
        <f>F110</f>
      </c>
      <c r="J109" s="12">
        <f>G110</f>
      </c>
      <c r="K109">
        <f>IF(AND(Pu&gt;=MIN(E109,H109),Pu&lt;=MAX(E109,H109),E109&lt;&gt;H109),1,0)</f>
      </c>
      <c r="L109">
        <f>IF(K109=1,(Pu-E109)/(H109-E109),"")</f>
      </c>
      <c r="M109" s="12">
        <f>IF(K109=1,F109+L109*(I109-F109),"")</f>
      </c>
      <c r="N109" s="12">
        <f>IF(K109=1,G109+L109*(J109-G109),"")</f>
      </c>
    </row>
    <row r="110" spans="2:14" x14ac:dyDescent="0.25">
      <c r="B110">
        <v>7</v>
      </c>
      <c r="C110">
        <v>18.750000000000004</v>
      </c>
      <c r="D110">
        <v>7</v>
      </c>
      <c r="E110" s="18">
        <v>6700.069746421682</v>
      </c>
      <c r="F110" s="18">
        <v>1125.9038324199769</v>
      </c>
      <c r="G110" s="18">
        <v>4894.814414058232</v>
      </c>
      <c r="H110" s="12">
        <f>E111</f>
      </c>
      <c r="I110" s="12">
        <f>F111</f>
      </c>
      <c r="J110" s="12">
        <f>G111</f>
      </c>
      <c r="K110">
        <f>IF(AND(Pu&gt;=MIN(E110,H110),Pu&lt;=MAX(E110,H110),E110&lt;&gt;H110),1,0)</f>
      </c>
      <c r="L110">
        <f>IF(K110=1,(Pu-E110)/(H110-E110),"")</f>
      </c>
      <c r="M110" s="12">
        <f>IF(K110=1,F110+L110*(I110-F110),"")</f>
      </c>
      <c r="N110" s="12">
        <f>IF(K110=1,G110+L110*(J110-G110),"")</f>
      </c>
    </row>
    <row r="111" spans="2:14" x14ac:dyDescent="0.25">
      <c r="B111">
        <v>7</v>
      </c>
      <c r="C111">
        <v>18.750000000000004</v>
      </c>
      <c r="D111">
        <v>8</v>
      </c>
      <c r="E111" s="18">
        <v>5750.745338105921</v>
      </c>
      <c r="F111" s="18">
        <v>1136.8258599608719</v>
      </c>
      <c r="G111" s="18">
        <v>5153.444512385511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7</v>
      </c>
      <c r="C112">
        <v>18.750000000000004</v>
      </c>
      <c r="D112">
        <v>9</v>
      </c>
      <c r="E112" s="18">
        <v>5019.642534826678</v>
      </c>
      <c r="F112" s="18">
        <v>1190.8203974242176</v>
      </c>
      <c r="G112" s="18">
        <v>5338.795816749516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7</v>
      </c>
      <c r="C113">
        <v>18.750000000000004</v>
      </c>
      <c r="D113">
        <v>10</v>
      </c>
      <c r="E113" s="18">
        <v>4150.946841896684</v>
      </c>
      <c r="F113" s="18">
        <v>1170.1641839847503</v>
      </c>
      <c r="G113" s="18">
        <v>5077.994823094118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7</v>
      </c>
      <c r="C114">
        <v>18.750000000000004</v>
      </c>
      <c r="D114">
        <v>11</v>
      </c>
      <c r="E114" s="18">
        <v>2779.8050660110566</v>
      </c>
      <c r="F114" s="18">
        <v>1128.7737141979264</v>
      </c>
      <c r="G114" s="18">
        <v>4555.258927925309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7</v>
      </c>
      <c r="C115">
        <v>18.750000000000004</v>
      </c>
      <c r="D115">
        <v>12</v>
      </c>
      <c r="E115" s="18">
        <v>1614.4409700347283</v>
      </c>
      <c r="F115" s="18">
        <v>1102.3109744513824</v>
      </c>
      <c r="G115" s="18">
        <v>4008.5794639041533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7</v>
      </c>
      <c r="C116">
        <v>18.750000000000004</v>
      </c>
      <c r="D116">
        <v>13</v>
      </c>
      <c r="E116" s="18">
        <v>-464.65056098784925</v>
      </c>
      <c r="F116" s="18">
        <v>901.616169266673</v>
      </c>
      <c r="G116" s="18">
        <v>2855.727328132507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14" x14ac:dyDescent="0.25">
      <c r="B117">
        <v>7</v>
      </c>
      <c r="C117">
        <v>18.750000000000004</v>
      </c>
      <c r="D117">
        <v>14</v>
      </c>
      <c r="E117" s="18">
        <v>-1817.8622236658114</v>
      </c>
      <c r="F117" s="18">
        <v>698.3638953331845</v>
      </c>
      <c r="G117" s="18">
        <v>2037.1919026700887</v>
      </c>
      <c r="H117" s="12">
        <f>E118</f>
      </c>
      <c r="I117" s="12">
        <f>F118</f>
      </c>
      <c r="J117" s="12">
        <f>G118</f>
      </c>
      <c r="K117">
        <f>IF(AND(Pu&gt;=MIN(E117,H117),Pu&lt;=MAX(E117,H117),E117&lt;&gt;H117),1,0)</f>
      </c>
      <c r="L117">
        <f>IF(K117=1,(Pu-E117)/(H117-E117),"")</f>
      </c>
      <c r="M117" s="12">
        <f>IF(K117=1,F117+L117*(I117-F117),"")</f>
      </c>
      <c r="N117" s="12">
        <f>IF(K117=1,G117+L117*(J117-G117),"")</f>
      </c>
    </row>
    <row r="118" spans="2:7" x14ac:dyDescent="0.25">
      <c r="B118">
        <v>7</v>
      </c>
      <c r="C118">
        <v>18.750000000000004</v>
      </c>
      <c r="D118">
        <v>15</v>
      </c>
      <c r="E118" s="18">
        <v>-3952.1157063605874</v>
      </c>
      <c r="F118" s="18">
        <v>293.7587097145544</v>
      </c>
      <c r="G118" s="18">
        <v>668.8579793268651</v>
      </c>
    </row>
    <row r="120" spans="2:14" x14ac:dyDescent="0.25">
      <c r="B120">
        <v>8</v>
      </c>
      <c r="C120">
        <v>22.500000000000025</v>
      </c>
      <c r="D120">
        <v>1</v>
      </c>
      <c r="E120" s="18">
        <v>16802.191009544775</v>
      </c>
      <c r="F120" s="18">
        <v>865.2030510494852</v>
      </c>
      <c r="G120" s="18">
        <v>2942.066183407719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8</v>
      </c>
      <c r="C121">
        <v>22.500000000000025</v>
      </c>
      <c r="D121">
        <v>2</v>
      </c>
      <c r="E121" s="18">
        <v>15007.29248169634</v>
      </c>
      <c r="F121" s="18">
        <v>962.5521155460332</v>
      </c>
      <c r="G121" s="18">
        <v>3579.484973932545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8</v>
      </c>
      <c r="C122">
        <v>22.500000000000025</v>
      </c>
      <c r="D122">
        <v>3</v>
      </c>
      <c r="E122" s="18">
        <v>13075.220891441473</v>
      </c>
      <c r="F122" s="18">
        <v>1162.7810816266567</v>
      </c>
      <c r="G122" s="18">
        <v>3982.9577831902784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8</v>
      </c>
      <c r="C123">
        <v>22.500000000000025</v>
      </c>
      <c r="D123">
        <v>4</v>
      </c>
      <c r="E123" s="18">
        <v>10833.439598953884</v>
      </c>
      <c r="F123" s="18">
        <v>1311.7332308944553</v>
      </c>
      <c r="G123" s="18">
        <v>4247.617279107656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8</v>
      </c>
      <c r="C124">
        <v>22.500000000000025</v>
      </c>
      <c r="D124">
        <v>5</v>
      </c>
      <c r="E124" s="18">
        <v>8660.155100207085</v>
      </c>
      <c r="F124" s="18">
        <v>1343.5847581048515</v>
      </c>
      <c r="G124" s="18">
        <v>4388.265007291906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8</v>
      </c>
      <c r="C125">
        <v>22.500000000000025</v>
      </c>
      <c r="D125">
        <v>6</v>
      </c>
      <c r="E125" s="18">
        <v>6691.307545745311</v>
      </c>
      <c r="F125" s="18">
        <v>1333.6175265229504</v>
      </c>
      <c r="G125" s="18">
        <v>4822.637017948086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8</v>
      </c>
      <c r="C126">
        <v>22.500000000000025</v>
      </c>
      <c r="D126">
        <v>7</v>
      </c>
      <c r="E126" s="18">
        <v>5677.316190257454</v>
      </c>
      <c r="F126" s="18">
        <v>1382.9185662743064</v>
      </c>
      <c r="G126" s="18">
        <v>5035.454405287944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8</v>
      </c>
      <c r="C127">
        <v>22.500000000000025</v>
      </c>
      <c r="D127">
        <v>8</v>
      </c>
      <c r="E127" s="18">
        <v>4891.244997979235</v>
      </c>
      <c r="F127" s="18">
        <v>1435.971119883016</v>
      </c>
      <c r="G127" s="18">
        <v>5198.528634661525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8</v>
      </c>
      <c r="C128">
        <v>22.500000000000025</v>
      </c>
      <c r="D128">
        <v>9</v>
      </c>
      <c r="E128" s="18">
        <v>3991.7796150169524</v>
      </c>
      <c r="F128" s="18">
        <v>1406.203956309297</v>
      </c>
      <c r="G128" s="18">
        <v>4918.988182740225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14" x14ac:dyDescent="0.25">
      <c r="B129">
        <v>8</v>
      </c>
      <c r="C129">
        <v>22.500000000000025</v>
      </c>
      <c r="D129">
        <v>10</v>
      </c>
      <c r="E129" s="18">
        <v>2526.0523915179056</v>
      </c>
      <c r="F129" s="18">
        <v>1340.333078545921</v>
      </c>
      <c r="G129" s="18">
        <v>4345.226610139155</v>
      </c>
      <c r="H129" s="12">
        <f>E130</f>
      </c>
      <c r="I129" s="12">
        <f>F130</f>
      </c>
      <c r="J129" s="12">
        <f>G130</f>
      </c>
      <c r="K129">
        <f>IF(AND(Pu&gt;=MIN(E129,H129),Pu&lt;=MAX(E129,H129),E129&lt;&gt;H129),1,0)</f>
      </c>
      <c r="L129">
        <f>IF(K129=1,(Pu-E129)/(H129-E129),"")</f>
      </c>
      <c r="M129" s="12">
        <f>IF(K129=1,F129+L129*(I129-F129),"")</f>
      </c>
      <c r="N129" s="12">
        <f>IF(K129=1,G129+L129*(J129-G129),"")</f>
      </c>
    </row>
    <row r="130" spans="2:14" x14ac:dyDescent="0.25">
      <c r="B130">
        <v>8</v>
      </c>
      <c r="C130">
        <v>22.500000000000025</v>
      </c>
      <c r="D130">
        <v>11</v>
      </c>
      <c r="E130" s="18">
        <v>1320.7295542762943</v>
      </c>
      <c r="F130" s="18">
        <v>1256.6016201215307</v>
      </c>
      <c r="G130" s="18">
        <v>3775.7636563528686</v>
      </c>
      <c r="H130" s="12">
        <f>E131</f>
      </c>
      <c r="I130" s="12">
        <f>F131</f>
      </c>
      <c r="J130" s="12">
        <f>G131</f>
      </c>
      <c r="K130">
        <f>IF(AND(Pu&gt;=MIN(E130,H130),Pu&lt;=MAX(E130,H130),E130&lt;&gt;H130),1,0)</f>
      </c>
      <c r="L130">
        <f>IF(K130=1,(Pu-E130)/(H130-E130),"")</f>
      </c>
      <c r="M130" s="12">
        <f>IF(K130=1,F130+L130*(I130-F130),"")</f>
      </c>
      <c r="N130" s="12">
        <f>IF(K130=1,G130+L130*(J130-G130),"")</f>
      </c>
    </row>
    <row r="131" spans="2:14" x14ac:dyDescent="0.25">
      <c r="B131">
        <v>8</v>
      </c>
      <c r="C131">
        <v>22.500000000000025</v>
      </c>
      <c r="D131">
        <v>12</v>
      </c>
      <c r="E131" s="18">
        <v>-718.2537779196927</v>
      </c>
      <c r="F131" s="18">
        <v>990.5468081860521</v>
      </c>
      <c r="G131" s="18">
        <v>2658.1585911899983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8</v>
      </c>
      <c r="C132">
        <v>22.500000000000025</v>
      </c>
      <c r="D132">
        <v>13</v>
      </c>
      <c r="E132" s="18">
        <v>-2043.8499721972446</v>
      </c>
      <c r="F132" s="18">
        <v>768.39532065806</v>
      </c>
      <c r="G132" s="18">
        <v>1860.8309741361527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7" x14ac:dyDescent="0.25">
      <c r="B133">
        <v>8</v>
      </c>
      <c r="C133">
        <v>22.500000000000025</v>
      </c>
      <c r="D133">
        <v>14</v>
      </c>
      <c r="E133" s="18">
        <v>-4033.7443968083653</v>
      </c>
      <c r="F133" s="18">
        <v>292.25798112808314</v>
      </c>
      <c r="G133" s="18">
        <v>609.0838507623972</v>
      </c>
    </row>
    <row r="135" spans="2:14" x14ac:dyDescent="0.25">
      <c r="B135">
        <v>9</v>
      </c>
      <c r="C135">
        <v>30.000000000000014</v>
      </c>
      <c r="D135">
        <v>1</v>
      </c>
      <c r="E135" s="18">
        <v>16998.009337410247</v>
      </c>
      <c r="F135" s="18">
        <v>1133.6483233342226</v>
      </c>
      <c r="G135" s="18">
        <v>2709.872655296521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9</v>
      </c>
      <c r="C136">
        <v>30.000000000000014</v>
      </c>
      <c r="D136">
        <v>2</v>
      </c>
      <c r="E136" s="18">
        <v>15021.685687512985</v>
      </c>
      <c r="F136" s="18">
        <v>1322.3102911534036</v>
      </c>
      <c r="G136" s="18">
        <v>3396.3693219095753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9</v>
      </c>
      <c r="C137">
        <v>30.000000000000014</v>
      </c>
      <c r="D137">
        <v>3</v>
      </c>
      <c r="E137" s="18">
        <v>12917.191162616702</v>
      </c>
      <c r="F137" s="18">
        <v>1568.6732710273864</v>
      </c>
      <c r="G137" s="18">
        <v>3801.6815566804407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9</v>
      </c>
      <c r="C138">
        <v>30.000000000000014</v>
      </c>
      <c r="D138">
        <v>4</v>
      </c>
      <c r="E138" s="18">
        <v>10727.012526339862</v>
      </c>
      <c r="F138" s="18">
        <v>1769.947839356138</v>
      </c>
      <c r="G138" s="18">
        <v>4024.5058086536574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9</v>
      </c>
      <c r="C139">
        <v>30.000000000000014</v>
      </c>
      <c r="D139">
        <v>5</v>
      </c>
      <c r="E139" s="18">
        <v>8691.31874850863</v>
      </c>
      <c r="F139" s="18">
        <v>1787.0400065559847</v>
      </c>
      <c r="G139" s="18">
        <v>4169.332745253193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9</v>
      </c>
      <c r="C140">
        <v>30.000000000000014</v>
      </c>
      <c r="D140">
        <v>6</v>
      </c>
      <c r="E140" s="18">
        <v>6664.820375148372</v>
      </c>
      <c r="F140" s="18">
        <v>1823.3477417543456</v>
      </c>
      <c r="G140" s="18">
        <v>4579.5157997130445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9</v>
      </c>
      <c r="C141">
        <v>30.000000000000014</v>
      </c>
      <c r="D141">
        <v>7</v>
      </c>
      <c r="E141" s="18">
        <v>5523.813323565008</v>
      </c>
      <c r="F141" s="18">
        <v>1876.974164526136</v>
      </c>
      <c r="G141" s="18">
        <v>4748.332897726923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9</v>
      </c>
      <c r="C142">
        <v>30.000000000000014</v>
      </c>
      <c r="D142">
        <v>8</v>
      </c>
      <c r="E142" s="18">
        <v>4712.47390386089</v>
      </c>
      <c r="F142" s="18">
        <v>1932.003926087627</v>
      </c>
      <c r="G142" s="18">
        <v>4863.813696206678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9</v>
      </c>
      <c r="C143">
        <v>30.000000000000014</v>
      </c>
      <c r="D143">
        <v>9</v>
      </c>
      <c r="E143" s="18">
        <v>3655.589028488314</v>
      </c>
      <c r="F143" s="18">
        <v>1848.0920579585447</v>
      </c>
      <c r="G143" s="18">
        <v>4552.94177970658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9</v>
      </c>
      <c r="C144">
        <v>30.000000000000014</v>
      </c>
      <c r="D144">
        <v>10</v>
      </c>
      <c r="E144" s="18">
        <v>2045.6972224165586</v>
      </c>
      <c r="F144" s="18">
        <v>1711.849317139989</v>
      </c>
      <c r="G144" s="18">
        <v>3907.4828363248625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9</v>
      </c>
      <c r="C145">
        <v>30.000000000000014</v>
      </c>
      <c r="D145">
        <v>11</v>
      </c>
      <c r="E145" s="18">
        <v>909.6960597465946</v>
      </c>
      <c r="F145" s="18">
        <v>1537.2891152390166</v>
      </c>
      <c r="G145" s="18">
        <v>3370.677902549651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9</v>
      </c>
      <c r="C146">
        <v>30.000000000000014</v>
      </c>
      <c r="D146">
        <v>12</v>
      </c>
      <c r="E146" s="18">
        <v>-1001.6965113812608</v>
      </c>
      <c r="F146" s="18">
        <v>1175.5242872224321</v>
      </c>
      <c r="G146" s="18">
        <v>2376.2135344926633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9</v>
      </c>
      <c r="C147">
        <v>30.000000000000014</v>
      </c>
      <c r="D147">
        <v>13</v>
      </c>
      <c r="E147" s="18">
        <v>-2257.327155870937</v>
      </c>
      <c r="F147" s="18">
        <v>876.348767785417</v>
      </c>
      <c r="G147" s="18">
        <v>1667.2597478327245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7" x14ac:dyDescent="0.25">
      <c r="B148">
        <v>9</v>
      </c>
      <c r="C148">
        <v>30.000000000000014</v>
      </c>
      <c r="D148">
        <v>14</v>
      </c>
      <c r="E148" s="18">
        <v>-4073.3630307214953</v>
      </c>
      <c r="F148" s="18">
        <v>317.1119100570367</v>
      </c>
      <c r="G148" s="18">
        <v>570.033654895359</v>
      </c>
    </row>
    <row r="150" spans="2:14" x14ac:dyDescent="0.25">
      <c r="B150">
        <v>10</v>
      </c>
      <c r="C150">
        <v>37.50000000000001</v>
      </c>
      <c r="D150">
        <v>1</v>
      </c>
      <c r="E150" s="18">
        <v>17108.712410985077</v>
      </c>
      <c r="F150" s="18">
        <v>1389.669905823529</v>
      </c>
      <c r="G150" s="18">
        <v>2484.035664288285</v>
      </c>
      <c r="H150" s="12">
        <f>E151</f>
      </c>
      <c r="I150" s="12">
        <f>F151</f>
      </c>
      <c r="J150" s="12">
        <f>G151</f>
      </c>
      <c r="K150">
        <f>IF(AND(Pu&gt;=MIN(E150,H150),Pu&lt;=MAX(E150,H150),E150&lt;&gt;H150),1,0)</f>
      </c>
      <c r="L150">
        <f>IF(K150=1,(Pu-E150)/(H150-E150),"")</f>
      </c>
      <c r="M150" s="12">
        <f>IF(K150=1,F150+L150*(I150-F150),"")</f>
      </c>
      <c r="N150" s="12">
        <f>IF(K150=1,G150+L150*(J150-G150),"")</f>
      </c>
    </row>
    <row r="151" spans="2:14" x14ac:dyDescent="0.25">
      <c r="B151">
        <v>10</v>
      </c>
      <c r="C151">
        <v>37.50000000000001</v>
      </c>
      <c r="D151">
        <v>2</v>
      </c>
      <c r="E151" s="18">
        <v>14923.42171423658</v>
      </c>
      <c r="F151" s="18">
        <v>1692.5837570022004</v>
      </c>
      <c r="G151" s="18">
        <v>3187.249505757264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10</v>
      </c>
      <c r="C152">
        <v>37.50000000000001</v>
      </c>
      <c r="D152">
        <v>3</v>
      </c>
      <c r="E152" s="18">
        <v>12739.596416437675</v>
      </c>
      <c r="F152" s="18">
        <v>2020.290448682791</v>
      </c>
      <c r="G152" s="18">
        <v>3536.3202856234216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10</v>
      </c>
      <c r="C153">
        <v>37.50000000000001</v>
      </c>
      <c r="D153">
        <v>4</v>
      </c>
      <c r="E153" s="18">
        <v>10562.039066695268</v>
      </c>
      <c r="F153" s="18">
        <v>2230.183834195958</v>
      </c>
      <c r="G153" s="18">
        <v>3725.300571645058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14" x14ac:dyDescent="0.25">
      <c r="B154">
        <v>10</v>
      </c>
      <c r="C154">
        <v>37.50000000000001</v>
      </c>
      <c r="D154">
        <v>5</v>
      </c>
      <c r="E154" s="18">
        <v>8773.07022351979</v>
      </c>
      <c r="F154" s="18">
        <v>2278.433139024343</v>
      </c>
      <c r="G154" s="18">
        <v>3851.6695754617945</v>
      </c>
      <c r="H154" s="12">
        <f>E155</f>
      </c>
      <c r="I154" s="12">
        <f>F155</f>
      </c>
      <c r="J154" s="12">
        <f>G155</f>
      </c>
      <c r="K154">
        <f>IF(AND(Pu&gt;=MIN(E154,H154),Pu&lt;=MAX(E154,H154),E154&lt;&gt;H154),1,0)</f>
      </c>
      <c r="L154">
        <f>IF(K154=1,(Pu-E154)/(H154-E154),"")</f>
      </c>
      <c r="M154" s="12">
        <f>IF(K154=1,F154+L154*(I154-F154),"")</f>
      </c>
      <c r="N154" s="12">
        <f>IF(K154=1,G154+L154*(J154-G154),"")</f>
      </c>
    </row>
    <row r="155" spans="2:14" x14ac:dyDescent="0.25">
      <c r="B155">
        <v>10</v>
      </c>
      <c r="C155">
        <v>37.50000000000001</v>
      </c>
      <c r="D155">
        <v>6</v>
      </c>
      <c r="E155" s="18">
        <v>6697.512934626374</v>
      </c>
      <c r="F155" s="18">
        <v>2330.908733824904</v>
      </c>
      <c r="G155" s="18">
        <v>4262.382169382589</v>
      </c>
      <c r="H155" s="12">
        <f>E156</f>
      </c>
      <c r="I155" s="12">
        <f>F156</f>
      </c>
      <c r="J155" s="12">
        <f>G156</f>
      </c>
      <c r="K155">
        <f>IF(AND(Pu&gt;=MIN(E155,H155),Pu&lt;=MAX(E155,H155),E155&lt;&gt;H155),1,0)</f>
      </c>
      <c r="L155">
        <f>IF(K155=1,(Pu-E155)/(H155-E155),"")</f>
      </c>
      <c r="M155" s="12">
        <f>IF(K155=1,F155+L155*(I155-F155),"")</f>
      </c>
      <c r="N155" s="12">
        <f>IF(K155=1,G155+L155*(J155-G155),"")</f>
      </c>
    </row>
    <row r="156" spans="2:14" x14ac:dyDescent="0.25">
      <c r="B156">
        <v>10</v>
      </c>
      <c r="C156">
        <v>37.50000000000001</v>
      </c>
      <c r="D156">
        <v>7</v>
      </c>
      <c r="E156" s="18">
        <v>5442.032341993212</v>
      </c>
      <c r="F156" s="18">
        <v>2350.8874838756356</v>
      </c>
      <c r="G156" s="18">
        <v>4421.992730133068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10</v>
      </c>
      <c r="C157">
        <v>37.50000000000001</v>
      </c>
      <c r="D157">
        <v>8</v>
      </c>
      <c r="E157" s="18">
        <v>4515.240129831891</v>
      </c>
      <c r="F157" s="18">
        <v>2428.727812315331</v>
      </c>
      <c r="G157" s="18">
        <v>4453.186024962649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10</v>
      </c>
      <c r="C158">
        <v>37.50000000000001</v>
      </c>
      <c r="D158">
        <v>9</v>
      </c>
      <c r="E158" s="18">
        <v>3413.561556985548</v>
      </c>
      <c r="F158" s="18">
        <v>2283.414188349685</v>
      </c>
      <c r="G158" s="18">
        <v>4125.827192293981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10</v>
      </c>
      <c r="C159">
        <v>37.50000000000001</v>
      </c>
      <c r="D159">
        <v>10</v>
      </c>
      <c r="E159" s="18">
        <v>1843.7864076233043</v>
      </c>
      <c r="F159" s="18">
        <v>2004.510879360339</v>
      </c>
      <c r="G159" s="18">
        <v>3566.3272037865468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10</v>
      </c>
      <c r="C160">
        <v>37.50000000000001</v>
      </c>
      <c r="D160">
        <v>11</v>
      </c>
      <c r="E160" s="18">
        <v>754.8276751562498</v>
      </c>
      <c r="F160" s="18">
        <v>1769.2233058163717</v>
      </c>
      <c r="G160" s="18">
        <v>3109.8068147023114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10</v>
      </c>
      <c r="C161">
        <v>37.50000000000001</v>
      </c>
      <c r="D161">
        <v>12</v>
      </c>
      <c r="E161" s="18">
        <v>-1106.4344891201172</v>
      </c>
      <c r="F161" s="18">
        <v>1337.468843230493</v>
      </c>
      <c r="G161" s="18">
        <v>2207.1877210265384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10</v>
      </c>
      <c r="C162">
        <v>37.50000000000001</v>
      </c>
      <c r="D162">
        <v>13</v>
      </c>
      <c r="E162" s="18">
        <v>-2327.6010073568705</v>
      </c>
      <c r="F162" s="18">
        <v>976.0132893894726</v>
      </c>
      <c r="G162" s="18">
        <v>1562.3935890089024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7" x14ac:dyDescent="0.25">
      <c r="B163">
        <v>10</v>
      </c>
      <c r="C163">
        <v>37.50000000000001</v>
      </c>
      <c r="D163">
        <v>14</v>
      </c>
      <c r="E163" s="18">
        <v>-4016.73862868482</v>
      </c>
      <c r="F163" s="18">
        <v>361.7580072952771</v>
      </c>
      <c r="G163" s="18">
        <v>591.8186988631566</v>
      </c>
    </row>
    <row r="165" spans="2:14" x14ac:dyDescent="0.25">
      <c r="B165">
        <v>11</v>
      </c>
      <c r="C165">
        <v>45</v>
      </c>
      <c r="D165">
        <v>1</v>
      </c>
      <c r="E165" s="18">
        <v>17061.13540817806</v>
      </c>
      <c r="F165" s="18">
        <v>1637.020229541611</v>
      </c>
      <c r="G165" s="18">
        <v>2303.70807887742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11</v>
      </c>
      <c r="C166">
        <v>45</v>
      </c>
      <c r="D166">
        <v>2</v>
      </c>
      <c r="E166" s="18">
        <v>14734.149067661087</v>
      </c>
      <c r="F166" s="18">
        <v>2085.7026740642777</v>
      </c>
      <c r="G166" s="18">
        <v>2914.3994503629074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11</v>
      </c>
      <c r="C167">
        <v>45</v>
      </c>
      <c r="D167">
        <v>3</v>
      </c>
      <c r="E167" s="18">
        <v>12386.265615091017</v>
      </c>
      <c r="F167" s="18">
        <v>2510.299703562493</v>
      </c>
      <c r="G167" s="18">
        <v>3176.0618135829545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11</v>
      </c>
      <c r="C168">
        <v>45</v>
      </c>
      <c r="D168">
        <v>4</v>
      </c>
      <c r="E168" s="18">
        <v>10459.652677413575</v>
      </c>
      <c r="F168" s="18">
        <v>2727.041082510712</v>
      </c>
      <c r="G168" s="18">
        <v>3314.6852291010687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14" x14ac:dyDescent="0.25">
      <c r="B169">
        <v>11</v>
      </c>
      <c r="C169">
        <v>45</v>
      </c>
      <c r="D169">
        <v>5</v>
      </c>
      <c r="E169" s="18">
        <v>8791.49496140932</v>
      </c>
      <c r="F169" s="18">
        <v>2768.318318215705</v>
      </c>
      <c r="G169" s="18">
        <v>3447.0487624537063</v>
      </c>
      <c r="H169" s="12">
        <f>E170</f>
      </c>
      <c r="I169" s="12">
        <f>F170</f>
      </c>
      <c r="J169" s="12">
        <f>G170</f>
      </c>
      <c r="K169">
        <f>IF(AND(Pu&gt;=MIN(E169,H169),Pu&lt;=MAX(E169,H169),E169&lt;&gt;H169),1,0)</f>
      </c>
      <c r="L169">
        <f>IF(K169=1,(Pu-E169)/(H169-E169),"")</f>
      </c>
      <c r="M169" s="12">
        <f>IF(K169=1,F169+L169*(I169-F169),"")</f>
      </c>
      <c r="N169" s="12">
        <f>IF(K169=1,G169+L169*(J169-G169),"")</f>
      </c>
    </row>
    <row r="170" spans="2:14" x14ac:dyDescent="0.25">
      <c r="B170">
        <v>11</v>
      </c>
      <c r="C170">
        <v>45</v>
      </c>
      <c r="D170">
        <v>6</v>
      </c>
      <c r="E170" s="18">
        <v>6850.467355868671</v>
      </c>
      <c r="F170" s="18">
        <v>2839.466090627369</v>
      </c>
      <c r="G170" s="18">
        <v>3858.558625137916</v>
      </c>
      <c r="H170" s="12">
        <f>E171</f>
      </c>
      <c r="I170" s="12">
        <f>F171</f>
      </c>
      <c r="J170" s="12">
        <f>G171</f>
      </c>
      <c r="K170">
        <f>IF(AND(Pu&gt;=MIN(E170,H170),Pu&lt;=MAX(E170,H170),E170&lt;&gt;H170),1,0)</f>
      </c>
      <c r="L170">
        <f>IF(K170=1,(Pu-E170)/(H170-E170),"")</f>
      </c>
      <c r="M170" s="12">
        <f>IF(K170=1,F170+L170*(I170-F170),"")</f>
      </c>
      <c r="N170" s="12">
        <f>IF(K170=1,G170+L170*(J170-G170),"")</f>
      </c>
    </row>
    <row r="171" spans="2:14" x14ac:dyDescent="0.25">
      <c r="B171">
        <v>11</v>
      </c>
      <c r="C171">
        <v>45</v>
      </c>
      <c r="D171">
        <v>7</v>
      </c>
      <c r="E171" s="18">
        <v>5443.491859240003</v>
      </c>
      <c r="F171" s="18">
        <v>2861.287004212469</v>
      </c>
      <c r="G171" s="18">
        <v>4004.837653857729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11</v>
      </c>
      <c r="C172">
        <v>45</v>
      </c>
      <c r="D172">
        <v>8</v>
      </c>
      <c r="E172" s="18">
        <v>4456.324876830609</v>
      </c>
      <c r="F172" s="18">
        <v>2880.4086417883004</v>
      </c>
      <c r="G172" s="18">
        <v>4029.9062304683607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11</v>
      </c>
      <c r="C173">
        <v>45</v>
      </c>
      <c r="D173">
        <v>9</v>
      </c>
      <c r="E173" s="18">
        <v>3393.4713703566335</v>
      </c>
      <c r="F173" s="18">
        <v>2676.519962461804</v>
      </c>
      <c r="G173" s="18">
        <v>3745.6293819413745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11</v>
      </c>
      <c r="C174">
        <v>45</v>
      </c>
      <c r="D174">
        <v>10</v>
      </c>
      <c r="E174" s="18">
        <v>1849.6884914178627</v>
      </c>
      <c r="F174" s="18">
        <v>2288.170473812031</v>
      </c>
      <c r="G174" s="18">
        <v>3305.6278475200975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11</v>
      </c>
      <c r="C175">
        <v>45</v>
      </c>
      <c r="D175">
        <v>11</v>
      </c>
      <c r="E175" s="18">
        <v>732.5153291585755</v>
      </c>
      <c r="F175" s="18">
        <v>2013.3938192672583</v>
      </c>
      <c r="G175" s="18">
        <v>2890.167752046104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11</v>
      </c>
      <c r="C176">
        <v>45</v>
      </c>
      <c r="D176">
        <v>12</v>
      </c>
      <c r="E176" s="18">
        <v>-1050.3888189711085</v>
      </c>
      <c r="F176" s="18">
        <v>1501.002020559883</v>
      </c>
      <c r="G176" s="18">
        <v>2121.201153795865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11</v>
      </c>
      <c r="C177">
        <v>45</v>
      </c>
      <c r="D177">
        <v>13</v>
      </c>
      <c r="E177" s="18">
        <v>-2145.7278507444894</v>
      </c>
      <c r="F177" s="18">
        <v>1129.3800446978903</v>
      </c>
      <c r="G177" s="18">
        <v>1571.4430724252618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7" x14ac:dyDescent="0.25">
      <c r="B178">
        <v>11</v>
      </c>
      <c r="C178">
        <v>45</v>
      </c>
      <c r="D178">
        <v>14</v>
      </c>
      <c r="E178" s="18">
        <v>-3810.9518268016072</v>
      </c>
      <c r="F178" s="18">
        <v>482.3005375926701</v>
      </c>
      <c r="G178" s="18">
        <v>675.2617340453237</v>
      </c>
    </row>
    <row r="180" spans="2:14" x14ac:dyDescent="0.25">
      <c r="B180">
        <v>12</v>
      </c>
      <c r="C180">
        <v>52.49999999999999</v>
      </c>
      <c r="D180">
        <v>1</v>
      </c>
      <c r="E180" s="18">
        <v>16842.67711210919</v>
      </c>
      <c r="F180" s="18">
        <v>1894.3681078044701</v>
      </c>
      <c r="G180" s="18">
        <v>2132.3232681189406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12</v>
      </c>
      <c r="C181">
        <v>52.49999999999999</v>
      </c>
      <c r="D181">
        <v>2</v>
      </c>
      <c r="E181" s="18">
        <v>14299.918243022534</v>
      </c>
      <c r="F181" s="18">
        <v>2541.9033393331706</v>
      </c>
      <c r="G181" s="18">
        <v>2548.802237761252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12</v>
      </c>
      <c r="C182">
        <v>52.49999999999999</v>
      </c>
      <c r="D182">
        <v>3</v>
      </c>
      <c r="E182" s="18">
        <v>11924.520528232557</v>
      </c>
      <c r="F182" s="18">
        <v>2987.593985977993</v>
      </c>
      <c r="G182" s="18">
        <v>2714.6089352287554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12</v>
      </c>
      <c r="C183">
        <v>52.49999999999999</v>
      </c>
      <c r="D183">
        <v>4</v>
      </c>
      <c r="E183" s="18">
        <v>10166.988759695369</v>
      </c>
      <c r="F183" s="18">
        <v>3164.3227615278715</v>
      </c>
      <c r="G183" s="18">
        <v>2839.3699828540643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12</v>
      </c>
      <c r="C184">
        <v>52.49999999999999</v>
      </c>
      <c r="D184">
        <v>5</v>
      </c>
      <c r="E184" s="18">
        <v>8651.512731717812</v>
      </c>
      <c r="F184" s="18">
        <v>3224.928797479176</v>
      </c>
      <c r="G184" s="18">
        <v>2941.6681424533144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12</v>
      </c>
      <c r="C185">
        <v>52.49999999999999</v>
      </c>
      <c r="D185">
        <v>6</v>
      </c>
      <c r="E185" s="18">
        <v>6762.551774205146</v>
      </c>
      <c r="F185" s="18">
        <v>3332.3364099000228</v>
      </c>
      <c r="G185" s="18">
        <v>3298.9601559023217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12</v>
      </c>
      <c r="C186">
        <v>52.49999999999999</v>
      </c>
      <c r="D186">
        <v>7</v>
      </c>
      <c r="E186" s="18">
        <v>5249.535709554337</v>
      </c>
      <c r="F186" s="18">
        <v>3276.040333705805</v>
      </c>
      <c r="G186" s="18">
        <v>3464.3160325741587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12</v>
      </c>
      <c r="C187">
        <v>52.49999999999999</v>
      </c>
      <c r="D187">
        <v>8</v>
      </c>
      <c r="E187" s="18">
        <v>4222.55919839939</v>
      </c>
      <c r="F187" s="18">
        <v>3218.5347080094293</v>
      </c>
      <c r="G187" s="18">
        <v>3539.8630594330984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12</v>
      </c>
      <c r="C188">
        <v>52.49999999999999</v>
      </c>
      <c r="D188">
        <v>9</v>
      </c>
      <c r="E188" s="18">
        <v>3156.602317921962</v>
      </c>
      <c r="F188" s="18">
        <v>2931.7185167318157</v>
      </c>
      <c r="G188" s="18">
        <v>3299.559311664397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12</v>
      </c>
      <c r="C189">
        <v>52.49999999999999</v>
      </c>
      <c r="D189">
        <v>10</v>
      </c>
      <c r="E189" s="18">
        <v>1566.117428756524</v>
      </c>
      <c r="F189" s="18">
        <v>2491.968688063844</v>
      </c>
      <c r="G189" s="18">
        <v>2869.7473509416423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14" x14ac:dyDescent="0.25">
      <c r="B190">
        <v>12</v>
      </c>
      <c r="C190">
        <v>52.49999999999999</v>
      </c>
      <c r="D190">
        <v>11</v>
      </c>
      <c r="E190" s="18">
        <v>425.4091359643752</v>
      </c>
      <c r="F190" s="18">
        <v>2141.1443005364185</v>
      </c>
      <c r="G190" s="18">
        <v>2518.7047160213197</v>
      </c>
      <c r="H190" s="12">
        <f>E191</f>
      </c>
      <c r="I190" s="12">
        <f>F191</f>
      </c>
      <c r="J190" s="12">
        <f>G191</f>
      </c>
      <c r="K190">
        <f>IF(AND(Pu&gt;=MIN(E190,H190),Pu&lt;=MAX(E190,H190),E190&lt;&gt;H190),1,0)</f>
      </c>
      <c r="L190">
        <f>IF(K190=1,(Pu-E190)/(H190-E190),"")</f>
      </c>
      <c r="M190" s="12">
        <f>IF(K190=1,F190+L190*(I190-F190),"")</f>
      </c>
      <c r="N190" s="12">
        <f>IF(K190=1,G190+L190*(J190-G190),"")</f>
      </c>
    </row>
    <row r="191" spans="2:14" x14ac:dyDescent="0.25">
      <c r="B191">
        <v>12</v>
      </c>
      <c r="C191">
        <v>52.49999999999999</v>
      </c>
      <c r="D191">
        <v>12</v>
      </c>
      <c r="E191" s="18">
        <v>-1431.530462328028</v>
      </c>
      <c r="F191" s="18">
        <v>1490.7455114746251</v>
      </c>
      <c r="G191" s="18">
        <v>1788.1377109710845</v>
      </c>
      <c r="H191" s="12">
        <f>E192</f>
      </c>
      <c r="I191" s="12">
        <f>F192</f>
      </c>
      <c r="J191" s="12">
        <f>G192</f>
      </c>
      <c r="K191">
        <f>IF(AND(Pu&gt;=MIN(E191,H191),Pu&lt;=MAX(E191,H191),E191&lt;&gt;H191),1,0)</f>
      </c>
      <c r="L191">
        <f>IF(K191=1,(Pu-E191)/(H191-E191),"")</f>
      </c>
      <c r="M191" s="12">
        <f>IF(K191=1,F191+L191*(I191-F191),"")</f>
      </c>
      <c r="N191" s="12">
        <f>IF(K191=1,G191+L191*(J191-G191),"")</f>
      </c>
    </row>
    <row r="192" spans="2:14" x14ac:dyDescent="0.25">
      <c r="B192">
        <v>12</v>
      </c>
      <c r="C192">
        <v>52.49999999999999</v>
      </c>
      <c r="D192">
        <v>13</v>
      </c>
      <c r="E192" s="18">
        <v>-2545.970734871878</v>
      </c>
      <c r="F192" s="18">
        <v>1061.2908909024163</v>
      </c>
      <c r="G192" s="18">
        <v>1270.6468792602868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7" x14ac:dyDescent="0.25">
      <c r="B193">
        <v>12</v>
      </c>
      <c r="C193">
        <v>52.49999999999999</v>
      </c>
      <c r="D193">
        <v>14</v>
      </c>
      <c r="E193" s="18">
        <v>-4128.017111968447</v>
      </c>
      <c r="F193" s="18">
        <v>380.3352721946863</v>
      </c>
      <c r="G193" s="18">
        <v>454.4653524960596</v>
      </c>
    </row>
    <row r="195" spans="2:14" x14ac:dyDescent="0.25">
      <c r="B195">
        <v>13</v>
      </c>
      <c r="C195">
        <v>59.999999999999986</v>
      </c>
      <c r="D195">
        <v>1</v>
      </c>
      <c r="E195" s="18">
        <v>16822.911304027486</v>
      </c>
      <c r="F195" s="18">
        <v>2091.0772565373013</v>
      </c>
      <c r="G195" s="18">
        <v>1846.3121376499741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13</v>
      </c>
      <c r="C196">
        <v>59.999999999999986</v>
      </c>
      <c r="D196">
        <v>2</v>
      </c>
      <c r="E196" s="18">
        <v>14070.91789811393</v>
      </c>
      <c r="F196" s="18">
        <v>2928.034801895529</v>
      </c>
      <c r="G196" s="18">
        <v>2047.833298988298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13</v>
      </c>
      <c r="C197">
        <v>59.999999999999986</v>
      </c>
      <c r="D197">
        <v>3</v>
      </c>
      <c r="E197" s="18">
        <v>11935.566040529277</v>
      </c>
      <c r="F197" s="18">
        <v>3346.4962168695943</v>
      </c>
      <c r="G197" s="18">
        <v>2169.9074877760963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13</v>
      </c>
      <c r="C198">
        <v>59.999999999999986</v>
      </c>
      <c r="D198">
        <v>4</v>
      </c>
      <c r="E198" s="18">
        <v>10256.541858725835</v>
      </c>
      <c r="F198" s="18">
        <v>3525.1655081617987</v>
      </c>
      <c r="G198" s="18">
        <v>2285.878670822102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13</v>
      </c>
      <c r="C199">
        <v>59.999999999999986</v>
      </c>
      <c r="D199">
        <v>5</v>
      </c>
      <c r="E199" s="18">
        <v>8792.157526062832</v>
      </c>
      <c r="F199" s="18">
        <v>3613.0310474925127</v>
      </c>
      <c r="G199" s="18">
        <v>2365.2959646508234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13</v>
      </c>
      <c r="C200">
        <v>59.999999999999986</v>
      </c>
      <c r="D200">
        <v>6</v>
      </c>
      <c r="E200" s="18">
        <v>7180.825741674877</v>
      </c>
      <c r="F200" s="18">
        <v>3862.7924438875834</v>
      </c>
      <c r="G200" s="18">
        <v>2652.807421861853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13</v>
      </c>
      <c r="C201">
        <v>59.999999999999986</v>
      </c>
      <c r="D201">
        <v>7</v>
      </c>
      <c r="E201" s="18">
        <v>5652.587608389084</v>
      </c>
      <c r="F201" s="18">
        <v>3777.7941585667736</v>
      </c>
      <c r="G201" s="18">
        <v>2915.9941830047405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13</v>
      </c>
      <c r="C202">
        <v>59.999999999999986</v>
      </c>
      <c r="D202">
        <v>8</v>
      </c>
      <c r="E202" s="18">
        <v>4514.10107220696</v>
      </c>
      <c r="F202" s="18">
        <v>3636.5992311156742</v>
      </c>
      <c r="G202" s="18">
        <v>3075.558700827429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13</v>
      </c>
      <c r="C203">
        <v>59.999999999999986</v>
      </c>
      <c r="D203">
        <v>9</v>
      </c>
      <c r="E203" s="18">
        <v>3331.785765319129</v>
      </c>
      <c r="F203" s="18">
        <v>3288.9994358440285</v>
      </c>
      <c r="G203" s="18">
        <v>2907.662440757469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13</v>
      </c>
      <c r="C204">
        <v>59.999999999999986</v>
      </c>
      <c r="D204">
        <v>10</v>
      </c>
      <c r="E204" s="18">
        <v>1637.589209114315</v>
      </c>
      <c r="F204" s="18">
        <v>2758.9611942195716</v>
      </c>
      <c r="G204" s="18">
        <v>2523.6827426699087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13</v>
      </c>
      <c r="C205">
        <v>59.999999999999986</v>
      </c>
      <c r="D205">
        <v>11</v>
      </c>
      <c r="E205" s="18">
        <v>454.51459456183653</v>
      </c>
      <c r="F205" s="18">
        <v>2337.6940815534126</v>
      </c>
      <c r="G205" s="18">
        <v>2221.031636311089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13</v>
      </c>
      <c r="C206">
        <v>59.999999999999986</v>
      </c>
      <c r="D206">
        <v>12</v>
      </c>
      <c r="E206" s="18">
        <v>-1552.097392240689</v>
      </c>
      <c r="F206" s="18">
        <v>1541.74004355525</v>
      </c>
      <c r="G206" s="18">
        <v>1576.7650024787317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13</v>
      </c>
      <c r="C207">
        <v>59.999999999999986</v>
      </c>
      <c r="D207">
        <v>13</v>
      </c>
      <c r="E207" s="18">
        <v>-2685.930774914732</v>
      </c>
      <c r="F207" s="18">
        <v>1059.286716705791</v>
      </c>
      <c r="G207" s="18">
        <v>1117.6191978244196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7" x14ac:dyDescent="0.25">
      <c r="B208">
        <v>13</v>
      </c>
      <c r="C208">
        <v>59.999999999999986</v>
      </c>
      <c r="D208">
        <v>14</v>
      </c>
      <c r="E208" s="18">
        <v>-4292.711667858743</v>
      </c>
      <c r="F208" s="18">
        <v>329.7583087806502</v>
      </c>
      <c r="G208" s="18">
        <v>328.58245107037845</v>
      </c>
    </row>
    <row r="210" spans="2:14" x14ac:dyDescent="0.25">
      <c r="B210">
        <v>14</v>
      </c>
      <c r="C210">
        <v>63.75</v>
      </c>
      <c r="D210">
        <v>1</v>
      </c>
      <c r="E210" s="18">
        <v>16744.10079397007</v>
      </c>
      <c r="F210" s="18">
        <v>2201.8794852700935</v>
      </c>
      <c r="G210" s="18">
        <v>1696.1455216829588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14" x14ac:dyDescent="0.25">
      <c r="B211">
        <v>14</v>
      </c>
      <c r="C211">
        <v>63.75</v>
      </c>
      <c r="D211">
        <v>2</v>
      </c>
      <c r="E211" s="18">
        <v>13912.338945812027</v>
      </c>
      <c r="F211" s="18">
        <v>3102.3309472937203</v>
      </c>
      <c r="G211" s="18">
        <v>1793.7583710510676</v>
      </c>
      <c r="H211" s="12">
        <f>E212</f>
      </c>
      <c r="I211" s="12">
        <f>F212</f>
      </c>
      <c r="J211" s="12">
        <f>G212</f>
      </c>
      <c r="K211">
        <f>IF(AND(Pu&gt;=MIN(E211,H211),Pu&lt;=MAX(E211,H211),E211&lt;&gt;H211),1,0)</f>
      </c>
      <c r="L211">
        <f>IF(K211=1,(Pu-E211)/(H211-E211),"")</f>
      </c>
      <c r="M211" s="12">
        <f>IF(K211=1,F211+L211*(I211-F211),"")</f>
      </c>
      <c r="N211" s="12">
        <f>IF(K211=1,G211+L211*(J211-G211),"")</f>
      </c>
    </row>
    <row r="212" spans="2:14" x14ac:dyDescent="0.25">
      <c r="B212">
        <v>14</v>
      </c>
      <c r="C212">
        <v>63.75</v>
      </c>
      <c r="D212">
        <v>3</v>
      </c>
      <c r="E212" s="18">
        <v>11929.779695966787</v>
      </c>
      <c r="F212" s="18">
        <v>3494.170173229603</v>
      </c>
      <c r="G212" s="18">
        <v>1895.405203995335</v>
      </c>
      <c r="H212" s="12">
        <f>E213</f>
      </c>
      <c r="I212" s="12">
        <f>F213</f>
      </c>
      <c r="J212" s="12">
        <f>G213</f>
      </c>
      <c r="K212">
        <f>IF(AND(Pu&gt;=MIN(E212,H212),Pu&lt;=MAX(E212,H212),E212&lt;&gt;H212),1,0)</f>
      </c>
      <c r="L212">
        <f>IF(K212=1,(Pu-E212)/(H212-E212),"")</f>
      </c>
      <c r="M212" s="12">
        <f>IF(K212=1,F212+L212*(I212-F212),"")</f>
      </c>
      <c r="N212" s="12">
        <f>IF(K212=1,G212+L212*(J212-G212),"")</f>
      </c>
    </row>
    <row r="213" spans="2:14" x14ac:dyDescent="0.25">
      <c r="B213">
        <v>14</v>
      </c>
      <c r="C213">
        <v>63.75</v>
      </c>
      <c r="D213">
        <v>4</v>
      </c>
      <c r="E213" s="18">
        <v>10299.95806316187</v>
      </c>
      <c r="F213" s="18">
        <v>3692.7863231788665</v>
      </c>
      <c r="G213" s="18">
        <v>1980.7029489475785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14</v>
      </c>
      <c r="C214">
        <v>63.75</v>
      </c>
      <c r="D214">
        <v>5</v>
      </c>
      <c r="E214" s="18">
        <v>8868.934892812233</v>
      </c>
      <c r="F214" s="18">
        <v>3777.276450036051</v>
      </c>
      <c r="G214" s="18">
        <v>2069.181341110366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14</v>
      </c>
      <c r="C215">
        <v>63.75</v>
      </c>
      <c r="D215">
        <v>6</v>
      </c>
      <c r="E215" s="18">
        <v>7371.238635732026</v>
      </c>
      <c r="F215" s="18">
        <v>4081.7244011154085</v>
      </c>
      <c r="G215" s="18">
        <v>2320.912706667913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14</v>
      </c>
      <c r="C216">
        <v>63.75</v>
      </c>
      <c r="D216">
        <v>7</v>
      </c>
      <c r="E216" s="18">
        <v>6015.224838528371</v>
      </c>
      <c r="F216" s="18">
        <v>4052.642210645826</v>
      </c>
      <c r="G216" s="18">
        <v>2579.0273319655303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14</v>
      </c>
      <c r="C217">
        <v>63.75</v>
      </c>
      <c r="D217">
        <v>8</v>
      </c>
      <c r="E217" s="18">
        <v>4814.875232835778</v>
      </c>
      <c r="F217" s="18">
        <v>3900.655714254087</v>
      </c>
      <c r="G217" s="18">
        <v>2789.012963954553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14</v>
      </c>
      <c r="C218">
        <v>63.75</v>
      </c>
      <c r="D218">
        <v>9</v>
      </c>
      <c r="E218" s="18">
        <v>3503.3921746783512</v>
      </c>
      <c r="F218" s="18">
        <v>3496.6135351068297</v>
      </c>
      <c r="G218" s="18">
        <v>2685.297512882767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14</v>
      </c>
      <c r="C219">
        <v>63.75</v>
      </c>
      <c r="D219">
        <v>10</v>
      </c>
      <c r="E219" s="18">
        <v>1774.7340375181645</v>
      </c>
      <c r="F219" s="18">
        <v>2915.1712602236216</v>
      </c>
      <c r="G219" s="18">
        <v>2357.9387656203285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14</v>
      </c>
      <c r="C220">
        <v>63.75</v>
      </c>
      <c r="D220">
        <v>11</v>
      </c>
      <c r="E220" s="18">
        <v>554.5550593624505</v>
      </c>
      <c r="F220" s="18">
        <v>2473.50403733968</v>
      </c>
      <c r="G220" s="18">
        <v>2063.122282156465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14</v>
      </c>
      <c r="C221">
        <v>63.75</v>
      </c>
      <c r="D221">
        <v>12</v>
      </c>
      <c r="E221" s="18">
        <v>-1522.2621864552677</v>
      </c>
      <c r="F221" s="18">
        <v>1605.7875193960747</v>
      </c>
      <c r="G221" s="18">
        <v>1485.189722264393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14</v>
      </c>
      <c r="C222">
        <v>63.75</v>
      </c>
      <c r="D222">
        <v>13</v>
      </c>
      <c r="E222" s="18">
        <v>-2675.1561546053435</v>
      </c>
      <c r="F222" s="18">
        <v>1090.857665733991</v>
      </c>
      <c r="G222" s="18">
        <v>1057.8465017152128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7" x14ac:dyDescent="0.25">
      <c r="B223">
        <v>14</v>
      </c>
      <c r="C223">
        <v>63.75</v>
      </c>
      <c r="D223">
        <v>14</v>
      </c>
      <c r="E223" s="18">
        <v>-4318.740988835909</v>
      </c>
      <c r="F223" s="18">
        <v>322.1572569433636</v>
      </c>
      <c r="G223" s="18">
        <v>302.3432411801938</v>
      </c>
    </row>
    <row r="225" spans="2:14" x14ac:dyDescent="0.25">
      <c r="B225">
        <v>15</v>
      </c>
      <c r="C225">
        <v>67.49999999999997</v>
      </c>
      <c r="D225">
        <v>1</v>
      </c>
      <c r="E225" s="18">
        <v>16557.408461219256</v>
      </c>
      <c r="F225" s="18">
        <v>2351.737838170155</v>
      </c>
      <c r="G225" s="18">
        <v>1521.4875419289729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14" x14ac:dyDescent="0.25">
      <c r="B226">
        <v>15</v>
      </c>
      <c r="C226">
        <v>67.49999999999997</v>
      </c>
      <c r="D226">
        <v>2</v>
      </c>
      <c r="E226" s="18">
        <v>13787.354594027167</v>
      </c>
      <c r="F226" s="18">
        <v>3243.950583044509</v>
      </c>
      <c r="G226" s="18">
        <v>1540.8172447784077</v>
      </c>
      <c r="H226" s="12">
        <f>E227</f>
      </c>
      <c r="I226" s="12">
        <f>F227</f>
      </c>
      <c r="J226" s="12">
        <f>G227</f>
      </c>
      <c r="K226">
        <f>IF(AND(Pu&gt;=MIN(E226,H226),Pu&lt;=MAX(E226,H226),E226&lt;&gt;H226),1,0)</f>
      </c>
      <c r="L226">
        <f>IF(K226=1,(Pu-E226)/(H226-E226),"")</f>
      </c>
      <c r="M226" s="12">
        <f>IF(K226=1,F226+L226*(I226-F226),"")</f>
      </c>
      <c r="N226" s="12">
        <f>IF(K226=1,G226+L226*(J226-G226),"")</f>
      </c>
    </row>
    <row r="227" spans="2:14" x14ac:dyDescent="0.25">
      <c r="B227">
        <v>15</v>
      </c>
      <c r="C227">
        <v>67.49999999999997</v>
      </c>
      <c r="D227">
        <v>3</v>
      </c>
      <c r="E227" s="18">
        <v>11906.581702234138</v>
      </c>
      <c r="F227" s="18">
        <v>3628.8315220228715</v>
      </c>
      <c r="G227" s="18">
        <v>1615.6790353202662</v>
      </c>
      <c r="H227" s="12">
        <f>E228</f>
      </c>
      <c r="I227" s="12">
        <f>F228</f>
      </c>
      <c r="J227" s="12">
        <f>G228</f>
      </c>
      <c r="K227">
        <f>IF(AND(Pu&gt;=MIN(E227,H227),Pu&lt;=MAX(E227,H227),E227&lt;&gt;H227),1,0)</f>
      </c>
      <c r="L227">
        <f>IF(K227=1,(Pu-E227)/(H227-E227),"")</f>
      </c>
      <c r="M227" s="12">
        <f>IF(K227=1,F227+L227*(I227-F227),"")</f>
      </c>
      <c r="N227" s="12">
        <f>IF(K227=1,G227+L227*(J227-G227),"")</f>
      </c>
    </row>
    <row r="228" spans="2:14" x14ac:dyDescent="0.25">
      <c r="B228">
        <v>15</v>
      </c>
      <c r="C228">
        <v>67.49999999999997</v>
      </c>
      <c r="D228">
        <v>4</v>
      </c>
      <c r="E228" s="18">
        <v>10320.665762980429</v>
      </c>
      <c r="F228" s="18">
        <v>3824.603950181504</v>
      </c>
      <c r="G228" s="18">
        <v>1695.4875761629107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15</v>
      </c>
      <c r="C229">
        <v>67.49999999999997</v>
      </c>
      <c r="D229">
        <v>5</v>
      </c>
      <c r="E229" s="18">
        <v>8946.634448049084</v>
      </c>
      <c r="F229" s="18">
        <v>3931.575802754913</v>
      </c>
      <c r="G229" s="18">
        <v>1757.2968406061755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15</v>
      </c>
      <c r="C230">
        <v>67.49999999999997</v>
      </c>
      <c r="D230">
        <v>6</v>
      </c>
      <c r="E230" s="18">
        <v>7542.151300443811</v>
      </c>
      <c r="F230" s="18">
        <v>4266.790598582746</v>
      </c>
      <c r="G230" s="18">
        <v>2005.1431113744989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15</v>
      </c>
      <c r="C231">
        <v>67.49999999999997</v>
      </c>
      <c r="D231">
        <v>7</v>
      </c>
      <c r="E231" s="18">
        <v>6421.265972082097</v>
      </c>
      <c r="F231" s="18">
        <v>4326.605658612297</v>
      </c>
      <c r="G231" s="18">
        <v>2217.3118868752463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14" x14ac:dyDescent="0.25">
      <c r="B232">
        <v>15</v>
      </c>
      <c r="C232">
        <v>67.49999999999997</v>
      </c>
      <c r="D232">
        <v>8</v>
      </c>
      <c r="E232" s="18">
        <v>5208.752604383593</v>
      </c>
      <c r="F232" s="18">
        <v>4200.243508931341</v>
      </c>
      <c r="G232" s="18">
        <v>2446.1374143572148</v>
      </c>
      <c r="H232" s="12">
        <f>E233</f>
      </c>
      <c r="I232" s="12">
        <f>F233</f>
      </c>
      <c r="J232" s="12">
        <f>G233</f>
      </c>
      <c r="K232">
        <f>IF(AND(Pu&gt;=MIN(E232,H232),Pu&lt;=MAX(E232,H232),E232&lt;&gt;H232),1,0)</f>
      </c>
      <c r="L232">
        <f>IF(K232=1,(Pu-E232)/(H232-E232),"")</f>
      </c>
      <c r="M232" s="12">
        <f>IF(K232=1,F232+L232*(I232-F232),"")</f>
      </c>
      <c r="N232" s="12">
        <f>IF(K232=1,G232+L232*(J232-G232),"")</f>
      </c>
    </row>
    <row r="233" spans="2:14" x14ac:dyDescent="0.25">
      <c r="B233">
        <v>15</v>
      </c>
      <c r="C233">
        <v>67.49999999999997</v>
      </c>
      <c r="D233">
        <v>9</v>
      </c>
      <c r="E233" s="18">
        <v>3853.4616137359785</v>
      </c>
      <c r="F233" s="18">
        <v>3774.217726878477</v>
      </c>
      <c r="G233" s="18">
        <v>2396.317854298047</v>
      </c>
      <c r="H233" s="12">
        <f>E234</f>
      </c>
      <c r="I233" s="12">
        <f>F234</f>
      </c>
      <c r="J233" s="12">
        <f>G234</f>
      </c>
      <c r="K233">
        <f>IF(AND(Pu&gt;=MIN(E233,H233),Pu&lt;=MAX(E233,H233),E233&lt;&gt;H233),1,0)</f>
      </c>
      <c r="L233">
        <f>IF(K233=1,(Pu-E233)/(H233-E233),"")</f>
      </c>
      <c r="M233" s="12">
        <f>IF(K233=1,F233+L233*(I233-F233),"")</f>
      </c>
      <c r="N233" s="12">
        <f>IF(K233=1,G233+L233*(J233-G233),"")</f>
      </c>
    </row>
    <row r="234" spans="2:14" x14ac:dyDescent="0.25">
      <c r="B234">
        <v>15</v>
      </c>
      <c r="C234">
        <v>67.49999999999997</v>
      </c>
      <c r="D234">
        <v>10</v>
      </c>
      <c r="E234" s="18">
        <v>1988.644452666035</v>
      </c>
      <c r="F234" s="18">
        <v>3106.5914674201936</v>
      </c>
      <c r="G234" s="18">
        <v>2176.4777247349266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15</v>
      </c>
      <c r="C235">
        <v>67.49999999999997</v>
      </c>
      <c r="D235">
        <v>11</v>
      </c>
      <c r="E235" s="18">
        <v>740.7199496883759</v>
      </c>
      <c r="F235" s="18">
        <v>2622.5928872822014</v>
      </c>
      <c r="G235" s="18">
        <v>1931.018976673476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15</v>
      </c>
      <c r="C236">
        <v>67.49999999999997</v>
      </c>
      <c r="D236">
        <v>12</v>
      </c>
      <c r="E236" s="18">
        <v>-1459.58913347051</v>
      </c>
      <c r="F236" s="18">
        <v>1685.9605431913335</v>
      </c>
      <c r="G236" s="18">
        <v>1382.2249101827133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15</v>
      </c>
      <c r="C237">
        <v>67.49999999999997</v>
      </c>
      <c r="D237">
        <v>13</v>
      </c>
      <c r="E237" s="18">
        <v>-2630.151475016184</v>
      </c>
      <c r="F237" s="18">
        <v>1139.073781616525</v>
      </c>
      <c r="G237" s="18">
        <v>1003.5065037734464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7" x14ac:dyDescent="0.25">
      <c r="B238">
        <v>15</v>
      </c>
      <c r="C238">
        <v>67.49999999999997</v>
      </c>
      <c r="D238">
        <v>14</v>
      </c>
      <c r="E238" s="18">
        <v>-4325.435467284806</v>
      </c>
      <c r="F238" s="18">
        <v>322.7837736367774</v>
      </c>
      <c r="G238" s="18">
        <v>287.99318423696207</v>
      </c>
    </row>
    <row r="240" spans="2:14" x14ac:dyDescent="0.25">
      <c r="B240">
        <v>16</v>
      </c>
      <c r="C240">
        <v>71.25</v>
      </c>
      <c r="D240">
        <v>1</v>
      </c>
      <c r="E240" s="18">
        <v>16311.820785690335</v>
      </c>
      <c r="F240" s="18">
        <v>2528.214134621763</v>
      </c>
      <c r="G240" s="18">
        <v>1301.9025202723817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16</v>
      </c>
      <c r="C241">
        <v>71.25</v>
      </c>
      <c r="D241">
        <v>2</v>
      </c>
      <c r="E241" s="18">
        <v>13684.019488538932</v>
      </c>
      <c r="F241" s="18">
        <v>3362.301484001243</v>
      </c>
      <c r="G241" s="18">
        <v>1292.7564212612833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16</v>
      </c>
      <c r="C242">
        <v>71.25</v>
      </c>
      <c r="D242">
        <v>3</v>
      </c>
      <c r="E242" s="18">
        <v>11855.962084893185</v>
      </c>
      <c r="F242" s="18">
        <v>3740.847484428114</v>
      </c>
      <c r="G242" s="18">
        <v>1335.9649835756297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16</v>
      </c>
      <c r="C243">
        <v>71.25</v>
      </c>
      <c r="D243">
        <v>4</v>
      </c>
      <c r="E243" s="18">
        <v>10337.27245023117</v>
      </c>
      <c r="F243" s="18">
        <v>3942.757637219405</v>
      </c>
      <c r="G243" s="18">
        <v>1401.3727892310174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16</v>
      </c>
      <c r="C244">
        <v>71.25</v>
      </c>
      <c r="D244">
        <v>5</v>
      </c>
      <c r="E244" s="18">
        <v>8994.790214855868</v>
      </c>
      <c r="F244" s="18">
        <v>4055.863243592079</v>
      </c>
      <c r="G244" s="18">
        <v>1463.241993984669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16</v>
      </c>
      <c r="C245">
        <v>71.25</v>
      </c>
      <c r="D245">
        <v>6</v>
      </c>
      <c r="E245" s="18">
        <v>7716.259574673524</v>
      </c>
      <c r="F245" s="18">
        <v>4431.855303533371</v>
      </c>
      <c r="G245" s="18">
        <v>1670.1930832106602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16</v>
      </c>
      <c r="C246">
        <v>71.25</v>
      </c>
      <c r="D246">
        <v>7</v>
      </c>
      <c r="E246" s="18">
        <v>6767.386812944161</v>
      </c>
      <c r="F246" s="18">
        <v>4558.41178164441</v>
      </c>
      <c r="G246" s="18">
        <v>1858.0767274892296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16</v>
      </c>
      <c r="C247">
        <v>71.25</v>
      </c>
      <c r="D247">
        <v>8</v>
      </c>
      <c r="E247" s="18">
        <v>5673.498046806426</v>
      </c>
      <c r="F247" s="18">
        <v>4513.88907216168</v>
      </c>
      <c r="G247" s="18">
        <v>2049.3921726076474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16</v>
      </c>
      <c r="C248">
        <v>71.25</v>
      </c>
      <c r="D248">
        <v>9</v>
      </c>
      <c r="E248" s="18">
        <v>4314.4842146834435</v>
      </c>
      <c r="F248" s="18">
        <v>4085.916456227187</v>
      </c>
      <c r="G248" s="18">
        <v>2047.309647661114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16</v>
      </c>
      <c r="C249">
        <v>71.25</v>
      </c>
      <c r="D249">
        <v>10</v>
      </c>
      <c r="E249" s="18">
        <v>2301.931989432389</v>
      </c>
      <c r="F249" s="18">
        <v>3346.0030974539995</v>
      </c>
      <c r="G249" s="18">
        <v>1959.1813067014125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16</v>
      </c>
      <c r="C250">
        <v>71.25</v>
      </c>
      <c r="D250">
        <v>11</v>
      </c>
      <c r="E250" s="18">
        <v>1030.8674797097476</v>
      </c>
      <c r="F250" s="18">
        <v>2823.4905666269383</v>
      </c>
      <c r="G250" s="18">
        <v>1781.1259018739947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16</v>
      </c>
      <c r="C251">
        <v>71.25</v>
      </c>
      <c r="D251">
        <v>12</v>
      </c>
      <c r="E251" s="18">
        <v>-1237.018574544871</v>
      </c>
      <c r="F251" s="18">
        <v>1831.072679510174</v>
      </c>
      <c r="G251" s="18">
        <v>1293.766105284247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14" x14ac:dyDescent="0.25">
      <c r="B252">
        <v>16</v>
      </c>
      <c r="C252">
        <v>71.25</v>
      </c>
      <c r="D252">
        <v>13</v>
      </c>
      <c r="E252" s="18">
        <v>-2539.905202294339</v>
      </c>
      <c r="F252" s="18">
        <v>1210.5523402057297</v>
      </c>
      <c r="G252" s="18">
        <v>951.3991534747241</v>
      </c>
      <c r="H252" s="12">
        <f>E253</f>
      </c>
      <c r="I252" s="12">
        <f>F253</f>
      </c>
      <c r="J252" s="12">
        <f>G253</f>
      </c>
      <c r="K252">
        <f>IF(AND(Pu&gt;=MIN(E252,H252),Pu&lt;=MAX(E252,H252),E252&lt;&gt;H252),1,0)</f>
      </c>
      <c r="L252">
        <f>IF(K252=1,(Pu-E252)/(H252-E252),"")</f>
      </c>
      <c r="M252" s="12">
        <f>IF(K252=1,F252+L252*(I252-F252),"")</f>
      </c>
      <c r="N252" s="12">
        <f>IF(K252=1,G252+L252*(J252-G252),"")</f>
      </c>
    </row>
    <row r="253" spans="2:7" x14ac:dyDescent="0.25">
      <c r="B253">
        <v>16</v>
      </c>
      <c r="C253">
        <v>71.25</v>
      </c>
      <c r="D253">
        <v>14</v>
      </c>
      <c r="E253" s="18">
        <v>-4311.15905697642</v>
      </c>
      <c r="F253" s="18">
        <v>333.3377028141694</v>
      </c>
      <c r="G253" s="18">
        <v>285.1693600629732</v>
      </c>
    </row>
    <row r="255" spans="2:14" x14ac:dyDescent="0.25">
      <c r="B255">
        <v>17</v>
      </c>
      <c r="C255">
        <v>75.00000000000001</v>
      </c>
      <c r="D255">
        <v>1</v>
      </c>
      <c r="E255" s="18">
        <v>17663.40830987146</v>
      </c>
      <c r="F255" s="18">
        <v>2056.156417550965</v>
      </c>
      <c r="G255" s="18">
        <v>1055.1978129984748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17</v>
      </c>
      <c r="C256">
        <v>75.00000000000001</v>
      </c>
      <c r="D256">
        <v>2</v>
      </c>
      <c r="E256" s="18">
        <v>16018.371759561904</v>
      </c>
      <c r="F256" s="18">
        <v>2713.9903618427825</v>
      </c>
      <c r="G256" s="18">
        <v>1056.525650299797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17</v>
      </c>
      <c r="C257">
        <v>75.00000000000001</v>
      </c>
      <c r="D257">
        <v>3</v>
      </c>
      <c r="E257" s="18">
        <v>13568.048277372505</v>
      </c>
      <c r="F257" s="18">
        <v>3472.0176361037743</v>
      </c>
      <c r="G257" s="18">
        <v>1033.3938432807456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17</v>
      </c>
      <c r="C258">
        <v>75.00000000000001</v>
      </c>
      <c r="D258">
        <v>4</v>
      </c>
      <c r="E258" s="18">
        <v>11805.735141735511</v>
      </c>
      <c r="F258" s="18">
        <v>3827.794453457008</v>
      </c>
      <c r="G258" s="18">
        <v>1080.1988296870038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17</v>
      </c>
      <c r="C259">
        <v>75.00000000000001</v>
      </c>
      <c r="D259">
        <v>5</v>
      </c>
      <c r="E259" s="18">
        <v>10334.818639566154</v>
      </c>
      <c r="F259" s="18">
        <v>4035.044633502739</v>
      </c>
      <c r="G259" s="18">
        <v>1119.413289361092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17</v>
      </c>
      <c r="C260">
        <v>75.00000000000001</v>
      </c>
      <c r="D260">
        <v>6</v>
      </c>
      <c r="E260" s="18">
        <v>9044.414289894841</v>
      </c>
      <c r="F260" s="18">
        <v>4162.797357567723</v>
      </c>
      <c r="G260" s="18">
        <v>1167.6924250796249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17</v>
      </c>
      <c r="C261">
        <v>75.00000000000001</v>
      </c>
      <c r="D261">
        <v>7</v>
      </c>
      <c r="E261" s="18">
        <v>7900.926956347096</v>
      </c>
      <c r="F261" s="18">
        <v>4579.015176417488</v>
      </c>
      <c r="G261" s="18">
        <v>1323.572069349828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14" x14ac:dyDescent="0.25">
      <c r="B262">
        <v>17</v>
      </c>
      <c r="C262">
        <v>75.00000000000001</v>
      </c>
      <c r="D262">
        <v>8</v>
      </c>
      <c r="E262" s="18">
        <v>7024.472214754451</v>
      </c>
      <c r="F262" s="18">
        <v>4738.891699856123</v>
      </c>
      <c r="G262" s="18">
        <v>1495.3665003615893</v>
      </c>
      <c r="H262" s="12">
        <f>E263</f>
      </c>
      <c r="I262" s="12">
        <f>F263</f>
      </c>
      <c r="J262" s="12">
        <f>G263</f>
      </c>
      <c r="K262">
        <f>IF(AND(Pu&gt;=MIN(E262,H262),Pu&lt;=MAX(E262,H262),E262&lt;&gt;H262),1,0)</f>
      </c>
      <c r="L262">
        <f>IF(K262=1,(Pu-E262)/(H262-E262),"")</f>
      </c>
      <c r="M262" s="12">
        <f>IF(K262=1,F262+L262*(I262-F262),"")</f>
      </c>
      <c r="N262" s="12">
        <f>IF(K262=1,G262+L262*(J262-G262),"")</f>
      </c>
    </row>
    <row r="263" spans="2:14" x14ac:dyDescent="0.25">
      <c r="B263">
        <v>17</v>
      </c>
      <c r="C263">
        <v>75.00000000000001</v>
      </c>
      <c r="D263">
        <v>9</v>
      </c>
      <c r="E263" s="18">
        <v>6192.823512197098</v>
      </c>
      <c r="F263" s="18">
        <v>4816.122040964443</v>
      </c>
      <c r="G263" s="18">
        <v>1620.8527463722999</v>
      </c>
      <c r="H263" s="12">
        <f>E264</f>
      </c>
      <c r="I263" s="12">
        <f>F264</f>
      </c>
      <c r="J263" s="12">
        <f>G264</f>
      </c>
      <c r="K263">
        <f>IF(AND(Pu&gt;=MIN(E263,H263),Pu&lt;=MAX(E263,H263),E263&lt;&gt;H263),1,0)</f>
      </c>
      <c r="L263">
        <f>IF(K263=1,(Pu-E263)/(H263-E263),"")</f>
      </c>
      <c r="M263" s="12">
        <f>IF(K263=1,F263+L263*(I263-F263),"")</f>
      </c>
      <c r="N263" s="12">
        <f>IF(K263=1,G263+L263*(J263-G263),"")</f>
      </c>
    </row>
    <row r="264" spans="2:14" x14ac:dyDescent="0.25">
      <c r="B264">
        <v>17</v>
      </c>
      <c r="C264">
        <v>75.00000000000001</v>
      </c>
      <c r="D264">
        <v>10</v>
      </c>
      <c r="E264" s="18">
        <v>4865.596984903788</v>
      </c>
      <c r="F264" s="18">
        <v>4406.705064794094</v>
      </c>
      <c r="G264" s="18">
        <v>1666.41288443827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17</v>
      </c>
      <c r="C265">
        <v>75.00000000000001</v>
      </c>
      <c r="D265">
        <v>11</v>
      </c>
      <c r="E265" s="18">
        <v>2844.4108700908773</v>
      </c>
      <c r="F265" s="18">
        <v>3684.2701042343692</v>
      </c>
      <c r="G265" s="18">
        <v>1652.5424880271323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17</v>
      </c>
      <c r="C266">
        <v>75.00000000000001</v>
      </c>
      <c r="D266">
        <v>12</v>
      </c>
      <c r="E266" s="18">
        <v>1445.0824686621868</v>
      </c>
      <c r="F266" s="18">
        <v>3088.821791028519</v>
      </c>
      <c r="G266" s="18">
        <v>1582.7456698430055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17</v>
      </c>
      <c r="C267">
        <v>75.00000000000001</v>
      </c>
      <c r="D267">
        <v>13</v>
      </c>
      <c r="E267" s="18">
        <v>-890.195449009183</v>
      </c>
      <c r="F267" s="18">
        <v>2041.4683012538237</v>
      </c>
      <c r="G267" s="18">
        <v>1182.6306354101996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17</v>
      </c>
      <c r="C268">
        <v>75.00000000000001</v>
      </c>
      <c r="D268">
        <v>14</v>
      </c>
      <c r="E268" s="18">
        <v>-2322.243621166513</v>
      </c>
      <c r="F268" s="18">
        <v>1349.8052466429356</v>
      </c>
      <c r="G268" s="18">
        <v>887.0520973354118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7" x14ac:dyDescent="0.25">
      <c r="B269">
        <v>17</v>
      </c>
      <c r="C269">
        <v>75.00000000000001</v>
      </c>
      <c r="D269">
        <v>15</v>
      </c>
      <c r="E269" s="18">
        <v>-4250.483916974662</v>
      </c>
      <c r="F269" s="18">
        <v>368.3279028727856</v>
      </c>
      <c r="G269" s="18">
        <v>296.58467325706545</v>
      </c>
    </row>
    <row r="271" spans="2:14" x14ac:dyDescent="0.25">
      <c r="B271">
        <v>18</v>
      </c>
      <c r="C271">
        <v>78.75000000000004</v>
      </c>
      <c r="D271">
        <v>1</v>
      </c>
      <c r="E271" s="18">
        <v>17263.170063934103</v>
      </c>
      <c r="F271" s="18">
        <v>2285.6322031906584</v>
      </c>
      <c r="G271" s="18">
        <v>835.2411015442773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14" x14ac:dyDescent="0.25">
      <c r="B272">
        <v>18</v>
      </c>
      <c r="C272">
        <v>78.75000000000004</v>
      </c>
      <c r="D272">
        <v>2</v>
      </c>
      <c r="E272" s="18">
        <v>15691.23978200156</v>
      </c>
      <c r="F272" s="18">
        <v>2899.5144748158027</v>
      </c>
      <c r="G272" s="18">
        <v>787.6934675639901</v>
      </c>
      <c r="H272" s="12">
        <f>E273</f>
      </c>
      <c r="I272" s="12">
        <f>F273</f>
      </c>
      <c r="J272" s="12">
        <f>G273</f>
      </c>
      <c r="K272">
        <f>IF(AND(Pu&gt;=MIN(E272,H272),Pu&lt;=MAX(E272,H272),E272&lt;&gt;H272),1,0)</f>
      </c>
      <c r="L272">
        <f>IF(K272=1,(Pu-E272)/(H272-E272),"")</f>
      </c>
      <c r="M272" s="12">
        <f>IF(K272=1,F272+L272*(I272-F272),"")</f>
      </c>
      <c r="N272" s="12">
        <f>IF(K272=1,G272+L272*(J272-G272),"")</f>
      </c>
    </row>
    <row r="273" spans="2:14" x14ac:dyDescent="0.25">
      <c r="B273">
        <v>18</v>
      </c>
      <c r="C273">
        <v>78.75000000000004</v>
      </c>
      <c r="D273">
        <v>3</v>
      </c>
      <c r="E273" s="18">
        <v>13439.476393900131</v>
      </c>
      <c r="F273" s="18">
        <v>3569.7953623997896</v>
      </c>
      <c r="G273" s="18">
        <v>761.2159744450422</v>
      </c>
      <c r="H273" s="12">
        <f>E274</f>
      </c>
      <c r="I273" s="12">
        <f>F274</f>
      </c>
      <c r="J273" s="12">
        <f>G274</f>
      </c>
      <c r="K273">
        <f>IF(AND(Pu&gt;=MIN(E273,H273),Pu&lt;=MAX(E273,H273),E273&lt;&gt;H273),1,0)</f>
      </c>
      <c r="L273">
        <f>IF(K273=1,(Pu-E273)/(H273-E273),"")</f>
      </c>
      <c r="M273" s="12">
        <f>IF(K273=1,F273+L273*(I273-F273),"")</f>
      </c>
      <c r="N273" s="12">
        <f>IF(K273=1,G273+L273*(J273-G273),"")</f>
      </c>
    </row>
    <row r="274" spans="2:14" x14ac:dyDescent="0.25">
      <c r="B274">
        <v>18</v>
      </c>
      <c r="C274">
        <v>78.75000000000004</v>
      </c>
      <c r="D274">
        <v>4</v>
      </c>
      <c r="E274" s="18">
        <v>11755.029611653848</v>
      </c>
      <c r="F274" s="18">
        <v>3905.615962511758</v>
      </c>
      <c r="G274" s="18">
        <v>808.9799705121048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18</v>
      </c>
      <c r="C275">
        <v>78.75000000000004</v>
      </c>
      <c r="D275">
        <v>5</v>
      </c>
      <c r="E275" s="18">
        <v>10329.97994029749</v>
      </c>
      <c r="F275" s="18">
        <v>4113.203580616371</v>
      </c>
      <c r="G275" s="18">
        <v>839.6206772985814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18</v>
      </c>
      <c r="C276">
        <v>78.75000000000004</v>
      </c>
      <c r="D276">
        <v>6</v>
      </c>
      <c r="E276" s="18">
        <v>9089.590677847842</v>
      </c>
      <c r="F276" s="18">
        <v>4246.716281637672</v>
      </c>
      <c r="G276" s="18">
        <v>888.3907361739467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18</v>
      </c>
      <c r="C277">
        <v>78.75000000000004</v>
      </c>
      <c r="D277">
        <v>7</v>
      </c>
      <c r="E277" s="18">
        <v>8049.685383363473</v>
      </c>
      <c r="F277" s="18">
        <v>4676.49857435678</v>
      </c>
      <c r="G277" s="18">
        <v>1009.3898121511689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18</v>
      </c>
      <c r="C278">
        <v>78.75000000000004</v>
      </c>
      <c r="D278">
        <v>8</v>
      </c>
      <c r="E278" s="18">
        <v>7291.740698268391</v>
      </c>
      <c r="F278" s="18">
        <v>4902.144820824776</v>
      </c>
      <c r="G278" s="18">
        <v>1102.8539547935877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18</v>
      </c>
      <c r="C279">
        <v>78.75000000000004</v>
      </c>
      <c r="D279">
        <v>9</v>
      </c>
      <c r="E279" s="18">
        <v>6601.301168973165</v>
      </c>
      <c r="F279" s="18">
        <v>5039.434939117215</v>
      </c>
      <c r="G279" s="18">
        <v>1204.4775586545518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18</v>
      </c>
      <c r="C280">
        <v>78.75000000000004</v>
      </c>
      <c r="D280">
        <v>10</v>
      </c>
      <c r="E280" s="18">
        <v>5457.995376929313</v>
      </c>
      <c r="F280" s="18">
        <v>4720.921647443061</v>
      </c>
      <c r="G280" s="18">
        <v>1243.7390714569872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18</v>
      </c>
      <c r="C281">
        <v>78.75000000000004</v>
      </c>
      <c r="D281">
        <v>11</v>
      </c>
      <c r="E281" s="18">
        <v>3507.4823657365587</v>
      </c>
      <c r="F281" s="18">
        <v>4037.8424698798904</v>
      </c>
      <c r="G281" s="18">
        <v>1290.0406410680964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18</v>
      </c>
      <c r="C282">
        <v>78.75000000000004</v>
      </c>
      <c r="D282">
        <v>12</v>
      </c>
      <c r="E282" s="18">
        <v>2073.7236228396014</v>
      </c>
      <c r="F282" s="18">
        <v>3457.454749512864</v>
      </c>
      <c r="G282" s="18">
        <v>1299.4496533100032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18</v>
      </c>
      <c r="C283">
        <v>78.75000000000004</v>
      </c>
      <c r="D283">
        <v>13</v>
      </c>
      <c r="E283" s="18">
        <v>-397.95583647947836</v>
      </c>
      <c r="F283" s="18">
        <v>2329.9576495092533</v>
      </c>
      <c r="G283" s="18">
        <v>1034.3904202099668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18</v>
      </c>
      <c r="C284">
        <v>78.75000000000004</v>
      </c>
      <c r="D284">
        <v>14</v>
      </c>
      <c r="E284" s="18">
        <v>-1918.7335103116382</v>
      </c>
      <c r="F284" s="18">
        <v>1589.2239476015413</v>
      </c>
      <c r="G284" s="18">
        <v>773.7009017067882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7" x14ac:dyDescent="0.25">
      <c r="B285">
        <v>18</v>
      </c>
      <c r="C285">
        <v>78.75000000000004</v>
      </c>
      <c r="D285">
        <v>15</v>
      </c>
      <c r="E285" s="18">
        <v>-4107.687660175253</v>
      </c>
      <c r="F285" s="18">
        <v>447.6541443877034</v>
      </c>
      <c r="G285" s="18">
        <v>327.551556125658</v>
      </c>
    </row>
    <row r="287" spans="2:14" x14ac:dyDescent="0.25">
      <c r="B287">
        <v>19</v>
      </c>
      <c r="C287">
        <v>82.50000000000001</v>
      </c>
      <c r="D287">
        <v>1</v>
      </c>
      <c r="E287" s="18">
        <v>16783.31129171553</v>
      </c>
      <c r="F287" s="18">
        <v>2525.9633651554823</v>
      </c>
      <c r="G287" s="18">
        <v>591.2537739247877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19</v>
      </c>
      <c r="C288">
        <v>82.50000000000001</v>
      </c>
      <c r="D288">
        <v>2</v>
      </c>
      <c r="E288" s="18">
        <v>15397.801277609688</v>
      </c>
      <c r="F288" s="18">
        <v>3050.5432161695553</v>
      </c>
      <c r="G288" s="18">
        <v>520.557007429582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19</v>
      </c>
      <c r="C289">
        <v>82.50000000000001</v>
      </c>
      <c r="D289">
        <v>3</v>
      </c>
      <c r="E289" s="18">
        <v>13328.93046021938</v>
      </c>
      <c r="F289" s="18">
        <v>3644.508858564855</v>
      </c>
      <c r="G289" s="18">
        <v>515.9050532142472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19</v>
      </c>
      <c r="C290">
        <v>82.50000000000001</v>
      </c>
      <c r="D290">
        <v>4</v>
      </c>
      <c r="E290" s="18">
        <v>11703.210126888844</v>
      </c>
      <c r="F290" s="18">
        <v>3971.180389071291</v>
      </c>
      <c r="G290" s="18">
        <v>537.3309272567019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19</v>
      </c>
      <c r="C291">
        <v>82.50000000000001</v>
      </c>
      <c r="D291">
        <v>5</v>
      </c>
      <c r="E291" s="18">
        <v>10309.235015179505</v>
      </c>
      <c r="F291" s="18">
        <v>4178.12146142661</v>
      </c>
      <c r="G291" s="18">
        <v>567.8214773436015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14" x14ac:dyDescent="0.25">
      <c r="B292">
        <v>19</v>
      </c>
      <c r="C292">
        <v>82.50000000000001</v>
      </c>
      <c r="D292">
        <v>6</v>
      </c>
      <c r="E292" s="18">
        <v>9117.635316264066</v>
      </c>
      <c r="F292" s="18">
        <v>4319.94339771633</v>
      </c>
      <c r="G292" s="18">
        <v>598.3120274304991</v>
      </c>
      <c r="H292" s="12">
        <f>E293</f>
      </c>
      <c r="I292" s="12">
        <f>F293</f>
      </c>
      <c r="J292" s="12">
        <f>G293</f>
      </c>
      <c r="K292">
        <f>IF(AND(Pu&gt;=MIN(E292,H292),Pu&lt;=MAX(E292,H292),E292&lt;&gt;H292),1,0)</f>
      </c>
      <c r="L292">
        <f>IF(K292=1,(Pu-E292)/(H292-E292),"")</f>
      </c>
      <c r="M292" s="12">
        <f>IF(K292=1,F292+L292*(I292-F292),"")</f>
      </c>
      <c r="N292" s="12">
        <f>IF(K292=1,G292+L292*(J292-G292),"")</f>
      </c>
    </row>
    <row r="293" spans="2:14" x14ac:dyDescent="0.25">
      <c r="B293">
        <v>19</v>
      </c>
      <c r="C293">
        <v>82.50000000000001</v>
      </c>
      <c r="D293">
        <v>7</v>
      </c>
      <c r="E293" s="18">
        <v>8176.761097740371</v>
      </c>
      <c r="F293" s="18">
        <v>4747.320934091593</v>
      </c>
      <c r="G293" s="18">
        <v>684.6436289229014</v>
      </c>
      <c r="H293" s="12">
        <f>E294</f>
      </c>
      <c r="I293" s="12">
        <f>F294</f>
      </c>
      <c r="J293" s="12">
        <f>G294</f>
      </c>
      <c r="K293">
        <f>IF(AND(Pu&gt;=MIN(E293,H293),Pu&lt;=MAX(E293,H293),E293&lt;&gt;H293),1,0)</f>
      </c>
      <c r="L293">
        <f>IF(K293=1,(Pu-E293)/(H293-E293),"")</f>
      </c>
      <c r="M293" s="12">
        <f>IF(K293=1,F293+L293*(I293-F293),"")</f>
      </c>
      <c r="N293" s="12">
        <f>IF(K293=1,G293+L293*(J293-G293),"")</f>
      </c>
    </row>
    <row r="294" spans="2:14" x14ac:dyDescent="0.25">
      <c r="B294">
        <v>19</v>
      </c>
      <c r="C294">
        <v>82.50000000000001</v>
      </c>
      <c r="D294">
        <v>8</v>
      </c>
      <c r="E294" s="18">
        <v>7528.714236169147</v>
      </c>
      <c r="F294" s="18">
        <v>5019.687538907796</v>
      </c>
      <c r="G294" s="18">
        <v>724.7287550816861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19</v>
      </c>
      <c r="C295">
        <v>82.50000000000001</v>
      </c>
      <c r="D295">
        <v>9</v>
      </c>
      <c r="E295" s="18">
        <v>6977.856630387718</v>
      </c>
      <c r="F295" s="18">
        <v>5217.654827504136</v>
      </c>
      <c r="G295" s="18">
        <v>784.3705374422468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19</v>
      </c>
      <c r="C296">
        <v>82.50000000000001</v>
      </c>
      <c r="D296">
        <v>10</v>
      </c>
      <c r="E296" s="18">
        <v>5957.352515334314</v>
      </c>
      <c r="F296" s="18">
        <v>4961.315671761344</v>
      </c>
      <c r="G296" s="18">
        <v>797.9597462668193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19</v>
      </c>
      <c r="C297">
        <v>82.50000000000001</v>
      </c>
      <c r="D297">
        <v>11</v>
      </c>
      <c r="E297" s="18">
        <v>4250.784521857992</v>
      </c>
      <c r="F297" s="18">
        <v>4403.665492312935</v>
      </c>
      <c r="G297" s="18">
        <v>869.479607563803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14" x14ac:dyDescent="0.25">
      <c r="B298">
        <v>19</v>
      </c>
      <c r="C298">
        <v>82.50000000000001</v>
      </c>
      <c r="D298">
        <v>12</v>
      </c>
      <c r="E298" s="18">
        <v>2825.47462625142</v>
      </c>
      <c r="F298" s="18">
        <v>3858.2000103963032</v>
      </c>
      <c r="G298" s="18">
        <v>905.2565630434659</v>
      </c>
      <c r="H298" s="12">
        <f>E299</f>
      </c>
      <c r="I298" s="12">
        <f>F299</f>
      </c>
      <c r="J298" s="12">
        <f>G299</f>
      </c>
      <c r="K298">
        <f>IF(AND(Pu&gt;=MIN(E298,H298),Pu&lt;=MAX(E298,H298),E298&lt;&gt;H298),1,0)</f>
      </c>
      <c r="L298">
        <f>IF(K298=1,(Pu-E298)/(H298-E298),"")</f>
      </c>
      <c r="M298" s="12">
        <f>IF(K298=1,F298+L298*(I298-F298),"")</f>
      </c>
      <c r="N298" s="12">
        <f>IF(K298=1,G298+L298*(J298-G298),"")</f>
      </c>
    </row>
    <row r="299" spans="2:14" x14ac:dyDescent="0.25">
      <c r="B299">
        <v>19</v>
      </c>
      <c r="C299">
        <v>82.50000000000001</v>
      </c>
      <c r="D299">
        <v>13</v>
      </c>
      <c r="E299" s="18">
        <v>384.15934340202193</v>
      </c>
      <c r="F299" s="18">
        <v>2771.2715721991067</v>
      </c>
      <c r="G299" s="18">
        <v>769.6855036965786</v>
      </c>
      <c r="H299" s="12">
        <f>E300</f>
      </c>
      <c r="I299" s="12">
        <f>F300</f>
      </c>
      <c r="J299" s="12">
        <f>G300</f>
      </c>
      <c r="K299">
        <f>IF(AND(Pu&gt;=MIN(E299,H299),Pu&lt;=MAX(E299,H299),E299&lt;&gt;H299),1,0)</f>
      </c>
      <c r="L299">
        <f>IF(K299=1,(Pu-E299)/(H299-E299),"")</f>
      </c>
      <c r="M299" s="12">
        <f>IF(K299=1,F299+L299*(I299-F299),"")</f>
      </c>
      <c r="N299" s="12">
        <f>IF(K299=1,G299+L299*(J299-G299),"")</f>
      </c>
    </row>
    <row r="300" spans="2:14" x14ac:dyDescent="0.25">
      <c r="B300">
        <v>19</v>
      </c>
      <c r="C300">
        <v>82.50000000000001</v>
      </c>
      <c r="D300">
        <v>14</v>
      </c>
      <c r="E300" s="18">
        <v>-1217.3613026629384</v>
      </c>
      <c r="F300" s="18">
        <v>1991.4818780991636</v>
      </c>
      <c r="G300" s="18">
        <v>596.490988549775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7" x14ac:dyDescent="0.25">
      <c r="B301">
        <v>19</v>
      </c>
      <c r="C301">
        <v>82.50000000000001</v>
      </c>
      <c r="D301">
        <v>15</v>
      </c>
      <c r="E301" s="18">
        <v>-3835.608628774498</v>
      </c>
      <c r="F301" s="18">
        <v>598.336755850516</v>
      </c>
      <c r="G301" s="18">
        <v>369.9999105702498</v>
      </c>
    </row>
    <row r="303" spans="2:14" x14ac:dyDescent="0.25">
      <c r="B303">
        <v>20</v>
      </c>
      <c r="C303">
        <v>84.37500000000003</v>
      </c>
      <c r="D303">
        <v>1</v>
      </c>
      <c r="E303" s="18">
        <v>16530.011636440344</v>
      </c>
      <c r="F303" s="18">
        <v>2645.252114309735</v>
      </c>
      <c r="G303" s="18">
        <v>449.0384581804054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20</v>
      </c>
      <c r="C304">
        <v>84.37500000000003</v>
      </c>
      <c r="D304">
        <v>2</v>
      </c>
      <c r="E304" s="18">
        <v>15264.575971189879</v>
      </c>
      <c r="F304" s="18">
        <v>3112.142345198616</v>
      </c>
      <c r="G304" s="18">
        <v>387.7588049130823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20</v>
      </c>
      <c r="C305">
        <v>84.37500000000003</v>
      </c>
      <c r="D305">
        <v>3</v>
      </c>
      <c r="E305" s="18">
        <v>13274.458688743925</v>
      </c>
      <c r="F305" s="18">
        <v>3678.44015408714</v>
      </c>
      <c r="G305" s="18">
        <v>383.8251495178383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20</v>
      </c>
      <c r="C306">
        <v>84.37500000000003</v>
      </c>
      <c r="D306">
        <v>4</v>
      </c>
      <c r="E306" s="18">
        <v>11676.667238208804</v>
      </c>
      <c r="F306" s="18">
        <v>3999.9201515235095</v>
      </c>
      <c r="G306" s="18">
        <v>400.3536138463969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20</v>
      </c>
      <c r="C307">
        <v>84.37500000000003</v>
      </c>
      <c r="D307">
        <v>5</v>
      </c>
      <c r="E307" s="18">
        <v>10317.799863565453</v>
      </c>
      <c r="F307" s="18">
        <v>4206.012806084651</v>
      </c>
      <c r="G307" s="18">
        <v>435.01143026384455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20</v>
      </c>
      <c r="C308">
        <v>84.37500000000003</v>
      </c>
      <c r="D308">
        <v>6</v>
      </c>
      <c r="E308" s="18">
        <v>9130.236543335086</v>
      </c>
      <c r="F308" s="18">
        <v>4352.647343644442</v>
      </c>
      <c r="G308" s="18">
        <v>451.53989459240375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20</v>
      </c>
      <c r="C309">
        <v>84.37500000000003</v>
      </c>
      <c r="D309">
        <v>7</v>
      </c>
      <c r="E309" s="18">
        <v>8244.144019605777</v>
      </c>
      <c r="F309" s="18">
        <v>4775.647462582007</v>
      </c>
      <c r="G309" s="18">
        <v>516.8935583085447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20</v>
      </c>
      <c r="C310">
        <v>84.37500000000003</v>
      </c>
      <c r="D310">
        <v>8</v>
      </c>
      <c r="E310" s="18">
        <v>7605.928655370985</v>
      </c>
      <c r="F310" s="18">
        <v>5059.34690085288</v>
      </c>
      <c r="G310" s="18">
        <v>545.5343368776557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20</v>
      </c>
      <c r="C311">
        <v>84.37500000000003</v>
      </c>
      <c r="D311">
        <v>9</v>
      </c>
      <c r="E311" s="18">
        <v>7122.6312131243085</v>
      </c>
      <c r="F311" s="18">
        <v>5278.5568482373465</v>
      </c>
      <c r="G311" s="18">
        <v>586.857156532192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14" x14ac:dyDescent="0.25">
      <c r="B312">
        <v>20</v>
      </c>
      <c r="C312">
        <v>84.37500000000003</v>
      </c>
      <c r="D312">
        <v>10</v>
      </c>
      <c r="E312" s="18">
        <v>6169.2040795127905</v>
      </c>
      <c r="F312" s="18">
        <v>5055.490995102937</v>
      </c>
      <c r="G312" s="18">
        <v>573.4283907753461</v>
      </c>
      <c r="H312" s="12">
        <f>E313</f>
      </c>
      <c r="I312" s="12">
        <f>F313</f>
      </c>
      <c r="J312" s="12">
        <f>G313</f>
      </c>
      <c r="K312">
        <f>IF(AND(Pu&gt;=MIN(E312,H312),Pu&lt;=MAX(E312,H312),E312&lt;&gt;H312),1,0)</f>
      </c>
      <c r="L312">
        <f>IF(K312=1,(Pu-E312)/(H312-E312),"")</f>
      </c>
      <c r="M312" s="12">
        <f>IF(K312=1,F312+L312*(I312-F312),"")</f>
      </c>
      <c r="N312" s="12">
        <f>IF(K312=1,G312+L312*(J312-G312),"")</f>
      </c>
    </row>
    <row r="313" spans="2:14" x14ac:dyDescent="0.25">
      <c r="B313">
        <v>20</v>
      </c>
      <c r="C313">
        <v>84.37500000000003</v>
      </c>
      <c r="D313">
        <v>11</v>
      </c>
      <c r="E313" s="18">
        <v>4646.601434879054</v>
      </c>
      <c r="F313" s="18">
        <v>4582.646005325413</v>
      </c>
      <c r="G313" s="18">
        <v>648.5698311520018</v>
      </c>
      <c r="H313" s="12">
        <f>E314</f>
      </c>
      <c r="I313" s="12">
        <f>F314</f>
      </c>
      <c r="J313" s="12">
        <f>G314</f>
      </c>
      <c r="K313">
        <f>IF(AND(Pu&gt;=MIN(E313,H313),Pu&lt;=MAX(E313,H313),E313&lt;&gt;H313),1,0)</f>
      </c>
      <c r="L313">
        <f>IF(K313=1,(Pu-E313)/(H313-E313),"")</f>
      </c>
      <c r="M313" s="12">
        <f>IF(K313=1,F313+L313*(I313-F313),"")</f>
      </c>
      <c r="N313" s="12">
        <f>IF(K313=1,G313+L313*(J313-G313),"")</f>
      </c>
    </row>
    <row r="314" spans="2:14" x14ac:dyDescent="0.25">
      <c r="B314">
        <v>20</v>
      </c>
      <c r="C314">
        <v>84.37500000000003</v>
      </c>
      <c r="D314">
        <v>12</v>
      </c>
      <c r="E314" s="18">
        <v>3238.6480033538537</v>
      </c>
      <c r="F314" s="18">
        <v>4062.9486564298777</v>
      </c>
      <c r="G314" s="18">
        <v>674.6303600366716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20</v>
      </c>
      <c r="C315">
        <v>84.37500000000003</v>
      </c>
      <c r="D315">
        <v>13</v>
      </c>
      <c r="E315" s="18">
        <v>814.7999689979107</v>
      </c>
      <c r="F315" s="18">
        <v>3003.954594340026</v>
      </c>
      <c r="G315" s="18">
        <v>613.2755869206926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20</v>
      </c>
      <c r="C316">
        <v>84.37500000000003</v>
      </c>
      <c r="D316">
        <v>14</v>
      </c>
      <c r="E316" s="18">
        <v>-713.5986718636217</v>
      </c>
      <c r="F316" s="18">
        <v>2268.8210454932537</v>
      </c>
      <c r="G316" s="18">
        <v>462.75628832693855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7" x14ac:dyDescent="0.25">
      <c r="B317">
        <v>20</v>
      </c>
      <c r="C317">
        <v>84.37500000000003</v>
      </c>
      <c r="D317">
        <v>15</v>
      </c>
      <c r="E317" s="18">
        <v>-3556.719119838245</v>
      </c>
      <c r="F317" s="18">
        <v>752.4092790874387</v>
      </c>
      <c r="G317" s="18">
        <v>384.7446384548395</v>
      </c>
    </row>
    <row r="319" spans="2:14" x14ac:dyDescent="0.25">
      <c r="B319">
        <v>21</v>
      </c>
      <c r="C319">
        <v>85.3125</v>
      </c>
      <c r="D319">
        <v>1</v>
      </c>
      <c r="E319" s="18">
        <v>16397.597439013836</v>
      </c>
      <c r="F319" s="18">
        <v>2705.1672464526855</v>
      </c>
      <c r="G319" s="18">
        <v>373.36240712300264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21</v>
      </c>
      <c r="C320">
        <v>85.3125</v>
      </c>
      <c r="D320">
        <v>2</v>
      </c>
      <c r="E320" s="18">
        <v>15197.14858590032</v>
      </c>
      <c r="F320" s="18">
        <v>3141.0216266498155</v>
      </c>
      <c r="G320" s="18">
        <v>319.2269160499596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21</v>
      </c>
      <c r="C321">
        <v>85.3125</v>
      </c>
      <c r="D321">
        <v>3</v>
      </c>
      <c r="E321" s="18">
        <v>13243.055771047264</v>
      </c>
      <c r="F321" s="18">
        <v>3693.1539054471646</v>
      </c>
      <c r="G321" s="18">
        <v>320.16596955438257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21</v>
      </c>
      <c r="C322">
        <v>85.3125</v>
      </c>
      <c r="D322">
        <v>4</v>
      </c>
      <c r="E322" s="18">
        <v>11663.196318221288</v>
      </c>
      <c r="F322" s="18">
        <v>4013.3619777506847</v>
      </c>
      <c r="G322" s="18">
        <v>331.39562236910365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21</v>
      </c>
      <c r="C323">
        <v>85.3125</v>
      </c>
      <c r="D323">
        <v>5</v>
      </c>
      <c r="E323" s="18">
        <v>10315.131077915303</v>
      </c>
      <c r="F323" s="18">
        <v>4219.7348158557625</v>
      </c>
      <c r="G323" s="18">
        <v>363.5220624668996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21</v>
      </c>
      <c r="C324">
        <v>85.3125</v>
      </c>
      <c r="D324">
        <v>6</v>
      </c>
      <c r="E324" s="18">
        <v>9122.84544800167</v>
      </c>
      <c r="F324" s="18">
        <v>4366.780244709623</v>
      </c>
      <c r="G324" s="18">
        <v>386.5838265202513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21</v>
      </c>
      <c r="C325">
        <v>85.3125</v>
      </c>
      <c r="D325">
        <v>7</v>
      </c>
      <c r="E325" s="18">
        <v>8279.539508678577</v>
      </c>
      <c r="F325" s="18">
        <v>4787.916619865318</v>
      </c>
      <c r="G325" s="18">
        <v>430.98216212283955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21</v>
      </c>
      <c r="C326">
        <v>85.3125</v>
      </c>
      <c r="D326">
        <v>8</v>
      </c>
      <c r="E326" s="18">
        <v>7661.706851883576</v>
      </c>
      <c r="F326" s="18">
        <v>5077.198474296199</v>
      </c>
      <c r="G326" s="18">
        <v>455.8947727595055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21</v>
      </c>
      <c r="C327">
        <v>85.3125</v>
      </c>
      <c r="D327">
        <v>9</v>
      </c>
      <c r="E327" s="18">
        <v>7189.872710994785</v>
      </c>
      <c r="F327" s="18">
        <v>5305.4133989319</v>
      </c>
      <c r="G327" s="18">
        <v>489.91110989039953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21</v>
      </c>
      <c r="C328">
        <v>85.3125</v>
      </c>
      <c r="D328">
        <v>10</v>
      </c>
      <c r="E328" s="18">
        <v>6260.001033492225</v>
      </c>
      <c r="F328" s="18">
        <v>5092.7913341330795</v>
      </c>
      <c r="G328" s="18">
        <v>466.90479075547745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21</v>
      </c>
      <c r="C329">
        <v>85.3125</v>
      </c>
      <c r="D329">
        <v>11</v>
      </c>
      <c r="E329" s="18">
        <v>4803.9690346452235</v>
      </c>
      <c r="F329" s="18">
        <v>4652.885759111728</v>
      </c>
      <c r="G329" s="18">
        <v>536.9196260670101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21</v>
      </c>
      <c r="C330">
        <v>85.3125</v>
      </c>
      <c r="D330">
        <v>12</v>
      </c>
      <c r="E330" s="18">
        <v>3461.8172311677586</v>
      </c>
      <c r="F330" s="18">
        <v>4165.308936557874</v>
      </c>
      <c r="G330" s="18">
        <v>560.7572280486219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21</v>
      </c>
      <c r="C331">
        <v>85.3125</v>
      </c>
      <c r="D331">
        <v>13</v>
      </c>
      <c r="E331" s="18">
        <v>1048.6022614024735</v>
      </c>
      <c r="F331" s="18">
        <v>3126.9427237530485</v>
      </c>
      <c r="G331" s="18">
        <v>526.4358484594069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14" x14ac:dyDescent="0.25">
      <c r="B332">
        <v>21</v>
      </c>
      <c r="C332">
        <v>85.3125</v>
      </c>
      <c r="D332">
        <v>14</v>
      </c>
      <c r="E332" s="18">
        <v>-455.54775326507183</v>
      </c>
      <c r="F332" s="18">
        <v>2407.180029348756</v>
      </c>
      <c r="G332" s="18">
        <v>396.95108224781177</v>
      </c>
      <c r="H332" s="12">
        <f>E333</f>
      </c>
      <c r="I332" s="12">
        <f>F333</f>
      </c>
      <c r="J332" s="12">
        <f>G333</f>
      </c>
      <c r="K332">
        <f>IF(AND(Pu&gt;=MIN(E332,H332),Pu&lt;=MAX(E332,H332),E332&lt;&gt;H332),1,0)</f>
      </c>
      <c r="L332">
        <f>IF(K332=1,(Pu-E332)/(H332-E332),"")</f>
      </c>
      <c r="M332" s="12">
        <f>IF(K332=1,F332+L332*(I332-F332),"")</f>
      </c>
      <c r="N332" s="12">
        <f>IF(K332=1,G332+L332*(J332-G332),"")</f>
      </c>
    </row>
    <row r="333" spans="2:7" x14ac:dyDescent="0.25">
      <c r="B333">
        <v>21</v>
      </c>
      <c r="C333">
        <v>85.3125</v>
      </c>
      <c r="D333">
        <v>15</v>
      </c>
      <c r="E333" s="18">
        <v>-3338.291348672825</v>
      </c>
      <c r="F333" s="18">
        <v>873.1436248668822</v>
      </c>
      <c r="G333" s="18">
        <v>377.23627292095654</v>
      </c>
    </row>
    <row r="335" spans="2:14" x14ac:dyDescent="0.25">
      <c r="B335">
        <v>22</v>
      </c>
      <c r="C335">
        <v>86.24999999999999</v>
      </c>
      <c r="D335">
        <v>1</v>
      </c>
      <c r="E335" s="18">
        <v>16261.546585826269</v>
      </c>
      <c r="F335" s="18">
        <v>2765.033384337812</v>
      </c>
      <c r="G335" s="18">
        <v>294.48419572757786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22</v>
      </c>
      <c r="C336">
        <v>86.24999999999999</v>
      </c>
      <c r="D336">
        <v>2</v>
      </c>
      <c r="E336" s="18">
        <v>15132.45578785212</v>
      </c>
      <c r="F336" s="18">
        <v>3167.8834400093524</v>
      </c>
      <c r="G336" s="18">
        <v>251.64982696468724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22</v>
      </c>
      <c r="C337">
        <v>86.24999999999999</v>
      </c>
      <c r="D337">
        <v>3</v>
      </c>
      <c r="E337" s="18">
        <v>13210.616660302083</v>
      </c>
      <c r="F337" s="18">
        <v>3706.92633764179</v>
      </c>
      <c r="G337" s="18">
        <v>256.82371347157147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22</v>
      </c>
      <c r="C338">
        <v>86.24999999999999</v>
      </c>
      <c r="D338">
        <v>4</v>
      </c>
      <c r="E338" s="18">
        <v>11649.575448306829</v>
      </c>
      <c r="F338" s="18">
        <v>4026.2133290155207</v>
      </c>
      <c r="G338" s="18">
        <v>262.05244235086195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22</v>
      </c>
      <c r="C339">
        <v>86.24999999999999</v>
      </c>
      <c r="D339">
        <v>5</v>
      </c>
      <c r="E339" s="18">
        <v>10312.261759475554</v>
      </c>
      <c r="F339" s="18">
        <v>4232.892783054391</v>
      </c>
      <c r="G339" s="18">
        <v>291.5880119770956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22</v>
      </c>
      <c r="C340">
        <v>86.24999999999999</v>
      </c>
      <c r="D340">
        <v>6</v>
      </c>
      <c r="E340" s="18">
        <v>9128.539522842064</v>
      </c>
      <c r="F340" s="18">
        <v>4381.68738793218</v>
      </c>
      <c r="G340" s="18">
        <v>312.05890555888465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22</v>
      </c>
      <c r="C341">
        <v>86.24999999999999</v>
      </c>
      <c r="D341">
        <v>7</v>
      </c>
      <c r="E341" s="18">
        <v>8314.92758043104</v>
      </c>
      <c r="F341" s="18">
        <v>4799.298731243151</v>
      </c>
      <c r="G341" s="18">
        <v>344.4138457341054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22</v>
      </c>
      <c r="C342">
        <v>86.24999999999999</v>
      </c>
      <c r="D342">
        <v>8</v>
      </c>
      <c r="E342" s="18">
        <v>7718.431707239606</v>
      </c>
      <c r="F342" s="18">
        <v>5093.712901300796</v>
      </c>
      <c r="G342" s="18">
        <v>366.2374455727264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22</v>
      </c>
      <c r="C343">
        <v>86.24999999999999</v>
      </c>
      <c r="D343">
        <v>9</v>
      </c>
      <c r="E343" s="18">
        <v>7254.093261607335</v>
      </c>
      <c r="F343" s="18">
        <v>5330.126315830486</v>
      </c>
      <c r="G343" s="18">
        <v>393.919512074853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22</v>
      </c>
      <c r="C344">
        <v>86.24999999999999</v>
      </c>
      <c r="D344">
        <v>10</v>
      </c>
      <c r="E344" s="18">
        <v>6356.752784419793</v>
      </c>
      <c r="F344" s="18">
        <v>5125.950635688306</v>
      </c>
      <c r="G344" s="18">
        <v>368.92470583320926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22</v>
      </c>
      <c r="C345">
        <v>86.24999999999999</v>
      </c>
      <c r="D345">
        <v>11</v>
      </c>
      <c r="E345" s="18">
        <v>4935.595473764776</v>
      </c>
      <c r="F345" s="18">
        <v>4709.876619744564</v>
      </c>
      <c r="G345" s="18">
        <v>431.86153782096403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22</v>
      </c>
      <c r="C346">
        <v>86.24999999999999</v>
      </c>
      <c r="D346">
        <v>12</v>
      </c>
      <c r="E346" s="18">
        <v>3685.297398882595</v>
      </c>
      <c r="F346" s="18">
        <v>4264.792069082919</v>
      </c>
      <c r="G346" s="18">
        <v>442.5448966476725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22</v>
      </c>
      <c r="C347">
        <v>86.24999999999999</v>
      </c>
      <c r="D347">
        <v>13</v>
      </c>
      <c r="E347" s="18">
        <v>1289.9805885811832</v>
      </c>
      <c r="F347" s="18">
        <v>3251.61761043774</v>
      </c>
      <c r="G347" s="18">
        <v>436.0674026134245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22</v>
      </c>
      <c r="C348">
        <v>86.24999999999999</v>
      </c>
      <c r="D348">
        <v>14</v>
      </c>
      <c r="E348" s="18">
        <v>-189.40712196077277</v>
      </c>
      <c r="F348" s="18">
        <v>2547.7368090850077</v>
      </c>
      <c r="G348" s="18">
        <v>331.2377301848026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7" x14ac:dyDescent="0.25">
      <c r="B349">
        <v>22</v>
      </c>
      <c r="C349">
        <v>86.24999999999999</v>
      </c>
      <c r="D349">
        <v>15</v>
      </c>
      <c r="E349" s="18">
        <v>-2996.7695780931012</v>
      </c>
      <c r="F349" s="18">
        <v>1061.5720082489909</v>
      </c>
      <c r="G349" s="18">
        <v>323.0472775926533</v>
      </c>
    </row>
    <row r="351" spans="2:14" x14ac:dyDescent="0.25">
      <c r="B351">
        <v>23</v>
      </c>
      <c r="C351">
        <v>90</v>
      </c>
      <c r="D351">
        <v>1</v>
      </c>
      <c r="E351" s="18">
        <v>15831.862746689701</v>
      </c>
      <c r="F351" s="18">
        <v>2940.658855894903</v>
      </c>
      <c r="G351" s="18">
        <v>4.842877388000488e-14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23</v>
      </c>
      <c r="C352">
        <v>90</v>
      </c>
      <c r="D352">
        <v>2</v>
      </c>
      <c r="E352" s="18">
        <v>14887.875937058565</v>
      </c>
      <c r="F352" s="18">
        <v>3260.4526071625683</v>
      </c>
      <c r="G352" s="18">
        <v>1.9371509552001954e-14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14" x14ac:dyDescent="0.25">
      <c r="B353">
        <v>23</v>
      </c>
      <c r="C353">
        <v>90</v>
      </c>
      <c r="D353">
        <v>3</v>
      </c>
      <c r="E353" s="18">
        <v>13078.238442871754</v>
      </c>
      <c r="F353" s="18">
        <v>3755.4461000483125</v>
      </c>
      <c r="G353" s="18">
        <v>3.3900141716003415e-14</v>
      </c>
      <c r="H353" s="12">
        <f>E354</f>
      </c>
      <c r="I353" s="12">
        <f>F354</f>
      </c>
      <c r="J353" s="12">
        <f>G354</f>
      </c>
      <c r="K353">
        <f>IF(AND(Pu&gt;=MIN(E353,H353),Pu&lt;=MAX(E353,H353),E353&lt;&gt;H353),1,0)</f>
      </c>
      <c r="L353">
        <f>IF(K353=1,(Pu-E353)/(H353-E353),"")</f>
      </c>
      <c r="M353" s="12">
        <f>IF(K353=1,F353+L353*(I353-F353),"")</f>
      </c>
      <c r="N353" s="12">
        <f>IF(K353=1,G353+L353*(J353-G353),"")</f>
      </c>
    </row>
    <row r="354" spans="2:14" x14ac:dyDescent="0.25">
      <c r="B354">
        <v>23</v>
      </c>
      <c r="C354">
        <v>90</v>
      </c>
      <c r="D354">
        <v>4</v>
      </c>
      <c r="E354" s="18">
        <v>11590.081777081512</v>
      </c>
      <c r="F354" s="18">
        <v>4065.797916269918</v>
      </c>
      <c r="G354" s="18">
        <v>1.9008293747901917e-13</v>
      </c>
      <c r="H354" s="12">
        <f>E355</f>
      </c>
      <c r="I354" s="12">
        <f>F355</f>
      </c>
      <c r="J354" s="12">
        <f>G355</f>
      </c>
      <c r="K354">
        <f>IF(AND(Pu&gt;=MIN(E354,H354),Pu&lt;=MAX(E354,H354),E354&lt;&gt;H354),1,0)</f>
      </c>
      <c r="L354">
        <f>IF(K354=1,(Pu-E354)/(H354-E354),"")</f>
      </c>
      <c r="M354" s="12">
        <f>IF(K354=1,F354+L354*(I354-F354),"")</f>
      </c>
      <c r="N354" s="12">
        <f>IF(K354=1,G354+L354*(J354-G354),"")</f>
      </c>
    </row>
    <row r="355" spans="2:14" x14ac:dyDescent="0.25">
      <c r="B355">
        <v>23</v>
      </c>
      <c r="C355">
        <v>90</v>
      </c>
      <c r="D355">
        <v>5</v>
      </c>
      <c r="E355" s="18">
        <v>10295.917718918488</v>
      </c>
      <c r="F355" s="18">
        <v>4279.486462246425</v>
      </c>
      <c r="G355" s="18">
        <v>1.477077603340149e-13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23</v>
      </c>
      <c r="C356">
        <v>90</v>
      </c>
      <c r="D356">
        <v>6</v>
      </c>
      <c r="E356" s="18">
        <v>9137.567173396383</v>
      </c>
      <c r="F356" s="18">
        <v>4432.815781922306</v>
      </c>
      <c r="G356" s="18">
        <v>1.525506377220154e-13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23</v>
      </c>
      <c r="C357">
        <v>90</v>
      </c>
      <c r="D357">
        <v>7</v>
      </c>
      <c r="E357" s="18">
        <v>8471.54834505558</v>
      </c>
      <c r="F357" s="18">
        <v>4837.71179556643</v>
      </c>
      <c r="G357" s="18">
        <v>3.3639371395111084e-13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23</v>
      </c>
      <c r="C358">
        <v>90</v>
      </c>
      <c r="D358">
        <v>8</v>
      </c>
      <c r="E358" s="18">
        <v>7946.957395717584</v>
      </c>
      <c r="F358" s="18">
        <v>5149.33317113616</v>
      </c>
      <c r="G358" s="18">
        <v>1.6779328385988868e-13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23</v>
      </c>
      <c r="C359">
        <v>90</v>
      </c>
      <c r="D359">
        <v>9</v>
      </c>
      <c r="E359" s="18">
        <v>7513.284240003965</v>
      </c>
      <c r="F359" s="18">
        <v>5409.306186011452</v>
      </c>
      <c r="G359" s="18">
        <v>3.9422884583473205e-13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23</v>
      </c>
      <c r="C360">
        <v>90</v>
      </c>
      <c r="D360">
        <v>10</v>
      </c>
      <c r="E360" s="18">
        <v>6690.000816835348</v>
      </c>
      <c r="F360" s="18">
        <v>5227.358557105922</v>
      </c>
      <c r="G360" s="18">
        <v>2.327375113964081e-13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23</v>
      </c>
      <c r="C361">
        <v>90</v>
      </c>
      <c r="D361">
        <v>11</v>
      </c>
      <c r="E361" s="18">
        <v>5420.099240749144</v>
      </c>
      <c r="F361" s="18">
        <v>4886.879129814069</v>
      </c>
      <c r="G361" s="18">
        <v>3.2377429306507107e-13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23</v>
      </c>
      <c r="C362">
        <v>90</v>
      </c>
      <c r="D362">
        <v>12</v>
      </c>
      <c r="E362" s="18">
        <v>4398.307300813494</v>
      </c>
      <c r="F362" s="18">
        <v>4551.919882185924</v>
      </c>
      <c r="G362" s="18">
        <v>5.859998054802417e-13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23</v>
      </c>
      <c r="C363">
        <v>90</v>
      </c>
      <c r="D363">
        <v>13</v>
      </c>
      <c r="E363" s="18">
        <v>2308.754168918306</v>
      </c>
      <c r="F363" s="18">
        <v>3737.5175014467495</v>
      </c>
      <c r="G363" s="18">
        <v>3.673136234283447e-13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23</v>
      </c>
      <c r="C364">
        <v>90</v>
      </c>
      <c r="D364">
        <v>14</v>
      </c>
      <c r="E364" s="18">
        <v>1035.25387979729</v>
      </c>
      <c r="F364" s="18">
        <v>3170.149727154508</v>
      </c>
      <c r="G364" s="18">
        <v>1.5832483768463136e-13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7" x14ac:dyDescent="0.25">
      <c r="B365">
        <v>23</v>
      </c>
      <c r="C365">
        <v>90</v>
      </c>
      <c r="D365">
        <v>15</v>
      </c>
      <c r="E365" s="18">
        <v>-1386.9705879741523</v>
      </c>
      <c r="F365" s="18">
        <v>1934.4394333303642</v>
      </c>
      <c r="G365" s="18">
        <v>5.066394805908203e-14</v>
      </c>
    </row>
    <row r="367" spans="2:14" x14ac:dyDescent="0.25">
      <c r="B367">
        <v>24</v>
      </c>
      <c r="C367">
        <v>93.75000000000001</v>
      </c>
      <c r="D367">
        <v>1</v>
      </c>
      <c r="E367" s="18">
        <v>16261.546585826272</v>
      </c>
      <c r="F367" s="18">
        <v>2765.033384337812</v>
      </c>
      <c r="G367" s="18">
        <v>-294.48419572757774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14" x14ac:dyDescent="0.25">
      <c r="B368">
        <v>24</v>
      </c>
      <c r="C368">
        <v>93.75000000000001</v>
      </c>
      <c r="D368">
        <v>2</v>
      </c>
      <c r="E368" s="18">
        <v>15132.455787852123</v>
      </c>
      <c r="F368" s="18">
        <v>3167.8834400093524</v>
      </c>
      <c r="G368" s="18">
        <v>-251.6498269646853</v>
      </c>
      <c r="H368" s="12">
        <f>E369</f>
      </c>
      <c r="I368" s="12">
        <f>F369</f>
      </c>
      <c r="J368" s="12">
        <f>G369</f>
      </c>
      <c r="K368">
        <f>IF(AND(Pu&gt;=MIN(E368,H368),Pu&lt;=MAX(E368,H368),E368&lt;&gt;H368),1,0)</f>
      </c>
      <c r="L368">
        <f>IF(K368=1,(Pu-E368)/(H368-E368),"")</f>
      </c>
      <c r="M368" s="12">
        <f>IF(K368=1,F368+L368*(I368-F368),"")</f>
      </c>
      <c r="N368" s="12">
        <f>IF(K368=1,G368+L368*(J368-G368),"")</f>
      </c>
    </row>
    <row r="369" spans="2:14" x14ac:dyDescent="0.25">
      <c r="B369">
        <v>24</v>
      </c>
      <c r="C369">
        <v>93.75000000000001</v>
      </c>
      <c r="D369">
        <v>3</v>
      </c>
      <c r="E369" s="18">
        <v>13210.616660302083</v>
      </c>
      <c r="F369" s="18">
        <v>3706.9263376417894</v>
      </c>
      <c r="G369" s="18">
        <v>-256.82371347157056</v>
      </c>
      <c r="H369" s="12">
        <f>E370</f>
      </c>
      <c r="I369" s="12">
        <f>F370</f>
      </c>
      <c r="J369" s="12">
        <f>G370</f>
      </c>
      <c r="K369">
        <f>IF(AND(Pu&gt;=MIN(E369,H369),Pu&lt;=MAX(E369,H369),E369&lt;&gt;H369),1,0)</f>
      </c>
      <c r="L369">
        <f>IF(K369=1,(Pu-E369)/(H369-E369),"")</f>
      </c>
      <c r="M369" s="12">
        <f>IF(K369=1,F369+L369*(I369-F369),"")</f>
      </c>
      <c r="N369" s="12">
        <f>IF(K369=1,G369+L369*(J369-G369),"")</f>
      </c>
    </row>
    <row r="370" spans="2:14" x14ac:dyDescent="0.25">
      <c r="B370">
        <v>24</v>
      </c>
      <c r="C370">
        <v>93.75000000000001</v>
      </c>
      <c r="D370">
        <v>4</v>
      </c>
      <c r="E370" s="18">
        <v>11649.575448306825</v>
      </c>
      <c r="F370" s="18">
        <v>4026.2133290155207</v>
      </c>
      <c r="G370" s="18">
        <v>-262.0524423508613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24</v>
      </c>
      <c r="C371">
        <v>93.75000000000001</v>
      </c>
      <c r="D371">
        <v>5</v>
      </c>
      <c r="E371" s="18">
        <v>10312.261759475554</v>
      </c>
      <c r="F371" s="18">
        <v>4232.892783054391</v>
      </c>
      <c r="G371" s="18">
        <v>-291.58801197709454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24</v>
      </c>
      <c r="C372">
        <v>93.75000000000001</v>
      </c>
      <c r="D372">
        <v>6</v>
      </c>
      <c r="E372" s="18">
        <v>9128.539522842062</v>
      </c>
      <c r="F372" s="18">
        <v>4381.68738793218</v>
      </c>
      <c r="G372" s="18">
        <v>-312.05890555888374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24</v>
      </c>
      <c r="C373">
        <v>93.75000000000001</v>
      </c>
      <c r="D373">
        <v>7</v>
      </c>
      <c r="E373" s="18">
        <v>8314.927580431038</v>
      </c>
      <c r="F373" s="18">
        <v>4799.298731243151</v>
      </c>
      <c r="G373" s="18">
        <v>-344.413845734105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14" x14ac:dyDescent="0.25">
      <c r="B374">
        <v>24</v>
      </c>
      <c r="C374">
        <v>93.75000000000001</v>
      </c>
      <c r="D374">
        <v>8</v>
      </c>
      <c r="E374" s="18">
        <v>7718.431707239604</v>
      </c>
      <c r="F374" s="18">
        <v>5093.712901300796</v>
      </c>
      <c r="G374" s="18">
        <v>-366.2374455727253</v>
      </c>
      <c r="H374" s="12">
        <f>E375</f>
      </c>
      <c r="I374" s="12">
        <f>F375</f>
      </c>
      <c r="J374" s="12">
        <f>G375</f>
      </c>
      <c r="K374">
        <f>IF(AND(Pu&gt;=MIN(E374,H374),Pu&lt;=MAX(E374,H374),E374&lt;&gt;H374),1,0)</f>
      </c>
      <c r="L374">
        <f>IF(K374=1,(Pu-E374)/(H374-E374),"")</f>
      </c>
      <c r="M374" s="12">
        <f>IF(K374=1,F374+L374*(I374-F374),"")</f>
      </c>
      <c r="N374" s="12">
        <f>IF(K374=1,G374+L374*(J374-G374),"")</f>
      </c>
    </row>
    <row r="375" spans="2:14" x14ac:dyDescent="0.25">
      <c r="B375">
        <v>24</v>
      </c>
      <c r="C375">
        <v>93.75000000000001</v>
      </c>
      <c r="D375">
        <v>9</v>
      </c>
      <c r="E375" s="18">
        <v>7254.093261607333</v>
      </c>
      <c r="F375" s="18">
        <v>5330.126315830486</v>
      </c>
      <c r="G375" s="18">
        <v>-393.91951207485187</v>
      </c>
      <c r="H375" s="12">
        <f>E376</f>
      </c>
      <c r="I375" s="12">
        <f>F376</f>
      </c>
      <c r="J375" s="12">
        <f>G376</f>
      </c>
      <c r="K375">
        <f>IF(AND(Pu&gt;=MIN(E375,H375),Pu&lt;=MAX(E375,H375),E375&lt;&gt;H375),1,0)</f>
      </c>
      <c r="L375">
        <f>IF(K375=1,(Pu-E375)/(H375-E375),"")</f>
      </c>
      <c r="M375" s="12">
        <f>IF(K375=1,F375+L375*(I375-F375),"")</f>
      </c>
      <c r="N375" s="12">
        <f>IF(K375=1,G375+L375*(J375-G375),"")</f>
      </c>
    </row>
    <row r="376" spans="2:14" x14ac:dyDescent="0.25">
      <c r="B376">
        <v>24</v>
      </c>
      <c r="C376">
        <v>93.75000000000001</v>
      </c>
      <c r="D376">
        <v>10</v>
      </c>
      <c r="E376" s="18">
        <v>6356.752784419793</v>
      </c>
      <c r="F376" s="18">
        <v>5125.950635688306</v>
      </c>
      <c r="G376" s="18">
        <v>-368.92470583320846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24</v>
      </c>
      <c r="C377">
        <v>93.75000000000001</v>
      </c>
      <c r="D377">
        <v>11</v>
      </c>
      <c r="E377" s="18">
        <v>4935.595473764774</v>
      </c>
      <c r="F377" s="18">
        <v>4709.876619744564</v>
      </c>
      <c r="G377" s="18">
        <v>-431.8615378209626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24</v>
      </c>
      <c r="C378">
        <v>93.75000000000001</v>
      </c>
      <c r="D378">
        <v>12</v>
      </c>
      <c r="E378" s="18">
        <v>3685.297398882595</v>
      </c>
      <c r="F378" s="18">
        <v>4264.792069082919</v>
      </c>
      <c r="G378" s="18">
        <v>-442.5448966476719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24</v>
      </c>
      <c r="C379">
        <v>93.75000000000001</v>
      </c>
      <c r="D379">
        <v>13</v>
      </c>
      <c r="E379" s="18">
        <v>1289.9805885811832</v>
      </c>
      <c r="F379" s="18">
        <v>3251.6176104377405</v>
      </c>
      <c r="G379" s="18">
        <v>-436.0674026134233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24</v>
      </c>
      <c r="C380">
        <v>93.75000000000001</v>
      </c>
      <c r="D380">
        <v>14</v>
      </c>
      <c r="E380" s="18">
        <v>-189.40712196077277</v>
      </c>
      <c r="F380" s="18">
        <v>2547.7368090850077</v>
      </c>
      <c r="G380" s="18">
        <v>-331.2377301848021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7" x14ac:dyDescent="0.25">
      <c r="B381">
        <v>24</v>
      </c>
      <c r="C381">
        <v>93.75000000000001</v>
      </c>
      <c r="D381">
        <v>15</v>
      </c>
      <c r="E381" s="18">
        <v>-2996.7695780931012</v>
      </c>
      <c r="F381" s="18">
        <v>1061.5720082489909</v>
      </c>
      <c r="G381" s="18">
        <v>-323.04727759265285</v>
      </c>
    </row>
    <row r="383" spans="2:14" x14ac:dyDescent="0.25">
      <c r="B383">
        <v>25</v>
      </c>
      <c r="C383">
        <v>94.6875</v>
      </c>
      <c r="D383">
        <v>1</v>
      </c>
      <c r="E383" s="18">
        <v>16397.597439013836</v>
      </c>
      <c r="F383" s="18">
        <v>2705.1672464526855</v>
      </c>
      <c r="G383" s="18">
        <v>-373.3624071230015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25</v>
      </c>
      <c r="C384">
        <v>94.6875</v>
      </c>
      <c r="D384">
        <v>2</v>
      </c>
      <c r="E384" s="18">
        <v>15197.148585900322</v>
      </c>
      <c r="F384" s="18">
        <v>3141.0216266498155</v>
      </c>
      <c r="G384" s="18">
        <v>-319.22691604995947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25</v>
      </c>
      <c r="C385">
        <v>94.6875</v>
      </c>
      <c r="D385">
        <v>3</v>
      </c>
      <c r="E385" s="18">
        <v>13243.055771047264</v>
      </c>
      <c r="F385" s="18">
        <v>3693.1539054471646</v>
      </c>
      <c r="G385" s="18">
        <v>-320.1659695543819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25</v>
      </c>
      <c r="C386">
        <v>94.6875</v>
      </c>
      <c r="D386">
        <v>4</v>
      </c>
      <c r="E386" s="18">
        <v>11663.196318221288</v>
      </c>
      <c r="F386" s="18">
        <v>4013.3619777506847</v>
      </c>
      <c r="G386" s="18">
        <v>-331.39562236910393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25</v>
      </c>
      <c r="C387">
        <v>94.6875</v>
      </c>
      <c r="D387">
        <v>5</v>
      </c>
      <c r="E387" s="18">
        <v>10315.131077915305</v>
      </c>
      <c r="F387" s="18">
        <v>4219.7348158557625</v>
      </c>
      <c r="G387" s="18">
        <v>-363.52206246689894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25</v>
      </c>
      <c r="C388">
        <v>94.6875</v>
      </c>
      <c r="D388">
        <v>6</v>
      </c>
      <c r="E388" s="18">
        <v>9122.845448001672</v>
      </c>
      <c r="F388" s="18">
        <v>4366.780244709624</v>
      </c>
      <c r="G388" s="18">
        <v>-386.5838265202509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25</v>
      </c>
      <c r="C389">
        <v>94.6875</v>
      </c>
      <c r="D389">
        <v>7</v>
      </c>
      <c r="E389" s="18">
        <v>8279.539508678577</v>
      </c>
      <c r="F389" s="18">
        <v>4787.916619865318</v>
      </c>
      <c r="G389" s="18">
        <v>-430.9821621228388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25</v>
      </c>
      <c r="C390">
        <v>94.6875</v>
      </c>
      <c r="D390">
        <v>8</v>
      </c>
      <c r="E390" s="18">
        <v>7661.706851883576</v>
      </c>
      <c r="F390" s="18">
        <v>5077.198474296199</v>
      </c>
      <c r="G390" s="18">
        <v>-455.89477275950503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25</v>
      </c>
      <c r="C391">
        <v>94.6875</v>
      </c>
      <c r="D391">
        <v>9</v>
      </c>
      <c r="E391" s="18">
        <v>7189.872710994787</v>
      </c>
      <c r="F391" s="18">
        <v>5305.4133989319</v>
      </c>
      <c r="G391" s="18">
        <v>-489.9111098903991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25</v>
      </c>
      <c r="C392">
        <v>94.6875</v>
      </c>
      <c r="D392">
        <v>10</v>
      </c>
      <c r="E392" s="18">
        <v>6260.0010334922235</v>
      </c>
      <c r="F392" s="18">
        <v>5092.791334133079</v>
      </c>
      <c r="G392" s="18">
        <v>-466.904790755477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25</v>
      </c>
      <c r="C393">
        <v>94.6875</v>
      </c>
      <c r="D393">
        <v>11</v>
      </c>
      <c r="E393" s="18">
        <v>4803.969034645224</v>
      </c>
      <c r="F393" s="18">
        <v>4652.885759111728</v>
      </c>
      <c r="G393" s="18">
        <v>-536.919626067009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25</v>
      </c>
      <c r="C394">
        <v>94.6875</v>
      </c>
      <c r="D394">
        <v>12</v>
      </c>
      <c r="E394" s="18">
        <v>3461.817231167758</v>
      </c>
      <c r="F394" s="18">
        <v>4165.308936557875</v>
      </c>
      <c r="G394" s="18">
        <v>-560.7572280486208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14" x14ac:dyDescent="0.25">
      <c r="B395">
        <v>25</v>
      </c>
      <c r="C395">
        <v>94.6875</v>
      </c>
      <c r="D395">
        <v>13</v>
      </c>
      <c r="E395" s="18">
        <v>1048.6022614024735</v>
      </c>
      <c r="F395" s="18">
        <v>3126.9427237530485</v>
      </c>
      <c r="G395" s="18">
        <v>-526.4358484594065</v>
      </c>
      <c r="H395" s="12">
        <f>E396</f>
      </c>
      <c r="I395" s="12">
        <f>F396</f>
      </c>
      <c r="J395" s="12">
        <f>G396</f>
      </c>
      <c r="K395">
        <f>IF(AND(Pu&gt;=MIN(E395,H395),Pu&lt;=MAX(E395,H395),E395&lt;&gt;H395),1,0)</f>
      </c>
      <c r="L395">
        <f>IF(K395=1,(Pu-E395)/(H395-E395),"")</f>
      </c>
      <c r="M395" s="12">
        <f>IF(K395=1,F395+L395*(I395-F395),"")</f>
      </c>
      <c r="N395" s="12">
        <f>IF(K395=1,G395+L395*(J395-G395),"")</f>
      </c>
    </row>
    <row r="396" spans="2:14" x14ac:dyDescent="0.25">
      <c r="B396">
        <v>25</v>
      </c>
      <c r="C396">
        <v>94.6875</v>
      </c>
      <c r="D396">
        <v>14</v>
      </c>
      <c r="E396" s="18">
        <v>-455.5477532650731</v>
      </c>
      <c r="F396" s="18">
        <v>2407.180029348755</v>
      </c>
      <c r="G396" s="18">
        <v>-396.95108224781137</v>
      </c>
      <c r="H396" s="12">
        <f>E397</f>
      </c>
      <c r="I396" s="12">
        <f>F397</f>
      </c>
      <c r="J396" s="12">
        <f>G397</f>
      </c>
      <c r="K396">
        <f>IF(AND(Pu&gt;=MIN(E396,H396),Pu&lt;=MAX(E396,H396),E396&lt;&gt;H396),1,0)</f>
      </c>
      <c r="L396">
        <f>IF(K396=1,(Pu-E396)/(H396-E396),"")</f>
      </c>
      <c r="M396" s="12">
        <f>IF(K396=1,F396+L396*(I396-F396),"")</f>
      </c>
      <c r="N396" s="12">
        <f>IF(K396=1,G396+L396*(J396-G396),"")</f>
      </c>
    </row>
    <row r="397" spans="2:7" x14ac:dyDescent="0.25">
      <c r="B397">
        <v>25</v>
      </c>
      <c r="C397">
        <v>94.6875</v>
      </c>
      <c r="D397">
        <v>15</v>
      </c>
      <c r="E397" s="18">
        <v>-3338.2913486728276</v>
      </c>
      <c r="F397" s="18">
        <v>873.1436248668813</v>
      </c>
      <c r="G397" s="18">
        <v>-377.2362729209565</v>
      </c>
    </row>
    <row r="399" spans="2:14" x14ac:dyDescent="0.25">
      <c r="B399">
        <v>26</v>
      </c>
      <c r="C399">
        <v>95.62499999999997</v>
      </c>
      <c r="D399">
        <v>1</v>
      </c>
      <c r="E399" s="18">
        <v>16530.011636440344</v>
      </c>
      <c r="F399" s="18">
        <v>2645.252114309735</v>
      </c>
      <c r="G399" s="18">
        <v>-449.03845818040435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26</v>
      </c>
      <c r="C400">
        <v>95.62499999999997</v>
      </c>
      <c r="D400">
        <v>2</v>
      </c>
      <c r="E400" s="18">
        <v>15264.575971189879</v>
      </c>
      <c r="F400" s="18">
        <v>3112.142345198616</v>
      </c>
      <c r="G400" s="18">
        <v>-387.7588049130805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26</v>
      </c>
      <c r="C401">
        <v>95.62499999999997</v>
      </c>
      <c r="D401">
        <v>3</v>
      </c>
      <c r="E401" s="18">
        <v>13274.458688743925</v>
      </c>
      <c r="F401" s="18">
        <v>3678.44015408714</v>
      </c>
      <c r="G401" s="18">
        <v>-383.82514951783645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26</v>
      </c>
      <c r="C402">
        <v>95.62499999999997</v>
      </c>
      <c r="D402">
        <v>4</v>
      </c>
      <c r="E402" s="18">
        <v>11676.6672382088</v>
      </c>
      <c r="F402" s="18">
        <v>3999.9201515235095</v>
      </c>
      <c r="G402" s="18">
        <v>-400.3536138463962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14" x14ac:dyDescent="0.25">
      <c r="B403">
        <v>26</v>
      </c>
      <c r="C403">
        <v>95.62499999999997</v>
      </c>
      <c r="D403">
        <v>5</v>
      </c>
      <c r="E403" s="18">
        <v>10317.799863565455</v>
      </c>
      <c r="F403" s="18">
        <v>4206.012806084651</v>
      </c>
      <c r="G403" s="18">
        <v>-435.011430263844</v>
      </c>
      <c r="H403" s="12">
        <f>E404</f>
      </c>
      <c r="I403" s="12">
        <f>F404</f>
      </c>
      <c r="J403" s="12">
        <f>G404</f>
      </c>
      <c r="K403">
        <f>IF(AND(Pu&gt;=MIN(E403,H403),Pu&lt;=MAX(E403,H403),E403&lt;&gt;H403),1,0)</f>
      </c>
      <c r="L403">
        <f>IF(K403=1,(Pu-E403)/(H403-E403),"")</f>
      </c>
      <c r="M403" s="12">
        <f>IF(K403=1,F403+L403*(I403-F403),"")</f>
      </c>
      <c r="N403" s="12">
        <f>IF(K403=1,G403+L403*(J403-G403),"")</f>
      </c>
    </row>
    <row r="404" spans="2:14" x14ac:dyDescent="0.25">
      <c r="B404">
        <v>26</v>
      </c>
      <c r="C404">
        <v>95.62499999999997</v>
      </c>
      <c r="D404">
        <v>6</v>
      </c>
      <c r="E404" s="18">
        <v>9130.236543335086</v>
      </c>
      <c r="F404" s="18">
        <v>4352.647343644442</v>
      </c>
      <c r="G404" s="18">
        <v>-451.53989459240313</v>
      </c>
      <c r="H404" s="12">
        <f>E405</f>
      </c>
      <c r="I404" s="12">
        <f>F405</f>
      </c>
      <c r="J404" s="12">
        <f>G405</f>
      </c>
      <c r="K404">
        <f>IF(AND(Pu&gt;=MIN(E404,H404),Pu&lt;=MAX(E404,H404),E404&lt;&gt;H404),1,0)</f>
      </c>
      <c r="L404">
        <f>IF(K404=1,(Pu-E404)/(H404-E404),"")</f>
      </c>
      <c r="M404" s="12">
        <f>IF(K404=1,F404+L404*(I404-F404),"")</f>
      </c>
      <c r="N404" s="12">
        <f>IF(K404=1,G404+L404*(J404-G404),"")</f>
      </c>
    </row>
    <row r="405" spans="2:14" x14ac:dyDescent="0.25">
      <c r="B405">
        <v>26</v>
      </c>
      <c r="C405">
        <v>95.62499999999997</v>
      </c>
      <c r="D405">
        <v>7</v>
      </c>
      <c r="E405" s="18">
        <v>8244.144019605781</v>
      </c>
      <c r="F405" s="18">
        <v>4775.647462582007</v>
      </c>
      <c r="G405" s="18">
        <v>-516.893558308544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26</v>
      </c>
      <c r="C406">
        <v>95.62499999999997</v>
      </c>
      <c r="D406">
        <v>8</v>
      </c>
      <c r="E406" s="18">
        <v>7605.928655370987</v>
      </c>
      <c r="F406" s="18">
        <v>5059.346900852882</v>
      </c>
      <c r="G406" s="18">
        <v>-545.5343368776554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26</v>
      </c>
      <c r="C407">
        <v>95.62499999999997</v>
      </c>
      <c r="D407">
        <v>9</v>
      </c>
      <c r="E407" s="18">
        <v>7122.631213124306</v>
      </c>
      <c r="F407" s="18">
        <v>5278.556848237346</v>
      </c>
      <c r="G407" s="18">
        <v>-586.8571565321905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26</v>
      </c>
      <c r="C408">
        <v>95.62499999999997</v>
      </c>
      <c r="D408">
        <v>10</v>
      </c>
      <c r="E408" s="18">
        <v>6169.2040795127905</v>
      </c>
      <c r="F408" s="18">
        <v>5055.490995102937</v>
      </c>
      <c r="G408" s="18">
        <v>-573.428390775344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26</v>
      </c>
      <c r="C409">
        <v>95.62499999999997</v>
      </c>
      <c r="D409">
        <v>11</v>
      </c>
      <c r="E409" s="18">
        <v>4646.601434879054</v>
      </c>
      <c r="F409" s="18">
        <v>4582.646005325413</v>
      </c>
      <c r="G409" s="18">
        <v>-648.569831152001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26</v>
      </c>
      <c r="C410">
        <v>95.62499999999997</v>
      </c>
      <c r="D410">
        <v>12</v>
      </c>
      <c r="E410" s="18">
        <v>3238.6480033538523</v>
      </c>
      <c r="F410" s="18">
        <v>4062.948656429879</v>
      </c>
      <c r="G410" s="18">
        <v>-674.6303600366706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26</v>
      </c>
      <c r="C411">
        <v>95.62499999999997</v>
      </c>
      <c r="D411">
        <v>13</v>
      </c>
      <c r="E411" s="18">
        <v>814.7999689979107</v>
      </c>
      <c r="F411" s="18">
        <v>3003.954594340026</v>
      </c>
      <c r="G411" s="18">
        <v>-613.2755869206919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26</v>
      </c>
      <c r="C412">
        <v>95.62499999999997</v>
      </c>
      <c r="D412">
        <v>14</v>
      </c>
      <c r="E412" s="18">
        <v>-713.5986718636225</v>
      </c>
      <c r="F412" s="18">
        <v>2268.8210454932537</v>
      </c>
      <c r="G412" s="18">
        <v>-462.75628832693826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7" x14ac:dyDescent="0.25">
      <c r="B413">
        <v>26</v>
      </c>
      <c r="C413">
        <v>95.62499999999997</v>
      </c>
      <c r="D413">
        <v>15</v>
      </c>
      <c r="E413" s="18">
        <v>-3556.7191198382457</v>
      </c>
      <c r="F413" s="18">
        <v>752.4092790874378</v>
      </c>
      <c r="G413" s="18">
        <v>-384.7446384548392</v>
      </c>
    </row>
    <row r="415" spans="2:14" x14ac:dyDescent="0.25">
      <c r="B415">
        <v>27</v>
      </c>
      <c r="C415">
        <v>97.5</v>
      </c>
      <c r="D415">
        <v>1</v>
      </c>
      <c r="E415" s="18">
        <v>16783.311291715534</v>
      </c>
      <c r="F415" s="18">
        <v>2525.9633651554827</v>
      </c>
      <c r="G415" s="18">
        <v>-591.2537739247877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14" x14ac:dyDescent="0.25">
      <c r="B416">
        <v>27</v>
      </c>
      <c r="C416">
        <v>97.5</v>
      </c>
      <c r="D416">
        <v>2</v>
      </c>
      <c r="E416" s="18">
        <v>15397.80127760969</v>
      </c>
      <c r="F416" s="18">
        <v>3050.5432161695553</v>
      </c>
      <c r="G416" s="18">
        <v>-520.5570074295812</v>
      </c>
      <c r="H416" s="12">
        <f>E417</f>
      </c>
      <c r="I416" s="12">
        <f>F417</f>
      </c>
      <c r="J416" s="12">
        <f>G417</f>
      </c>
      <c r="K416">
        <f>IF(AND(Pu&gt;=MIN(E416,H416),Pu&lt;=MAX(E416,H416),E416&lt;&gt;H416),1,0)</f>
      </c>
      <c r="L416">
        <f>IF(K416=1,(Pu-E416)/(H416-E416),"")</f>
      </c>
      <c r="M416" s="12">
        <f>IF(K416=1,F416+L416*(I416-F416),"")</f>
      </c>
      <c r="N416" s="12">
        <f>IF(K416=1,G416+L416*(J416-G416),"")</f>
      </c>
    </row>
    <row r="417" spans="2:14" x14ac:dyDescent="0.25">
      <c r="B417">
        <v>27</v>
      </c>
      <c r="C417">
        <v>97.5</v>
      </c>
      <c r="D417">
        <v>3</v>
      </c>
      <c r="E417" s="18">
        <v>13328.930460219377</v>
      </c>
      <c r="F417" s="18">
        <v>3644.5088585648546</v>
      </c>
      <c r="G417" s="18">
        <v>-515.9050532142472</v>
      </c>
      <c r="H417" s="12">
        <f>E418</f>
      </c>
      <c r="I417" s="12">
        <f>F418</f>
      </c>
      <c r="J417" s="12">
        <f>G418</f>
      </c>
      <c r="K417">
        <f>IF(AND(Pu&gt;=MIN(E417,H417),Pu&lt;=MAX(E417,H417),E417&lt;&gt;H417),1,0)</f>
      </c>
      <c r="L417">
        <f>IF(K417=1,(Pu-E417)/(H417-E417),"")</f>
      </c>
      <c r="M417" s="12">
        <f>IF(K417=1,F417+L417*(I417-F417),"")</f>
      </c>
      <c r="N417" s="12">
        <f>IF(K417=1,G417+L417*(J417-G417),"")</f>
      </c>
    </row>
    <row r="418" spans="2:14" x14ac:dyDescent="0.25">
      <c r="B418">
        <v>27</v>
      </c>
      <c r="C418">
        <v>97.5</v>
      </c>
      <c r="D418">
        <v>4</v>
      </c>
      <c r="E418" s="18">
        <v>11703.210126888845</v>
      </c>
      <c r="F418" s="18">
        <v>3971.180389071291</v>
      </c>
      <c r="G418" s="18">
        <v>-537.3309272567019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27</v>
      </c>
      <c r="C419">
        <v>97.5</v>
      </c>
      <c r="D419">
        <v>5</v>
      </c>
      <c r="E419" s="18">
        <v>10309.235015179505</v>
      </c>
      <c r="F419" s="18">
        <v>4178.12146142661</v>
      </c>
      <c r="G419" s="18">
        <v>-567.8214773436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27</v>
      </c>
      <c r="C420">
        <v>97.5</v>
      </c>
      <c r="D420">
        <v>6</v>
      </c>
      <c r="E420" s="18">
        <v>9117.635316264068</v>
      </c>
      <c r="F420" s="18">
        <v>4319.943397716331</v>
      </c>
      <c r="G420" s="18">
        <v>-598.3120274304989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27</v>
      </c>
      <c r="C421">
        <v>97.5</v>
      </c>
      <c r="D421">
        <v>7</v>
      </c>
      <c r="E421" s="18">
        <v>8176.761097740374</v>
      </c>
      <c r="F421" s="18">
        <v>4747.320934091594</v>
      </c>
      <c r="G421" s="18">
        <v>-684.6436289229014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27</v>
      </c>
      <c r="C422">
        <v>97.5</v>
      </c>
      <c r="D422">
        <v>8</v>
      </c>
      <c r="E422" s="18">
        <v>7528.71423616915</v>
      </c>
      <c r="F422" s="18">
        <v>5019.687538907796</v>
      </c>
      <c r="G422" s="18">
        <v>-724.7287550816856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27</v>
      </c>
      <c r="C423">
        <v>97.5</v>
      </c>
      <c r="D423">
        <v>9</v>
      </c>
      <c r="E423" s="18">
        <v>6977.856630387721</v>
      </c>
      <c r="F423" s="18">
        <v>5217.654827504136</v>
      </c>
      <c r="G423" s="18">
        <v>-784.3705374422467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27</v>
      </c>
      <c r="C424">
        <v>97.5</v>
      </c>
      <c r="D424">
        <v>10</v>
      </c>
      <c r="E424" s="18">
        <v>5957.352515334315</v>
      </c>
      <c r="F424" s="18">
        <v>4961.315671761345</v>
      </c>
      <c r="G424" s="18">
        <v>-797.959746266818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27</v>
      </c>
      <c r="C425">
        <v>97.5</v>
      </c>
      <c r="D425">
        <v>11</v>
      </c>
      <c r="E425" s="18">
        <v>4250.784521857996</v>
      </c>
      <c r="F425" s="18">
        <v>4403.665492312937</v>
      </c>
      <c r="G425" s="18">
        <v>-869.4796075638022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27</v>
      </c>
      <c r="C426">
        <v>97.5</v>
      </c>
      <c r="D426">
        <v>12</v>
      </c>
      <c r="E426" s="18">
        <v>2825.4746262514195</v>
      </c>
      <c r="F426" s="18">
        <v>3858.2000103963023</v>
      </c>
      <c r="G426" s="18">
        <v>-905.2565630434653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27</v>
      </c>
      <c r="C427">
        <v>97.5</v>
      </c>
      <c r="D427">
        <v>13</v>
      </c>
      <c r="E427" s="18">
        <v>384.1593434020251</v>
      </c>
      <c r="F427" s="18">
        <v>2771.2715721991085</v>
      </c>
      <c r="G427" s="18">
        <v>-769.6855036965783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27</v>
      </c>
      <c r="C428">
        <v>97.5</v>
      </c>
      <c r="D428">
        <v>14</v>
      </c>
      <c r="E428" s="18">
        <v>-1217.3613026629362</v>
      </c>
      <c r="F428" s="18">
        <v>1991.4818780991648</v>
      </c>
      <c r="G428" s="18">
        <v>-596.4909885497751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7" x14ac:dyDescent="0.25">
      <c r="B429">
        <v>27</v>
      </c>
      <c r="C429">
        <v>97.5</v>
      </c>
      <c r="D429">
        <v>15</v>
      </c>
      <c r="E429" s="18">
        <v>-3835.608628774496</v>
      </c>
      <c r="F429" s="18">
        <v>598.3367558505166</v>
      </c>
      <c r="G429" s="18">
        <v>-369.9999105702501</v>
      </c>
    </row>
    <row r="431" spans="2:14" x14ac:dyDescent="0.25">
      <c r="B431">
        <v>28</v>
      </c>
      <c r="C431">
        <v>101.24999999999996</v>
      </c>
      <c r="D431">
        <v>1</v>
      </c>
      <c r="E431" s="18">
        <v>17263.170063934096</v>
      </c>
      <c r="F431" s="18">
        <v>2285.6322031906607</v>
      </c>
      <c r="G431" s="18">
        <v>-835.2411015442768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28</v>
      </c>
      <c r="C432">
        <v>101.24999999999996</v>
      </c>
      <c r="D432">
        <v>2</v>
      </c>
      <c r="E432" s="18">
        <v>15691.23978200156</v>
      </c>
      <c r="F432" s="18">
        <v>2899.5144748158036</v>
      </c>
      <c r="G432" s="18">
        <v>-787.6934675639892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28</v>
      </c>
      <c r="C433">
        <v>101.24999999999996</v>
      </c>
      <c r="D433">
        <v>3</v>
      </c>
      <c r="E433" s="18">
        <v>13439.476393900135</v>
      </c>
      <c r="F433" s="18">
        <v>3569.7953623997896</v>
      </c>
      <c r="G433" s="18">
        <v>-761.2159744450421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28</v>
      </c>
      <c r="C434">
        <v>101.24999999999996</v>
      </c>
      <c r="D434">
        <v>4</v>
      </c>
      <c r="E434" s="18">
        <v>11755.029611653848</v>
      </c>
      <c r="F434" s="18">
        <v>3905.615962511759</v>
      </c>
      <c r="G434" s="18">
        <v>-808.9799705121048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28</v>
      </c>
      <c r="C435">
        <v>101.24999999999996</v>
      </c>
      <c r="D435">
        <v>5</v>
      </c>
      <c r="E435" s="18">
        <v>10329.979940297488</v>
      </c>
      <c r="F435" s="18">
        <v>4113.203580616372</v>
      </c>
      <c r="G435" s="18">
        <v>-839.6206772985806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28</v>
      </c>
      <c r="C436">
        <v>101.24999999999996</v>
      </c>
      <c r="D436">
        <v>6</v>
      </c>
      <c r="E436" s="18">
        <v>9089.590677847846</v>
      </c>
      <c r="F436" s="18">
        <v>4246.716281637672</v>
      </c>
      <c r="G436" s="18">
        <v>-888.3907361739456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14" x14ac:dyDescent="0.25">
      <c r="B437">
        <v>28</v>
      </c>
      <c r="C437">
        <v>101.24999999999996</v>
      </c>
      <c r="D437">
        <v>7</v>
      </c>
      <c r="E437" s="18">
        <v>8049.685383363472</v>
      </c>
      <c r="F437" s="18">
        <v>4676.49857435678</v>
      </c>
      <c r="G437" s="18">
        <v>-1009.3898121511683</v>
      </c>
      <c r="H437" s="12">
        <f>E438</f>
      </c>
      <c r="I437" s="12">
        <f>F438</f>
      </c>
      <c r="J437" s="12">
        <f>G438</f>
      </c>
      <c r="K437">
        <f>IF(AND(Pu&gt;=MIN(E437,H437),Pu&lt;=MAX(E437,H437),E437&lt;&gt;H437),1,0)</f>
      </c>
      <c r="L437">
        <f>IF(K437=1,(Pu-E437)/(H437-E437),"")</f>
      </c>
      <c r="M437" s="12">
        <f>IF(K437=1,F437+L437*(I437-F437),"")</f>
      </c>
      <c r="N437" s="12">
        <f>IF(K437=1,G437+L437*(J437-G437),"")</f>
      </c>
    </row>
    <row r="438" spans="2:14" x14ac:dyDescent="0.25">
      <c r="B438">
        <v>28</v>
      </c>
      <c r="C438">
        <v>101.24999999999996</v>
      </c>
      <c r="D438">
        <v>8</v>
      </c>
      <c r="E438" s="18">
        <v>7291.740698268392</v>
      </c>
      <c r="F438" s="18">
        <v>4902.144820824776</v>
      </c>
      <c r="G438" s="18">
        <v>-1102.8539547935875</v>
      </c>
      <c r="H438" s="12">
        <f>E439</f>
      </c>
      <c r="I438" s="12">
        <f>F439</f>
      </c>
      <c r="J438" s="12">
        <f>G439</f>
      </c>
      <c r="K438">
        <f>IF(AND(Pu&gt;=MIN(E438,H438),Pu&lt;=MAX(E438,H438),E438&lt;&gt;H438),1,0)</f>
      </c>
      <c r="L438">
        <f>IF(K438=1,(Pu-E438)/(H438-E438),"")</f>
      </c>
      <c r="M438" s="12">
        <f>IF(K438=1,F438+L438*(I438-F438),"")</f>
      </c>
      <c r="N438" s="12">
        <f>IF(K438=1,G438+L438*(J438-G438),"")</f>
      </c>
    </row>
    <row r="439" spans="2:14" x14ac:dyDescent="0.25">
      <c r="B439">
        <v>28</v>
      </c>
      <c r="C439">
        <v>101.24999999999996</v>
      </c>
      <c r="D439">
        <v>9</v>
      </c>
      <c r="E439" s="18">
        <v>6601.301168973165</v>
      </c>
      <c r="F439" s="18">
        <v>5039.434939117216</v>
      </c>
      <c r="G439" s="18">
        <v>-1204.47755865455</v>
      </c>
      <c r="H439" s="12">
        <f>E440</f>
      </c>
      <c r="I439" s="12">
        <f>F440</f>
      </c>
      <c r="J439" s="12">
        <f>G440</f>
      </c>
      <c r="K439">
        <f>IF(AND(Pu&gt;=MIN(E439,H439),Pu&lt;=MAX(E439,H439),E439&lt;&gt;H439),1,0)</f>
      </c>
      <c r="L439">
        <f>IF(K439=1,(Pu-E439)/(H439-E439),"")</f>
      </c>
      <c r="M439" s="12">
        <f>IF(K439=1,F439+L439*(I439-F439),"")</f>
      </c>
      <c r="N439" s="12">
        <f>IF(K439=1,G439+L439*(J439-G439),"")</f>
      </c>
    </row>
    <row r="440" spans="2:14" x14ac:dyDescent="0.25">
      <c r="B440">
        <v>28</v>
      </c>
      <c r="C440">
        <v>101.24999999999996</v>
      </c>
      <c r="D440">
        <v>10</v>
      </c>
      <c r="E440" s="18">
        <v>5457.995376929316</v>
      </c>
      <c r="F440" s="18">
        <v>4720.921647443063</v>
      </c>
      <c r="G440" s="18">
        <v>-1243.7390714569858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28</v>
      </c>
      <c r="C441">
        <v>101.24999999999996</v>
      </c>
      <c r="D441">
        <v>11</v>
      </c>
      <c r="E441" s="18">
        <v>3507.482365736562</v>
      </c>
      <c r="F441" s="18">
        <v>4037.8424698798913</v>
      </c>
      <c r="G441" s="18">
        <v>-1290.0406410680955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28</v>
      </c>
      <c r="C442">
        <v>101.24999999999996</v>
      </c>
      <c r="D442">
        <v>12</v>
      </c>
      <c r="E442" s="18">
        <v>2073.7236228396036</v>
      </c>
      <c r="F442" s="18">
        <v>3457.454749512865</v>
      </c>
      <c r="G442" s="18">
        <v>-1299.4496533100014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28</v>
      </c>
      <c r="C443">
        <v>101.24999999999996</v>
      </c>
      <c r="D443">
        <v>13</v>
      </c>
      <c r="E443" s="18">
        <v>-397.9558364794775</v>
      </c>
      <c r="F443" s="18">
        <v>2329.9576495092538</v>
      </c>
      <c r="G443" s="18">
        <v>-1034.3904202099657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28</v>
      </c>
      <c r="C444">
        <v>101.24999999999996</v>
      </c>
      <c r="D444">
        <v>14</v>
      </c>
      <c r="E444" s="18">
        <v>-1918.7335103116382</v>
      </c>
      <c r="F444" s="18">
        <v>1589.223947601542</v>
      </c>
      <c r="G444" s="18">
        <v>-773.7009017067877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7" x14ac:dyDescent="0.25">
      <c r="B445">
        <v>28</v>
      </c>
      <c r="C445">
        <v>101.24999999999996</v>
      </c>
      <c r="D445">
        <v>15</v>
      </c>
      <c r="E445" s="18">
        <v>-4107.687660175252</v>
      </c>
      <c r="F445" s="18">
        <v>447.6541443877038</v>
      </c>
      <c r="G445" s="18">
        <v>-327.55155612565795</v>
      </c>
    </row>
    <row r="447" spans="2:14" x14ac:dyDescent="0.25">
      <c r="B447">
        <v>29</v>
      </c>
      <c r="C447">
        <v>104.99999999999999</v>
      </c>
      <c r="D447">
        <v>1</v>
      </c>
      <c r="E447" s="18">
        <v>17663.40830987146</v>
      </c>
      <c r="F447" s="18">
        <v>2056.1564175509648</v>
      </c>
      <c r="G447" s="18">
        <v>-1055.197812998474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29</v>
      </c>
      <c r="C448">
        <v>104.99999999999999</v>
      </c>
      <c r="D448">
        <v>2</v>
      </c>
      <c r="E448" s="18">
        <v>16018.371759561904</v>
      </c>
      <c r="F448" s="18">
        <v>2713.9903618427816</v>
      </c>
      <c r="G448" s="18">
        <v>-1056.5256502997959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29</v>
      </c>
      <c r="C449">
        <v>104.99999999999999</v>
      </c>
      <c r="D449">
        <v>3</v>
      </c>
      <c r="E449" s="18">
        <v>13568.048277372505</v>
      </c>
      <c r="F449" s="18">
        <v>3472.0176361037743</v>
      </c>
      <c r="G449" s="18">
        <v>-1033.3938432807445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29</v>
      </c>
      <c r="C450">
        <v>104.99999999999999</v>
      </c>
      <c r="D450">
        <v>4</v>
      </c>
      <c r="E450" s="18">
        <v>11805.735141735511</v>
      </c>
      <c r="F450" s="18">
        <v>3827.794453457008</v>
      </c>
      <c r="G450" s="18">
        <v>-1080.1988296870024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29</v>
      </c>
      <c r="C451">
        <v>104.99999999999999</v>
      </c>
      <c r="D451">
        <v>5</v>
      </c>
      <c r="E451" s="18">
        <v>10334.81863956615</v>
      </c>
      <c r="F451" s="18">
        <v>4035.044633502739</v>
      </c>
      <c r="G451" s="18">
        <v>-1119.4132893610908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29</v>
      </c>
      <c r="C452">
        <v>104.99999999999999</v>
      </c>
      <c r="D452">
        <v>6</v>
      </c>
      <c r="E452" s="18">
        <v>9044.414289894843</v>
      </c>
      <c r="F452" s="18">
        <v>4162.797357567723</v>
      </c>
      <c r="G452" s="18">
        <v>-1167.6924250796233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29</v>
      </c>
      <c r="C453">
        <v>104.99999999999999</v>
      </c>
      <c r="D453">
        <v>7</v>
      </c>
      <c r="E453" s="18">
        <v>7900.926956347099</v>
      </c>
      <c r="F453" s="18">
        <v>4579.01517641749</v>
      </c>
      <c r="G453" s="18">
        <v>-1323.5720693498267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29</v>
      </c>
      <c r="C454">
        <v>104.99999999999999</v>
      </c>
      <c r="D454">
        <v>8</v>
      </c>
      <c r="E454" s="18">
        <v>7024.472214754451</v>
      </c>
      <c r="F454" s="18">
        <v>4738.891699856123</v>
      </c>
      <c r="G454" s="18">
        <v>-1495.366500361588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29</v>
      </c>
      <c r="C455">
        <v>104.99999999999999</v>
      </c>
      <c r="D455">
        <v>9</v>
      </c>
      <c r="E455" s="18">
        <v>6192.823512197097</v>
      </c>
      <c r="F455" s="18">
        <v>4816.122040964442</v>
      </c>
      <c r="G455" s="18">
        <v>-1620.8527463722987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29</v>
      </c>
      <c r="C456">
        <v>104.99999999999999</v>
      </c>
      <c r="D456">
        <v>10</v>
      </c>
      <c r="E456" s="18">
        <v>4865.596984903787</v>
      </c>
      <c r="F456" s="18">
        <v>4406.705064794094</v>
      </c>
      <c r="G456" s="18">
        <v>-1666.4128844382687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14" x14ac:dyDescent="0.25">
      <c r="B457">
        <v>29</v>
      </c>
      <c r="C457">
        <v>104.99999999999999</v>
      </c>
      <c r="D457">
        <v>11</v>
      </c>
      <c r="E457" s="18">
        <v>2844.4108700908746</v>
      </c>
      <c r="F457" s="18">
        <v>3684.2701042343683</v>
      </c>
      <c r="G457" s="18">
        <v>-1652.5424880271312</v>
      </c>
      <c r="H457" s="12">
        <f>E458</f>
      </c>
      <c r="I457" s="12">
        <f>F458</f>
      </c>
      <c r="J457" s="12">
        <f>G458</f>
      </c>
      <c r="K457">
        <f>IF(AND(Pu&gt;=MIN(E457,H457),Pu&lt;=MAX(E457,H457),E457&lt;&gt;H457),1,0)</f>
      </c>
      <c r="L457">
        <f>IF(K457=1,(Pu-E457)/(H457-E457),"")</f>
      </c>
      <c r="M457" s="12">
        <f>IF(K457=1,F457+L457*(I457-F457),"")</f>
      </c>
      <c r="N457" s="12">
        <f>IF(K457=1,G457+L457*(J457-G457),"")</f>
      </c>
    </row>
    <row r="458" spans="2:14" x14ac:dyDescent="0.25">
      <c r="B458">
        <v>29</v>
      </c>
      <c r="C458">
        <v>104.99999999999999</v>
      </c>
      <c r="D458">
        <v>12</v>
      </c>
      <c r="E458" s="18">
        <v>1445.0824686621845</v>
      </c>
      <c r="F458" s="18">
        <v>3088.8217910285184</v>
      </c>
      <c r="G458" s="18">
        <v>-1582.7456698430049</v>
      </c>
      <c r="H458" s="12">
        <f>E459</f>
      </c>
      <c r="I458" s="12">
        <f>F459</f>
      </c>
      <c r="J458" s="12">
        <f>G459</f>
      </c>
      <c r="K458">
        <f>IF(AND(Pu&gt;=MIN(E458,H458),Pu&lt;=MAX(E458,H458),E458&lt;&gt;H458),1,0)</f>
      </c>
      <c r="L458">
        <f>IF(K458=1,(Pu-E458)/(H458-E458),"")</f>
      </c>
      <c r="M458" s="12">
        <f>IF(K458=1,F458+L458*(I458-F458),"")</f>
      </c>
      <c r="N458" s="12">
        <f>IF(K458=1,G458+L458*(J458-G458),"")</f>
      </c>
    </row>
    <row r="459" spans="2:14" x14ac:dyDescent="0.25">
      <c r="B459">
        <v>29</v>
      </c>
      <c r="C459">
        <v>104.99999999999999</v>
      </c>
      <c r="D459">
        <v>13</v>
      </c>
      <c r="E459" s="18">
        <v>-890.1954490091862</v>
      </c>
      <c r="F459" s="18">
        <v>2041.4683012538223</v>
      </c>
      <c r="G459" s="18">
        <v>-1182.6306354101987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29</v>
      </c>
      <c r="C460">
        <v>104.99999999999999</v>
      </c>
      <c r="D460">
        <v>14</v>
      </c>
      <c r="E460" s="18">
        <v>-2322.243621166515</v>
      </c>
      <c r="F460" s="18">
        <v>1349.805246642934</v>
      </c>
      <c r="G460" s="18">
        <v>-887.052097335411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7" x14ac:dyDescent="0.25">
      <c r="B461">
        <v>29</v>
      </c>
      <c r="C461">
        <v>104.99999999999999</v>
      </c>
      <c r="D461">
        <v>15</v>
      </c>
      <c r="E461" s="18">
        <v>-4250.483916974664</v>
      </c>
      <c r="F461" s="18">
        <v>368.32790287278493</v>
      </c>
      <c r="G461" s="18">
        <v>-296.58467325706505</v>
      </c>
    </row>
    <row r="463" spans="2:14" x14ac:dyDescent="0.25">
      <c r="B463">
        <v>30</v>
      </c>
      <c r="C463">
        <v>108.75</v>
      </c>
      <c r="D463">
        <v>1</v>
      </c>
      <c r="E463" s="18">
        <v>16311.82078569034</v>
      </c>
      <c r="F463" s="18">
        <v>2528.214134621763</v>
      </c>
      <c r="G463" s="18">
        <v>-1301.9025202723808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30</v>
      </c>
      <c r="C464">
        <v>108.75</v>
      </c>
      <c r="D464">
        <v>2</v>
      </c>
      <c r="E464" s="18">
        <v>13684.019488538932</v>
      </c>
      <c r="F464" s="18">
        <v>3362.3014840012443</v>
      </c>
      <c r="G464" s="18">
        <v>-1292.7564212612826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30</v>
      </c>
      <c r="C465">
        <v>108.75</v>
      </c>
      <c r="D465">
        <v>3</v>
      </c>
      <c r="E465" s="18">
        <v>11855.962084893185</v>
      </c>
      <c r="F465" s="18">
        <v>3740.8474844281145</v>
      </c>
      <c r="G465" s="18">
        <v>-1335.9649835756288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30</v>
      </c>
      <c r="C466">
        <v>108.75</v>
      </c>
      <c r="D466">
        <v>4</v>
      </c>
      <c r="E466" s="18">
        <v>10337.27245023117</v>
      </c>
      <c r="F466" s="18">
        <v>3942.7576372194053</v>
      </c>
      <c r="G466" s="18">
        <v>-1401.372789231016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30</v>
      </c>
      <c r="C467">
        <v>108.75</v>
      </c>
      <c r="D467">
        <v>5</v>
      </c>
      <c r="E467" s="18">
        <v>8994.790214855873</v>
      </c>
      <c r="F467" s="18">
        <v>4055.86324359208</v>
      </c>
      <c r="G467" s="18">
        <v>-1463.241993984668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30</v>
      </c>
      <c r="C468">
        <v>108.75</v>
      </c>
      <c r="D468">
        <v>6</v>
      </c>
      <c r="E468" s="18">
        <v>7716.259574673525</v>
      </c>
      <c r="F468" s="18">
        <v>4431.855303533371</v>
      </c>
      <c r="G468" s="18">
        <v>-1670.1930832106589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30</v>
      </c>
      <c r="C469">
        <v>108.75</v>
      </c>
      <c r="D469">
        <v>7</v>
      </c>
      <c r="E469" s="18">
        <v>6767.386812944161</v>
      </c>
      <c r="F469" s="18">
        <v>4558.4117816444095</v>
      </c>
      <c r="G469" s="18">
        <v>-1858.0767274892287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30</v>
      </c>
      <c r="C470">
        <v>108.75</v>
      </c>
      <c r="D470">
        <v>8</v>
      </c>
      <c r="E470" s="18">
        <v>5673.498046806424</v>
      </c>
      <c r="F470" s="18">
        <v>4513.88907216168</v>
      </c>
      <c r="G470" s="18">
        <v>-2049.3921726076464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30</v>
      </c>
      <c r="C471">
        <v>108.75</v>
      </c>
      <c r="D471">
        <v>9</v>
      </c>
      <c r="E471" s="18">
        <v>4314.484214683444</v>
      </c>
      <c r="F471" s="18">
        <v>4085.916456227187</v>
      </c>
      <c r="G471" s="18">
        <v>-2047.3096476611133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30</v>
      </c>
      <c r="C472">
        <v>108.75</v>
      </c>
      <c r="D472">
        <v>10</v>
      </c>
      <c r="E472" s="18">
        <v>2301.9319894323894</v>
      </c>
      <c r="F472" s="18">
        <v>3346.0030974539995</v>
      </c>
      <c r="G472" s="18">
        <v>-1959.1813067014116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14" x14ac:dyDescent="0.25">
      <c r="B473">
        <v>30</v>
      </c>
      <c r="C473">
        <v>108.75</v>
      </c>
      <c r="D473">
        <v>11</v>
      </c>
      <c r="E473" s="18">
        <v>1030.8674797097467</v>
      </c>
      <c r="F473" s="18">
        <v>2823.4905666269374</v>
      </c>
      <c r="G473" s="18">
        <v>-1781.1259018739936</v>
      </c>
      <c r="H473" s="12">
        <f>E474</f>
      </c>
      <c r="I473" s="12">
        <f>F474</f>
      </c>
      <c r="J473" s="12">
        <f>G474</f>
      </c>
      <c r="K473">
        <f>IF(AND(Pu&gt;=MIN(E473,H473),Pu&lt;=MAX(E473,H473),E473&lt;&gt;H473),1,0)</f>
      </c>
      <c r="L473">
        <f>IF(K473=1,(Pu-E473)/(H473-E473),"")</f>
      </c>
      <c r="M473" s="12">
        <f>IF(K473=1,F473+L473*(I473-F473),"")</f>
      </c>
      <c r="N473" s="12">
        <f>IF(K473=1,G473+L473*(J473-G473),"")</f>
      </c>
    </row>
    <row r="474" spans="2:14" x14ac:dyDescent="0.25">
      <c r="B474">
        <v>30</v>
      </c>
      <c r="C474">
        <v>108.75</v>
      </c>
      <c r="D474">
        <v>12</v>
      </c>
      <c r="E474" s="18">
        <v>-1237.0185745448703</v>
      </c>
      <c r="F474" s="18">
        <v>1831.0726795101743</v>
      </c>
      <c r="G474" s="18">
        <v>-1293.7661052842461</v>
      </c>
      <c r="H474" s="12">
        <f>E475</f>
      </c>
      <c r="I474" s="12">
        <f>F475</f>
      </c>
      <c r="J474" s="12">
        <f>G475</f>
      </c>
      <c r="K474">
        <f>IF(AND(Pu&gt;=MIN(E474,H474),Pu&lt;=MAX(E474,H474),E474&lt;&gt;H474),1,0)</f>
      </c>
      <c r="L474">
        <f>IF(K474=1,(Pu-E474)/(H474-E474),"")</f>
      </c>
      <c r="M474" s="12">
        <f>IF(K474=1,F474+L474*(I474-F474),"")</f>
      </c>
      <c r="N474" s="12">
        <f>IF(K474=1,G474+L474*(J474-G474),"")</f>
      </c>
    </row>
    <row r="475" spans="2:14" x14ac:dyDescent="0.25">
      <c r="B475">
        <v>30</v>
      </c>
      <c r="C475">
        <v>108.75</v>
      </c>
      <c r="D475">
        <v>13</v>
      </c>
      <c r="E475" s="18">
        <v>-2539.905202294339</v>
      </c>
      <c r="F475" s="18">
        <v>1210.5523402057295</v>
      </c>
      <c r="G475" s="18">
        <v>-951.3991534747237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7" x14ac:dyDescent="0.25">
      <c r="B476">
        <v>30</v>
      </c>
      <c r="C476">
        <v>108.75</v>
      </c>
      <c r="D476">
        <v>14</v>
      </c>
      <c r="E476" s="18">
        <v>-4311.15905697642</v>
      </c>
      <c r="F476" s="18">
        <v>333.3377028141694</v>
      </c>
      <c r="G476" s="18">
        <v>-285.16936006297306</v>
      </c>
    </row>
    <row r="478" spans="2:14" x14ac:dyDescent="0.25">
      <c r="B478">
        <v>31</v>
      </c>
      <c r="C478">
        <v>112.50000000000003</v>
      </c>
      <c r="D478">
        <v>1</v>
      </c>
      <c r="E478" s="18">
        <v>16557.40846121926</v>
      </c>
      <c r="F478" s="18">
        <v>2351.7378381701546</v>
      </c>
      <c r="G478" s="18">
        <v>-1521.4875419289729</v>
      </c>
      <c r="H478" s="12">
        <f>E479</f>
      </c>
      <c r="I478" s="12">
        <f>F479</f>
      </c>
      <c r="J478" s="12">
        <f>G479</f>
      </c>
      <c r="K478">
        <f>IF(AND(Pu&gt;=MIN(E478,H478),Pu&lt;=MAX(E478,H478),E478&lt;&gt;H478),1,0)</f>
      </c>
      <c r="L478">
        <f>IF(K478=1,(Pu-E478)/(H478-E478),"")</f>
      </c>
      <c r="M478" s="12">
        <f>IF(K478=1,F478+L478*(I478-F478),"")</f>
      </c>
      <c r="N478" s="12">
        <f>IF(K478=1,G478+L478*(J478-G478),"")</f>
      </c>
    </row>
    <row r="479" spans="2:14" x14ac:dyDescent="0.25">
      <c r="B479">
        <v>31</v>
      </c>
      <c r="C479">
        <v>112.50000000000003</v>
      </c>
      <c r="D479">
        <v>2</v>
      </c>
      <c r="E479" s="18">
        <v>13787.35459402717</v>
      </c>
      <c r="F479" s="18">
        <v>3243.950583044509</v>
      </c>
      <c r="G479" s="18">
        <v>-1540.8172447784077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31</v>
      </c>
      <c r="C480">
        <v>112.50000000000003</v>
      </c>
      <c r="D480">
        <v>3</v>
      </c>
      <c r="E480" s="18">
        <v>11906.581702234138</v>
      </c>
      <c r="F480" s="18">
        <v>3628.8315220228715</v>
      </c>
      <c r="G480" s="18">
        <v>-1615.6790353202655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31</v>
      </c>
      <c r="C481">
        <v>112.50000000000003</v>
      </c>
      <c r="D481">
        <v>4</v>
      </c>
      <c r="E481" s="18">
        <v>10320.665762980429</v>
      </c>
      <c r="F481" s="18">
        <v>3824.603950181504</v>
      </c>
      <c r="G481" s="18">
        <v>-1695.48757616291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31</v>
      </c>
      <c r="C482">
        <v>112.50000000000003</v>
      </c>
      <c r="D482">
        <v>5</v>
      </c>
      <c r="E482" s="18">
        <v>8946.634448049084</v>
      </c>
      <c r="F482" s="18">
        <v>3931.575802754913</v>
      </c>
      <c r="G482" s="18">
        <v>-1757.296840606175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31</v>
      </c>
      <c r="C483">
        <v>112.50000000000003</v>
      </c>
      <c r="D483">
        <v>6</v>
      </c>
      <c r="E483" s="18">
        <v>7542.151300443812</v>
      </c>
      <c r="F483" s="18">
        <v>4266.790598582745</v>
      </c>
      <c r="G483" s="18">
        <v>-2005.1431113744986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31</v>
      </c>
      <c r="C484">
        <v>112.50000000000003</v>
      </c>
      <c r="D484">
        <v>7</v>
      </c>
      <c r="E484" s="18">
        <v>6421.265972082095</v>
      </c>
      <c r="F484" s="18">
        <v>4326.605658612297</v>
      </c>
      <c r="G484" s="18">
        <v>-2217.311886875245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31</v>
      </c>
      <c r="C485">
        <v>112.50000000000003</v>
      </c>
      <c r="D485">
        <v>8</v>
      </c>
      <c r="E485" s="18">
        <v>5208.752604383593</v>
      </c>
      <c r="F485" s="18">
        <v>4200.243508931341</v>
      </c>
      <c r="G485" s="18">
        <v>-2446.1374143572134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31</v>
      </c>
      <c r="C486">
        <v>112.50000000000003</v>
      </c>
      <c r="D486">
        <v>9</v>
      </c>
      <c r="E486" s="18">
        <v>3853.461613735977</v>
      </c>
      <c r="F486" s="18">
        <v>3774.217726878477</v>
      </c>
      <c r="G486" s="18">
        <v>-2396.317854298045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31</v>
      </c>
      <c r="C487">
        <v>112.50000000000003</v>
      </c>
      <c r="D487">
        <v>10</v>
      </c>
      <c r="E487" s="18">
        <v>1988.6444526660327</v>
      </c>
      <c r="F487" s="18">
        <v>3106.5914674201936</v>
      </c>
      <c r="G487" s="18">
        <v>-2176.4777247349257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31</v>
      </c>
      <c r="C488">
        <v>112.50000000000003</v>
      </c>
      <c r="D488">
        <v>11</v>
      </c>
      <c r="E488" s="18">
        <v>740.7199496883746</v>
      </c>
      <c r="F488" s="18">
        <v>2622.592887282201</v>
      </c>
      <c r="G488" s="18">
        <v>-1931.0189766734754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31</v>
      </c>
      <c r="C489">
        <v>112.50000000000003</v>
      </c>
      <c r="D489">
        <v>12</v>
      </c>
      <c r="E489" s="18">
        <v>-1459.5891334705104</v>
      </c>
      <c r="F489" s="18">
        <v>1685.9605431913335</v>
      </c>
      <c r="G489" s="18">
        <v>-1382.224910182713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31</v>
      </c>
      <c r="C490">
        <v>112.50000000000003</v>
      </c>
      <c r="D490">
        <v>13</v>
      </c>
      <c r="E490" s="18">
        <v>-2630.151475016186</v>
      </c>
      <c r="F490" s="18">
        <v>1139.073781616524</v>
      </c>
      <c r="G490" s="18">
        <v>-1003.5065037734458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7" x14ac:dyDescent="0.25">
      <c r="B491">
        <v>31</v>
      </c>
      <c r="C491">
        <v>112.50000000000003</v>
      </c>
      <c r="D491">
        <v>14</v>
      </c>
      <c r="E491" s="18">
        <v>-4325.435467284807</v>
      </c>
      <c r="F491" s="18">
        <v>322.78377363677714</v>
      </c>
      <c r="G491" s="18">
        <v>-287.99318423696167</v>
      </c>
    </row>
    <row r="493" spans="2:14" x14ac:dyDescent="0.25">
      <c r="B493">
        <v>32</v>
      </c>
      <c r="C493">
        <v>116.24999999999994</v>
      </c>
      <c r="D493">
        <v>1</v>
      </c>
      <c r="E493" s="18">
        <v>16744.100793970072</v>
      </c>
      <c r="F493" s="18">
        <v>2201.879485270093</v>
      </c>
      <c r="G493" s="18">
        <v>-1696.145521682958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32</v>
      </c>
      <c r="C494">
        <v>116.24999999999994</v>
      </c>
      <c r="D494">
        <v>2</v>
      </c>
      <c r="E494" s="18">
        <v>13912.338945812031</v>
      </c>
      <c r="F494" s="18">
        <v>3102.3309472937203</v>
      </c>
      <c r="G494" s="18">
        <v>-1793.758371051067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32</v>
      </c>
      <c r="C495">
        <v>116.24999999999994</v>
      </c>
      <c r="D495">
        <v>3</v>
      </c>
      <c r="E495" s="18">
        <v>11929.779695966787</v>
      </c>
      <c r="F495" s="18">
        <v>3494.170173229603</v>
      </c>
      <c r="G495" s="18">
        <v>-1895.4052039953333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32</v>
      </c>
      <c r="C496">
        <v>116.24999999999994</v>
      </c>
      <c r="D496">
        <v>4</v>
      </c>
      <c r="E496" s="18">
        <v>10299.958063161874</v>
      </c>
      <c r="F496" s="18">
        <v>3692.786323178867</v>
      </c>
      <c r="G496" s="18">
        <v>-1980.7029489475776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14" x14ac:dyDescent="0.25">
      <c r="B497">
        <v>32</v>
      </c>
      <c r="C497">
        <v>116.24999999999994</v>
      </c>
      <c r="D497">
        <v>5</v>
      </c>
      <c r="E497" s="18">
        <v>8868.934892812234</v>
      </c>
      <c r="F497" s="18">
        <v>3777.2764500360513</v>
      </c>
      <c r="G497" s="18">
        <v>-2069.181341110365</v>
      </c>
      <c r="H497" s="12">
        <f>E498</f>
      </c>
      <c r="I497" s="12">
        <f>F498</f>
      </c>
      <c r="J497" s="12">
        <f>G498</f>
      </c>
      <c r="K497">
        <f>IF(AND(Pu&gt;=MIN(E497,H497),Pu&lt;=MAX(E497,H497),E497&lt;&gt;H497),1,0)</f>
      </c>
      <c r="L497">
        <f>IF(K497=1,(Pu-E497)/(H497-E497),"")</f>
      </c>
      <c r="M497" s="12">
        <f>IF(K497=1,F497+L497*(I497-F497),"")</f>
      </c>
      <c r="N497" s="12">
        <f>IF(K497=1,G497+L497*(J497-G497),"")</f>
      </c>
    </row>
    <row r="498" spans="2:14" x14ac:dyDescent="0.25">
      <c r="B498">
        <v>32</v>
      </c>
      <c r="C498">
        <v>116.24999999999994</v>
      </c>
      <c r="D498">
        <v>6</v>
      </c>
      <c r="E498" s="18">
        <v>7371.238635732029</v>
      </c>
      <c r="F498" s="18">
        <v>4081.7244011154103</v>
      </c>
      <c r="G498" s="18">
        <v>-2320.912706667912</v>
      </c>
      <c r="H498" s="12">
        <f>E499</f>
      </c>
      <c r="I498" s="12">
        <f>F499</f>
      </c>
      <c r="J498" s="12">
        <f>G499</f>
      </c>
      <c r="K498">
        <f>IF(AND(Pu&gt;=MIN(E498,H498),Pu&lt;=MAX(E498,H498),E498&lt;&gt;H498),1,0)</f>
      </c>
      <c r="L498">
        <f>IF(K498=1,(Pu-E498)/(H498-E498),"")</f>
      </c>
      <c r="M498" s="12">
        <f>IF(K498=1,F498+L498*(I498-F498),"")</f>
      </c>
      <c r="N498" s="12">
        <f>IF(K498=1,G498+L498*(J498-G498),"")</f>
      </c>
    </row>
    <row r="499" spans="2:14" x14ac:dyDescent="0.25">
      <c r="B499">
        <v>32</v>
      </c>
      <c r="C499">
        <v>116.24999999999994</v>
      </c>
      <c r="D499">
        <v>7</v>
      </c>
      <c r="E499" s="18">
        <v>6015.224838528372</v>
      </c>
      <c r="F499" s="18">
        <v>4052.642210645826</v>
      </c>
      <c r="G499" s="18">
        <v>-2579.02733196553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32</v>
      </c>
      <c r="C500">
        <v>116.24999999999994</v>
      </c>
      <c r="D500">
        <v>8</v>
      </c>
      <c r="E500" s="18">
        <v>4814.875232835778</v>
      </c>
      <c r="F500" s="18">
        <v>3900.655714254087</v>
      </c>
      <c r="G500" s="18">
        <v>-2789.0129639545526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32</v>
      </c>
      <c r="C501">
        <v>116.24999999999994</v>
      </c>
      <c r="D501">
        <v>9</v>
      </c>
      <c r="E501" s="18">
        <v>3503.3921746783512</v>
      </c>
      <c r="F501" s="18">
        <v>3496.6135351068306</v>
      </c>
      <c r="G501" s="18">
        <v>-2685.2975128827657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32</v>
      </c>
      <c r="C502">
        <v>116.24999999999994</v>
      </c>
      <c r="D502">
        <v>10</v>
      </c>
      <c r="E502" s="18">
        <v>1774.7340375181675</v>
      </c>
      <c r="F502" s="18">
        <v>2915.1712602236234</v>
      </c>
      <c r="G502" s="18">
        <v>-2357.9387656203285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32</v>
      </c>
      <c r="C503">
        <v>116.24999999999994</v>
      </c>
      <c r="D503">
        <v>11</v>
      </c>
      <c r="E503" s="18">
        <v>554.5550593624529</v>
      </c>
      <c r="F503" s="18">
        <v>2473.504037339681</v>
      </c>
      <c r="G503" s="18">
        <v>-2063.122282156465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32</v>
      </c>
      <c r="C504">
        <v>116.24999999999994</v>
      </c>
      <c r="D504">
        <v>12</v>
      </c>
      <c r="E504" s="18">
        <v>-1522.2621864552661</v>
      </c>
      <c r="F504" s="18">
        <v>1605.7875193960751</v>
      </c>
      <c r="G504" s="18">
        <v>-1485.1897222643934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32</v>
      </c>
      <c r="C505">
        <v>116.24999999999994</v>
      </c>
      <c r="D505">
        <v>13</v>
      </c>
      <c r="E505" s="18">
        <v>-2675.1561546053413</v>
      </c>
      <c r="F505" s="18">
        <v>1090.8576657339916</v>
      </c>
      <c r="G505" s="18">
        <v>-1057.846501715213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7" x14ac:dyDescent="0.25">
      <c r="B506">
        <v>32</v>
      </c>
      <c r="C506">
        <v>116.24999999999994</v>
      </c>
      <c r="D506">
        <v>14</v>
      </c>
      <c r="E506" s="18">
        <v>-4318.740988835908</v>
      </c>
      <c r="F506" s="18">
        <v>322.15725694336425</v>
      </c>
      <c r="G506" s="18">
        <v>-302.3432411801939</v>
      </c>
    </row>
    <row r="508" spans="2:14" x14ac:dyDescent="0.25">
      <c r="B508">
        <v>33</v>
      </c>
      <c r="C508">
        <v>119.99999999999997</v>
      </c>
      <c r="D508">
        <v>1</v>
      </c>
      <c r="E508" s="18">
        <v>16822.91130402749</v>
      </c>
      <c r="F508" s="18">
        <v>2091.077256537301</v>
      </c>
      <c r="G508" s="18">
        <v>-1846.312137649973</v>
      </c>
      <c r="H508" s="12">
        <f>E509</f>
      </c>
      <c r="I508" s="12">
        <f>F509</f>
      </c>
      <c r="J508" s="12">
        <f>G509</f>
      </c>
      <c r="K508">
        <f>IF(AND(Pu&gt;=MIN(E508,H508),Pu&lt;=MAX(E508,H508),E508&lt;&gt;H508),1,0)</f>
      </c>
      <c r="L508">
        <f>IF(K508=1,(Pu-E508)/(H508-E508),"")</f>
      </c>
      <c r="M508" s="12">
        <f>IF(K508=1,F508+L508*(I508-F508),"")</f>
      </c>
      <c r="N508" s="12">
        <f>IF(K508=1,G508+L508*(J508-G508),"")</f>
      </c>
    </row>
    <row r="509" spans="2:14" x14ac:dyDescent="0.25">
      <c r="B509">
        <v>33</v>
      </c>
      <c r="C509">
        <v>119.99999999999997</v>
      </c>
      <c r="D509">
        <v>2</v>
      </c>
      <c r="E509" s="18">
        <v>14070.917898113932</v>
      </c>
      <c r="F509" s="18">
        <v>2928.0348018955306</v>
      </c>
      <c r="G509" s="18">
        <v>-2047.8332989882974</v>
      </c>
      <c r="H509" s="12">
        <f>E510</f>
      </c>
      <c r="I509" s="12">
        <f>F510</f>
      </c>
      <c r="J509" s="12">
        <f>G510</f>
      </c>
      <c r="K509">
        <f>IF(AND(Pu&gt;=MIN(E509,H509),Pu&lt;=MAX(E509,H509),E509&lt;&gt;H509),1,0)</f>
      </c>
      <c r="L509">
        <f>IF(K509=1,(Pu-E509)/(H509-E509),"")</f>
      </c>
      <c r="M509" s="12">
        <f>IF(K509=1,F509+L509*(I509-F509),"")</f>
      </c>
      <c r="N509" s="12">
        <f>IF(K509=1,G509+L509*(J509-G509),"")</f>
      </c>
    </row>
    <row r="510" spans="2:14" x14ac:dyDescent="0.25">
      <c r="B510">
        <v>33</v>
      </c>
      <c r="C510">
        <v>119.99999999999997</v>
      </c>
      <c r="D510">
        <v>3</v>
      </c>
      <c r="E510" s="18">
        <v>11935.566040529275</v>
      </c>
      <c r="F510" s="18">
        <v>3346.4962168695947</v>
      </c>
      <c r="G510" s="18">
        <v>-2169.907487776095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33</v>
      </c>
      <c r="C511">
        <v>119.99999999999997</v>
      </c>
      <c r="D511">
        <v>4</v>
      </c>
      <c r="E511" s="18">
        <v>10256.541858725835</v>
      </c>
      <c r="F511" s="18">
        <v>3525.165508161799</v>
      </c>
      <c r="G511" s="18">
        <v>-2285.878670822101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33</v>
      </c>
      <c r="C512">
        <v>119.99999999999997</v>
      </c>
      <c r="D512">
        <v>5</v>
      </c>
      <c r="E512" s="18">
        <v>8792.157526062832</v>
      </c>
      <c r="F512" s="18">
        <v>3613.0310474925145</v>
      </c>
      <c r="G512" s="18">
        <v>-2365.2959646508216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33</v>
      </c>
      <c r="C513">
        <v>119.99999999999997</v>
      </c>
      <c r="D513">
        <v>6</v>
      </c>
      <c r="E513" s="18">
        <v>7180.825741674879</v>
      </c>
      <c r="F513" s="18">
        <v>3862.7924438875853</v>
      </c>
      <c r="G513" s="18">
        <v>-2652.807421861852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33</v>
      </c>
      <c r="C514">
        <v>119.99999999999997</v>
      </c>
      <c r="D514">
        <v>7</v>
      </c>
      <c r="E514" s="18">
        <v>5652.587608389081</v>
      </c>
      <c r="F514" s="18">
        <v>3777.794158566774</v>
      </c>
      <c r="G514" s="18">
        <v>-2915.99418300474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33</v>
      </c>
      <c r="C515">
        <v>119.99999999999997</v>
      </c>
      <c r="D515">
        <v>8</v>
      </c>
      <c r="E515" s="18">
        <v>4514.10107220696</v>
      </c>
      <c r="F515" s="18">
        <v>3636.5992311156742</v>
      </c>
      <c r="G515" s="18">
        <v>-3075.5587008274288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33</v>
      </c>
      <c r="C516">
        <v>119.99999999999997</v>
      </c>
      <c r="D516">
        <v>9</v>
      </c>
      <c r="E516" s="18">
        <v>3331.7857653191327</v>
      </c>
      <c r="F516" s="18">
        <v>3288.9994358440285</v>
      </c>
      <c r="G516" s="18">
        <v>-2907.6624407574695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14" x14ac:dyDescent="0.25">
      <c r="B517">
        <v>33</v>
      </c>
      <c r="C517">
        <v>119.99999999999997</v>
      </c>
      <c r="D517">
        <v>10</v>
      </c>
      <c r="E517" s="18">
        <v>1637.5892091143164</v>
      </c>
      <c r="F517" s="18">
        <v>2758.961194219572</v>
      </c>
      <c r="G517" s="18">
        <v>-2523.682742669909</v>
      </c>
      <c r="H517" s="12">
        <f>E518</f>
      </c>
      <c r="I517" s="12">
        <f>F518</f>
      </c>
      <c r="J517" s="12">
        <f>G518</f>
      </c>
      <c r="K517">
        <f>IF(AND(Pu&gt;=MIN(E517,H517),Pu&lt;=MAX(E517,H517),E517&lt;&gt;H517),1,0)</f>
      </c>
      <c r="L517">
        <f>IF(K517=1,(Pu-E517)/(H517-E517),"")</f>
      </c>
      <c r="M517" s="12">
        <f>IF(K517=1,F517+L517*(I517-F517),"")</f>
      </c>
      <c r="N517" s="12">
        <f>IF(K517=1,G517+L517*(J517-G517),"")</f>
      </c>
    </row>
    <row r="518" spans="2:14" x14ac:dyDescent="0.25">
      <c r="B518">
        <v>33</v>
      </c>
      <c r="C518">
        <v>119.99999999999997</v>
      </c>
      <c r="D518">
        <v>11</v>
      </c>
      <c r="E518" s="18">
        <v>454.5145945618369</v>
      </c>
      <c r="F518" s="18">
        <v>2337.6940815534126</v>
      </c>
      <c r="G518" s="18">
        <v>-2221.031636311089</v>
      </c>
      <c r="H518" s="12">
        <f>E519</f>
      </c>
      <c r="I518" s="12">
        <f>F519</f>
      </c>
      <c r="J518" s="12">
        <f>G519</f>
      </c>
      <c r="K518">
        <f>IF(AND(Pu&gt;=MIN(E518,H518),Pu&lt;=MAX(E518,H518),E518&lt;&gt;H518),1,0)</f>
      </c>
      <c r="L518">
        <f>IF(K518=1,(Pu-E518)/(H518-E518),"")</f>
      </c>
      <c r="M518" s="12">
        <f>IF(K518=1,F518+L518*(I518-F518),"")</f>
      </c>
      <c r="N518" s="12">
        <f>IF(K518=1,G518+L518*(J518-G518),"")</f>
      </c>
    </row>
    <row r="519" spans="2:14" x14ac:dyDescent="0.25">
      <c r="B519">
        <v>33</v>
      </c>
      <c r="C519">
        <v>119.99999999999997</v>
      </c>
      <c r="D519">
        <v>12</v>
      </c>
      <c r="E519" s="18">
        <v>-1552.0973922406886</v>
      </c>
      <c r="F519" s="18">
        <v>1541.74004355525</v>
      </c>
      <c r="G519" s="18">
        <v>-1576.7650024787317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33</v>
      </c>
      <c r="C520">
        <v>119.99999999999997</v>
      </c>
      <c r="D520">
        <v>13</v>
      </c>
      <c r="E520" s="18">
        <v>-2685.930774914731</v>
      </c>
      <c r="F520" s="18">
        <v>1059.286716705791</v>
      </c>
      <c r="G520" s="18">
        <v>-1117.6191978244196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7" x14ac:dyDescent="0.25">
      <c r="B521">
        <v>33</v>
      </c>
      <c r="C521">
        <v>119.99999999999997</v>
      </c>
      <c r="D521">
        <v>14</v>
      </c>
      <c r="E521" s="18">
        <v>-4292.7116678587445</v>
      </c>
      <c r="F521" s="18">
        <v>329.7583087806502</v>
      </c>
      <c r="G521" s="18">
        <v>-328.5824510703781</v>
      </c>
    </row>
    <row r="523" spans="2:14" x14ac:dyDescent="0.25">
      <c r="B523">
        <v>34</v>
      </c>
      <c r="C523">
        <v>127.5</v>
      </c>
      <c r="D523">
        <v>1</v>
      </c>
      <c r="E523" s="18">
        <v>16842.677112109195</v>
      </c>
      <c r="F523" s="18">
        <v>1894.3681078044701</v>
      </c>
      <c r="G523" s="18">
        <v>-2132.32326811894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34</v>
      </c>
      <c r="C524">
        <v>127.5</v>
      </c>
      <c r="D524">
        <v>2</v>
      </c>
      <c r="E524" s="18">
        <v>14299.918243022534</v>
      </c>
      <c r="F524" s="18">
        <v>2541.9033393331692</v>
      </c>
      <c r="G524" s="18">
        <v>-2548.802237761253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34</v>
      </c>
      <c r="C525">
        <v>127.5</v>
      </c>
      <c r="D525">
        <v>3</v>
      </c>
      <c r="E525" s="18">
        <v>11924.520528232559</v>
      </c>
      <c r="F525" s="18">
        <v>2987.593985977993</v>
      </c>
      <c r="G525" s="18">
        <v>-2714.6089352287554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34</v>
      </c>
      <c r="C526">
        <v>127.5</v>
      </c>
      <c r="D526">
        <v>4</v>
      </c>
      <c r="E526" s="18">
        <v>10166.988759695369</v>
      </c>
      <c r="F526" s="18">
        <v>3164.3227615278715</v>
      </c>
      <c r="G526" s="18">
        <v>-2839.3699828540634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34</v>
      </c>
      <c r="C527">
        <v>127.5</v>
      </c>
      <c r="D527">
        <v>5</v>
      </c>
      <c r="E527" s="18">
        <v>8651.512731717816</v>
      </c>
      <c r="F527" s="18">
        <v>3224.9287974791773</v>
      </c>
      <c r="G527" s="18">
        <v>-2941.6681424533144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34</v>
      </c>
      <c r="C528">
        <v>127.5</v>
      </c>
      <c r="D528">
        <v>6</v>
      </c>
      <c r="E528" s="18">
        <v>6762.5517742051425</v>
      </c>
      <c r="F528" s="18">
        <v>3332.3364099000214</v>
      </c>
      <c r="G528" s="18">
        <v>-3298.960155902322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34</v>
      </c>
      <c r="C529">
        <v>127.5</v>
      </c>
      <c r="D529">
        <v>7</v>
      </c>
      <c r="E529" s="18">
        <v>5249.535709554336</v>
      </c>
      <c r="F529" s="18">
        <v>3276.040333705804</v>
      </c>
      <c r="G529" s="18">
        <v>-3464.3160325741587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34</v>
      </c>
      <c r="C530">
        <v>127.5</v>
      </c>
      <c r="D530">
        <v>8</v>
      </c>
      <c r="E530" s="18">
        <v>4222.55919839939</v>
      </c>
      <c r="F530" s="18">
        <v>3218.5347080094293</v>
      </c>
      <c r="G530" s="18">
        <v>-3539.8630594330984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34</v>
      </c>
      <c r="C531">
        <v>127.5</v>
      </c>
      <c r="D531">
        <v>9</v>
      </c>
      <c r="E531" s="18">
        <v>3156.6023179219587</v>
      </c>
      <c r="F531" s="18">
        <v>2931.7185167318153</v>
      </c>
      <c r="G531" s="18">
        <v>-3299.559311664397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34</v>
      </c>
      <c r="C532">
        <v>127.5</v>
      </c>
      <c r="D532">
        <v>10</v>
      </c>
      <c r="E532" s="18">
        <v>1566.1174287565239</v>
      </c>
      <c r="F532" s="18">
        <v>2491.968688063844</v>
      </c>
      <c r="G532" s="18">
        <v>-2869.7473509416423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34</v>
      </c>
      <c r="C533">
        <v>127.5</v>
      </c>
      <c r="D533">
        <v>11</v>
      </c>
      <c r="E533" s="18">
        <v>425.4091359643744</v>
      </c>
      <c r="F533" s="18">
        <v>2141.144300536419</v>
      </c>
      <c r="G533" s="18">
        <v>-2518.7047160213197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34</v>
      </c>
      <c r="C534">
        <v>127.5</v>
      </c>
      <c r="D534">
        <v>12</v>
      </c>
      <c r="E534" s="18">
        <v>-1431.5304623280297</v>
      </c>
      <c r="F534" s="18">
        <v>1490.7455114746247</v>
      </c>
      <c r="G534" s="18">
        <v>-1788.1377109710843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34</v>
      </c>
      <c r="C535">
        <v>127.5</v>
      </c>
      <c r="D535">
        <v>13</v>
      </c>
      <c r="E535" s="18">
        <v>-2545.970734871878</v>
      </c>
      <c r="F535" s="18">
        <v>1061.2908909024163</v>
      </c>
      <c r="G535" s="18">
        <v>-1270.6468792602864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7" x14ac:dyDescent="0.25">
      <c r="B536">
        <v>34</v>
      </c>
      <c r="C536">
        <v>127.5</v>
      </c>
      <c r="D536">
        <v>14</v>
      </c>
      <c r="E536" s="18">
        <v>-4128.017111968446</v>
      </c>
      <c r="F536" s="18">
        <v>380.33527219468647</v>
      </c>
      <c r="G536" s="18">
        <v>-454.4653524960599</v>
      </c>
    </row>
    <row r="538" spans="2:14" x14ac:dyDescent="0.25">
      <c r="B538">
        <v>35</v>
      </c>
      <c r="C538">
        <v>134.99999999999994</v>
      </c>
      <c r="D538">
        <v>1</v>
      </c>
      <c r="E538" s="18">
        <v>17061.13540817806</v>
      </c>
      <c r="F538" s="18">
        <v>1637.0202295416116</v>
      </c>
      <c r="G538" s="18">
        <v>-2303.7080788774206</v>
      </c>
      <c r="H538" s="12">
        <f>E539</f>
      </c>
      <c r="I538" s="12">
        <f>F539</f>
      </c>
      <c r="J538" s="12">
        <f>G539</f>
      </c>
      <c r="K538">
        <f>IF(AND(Pu&gt;=MIN(E538,H538),Pu&lt;=MAX(E538,H538),E538&lt;&gt;H538),1,0)</f>
      </c>
      <c r="L538">
        <f>IF(K538=1,(Pu-E538)/(H538-E538),"")</f>
      </c>
      <c r="M538" s="12">
        <f>IF(K538=1,F538+L538*(I538-F538),"")</f>
      </c>
      <c r="N538" s="12">
        <f>IF(K538=1,G538+L538*(J538-G538),"")</f>
      </c>
    </row>
    <row r="539" spans="2:14" x14ac:dyDescent="0.25">
      <c r="B539">
        <v>35</v>
      </c>
      <c r="C539">
        <v>134.99999999999994</v>
      </c>
      <c r="D539">
        <v>2</v>
      </c>
      <c r="E539" s="18">
        <v>14734.149067661085</v>
      </c>
      <c r="F539" s="18">
        <v>2085.702674064279</v>
      </c>
      <c r="G539" s="18">
        <v>-2914.3994503629074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35</v>
      </c>
      <c r="C540">
        <v>134.99999999999994</v>
      </c>
      <c r="D540">
        <v>3</v>
      </c>
      <c r="E540" s="18">
        <v>12386.265615091015</v>
      </c>
      <c r="F540" s="18">
        <v>2510.299703562494</v>
      </c>
      <c r="G540" s="18">
        <v>-3176.061813582954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35</v>
      </c>
      <c r="C541">
        <v>134.99999999999994</v>
      </c>
      <c r="D541">
        <v>4</v>
      </c>
      <c r="E541" s="18">
        <v>10459.652677413576</v>
      </c>
      <c r="F541" s="18">
        <v>2727.041082510712</v>
      </c>
      <c r="G541" s="18">
        <v>-3314.685229101067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35</v>
      </c>
      <c r="C542">
        <v>134.99999999999994</v>
      </c>
      <c r="D542">
        <v>5</v>
      </c>
      <c r="E542" s="18">
        <v>8791.494961409317</v>
      </c>
      <c r="F542" s="18">
        <v>2768.318318215705</v>
      </c>
      <c r="G542" s="18">
        <v>-3447.0487624537063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14" x14ac:dyDescent="0.25">
      <c r="B543">
        <v>35</v>
      </c>
      <c r="C543">
        <v>134.99999999999994</v>
      </c>
      <c r="D543">
        <v>6</v>
      </c>
      <c r="E543" s="18">
        <v>6850.467355868668</v>
      </c>
      <c r="F543" s="18">
        <v>2839.4660906273693</v>
      </c>
      <c r="G543" s="18">
        <v>-3858.558625137916</v>
      </c>
      <c r="H543" s="12">
        <f>E544</f>
      </c>
      <c r="I543" s="12">
        <f>F544</f>
      </c>
      <c r="J543" s="12">
        <f>G544</f>
      </c>
      <c r="K543">
        <f>IF(AND(Pu&gt;=MIN(E543,H543),Pu&lt;=MAX(E543,H543),E543&lt;&gt;H543),1,0)</f>
      </c>
      <c r="L543">
        <f>IF(K543=1,(Pu-E543)/(H543-E543),"")</f>
      </c>
      <c r="M543" s="12">
        <f>IF(K543=1,F543+L543*(I543-F543),"")</f>
      </c>
      <c r="N543" s="12">
        <f>IF(K543=1,G543+L543*(J543-G543),"")</f>
      </c>
    </row>
    <row r="544" spans="2:14" x14ac:dyDescent="0.25">
      <c r="B544">
        <v>35</v>
      </c>
      <c r="C544">
        <v>134.99999999999994</v>
      </c>
      <c r="D544">
        <v>7</v>
      </c>
      <c r="E544" s="18">
        <v>5443.491859239999</v>
      </c>
      <c r="F544" s="18">
        <v>2861.287004212469</v>
      </c>
      <c r="G544" s="18">
        <v>-4004.837653857728</v>
      </c>
      <c r="H544" s="12">
        <f>E545</f>
      </c>
      <c r="I544" s="12">
        <f>F545</f>
      </c>
      <c r="J544" s="12">
        <f>G545</f>
      </c>
      <c r="K544">
        <f>IF(AND(Pu&gt;=MIN(E544,H544),Pu&lt;=MAX(E544,H544),E544&lt;&gt;H544),1,0)</f>
      </c>
      <c r="L544">
        <f>IF(K544=1,(Pu-E544)/(H544-E544),"")</f>
      </c>
      <c r="M544" s="12">
        <f>IF(K544=1,F544+L544*(I544-F544),"")</f>
      </c>
      <c r="N544" s="12">
        <f>IF(K544=1,G544+L544*(J544-G544),"")</f>
      </c>
    </row>
    <row r="545" spans="2:14" x14ac:dyDescent="0.25">
      <c r="B545">
        <v>35</v>
      </c>
      <c r="C545">
        <v>134.99999999999994</v>
      </c>
      <c r="D545">
        <v>8</v>
      </c>
      <c r="E545" s="18">
        <v>4456.3248768306075</v>
      </c>
      <c r="F545" s="18">
        <v>2880.4086417883004</v>
      </c>
      <c r="G545" s="18">
        <v>-4029.90623046836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35</v>
      </c>
      <c r="C546">
        <v>134.99999999999994</v>
      </c>
      <c r="D546">
        <v>9</v>
      </c>
      <c r="E546" s="18">
        <v>3393.471370356631</v>
      </c>
      <c r="F546" s="18">
        <v>2676.519962461804</v>
      </c>
      <c r="G546" s="18">
        <v>-3745.6293819413727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35</v>
      </c>
      <c r="C547">
        <v>134.99999999999994</v>
      </c>
      <c r="D547">
        <v>10</v>
      </c>
      <c r="E547" s="18">
        <v>1849.6884914178615</v>
      </c>
      <c r="F547" s="18">
        <v>2288.1704738120307</v>
      </c>
      <c r="G547" s="18">
        <v>-3305.6278475200975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35</v>
      </c>
      <c r="C548">
        <v>134.99999999999994</v>
      </c>
      <c r="D548">
        <v>11</v>
      </c>
      <c r="E548" s="18">
        <v>732.5153291585751</v>
      </c>
      <c r="F548" s="18">
        <v>2013.3938192672576</v>
      </c>
      <c r="G548" s="18">
        <v>-2890.1677520461026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35</v>
      </c>
      <c r="C549">
        <v>134.99999999999994</v>
      </c>
      <c r="D549">
        <v>12</v>
      </c>
      <c r="E549" s="18">
        <v>-1050.3888189711104</v>
      </c>
      <c r="F549" s="18">
        <v>1501.002020559883</v>
      </c>
      <c r="G549" s="18">
        <v>-2121.2011537958633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35</v>
      </c>
      <c r="C550">
        <v>134.99999999999994</v>
      </c>
      <c r="D550">
        <v>13</v>
      </c>
      <c r="E550" s="18">
        <v>-2145.7278507444903</v>
      </c>
      <c r="F550" s="18">
        <v>1129.38004469789</v>
      </c>
      <c r="G550" s="18">
        <v>-1571.4430724252618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7" x14ac:dyDescent="0.25">
      <c r="B551">
        <v>35</v>
      </c>
      <c r="C551">
        <v>134.99999999999994</v>
      </c>
      <c r="D551">
        <v>14</v>
      </c>
      <c r="E551" s="18">
        <v>-3810.9518268016063</v>
      </c>
      <c r="F551" s="18">
        <v>482.3005375926701</v>
      </c>
      <c r="G551" s="18">
        <v>-675.2617340453231</v>
      </c>
    </row>
    <row r="553" spans="2:14" x14ac:dyDescent="0.25">
      <c r="B553">
        <v>36</v>
      </c>
      <c r="C553">
        <v>142.5</v>
      </c>
      <c r="D553">
        <v>1</v>
      </c>
      <c r="E553" s="18">
        <v>17108.712410985077</v>
      </c>
      <c r="F553" s="18">
        <v>1389.6699058235297</v>
      </c>
      <c r="G553" s="18">
        <v>-2484.035664288285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36</v>
      </c>
      <c r="C554">
        <v>142.5</v>
      </c>
      <c r="D554">
        <v>2</v>
      </c>
      <c r="E554" s="18">
        <v>14923.42171423658</v>
      </c>
      <c r="F554" s="18">
        <v>1692.5837570022006</v>
      </c>
      <c r="G554" s="18">
        <v>-3187.2495057572646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36</v>
      </c>
      <c r="C555">
        <v>142.5</v>
      </c>
      <c r="D555">
        <v>3</v>
      </c>
      <c r="E555" s="18">
        <v>12739.596416437675</v>
      </c>
      <c r="F555" s="18">
        <v>2020.2904486827929</v>
      </c>
      <c r="G555" s="18">
        <v>-3536.3202856234207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36</v>
      </c>
      <c r="C556">
        <v>142.5</v>
      </c>
      <c r="D556">
        <v>4</v>
      </c>
      <c r="E556" s="18">
        <v>10562.039066695268</v>
      </c>
      <c r="F556" s="18">
        <v>2230.183834195959</v>
      </c>
      <c r="G556" s="18">
        <v>-3725.300571645058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36</v>
      </c>
      <c r="C557">
        <v>142.5</v>
      </c>
      <c r="D557">
        <v>5</v>
      </c>
      <c r="E557" s="18">
        <v>8773.07022351979</v>
      </c>
      <c r="F557" s="18">
        <v>2278.433139024345</v>
      </c>
      <c r="G557" s="18">
        <v>-3851.669575461793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14" x14ac:dyDescent="0.25">
      <c r="B558">
        <v>36</v>
      </c>
      <c r="C558">
        <v>142.5</v>
      </c>
      <c r="D558">
        <v>6</v>
      </c>
      <c r="E558" s="18">
        <v>6697.512934626374</v>
      </c>
      <c r="F558" s="18">
        <v>2330.9087338249046</v>
      </c>
      <c r="G558" s="18">
        <v>-4262.382169382589</v>
      </c>
      <c r="H558" s="12">
        <f>E559</f>
      </c>
      <c r="I558" s="12">
        <f>F559</f>
      </c>
      <c r="J558" s="12">
        <f>G559</f>
      </c>
      <c r="K558">
        <f>IF(AND(Pu&gt;=MIN(E558,H558),Pu&lt;=MAX(E558,H558),E558&lt;&gt;H558),1,0)</f>
      </c>
      <c r="L558">
        <f>IF(K558=1,(Pu-E558)/(H558-E558),"")</f>
      </c>
      <c r="M558" s="12">
        <f>IF(K558=1,F558+L558*(I558-F558),"")</f>
      </c>
      <c r="N558" s="12">
        <f>IF(K558=1,G558+L558*(J558-G558),"")</f>
      </c>
    </row>
    <row r="559" spans="2:14" x14ac:dyDescent="0.25">
      <c r="B559">
        <v>36</v>
      </c>
      <c r="C559">
        <v>142.5</v>
      </c>
      <c r="D559">
        <v>7</v>
      </c>
      <c r="E559" s="18">
        <v>5442.03234199321</v>
      </c>
      <c r="F559" s="18">
        <v>2350.887483875637</v>
      </c>
      <c r="G559" s="18">
        <v>-4421.992730133067</v>
      </c>
      <c r="H559" s="12">
        <f>E560</f>
      </c>
      <c r="I559" s="12">
        <f>F560</f>
      </c>
      <c r="J559" s="12">
        <f>G560</f>
      </c>
      <c r="K559">
        <f>IF(AND(Pu&gt;=MIN(E559,H559),Pu&lt;=MAX(E559,H559),E559&lt;&gt;H559),1,0)</f>
      </c>
      <c r="L559">
        <f>IF(K559=1,(Pu-E559)/(H559-E559),"")</f>
      </c>
      <c r="M559" s="12">
        <f>IF(K559=1,F559+L559*(I559-F559),"")</f>
      </c>
      <c r="N559" s="12">
        <f>IF(K559=1,G559+L559*(J559-G559),"")</f>
      </c>
    </row>
    <row r="560" spans="2:14" x14ac:dyDescent="0.25">
      <c r="B560">
        <v>36</v>
      </c>
      <c r="C560">
        <v>142.5</v>
      </c>
      <c r="D560">
        <v>8</v>
      </c>
      <c r="E560" s="18">
        <v>4515.240129831893</v>
      </c>
      <c r="F560" s="18">
        <v>2428.7278123153324</v>
      </c>
      <c r="G560" s="18">
        <v>-4453.186024962649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36</v>
      </c>
      <c r="C561">
        <v>142.5</v>
      </c>
      <c r="D561">
        <v>9</v>
      </c>
      <c r="E561" s="18">
        <v>3413.56155698555</v>
      </c>
      <c r="F561" s="18">
        <v>2283.4141883496864</v>
      </c>
      <c r="G561" s="18">
        <v>-4125.82719229398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36</v>
      </c>
      <c r="C562">
        <v>142.5</v>
      </c>
      <c r="D562">
        <v>10</v>
      </c>
      <c r="E562" s="18">
        <v>1843.7864076233059</v>
      </c>
      <c r="F562" s="18">
        <v>2004.5108793603395</v>
      </c>
      <c r="G562" s="18">
        <v>-3566.3272037865454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36</v>
      </c>
      <c r="C563">
        <v>142.5</v>
      </c>
      <c r="D563">
        <v>11</v>
      </c>
      <c r="E563" s="18">
        <v>754.827675156251</v>
      </c>
      <c r="F563" s="18">
        <v>1769.2233058163729</v>
      </c>
      <c r="G563" s="18">
        <v>-3109.806814702311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36</v>
      </c>
      <c r="C564">
        <v>142.5</v>
      </c>
      <c r="D564">
        <v>12</v>
      </c>
      <c r="E564" s="18">
        <v>-1106.4344891201174</v>
      </c>
      <c r="F564" s="18">
        <v>1337.468843230493</v>
      </c>
      <c r="G564" s="18">
        <v>-2207.1877210265384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36</v>
      </c>
      <c r="C565">
        <v>142.5</v>
      </c>
      <c r="D565">
        <v>13</v>
      </c>
      <c r="E565" s="18">
        <v>-2327.6010073568705</v>
      </c>
      <c r="F565" s="18">
        <v>976.0132893894727</v>
      </c>
      <c r="G565" s="18">
        <v>-1562.3935890089024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7" x14ac:dyDescent="0.25">
      <c r="B566">
        <v>36</v>
      </c>
      <c r="C566">
        <v>142.5</v>
      </c>
      <c r="D566">
        <v>14</v>
      </c>
      <c r="E566" s="18">
        <v>-4016.73862868482</v>
      </c>
      <c r="F566" s="18">
        <v>361.7580072952769</v>
      </c>
      <c r="G566" s="18">
        <v>-591.8186988631564</v>
      </c>
    </row>
    <row r="568" spans="2:14" x14ac:dyDescent="0.25">
      <c r="B568">
        <v>37</v>
      </c>
      <c r="C568">
        <v>150.00000000000003</v>
      </c>
      <c r="D568">
        <v>1</v>
      </c>
      <c r="E568" s="18">
        <v>16998.00933741025</v>
      </c>
      <c r="F568" s="18">
        <v>1133.6483233342226</v>
      </c>
      <c r="G568" s="18">
        <v>-2709.8726552965213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37</v>
      </c>
      <c r="C569">
        <v>150.00000000000003</v>
      </c>
      <c r="D569">
        <v>2</v>
      </c>
      <c r="E569" s="18">
        <v>15021.685687512983</v>
      </c>
      <c r="F569" s="18">
        <v>1322.3102911534029</v>
      </c>
      <c r="G569" s="18">
        <v>-3396.3693219095753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37</v>
      </c>
      <c r="C570">
        <v>150.00000000000003</v>
      </c>
      <c r="D570">
        <v>3</v>
      </c>
      <c r="E570" s="18">
        <v>12917.191162616706</v>
      </c>
      <c r="F570" s="18">
        <v>1568.6732710273864</v>
      </c>
      <c r="G570" s="18">
        <v>-3801.68155668044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37</v>
      </c>
      <c r="C571">
        <v>150.00000000000003</v>
      </c>
      <c r="D571">
        <v>4</v>
      </c>
      <c r="E571" s="18">
        <v>10727.01252633986</v>
      </c>
      <c r="F571" s="18">
        <v>1769.947839356138</v>
      </c>
      <c r="G571" s="18">
        <v>-4024.5058086536574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37</v>
      </c>
      <c r="C572">
        <v>150.00000000000003</v>
      </c>
      <c r="D572">
        <v>5</v>
      </c>
      <c r="E572" s="18">
        <v>8691.31874850863</v>
      </c>
      <c r="F572" s="18">
        <v>1787.0400065559838</v>
      </c>
      <c r="G572" s="18">
        <v>-4169.332745253193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37</v>
      </c>
      <c r="C573">
        <v>150.00000000000003</v>
      </c>
      <c r="D573">
        <v>6</v>
      </c>
      <c r="E573" s="18">
        <v>6664.82037514837</v>
      </c>
      <c r="F573" s="18">
        <v>1823.347741754345</v>
      </c>
      <c r="G573" s="18">
        <v>-4579.5157997130445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37</v>
      </c>
      <c r="C574">
        <v>150.00000000000003</v>
      </c>
      <c r="D574">
        <v>7</v>
      </c>
      <c r="E574" s="18">
        <v>5523.813323565008</v>
      </c>
      <c r="F574" s="18">
        <v>1876.974164526136</v>
      </c>
      <c r="G574" s="18">
        <v>-4748.332897726923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37</v>
      </c>
      <c r="C575">
        <v>150.00000000000003</v>
      </c>
      <c r="D575">
        <v>8</v>
      </c>
      <c r="E575" s="18">
        <v>4712.47390386089</v>
      </c>
      <c r="F575" s="18">
        <v>1932.0039260876265</v>
      </c>
      <c r="G575" s="18">
        <v>-4863.813696206679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37</v>
      </c>
      <c r="C576">
        <v>150.00000000000003</v>
      </c>
      <c r="D576">
        <v>9</v>
      </c>
      <c r="E576" s="18">
        <v>3655.5890284883126</v>
      </c>
      <c r="F576" s="18">
        <v>1848.0920579585452</v>
      </c>
      <c r="G576" s="18">
        <v>-4552.941779706579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37</v>
      </c>
      <c r="C577">
        <v>150.00000000000003</v>
      </c>
      <c r="D577">
        <v>10</v>
      </c>
      <c r="E577" s="18">
        <v>2045.6972224165565</v>
      </c>
      <c r="F577" s="18">
        <v>1711.849317139988</v>
      </c>
      <c r="G577" s="18">
        <v>-3907.4828363248616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14" x14ac:dyDescent="0.25">
      <c r="B578">
        <v>37</v>
      </c>
      <c r="C578">
        <v>150.00000000000003</v>
      </c>
      <c r="D578">
        <v>11</v>
      </c>
      <c r="E578" s="18">
        <v>909.6960597465938</v>
      </c>
      <c r="F578" s="18">
        <v>1537.2891152390166</v>
      </c>
      <c r="G578" s="18">
        <v>-3370.677902549651</v>
      </c>
      <c r="H578" s="12">
        <f>E579</f>
      </c>
      <c r="I578" s="12">
        <f>F579</f>
      </c>
      <c r="J578" s="12">
        <f>G579</f>
      </c>
      <c r="K578">
        <f>IF(AND(Pu&gt;=MIN(E578,H578),Pu&lt;=MAX(E578,H578),E578&lt;&gt;H578),1,0)</f>
      </c>
      <c r="L578">
        <f>IF(K578=1,(Pu-E578)/(H578-E578),"")</f>
      </c>
      <c r="M578" s="12">
        <f>IF(K578=1,F578+L578*(I578-F578),"")</f>
      </c>
      <c r="N578" s="12">
        <f>IF(K578=1,G578+L578*(J578-G578),"")</f>
      </c>
    </row>
    <row r="579" spans="2:14" x14ac:dyDescent="0.25">
      <c r="B579">
        <v>37</v>
      </c>
      <c r="C579">
        <v>150.00000000000003</v>
      </c>
      <c r="D579">
        <v>12</v>
      </c>
      <c r="E579" s="18">
        <v>-1001.6965113812604</v>
      </c>
      <c r="F579" s="18">
        <v>1175.5242872224317</v>
      </c>
      <c r="G579" s="18">
        <v>-2376.2135344926633</v>
      </c>
      <c r="H579" s="12">
        <f>E580</f>
      </c>
      <c r="I579" s="12">
        <f>F580</f>
      </c>
      <c r="J579" s="12">
        <f>G580</f>
      </c>
      <c r="K579">
        <f>IF(AND(Pu&gt;=MIN(E579,H579),Pu&lt;=MAX(E579,H579),E579&lt;&gt;H579),1,0)</f>
      </c>
      <c r="L579">
        <f>IF(K579=1,(Pu-E579)/(H579-E579),"")</f>
      </c>
      <c r="M579" s="12">
        <f>IF(K579=1,F579+L579*(I579-F579),"")</f>
      </c>
      <c r="N579" s="12">
        <f>IF(K579=1,G579+L579*(J579-G579),"")</f>
      </c>
    </row>
    <row r="580" spans="2:14" x14ac:dyDescent="0.25">
      <c r="B580">
        <v>37</v>
      </c>
      <c r="C580">
        <v>150.00000000000003</v>
      </c>
      <c r="D580">
        <v>13</v>
      </c>
      <c r="E580" s="18">
        <v>-2257.3271558709375</v>
      </c>
      <c r="F580" s="18">
        <v>876.348767785417</v>
      </c>
      <c r="G580" s="18">
        <v>-1667.259747832724</v>
      </c>
      <c r="H580" s="12">
        <f>E581</f>
      </c>
      <c r="I580" s="12">
        <f>F581</f>
      </c>
      <c r="J580" s="12">
        <f>G581</f>
      </c>
      <c r="K580">
        <f>IF(AND(Pu&gt;=MIN(E580,H580),Pu&lt;=MAX(E580,H580),E580&lt;&gt;H580),1,0)</f>
      </c>
      <c r="L580">
        <f>IF(K580=1,(Pu-E580)/(H580-E580),"")</f>
      </c>
      <c r="M580" s="12">
        <f>IF(K580=1,F580+L580*(I580-F580),"")</f>
      </c>
      <c r="N580" s="12">
        <f>IF(K580=1,G580+L580*(J580-G580),"")</f>
      </c>
    </row>
    <row r="581" spans="2:7" x14ac:dyDescent="0.25">
      <c r="B581">
        <v>37</v>
      </c>
      <c r="C581">
        <v>150.00000000000003</v>
      </c>
      <c r="D581">
        <v>14</v>
      </c>
      <c r="E581" s="18">
        <v>-4073.3630307214953</v>
      </c>
      <c r="F581" s="18">
        <v>317.1119100570367</v>
      </c>
      <c r="G581" s="18">
        <v>-570.0336548953588</v>
      </c>
    </row>
    <row r="583" spans="2:14" x14ac:dyDescent="0.25">
      <c r="B583">
        <v>38</v>
      </c>
      <c r="C583">
        <v>157.49999999999997</v>
      </c>
      <c r="D583">
        <v>1</v>
      </c>
      <c r="E583" s="18">
        <v>16802.19100954478</v>
      </c>
      <c r="F583" s="18">
        <v>865.2030510494858</v>
      </c>
      <c r="G583" s="18">
        <v>-2942.066183407718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38</v>
      </c>
      <c r="C584">
        <v>157.49999999999997</v>
      </c>
      <c r="D584">
        <v>2</v>
      </c>
      <c r="E584" s="18">
        <v>15007.29248169634</v>
      </c>
      <c r="F584" s="18">
        <v>962.5521155460331</v>
      </c>
      <c r="G584" s="18">
        <v>-3579.484973932545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38</v>
      </c>
      <c r="C585">
        <v>157.49999999999997</v>
      </c>
      <c r="D585">
        <v>3</v>
      </c>
      <c r="E585" s="18">
        <v>13075.220891441475</v>
      </c>
      <c r="F585" s="18">
        <v>1162.7810816266565</v>
      </c>
      <c r="G585" s="18">
        <v>-3982.9577831902766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38</v>
      </c>
      <c r="C586">
        <v>157.49999999999997</v>
      </c>
      <c r="D586">
        <v>4</v>
      </c>
      <c r="E586" s="18">
        <v>10833.43959895388</v>
      </c>
      <c r="F586" s="18">
        <v>1311.7332308944558</v>
      </c>
      <c r="G586" s="18">
        <v>-4247.617279107656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38</v>
      </c>
      <c r="C587">
        <v>157.49999999999997</v>
      </c>
      <c r="D587">
        <v>5</v>
      </c>
      <c r="E587" s="18">
        <v>8660.155100207085</v>
      </c>
      <c r="F587" s="18">
        <v>1343.584758104852</v>
      </c>
      <c r="G587" s="18">
        <v>-4388.265007291906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38</v>
      </c>
      <c r="C588">
        <v>157.49999999999997</v>
      </c>
      <c r="D588">
        <v>6</v>
      </c>
      <c r="E588" s="18">
        <v>6691.307545745311</v>
      </c>
      <c r="F588" s="18">
        <v>1333.6175265229508</v>
      </c>
      <c r="G588" s="18">
        <v>-4822.6370179480855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38</v>
      </c>
      <c r="C589">
        <v>157.49999999999997</v>
      </c>
      <c r="D589">
        <v>7</v>
      </c>
      <c r="E589" s="18">
        <v>5677.316190257449</v>
      </c>
      <c r="F589" s="18">
        <v>1382.9185662743066</v>
      </c>
      <c r="G589" s="18">
        <v>-5035.454405287944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38</v>
      </c>
      <c r="C590">
        <v>157.49999999999997</v>
      </c>
      <c r="D590">
        <v>8</v>
      </c>
      <c r="E590" s="18">
        <v>4891.244997979235</v>
      </c>
      <c r="F590" s="18">
        <v>1435.9711198830166</v>
      </c>
      <c r="G590" s="18">
        <v>-5198.528634661523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38</v>
      </c>
      <c r="C591">
        <v>157.49999999999997</v>
      </c>
      <c r="D591">
        <v>9</v>
      </c>
      <c r="E591" s="18">
        <v>3991.7796150169524</v>
      </c>
      <c r="F591" s="18">
        <v>1406.2039563092978</v>
      </c>
      <c r="G591" s="18">
        <v>-4918.988182740224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38</v>
      </c>
      <c r="C592">
        <v>157.49999999999997</v>
      </c>
      <c r="D592">
        <v>10</v>
      </c>
      <c r="E592" s="18">
        <v>2526.0523915179065</v>
      </c>
      <c r="F592" s="18">
        <v>1340.3330785459218</v>
      </c>
      <c r="G592" s="18">
        <v>-4345.226610139155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38</v>
      </c>
      <c r="C593">
        <v>157.49999999999997</v>
      </c>
      <c r="D593">
        <v>11</v>
      </c>
      <c r="E593" s="18">
        <v>1320.7295542762931</v>
      </c>
      <c r="F593" s="18">
        <v>1256.6016201215318</v>
      </c>
      <c r="G593" s="18">
        <v>-3775.7636563528677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38</v>
      </c>
      <c r="C594">
        <v>157.49999999999997</v>
      </c>
      <c r="D594">
        <v>12</v>
      </c>
      <c r="E594" s="18">
        <v>-718.2537779196911</v>
      </c>
      <c r="F594" s="18">
        <v>990.5468081860527</v>
      </c>
      <c r="G594" s="18">
        <v>-2658.1585911899992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38</v>
      </c>
      <c r="C595">
        <v>157.49999999999997</v>
      </c>
      <c r="D595">
        <v>13</v>
      </c>
      <c r="E595" s="18">
        <v>-2043.8499721972469</v>
      </c>
      <c r="F595" s="18">
        <v>768.3953206580595</v>
      </c>
      <c r="G595" s="18">
        <v>-1860.830974136151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7" x14ac:dyDescent="0.25">
      <c r="B596">
        <v>38</v>
      </c>
      <c r="C596">
        <v>157.49999999999997</v>
      </c>
      <c r="D596">
        <v>14</v>
      </c>
      <c r="E596" s="18">
        <v>-4033.744396808368</v>
      </c>
      <c r="F596" s="18">
        <v>292.2579811280829</v>
      </c>
      <c r="G596" s="18">
        <v>-609.0838507623964</v>
      </c>
    </row>
    <row r="598" spans="2:14" x14ac:dyDescent="0.25">
      <c r="B598">
        <v>39</v>
      </c>
      <c r="C598">
        <v>161.25</v>
      </c>
      <c r="D598">
        <v>1</v>
      </c>
      <c r="E598" s="18">
        <v>17595.35023414</v>
      </c>
      <c r="F598" s="18">
        <v>713.5694762875685</v>
      </c>
      <c r="G598" s="18">
        <v>-2620.3604149080343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39</v>
      </c>
      <c r="C599">
        <v>161.25</v>
      </c>
      <c r="D599">
        <v>2</v>
      </c>
      <c r="E599" s="18">
        <v>16717.056801764666</v>
      </c>
      <c r="F599" s="18">
        <v>723.1575758834128</v>
      </c>
      <c r="G599" s="18">
        <v>-3038.5833040015978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14" x14ac:dyDescent="0.25">
      <c r="B600">
        <v>39</v>
      </c>
      <c r="C600">
        <v>161.25</v>
      </c>
      <c r="D600">
        <v>3</v>
      </c>
      <c r="E600" s="18">
        <v>14992.086879493487</v>
      </c>
      <c r="F600" s="18">
        <v>787.1716353099504</v>
      </c>
      <c r="G600" s="18">
        <v>-3655.2085391645314</v>
      </c>
      <c r="H600" s="12">
        <f>E601</f>
      </c>
      <c r="I600" s="12">
        <f>F601</f>
      </c>
      <c r="J600" s="12">
        <f>G601</f>
      </c>
      <c r="K600">
        <f>IF(AND(Pu&gt;=MIN(E600,H600),Pu&lt;=MAX(E600,H600),E600&lt;&gt;H600),1,0)</f>
      </c>
      <c r="L600">
        <f>IF(K600=1,(Pu-E600)/(H600-E600),"")</f>
      </c>
      <c r="M600" s="12">
        <f>IF(K600=1,F600+L600*(I600-F600),"")</f>
      </c>
      <c r="N600" s="12">
        <f>IF(K600=1,G600+L600*(J600-G600),"")</f>
      </c>
    </row>
    <row r="601" spans="2:14" x14ac:dyDescent="0.25">
      <c r="B601">
        <v>39</v>
      </c>
      <c r="C601">
        <v>161.25</v>
      </c>
      <c r="D601">
        <v>4</v>
      </c>
      <c r="E601" s="18">
        <v>13139.928457218397</v>
      </c>
      <c r="F601" s="18">
        <v>969.2618977882402</v>
      </c>
      <c r="G601" s="18">
        <v>-4053.1678360255455</v>
      </c>
      <c r="H601" s="12">
        <f>E602</f>
      </c>
      <c r="I601" s="12">
        <f>F602</f>
      </c>
      <c r="J601" s="12">
        <f>G602</f>
      </c>
      <c r="K601">
        <f>IF(AND(Pu&gt;=MIN(E601,H601),Pu&lt;=MAX(E601,H601),E601&lt;&gt;H601),1,0)</f>
      </c>
      <c r="L601">
        <f>IF(K601=1,(Pu-E601)/(H601-E601),"")</f>
      </c>
      <c r="M601" s="12">
        <f>IF(K601=1,F601+L601*(I601-F601),"")</f>
      </c>
      <c r="N601" s="12">
        <f>IF(K601=1,G601+L601*(J601-G601),"")</f>
      </c>
    </row>
    <row r="602" spans="2:14" x14ac:dyDescent="0.25">
      <c r="B602">
        <v>39</v>
      </c>
      <c r="C602">
        <v>161.25</v>
      </c>
      <c r="D602">
        <v>5</v>
      </c>
      <c r="E602" s="18">
        <v>10845.78941834985</v>
      </c>
      <c r="F602" s="18">
        <v>1080.2123961883797</v>
      </c>
      <c r="G602" s="18">
        <v>-4338.905039101101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39</v>
      </c>
      <c r="C603">
        <v>161.25</v>
      </c>
      <c r="D603">
        <v>6</v>
      </c>
      <c r="E603" s="18">
        <v>8688.78989375458</v>
      </c>
      <c r="F603" s="18">
        <v>1116.7829140414344</v>
      </c>
      <c r="G603" s="18">
        <v>-4481.197285218685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39</v>
      </c>
      <c r="C604">
        <v>161.25</v>
      </c>
      <c r="D604">
        <v>7</v>
      </c>
      <c r="E604" s="18">
        <v>6700.069746421679</v>
      </c>
      <c r="F604" s="18">
        <v>1125.903832419977</v>
      </c>
      <c r="G604" s="18">
        <v>-4894.814414058232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39</v>
      </c>
      <c r="C605">
        <v>161.25</v>
      </c>
      <c r="D605">
        <v>8</v>
      </c>
      <c r="E605" s="18">
        <v>5750.745338105923</v>
      </c>
      <c r="F605" s="18">
        <v>1136.825859960872</v>
      </c>
      <c r="G605" s="18">
        <v>-5153.444512385511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39</v>
      </c>
      <c r="C606">
        <v>161.25</v>
      </c>
      <c r="D606">
        <v>9</v>
      </c>
      <c r="E606" s="18">
        <v>5019.6425348266785</v>
      </c>
      <c r="F606" s="18">
        <v>1190.820397424219</v>
      </c>
      <c r="G606" s="18">
        <v>-5338.795816749516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39</v>
      </c>
      <c r="C607">
        <v>161.25</v>
      </c>
      <c r="D607">
        <v>10</v>
      </c>
      <c r="E607" s="18">
        <v>4150.946841896679</v>
      </c>
      <c r="F607" s="18">
        <v>1170.1641839847512</v>
      </c>
      <c r="G607" s="18">
        <v>-5077.994823094118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39</v>
      </c>
      <c r="C608">
        <v>161.25</v>
      </c>
      <c r="D608">
        <v>11</v>
      </c>
      <c r="E608" s="18">
        <v>2779.805066011054</v>
      </c>
      <c r="F608" s="18">
        <v>1128.7737141979276</v>
      </c>
      <c r="G608" s="18">
        <v>-4555.258927925307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39</v>
      </c>
      <c r="C609">
        <v>161.25</v>
      </c>
      <c r="D609">
        <v>12</v>
      </c>
      <c r="E609" s="18">
        <v>1614.4409700347278</v>
      </c>
      <c r="F609" s="18">
        <v>1102.3109744513831</v>
      </c>
      <c r="G609" s="18">
        <v>-4008.5794639041533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39</v>
      </c>
      <c r="C610">
        <v>161.25</v>
      </c>
      <c r="D610">
        <v>13</v>
      </c>
      <c r="E610" s="18">
        <v>-464.65056098785124</v>
      </c>
      <c r="F610" s="18">
        <v>901.6161692666733</v>
      </c>
      <c r="G610" s="18">
        <v>-2855.7273281325056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39</v>
      </c>
      <c r="C611">
        <v>161.25</v>
      </c>
      <c r="D611">
        <v>14</v>
      </c>
      <c r="E611" s="18">
        <v>-1817.8622236658107</v>
      </c>
      <c r="F611" s="18">
        <v>698.363895333185</v>
      </c>
      <c r="G611" s="18">
        <v>-2037.191902670088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7" x14ac:dyDescent="0.25">
      <c r="B612">
        <v>39</v>
      </c>
      <c r="C612">
        <v>161.25</v>
      </c>
      <c r="D612">
        <v>15</v>
      </c>
      <c r="E612" s="18">
        <v>-3952.1157063605892</v>
      </c>
      <c r="F612" s="18">
        <v>293.7587097145545</v>
      </c>
      <c r="G612" s="18">
        <v>-668.8579793268649</v>
      </c>
    </row>
    <row r="614" spans="2:14" x14ac:dyDescent="0.25">
      <c r="B614">
        <v>40</v>
      </c>
      <c r="C614">
        <v>165.00000000000003</v>
      </c>
      <c r="D614">
        <v>1</v>
      </c>
      <c r="E614" s="18">
        <v>17396.10657075295</v>
      </c>
      <c r="F614" s="18">
        <v>579.4296736754601</v>
      </c>
      <c r="G614" s="18">
        <v>-2763.8778796086435</v>
      </c>
      <c r="H614" s="12">
        <f>E615</f>
      </c>
      <c r="I614" s="12">
        <f>F615</f>
      </c>
      <c r="J614" s="12">
        <f>G615</f>
      </c>
      <c r="K614">
        <f>IF(AND(Pu&gt;=MIN(E614,H614),Pu&lt;=MAX(E614,H614),E614&lt;&gt;H614),1,0)</f>
      </c>
      <c r="L614">
        <f>IF(K614=1,(Pu-E614)/(H614-E614),"")</f>
      </c>
      <c r="M614" s="12">
        <f>IF(K614=1,F614+L614*(I614-F614),"")</f>
      </c>
      <c r="N614" s="12">
        <f>IF(K614=1,G614+L614*(J614-G614),"")</f>
      </c>
    </row>
    <row r="615" spans="2:14" x14ac:dyDescent="0.25">
      <c r="B615">
        <v>40</v>
      </c>
      <c r="C615">
        <v>165.00000000000003</v>
      </c>
      <c r="D615">
        <v>2</v>
      </c>
      <c r="E615" s="18">
        <v>16626.93932990995</v>
      </c>
      <c r="F615" s="18">
        <v>582.0306216671503</v>
      </c>
      <c r="G615" s="18">
        <v>-3122.655407199273</v>
      </c>
      <c r="H615" s="12">
        <f>E616</f>
      </c>
      <c r="I615" s="12">
        <f>F616</f>
      </c>
      <c r="J615" s="12">
        <f>G616</f>
      </c>
      <c r="K615">
        <f>IF(AND(Pu&gt;=MIN(E615,H615),Pu&lt;=MAX(E615,H615),E615&lt;&gt;H615),1,0)</f>
      </c>
      <c r="L615">
        <f>IF(K615=1,(Pu-E615)/(H615-E615),"")</f>
      </c>
      <c r="M615" s="12">
        <f>IF(K615=1,F615+L615*(I615-F615),"")</f>
      </c>
      <c r="N615" s="12">
        <f>IF(K615=1,G615+L615*(J615-G615),"")</f>
      </c>
    </row>
    <row r="616" spans="2:14" x14ac:dyDescent="0.25">
      <c r="B616">
        <v>40</v>
      </c>
      <c r="C616">
        <v>165.00000000000003</v>
      </c>
      <c r="D616">
        <v>3</v>
      </c>
      <c r="E616" s="18">
        <v>14973.985384972375</v>
      </c>
      <c r="F616" s="18">
        <v>618.1362181597377</v>
      </c>
      <c r="G616" s="18">
        <v>-3719.8783408915433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40</v>
      </c>
      <c r="C617">
        <v>165.00000000000003</v>
      </c>
      <c r="D617">
        <v>4</v>
      </c>
      <c r="E617" s="18">
        <v>13193.626987880902</v>
      </c>
      <c r="F617" s="18">
        <v>777.8633120621797</v>
      </c>
      <c r="G617" s="18">
        <v>-4110.4882146513755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40</v>
      </c>
      <c r="C618">
        <v>165.00000000000003</v>
      </c>
      <c r="D618">
        <v>5</v>
      </c>
      <c r="E618" s="18">
        <v>10869.609998374528</v>
      </c>
      <c r="F618" s="18">
        <v>862.4058025434084</v>
      </c>
      <c r="G618" s="18">
        <v>-4412.655517154713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40</v>
      </c>
      <c r="C619">
        <v>165.00000000000003</v>
      </c>
      <c r="D619">
        <v>6</v>
      </c>
      <c r="E619" s="18">
        <v>8734.688734939806</v>
      </c>
      <c r="F619" s="18">
        <v>893.8606206080433</v>
      </c>
      <c r="G619" s="18">
        <v>-4561.875849733287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14" x14ac:dyDescent="0.25">
      <c r="B620">
        <v>40</v>
      </c>
      <c r="C620">
        <v>165.00000000000003</v>
      </c>
      <c r="D620">
        <v>7</v>
      </c>
      <c r="E620" s="18">
        <v>6706.847717516593</v>
      </c>
      <c r="F620" s="18">
        <v>908.9184833632917</v>
      </c>
      <c r="G620" s="18">
        <v>-4958.246326976182</v>
      </c>
      <c r="H620" s="12">
        <f>E621</f>
      </c>
      <c r="I620" s="12">
        <f>F621</f>
      </c>
      <c r="J620" s="12">
        <f>G621</f>
      </c>
      <c r="K620">
        <f>IF(AND(Pu&gt;=MIN(E620,H620),Pu&lt;=MAX(E620,H620),E620&lt;&gt;H620),1,0)</f>
      </c>
      <c r="L620">
        <f>IF(K620=1,(Pu-E620)/(H620-E620),"")</f>
      </c>
      <c r="M620" s="12">
        <f>IF(K620=1,F620+L620*(I620-F620),"")</f>
      </c>
      <c r="N620" s="12">
        <f>IF(K620=1,G620+L620*(J620-G620),"")</f>
      </c>
    </row>
    <row r="621" spans="2:14" x14ac:dyDescent="0.25">
      <c r="B621">
        <v>40</v>
      </c>
      <c r="C621">
        <v>165.00000000000003</v>
      </c>
      <c r="D621">
        <v>8</v>
      </c>
      <c r="E621" s="18">
        <v>5800.618413798189</v>
      </c>
      <c r="F621" s="18">
        <v>899.5876857644434</v>
      </c>
      <c r="G621" s="18">
        <v>-5242.972515638741</v>
      </c>
      <c r="H621" s="12">
        <f>E622</f>
      </c>
      <c r="I621" s="12">
        <f>F622</f>
      </c>
      <c r="J621" s="12">
        <f>G622</f>
      </c>
      <c r="K621">
        <f>IF(AND(Pu&gt;=MIN(E621,H621),Pu&lt;=MAX(E621,H621),E621&lt;&gt;H621),1,0)</f>
      </c>
      <c r="L621">
        <f>IF(K621=1,(Pu-E621)/(H621-E621),"")</f>
      </c>
      <c r="M621" s="12">
        <f>IF(K621=1,F621+L621*(I621-F621),"")</f>
      </c>
      <c r="N621" s="12">
        <f>IF(K621=1,G621+L621*(J621-G621),"")</f>
      </c>
    </row>
    <row r="622" spans="2:14" x14ac:dyDescent="0.25">
      <c r="B622">
        <v>40</v>
      </c>
      <c r="C622">
        <v>165.00000000000003</v>
      </c>
      <c r="D622">
        <v>9</v>
      </c>
      <c r="E622" s="18">
        <v>5190.594334869805</v>
      </c>
      <c r="F622" s="18">
        <v>941.4781320015721</v>
      </c>
      <c r="G622" s="18">
        <v>-5467.883620355339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40</v>
      </c>
      <c r="C623">
        <v>165.00000000000003</v>
      </c>
      <c r="D623">
        <v>10</v>
      </c>
      <c r="E623" s="18">
        <v>4312.180659173065</v>
      </c>
      <c r="F623" s="18">
        <v>921.8829902930266</v>
      </c>
      <c r="G623" s="18">
        <v>-5225.148871858851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40</v>
      </c>
      <c r="C624">
        <v>165.00000000000003</v>
      </c>
      <c r="D624">
        <v>11</v>
      </c>
      <c r="E624" s="18">
        <v>3015.2867777491024</v>
      </c>
      <c r="F624" s="18">
        <v>909.4053524504557</v>
      </c>
      <c r="G624" s="18">
        <v>-4745.210553116551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40</v>
      </c>
      <c r="C625">
        <v>165.00000000000003</v>
      </c>
      <c r="D625">
        <v>12</v>
      </c>
      <c r="E625" s="18">
        <v>1978.2368931134772</v>
      </c>
      <c r="F625" s="18">
        <v>900.486040550062</v>
      </c>
      <c r="G625" s="18">
        <v>-4264.198673383866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40</v>
      </c>
      <c r="C626">
        <v>165.00000000000003</v>
      </c>
      <c r="D626">
        <v>13</v>
      </c>
      <c r="E626" s="18">
        <v>-80.0931618595131</v>
      </c>
      <c r="F626" s="18">
        <v>777.3311116508273</v>
      </c>
      <c r="G626" s="18">
        <v>-3138.807275462298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40</v>
      </c>
      <c r="C627">
        <v>165.00000000000003</v>
      </c>
      <c r="D627">
        <v>14</v>
      </c>
      <c r="E627" s="18">
        <v>-1514.3820201479834</v>
      </c>
      <c r="F627" s="18">
        <v>615.3395957419032</v>
      </c>
      <c r="G627" s="18">
        <v>-2266.3062395565526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7" x14ac:dyDescent="0.25">
      <c r="B628">
        <v>40</v>
      </c>
      <c r="C628">
        <v>165.00000000000003</v>
      </c>
      <c r="D628">
        <v>15</v>
      </c>
      <c r="E628" s="18">
        <v>-3857.426617095661</v>
      </c>
      <c r="F628" s="18">
        <v>296.4630531108414</v>
      </c>
      <c r="G628" s="18">
        <v>-737.3919092917505</v>
      </c>
    </row>
    <row r="630" spans="2:14" x14ac:dyDescent="0.25">
      <c r="B630">
        <v>41</v>
      </c>
      <c r="C630">
        <v>168.75000000000006</v>
      </c>
      <c r="D630">
        <v>1</v>
      </c>
      <c r="E630" s="18">
        <v>17212.131651709293</v>
      </c>
      <c r="F630" s="18">
        <v>437.2921604065481</v>
      </c>
      <c r="G630" s="18">
        <v>-2891.0599009281773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41</v>
      </c>
      <c r="C631">
        <v>168.75000000000006</v>
      </c>
      <c r="D631">
        <v>2</v>
      </c>
      <c r="E631" s="18">
        <v>16519.46012491815</v>
      </c>
      <c r="F631" s="18">
        <v>431.25216624635095</v>
      </c>
      <c r="G631" s="18">
        <v>-3206.5503609632283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41</v>
      </c>
      <c r="C632">
        <v>168.75000000000006</v>
      </c>
      <c r="D632">
        <v>3</v>
      </c>
      <c r="E632" s="18">
        <v>14965.487713727653</v>
      </c>
      <c r="F632" s="18">
        <v>461.0708016581129</v>
      </c>
      <c r="G632" s="18">
        <v>-3769.912029263789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41</v>
      </c>
      <c r="C633">
        <v>168.75000000000006</v>
      </c>
      <c r="D633">
        <v>4</v>
      </c>
      <c r="E633" s="18">
        <v>13216.621640242702</v>
      </c>
      <c r="F633" s="18">
        <v>592.1743745601603</v>
      </c>
      <c r="G633" s="18">
        <v>-4160.790971154465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41</v>
      </c>
      <c r="C634">
        <v>168.75000000000006</v>
      </c>
      <c r="D634">
        <v>5</v>
      </c>
      <c r="E634" s="18">
        <v>10879.081737460103</v>
      </c>
      <c r="F634" s="18">
        <v>642.0154648317175</v>
      </c>
      <c r="G634" s="18">
        <v>-4476.36284188677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41</v>
      </c>
      <c r="C635">
        <v>168.75000000000006</v>
      </c>
      <c r="D635">
        <v>6</v>
      </c>
      <c r="E635" s="18">
        <v>8792.875148562773</v>
      </c>
      <c r="F635" s="18">
        <v>667.6772366798049</v>
      </c>
      <c r="G635" s="18">
        <v>-4632.46399838557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41</v>
      </c>
      <c r="C636">
        <v>168.75000000000006</v>
      </c>
      <c r="D636">
        <v>7</v>
      </c>
      <c r="E636" s="18">
        <v>6713.679864579504</v>
      </c>
      <c r="F636" s="18">
        <v>695.2520996857822</v>
      </c>
      <c r="G636" s="18">
        <v>-5010.392681245933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41</v>
      </c>
      <c r="C637">
        <v>168.75000000000006</v>
      </c>
      <c r="D637">
        <v>8</v>
      </c>
      <c r="E637" s="18">
        <v>5831.157966474202</v>
      </c>
      <c r="F637" s="18">
        <v>675.2968230060617</v>
      </c>
      <c r="G637" s="18">
        <v>-5309.470114081759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41</v>
      </c>
      <c r="C638">
        <v>168.75000000000006</v>
      </c>
      <c r="D638">
        <v>9</v>
      </c>
      <c r="E638" s="18">
        <v>5306.270338386781</v>
      </c>
      <c r="F638" s="18">
        <v>699.943267835376</v>
      </c>
      <c r="G638" s="18">
        <v>-5556.215332623594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41</v>
      </c>
      <c r="C639">
        <v>168.75000000000006</v>
      </c>
      <c r="D639">
        <v>10</v>
      </c>
      <c r="E639" s="18">
        <v>4486.787837789108</v>
      </c>
      <c r="F639" s="18">
        <v>682.4889259468032</v>
      </c>
      <c r="G639" s="18">
        <v>-5348.5824689730125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14" x14ac:dyDescent="0.25">
      <c r="B640">
        <v>41</v>
      </c>
      <c r="C640">
        <v>168.75000000000006</v>
      </c>
      <c r="D640">
        <v>11</v>
      </c>
      <c r="E640" s="18">
        <v>3213.415908590937</v>
      </c>
      <c r="F640" s="18">
        <v>685.7499813084299</v>
      </c>
      <c r="G640" s="18">
        <v>-4903.049244396635</v>
      </c>
      <c r="H640" s="12">
        <f>E641</f>
      </c>
      <c r="I640" s="12">
        <f>F641</f>
      </c>
      <c r="J640" s="12">
        <f>G641</f>
      </c>
      <c r="K640">
        <f>IF(AND(Pu&gt;=MIN(E640,H640),Pu&lt;=MAX(E640,H640),E640&lt;&gt;H640),1,0)</f>
      </c>
      <c r="L640">
        <f>IF(K640=1,(Pu-E640)/(H640-E640),"")</f>
      </c>
      <c r="M640" s="12">
        <f>IF(K640=1,F640+L640*(I640-F640),"")</f>
      </c>
      <c r="N640" s="12">
        <f>IF(K640=1,G640+L640*(J640-G640),"")</f>
      </c>
    </row>
    <row r="641" spans="2:14" x14ac:dyDescent="0.25">
      <c r="B641">
        <v>41</v>
      </c>
      <c r="C641">
        <v>168.75000000000006</v>
      </c>
      <c r="D641">
        <v>12</v>
      </c>
      <c r="E641" s="18">
        <v>2349.027117606059</v>
      </c>
      <c r="F641" s="18">
        <v>689.3683325730701</v>
      </c>
      <c r="G641" s="18">
        <v>-4509.293644184413</v>
      </c>
      <c r="H641" s="12">
        <f>E642</f>
      </c>
      <c r="I641" s="12">
        <f>F642</f>
      </c>
      <c r="J641" s="12">
        <f>G642</f>
      </c>
      <c r="K641">
        <f>IF(AND(Pu&gt;=MIN(E641,H641),Pu&lt;=MAX(E641,H641),E641&lt;&gt;H641),1,0)</f>
      </c>
      <c r="L641">
        <f>IF(K641=1,(Pu-E641)/(H641-E641),"")</f>
      </c>
      <c r="M641" s="12">
        <f>IF(K641=1,F641+L641*(I641-F641),"")</f>
      </c>
      <c r="N641" s="12">
        <f>IF(K641=1,G641+L641*(J641-G641),"")</f>
      </c>
    </row>
    <row r="642" spans="2:14" x14ac:dyDescent="0.25">
      <c r="B642">
        <v>41</v>
      </c>
      <c r="C642">
        <v>168.75000000000006</v>
      </c>
      <c r="D642">
        <v>13</v>
      </c>
      <c r="E642" s="18">
        <v>344.2283341995791</v>
      </c>
      <c r="F642" s="18">
        <v>634.7169232778425</v>
      </c>
      <c r="G642" s="18">
        <v>-3438.974391736205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41</v>
      </c>
      <c r="C643">
        <v>168.75000000000006</v>
      </c>
      <c r="D643">
        <v>14</v>
      </c>
      <c r="E643" s="18">
        <v>-1093.5867277694535</v>
      </c>
      <c r="F643" s="18">
        <v>493.68337837191723</v>
      </c>
      <c r="G643" s="18">
        <v>-2575.675597805178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7" x14ac:dyDescent="0.25">
      <c r="B644">
        <v>41</v>
      </c>
      <c r="C644">
        <v>168.75000000000006</v>
      </c>
      <c r="D644">
        <v>15</v>
      </c>
      <c r="E644" s="18">
        <v>-3610.5740196729635</v>
      </c>
      <c r="F644" s="18">
        <v>299.42893149052605</v>
      </c>
      <c r="G644" s="18">
        <v>-910.5621000297781</v>
      </c>
    </row>
    <row r="646" spans="2:14" x14ac:dyDescent="0.25">
      <c r="B646">
        <v>42</v>
      </c>
      <c r="C646">
        <v>170.625</v>
      </c>
      <c r="D646">
        <v>1</v>
      </c>
      <c r="E646" s="18">
        <v>17121.55161468673</v>
      </c>
      <c r="F646" s="18">
        <v>372.99523555020374</v>
      </c>
      <c r="G646" s="18">
        <v>-2948.8368901511258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42</v>
      </c>
      <c r="C647">
        <v>170.625</v>
      </c>
      <c r="D647">
        <v>2</v>
      </c>
      <c r="E647" s="18">
        <v>16465.44498020478</v>
      </c>
      <c r="F647" s="18">
        <v>354.6112412474538</v>
      </c>
      <c r="G647" s="18">
        <v>-3245.454262047361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42</v>
      </c>
      <c r="C648">
        <v>170.625</v>
      </c>
      <c r="D648">
        <v>3</v>
      </c>
      <c r="E648" s="18">
        <v>14947.423013202531</v>
      </c>
      <c r="F648" s="18">
        <v>383.3410862429678</v>
      </c>
      <c r="G648" s="18">
        <v>-3792.3596270177627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42</v>
      </c>
      <c r="C649">
        <v>170.625</v>
      </c>
      <c r="D649">
        <v>4</v>
      </c>
      <c r="E649" s="18">
        <v>13227.019337593121</v>
      </c>
      <c r="F649" s="18">
        <v>494.49448424051974</v>
      </c>
      <c r="G649" s="18">
        <v>-4183.752792410161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14" x14ac:dyDescent="0.25">
      <c r="B650">
        <v>42</v>
      </c>
      <c r="C650">
        <v>170.625</v>
      </c>
      <c r="D650">
        <v>5</v>
      </c>
      <c r="E650" s="18">
        <v>10883.466836920874</v>
      </c>
      <c r="F650" s="18">
        <v>532.8076414481367</v>
      </c>
      <c r="G650" s="18">
        <v>-4503.997933224706</v>
      </c>
      <c r="H650" s="12">
        <f>E651</f>
      </c>
      <c r="I650" s="12">
        <f>F651</f>
      </c>
      <c r="J650" s="12">
        <f>G651</f>
      </c>
      <c r="K650">
        <f>IF(AND(Pu&gt;=MIN(E650,H650),Pu&lt;=MAX(E650,H650),E650&lt;&gt;H650),1,0)</f>
      </c>
      <c r="L650">
        <f>IF(K650=1,(Pu-E650)/(H650-E650),"")</f>
      </c>
      <c r="M650" s="12">
        <f>IF(K650=1,F650+L650*(I650-F650),"")</f>
      </c>
      <c r="N650" s="12">
        <f>IF(K650=1,G650+L650*(J650-G650),"")</f>
      </c>
    </row>
    <row r="651" spans="2:14" x14ac:dyDescent="0.25">
      <c r="B651">
        <v>42</v>
      </c>
      <c r="C651">
        <v>170.625</v>
      </c>
      <c r="D651">
        <v>6</v>
      </c>
      <c r="E651" s="18">
        <v>8821.092466351001</v>
      </c>
      <c r="F651" s="18">
        <v>555.5000320709169</v>
      </c>
      <c r="G651" s="18">
        <v>-4663.447362444938</v>
      </c>
      <c r="H651" s="12">
        <f>E652</f>
      </c>
      <c r="I651" s="12">
        <f>F652</f>
      </c>
      <c r="J651" s="12">
        <f>G652</f>
      </c>
      <c r="K651">
        <f>IF(AND(Pu&gt;=MIN(E651,H651),Pu&lt;=MAX(E651,H651),E651&lt;&gt;H651),1,0)</f>
      </c>
      <c r="L651">
        <f>IF(K651=1,(Pu-E651)/(H651-E651),"")</f>
      </c>
      <c r="M651" s="12">
        <f>IF(K651=1,F651+L651*(I651-F651),"")</f>
      </c>
      <c r="N651" s="12">
        <f>IF(K651=1,G651+L651*(J651-G651),"")</f>
      </c>
    </row>
    <row r="652" spans="2:14" x14ac:dyDescent="0.25">
      <c r="B652">
        <v>42</v>
      </c>
      <c r="C652">
        <v>170.625</v>
      </c>
      <c r="D652">
        <v>7</v>
      </c>
      <c r="E652" s="18">
        <v>6715.568829273752</v>
      </c>
      <c r="F652" s="18">
        <v>585.7050546982827</v>
      </c>
      <c r="G652" s="18">
        <v>-5031.644420699809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42</v>
      </c>
      <c r="C653">
        <v>170.625</v>
      </c>
      <c r="D653">
        <v>8</v>
      </c>
      <c r="E653" s="18">
        <v>5865.764549419644</v>
      </c>
      <c r="F653" s="18">
        <v>557.8791417082253</v>
      </c>
      <c r="G653" s="18">
        <v>-5339.006487355408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42</v>
      </c>
      <c r="C654">
        <v>170.625</v>
      </c>
      <c r="D654">
        <v>9</v>
      </c>
      <c r="E654" s="18">
        <v>5362.548656505965</v>
      </c>
      <c r="F654" s="18">
        <v>580.4167113972422</v>
      </c>
      <c r="G654" s="18">
        <v>-5594.769163088009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42</v>
      </c>
      <c r="C655">
        <v>170.625</v>
      </c>
      <c r="D655">
        <v>10</v>
      </c>
      <c r="E655" s="18">
        <v>4553.105339698417</v>
      </c>
      <c r="F655" s="18">
        <v>572.3958139006186</v>
      </c>
      <c r="G655" s="18">
        <v>-5391.300411491213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42</v>
      </c>
      <c r="C656">
        <v>170.625</v>
      </c>
      <c r="D656">
        <v>11</v>
      </c>
      <c r="E656" s="18">
        <v>3334.895640779905</v>
      </c>
      <c r="F656" s="18">
        <v>558.8592770540229</v>
      </c>
      <c r="G656" s="18">
        <v>-4980.310621129451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42</v>
      </c>
      <c r="C657">
        <v>170.625</v>
      </c>
      <c r="D657">
        <v>12</v>
      </c>
      <c r="E657" s="18">
        <v>2512.8950118458797</v>
      </c>
      <c r="F657" s="18">
        <v>574.5227064705745</v>
      </c>
      <c r="G657" s="18">
        <v>-4617.127075088248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42</v>
      </c>
      <c r="C658">
        <v>170.625</v>
      </c>
      <c r="D658">
        <v>13</v>
      </c>
      <c r="E658" s="18">
        <v>580.2816539296994</v>
      </c>
      <c r="F658" s="18">
        <v>553.5769118302937</v>
      </c>
      <c r="G658" s="18">
        <v>-3600.1449851628886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42</v>
      </c>
      <c r="C659">
        <v>170.625</v>
      </c>
      <c r="D659">
        <v>14</v>
      </c>
      <c r="E659" s="18">
        <v>-844.0031307759524</v>
      </c>
      <c r="F659" s="18">
        <v>420.11326203871494</v>
      </c>
      <c r="G659" s="18">
        <v>-2754.0409194897684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7" x14ac:dyDescent="0.25">
      <c r="B660">
        <v>42</v>
      </c>
      <c r="C660">
        <v>170.625</v>
      </c>
      <c r="D660">
        <v>15</v>
      </c>
      <c r="E660" s="18">
        <v>-3427.0823081796007</v>
      </c>
      <c r="F660" s="18">
        <v>293.95183007095756</v>
      </c>
      <c r="G660" s="18">
        <v>-1039.145950445863</v>
      </c>
    </row>
    <row r="662" spans="2:14" x14ac:dyDescent="0.25">
      <c r="B662">
        <v>43</v>
      </c>
      <c r="C662">
        <v>172.49999999999997</v>
      </c>
      <c r="D662">
        <v>1</v>
      </c>
      <c r="E662" s="18">
        <v>17041.11927125074</v>
      </c>
      <c r="F662" s="18">
        <v>298.0481382390429</v>
      </c>
      <c r="G662" s="18">
        <v>-3000.9233066719034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43</v>
      </c>
      <c r="C663">
        <v>172.49999999999997</v>
      </c>
      <c r="D663">
        <v>2</v>
      </c>
      <c r="E663" s="18">
        <v>16416.290551901628</v>
      </c>
      <c r="F663" s="18">
        <v>279.97507543809076</v>
      </c>
      <c r="G663" s="18">
        <v>-3279.7666828047672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43</v>
      </c>
      <c r="C664">
        <v>172.49999999999997</v>
      </c>
      <c r="D664">
        <v>3</v>
      </c>
      <c r="E664" s="18">
        <v>14925.04392262736</v>
      </c>
      <c r="F664" s="18">
        <v>304.61443063641025</v>
      </c>
      <c r="G664" s="18">
        <v>-3812.3993015871115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43</v>
      </c>
      <c r="C665">
        <v>172.49999999999997</v>
      </c>
      <c r="D665">
        <v>4</v>
      </c>
      <c r="E665" s="18">
        <v>13232.013031610766</v>
      </c>
      <c r="F665" s="18">
        <v>395.82677398972476</v>
      </c>
      <c r="G665" s="18">
        <v>-4205.313458273881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43</v>
      </c>
      <c r="C666">
        <v>172.49999999999997</v>
      </c>
      <c r="D666">
        <v>5</v>
      </c>
      <c r="E666" s="18">
        <v>10887.63029809592</v>
      </c>
      <c r="F666" s="18">
        <v>423.9017302457378</v>
      </c>
      <c r="G666" s="18">
        <v>-4529.052632432672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43</v>
      </c>
      <c r="C667">
        <v>172.49999999999997</v>
      </c>
      <c r="D667">
        <v>6</v>
      </c>
      <c r="E667" s="18">
        <v>8848.813736068716</v>
      </c>
      <c r="F667" s="18">
        <v>443.5658065348866</v>
      </c>
      <c r="G667" s="18">
        <v>-4691.802793414547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43</v>
      </c>
      <c r="C668">
        <v>172.49999999999997</v>
      </c>
      <c r="D668">
        <v>7</v>
      </c>
      <c r="E668" s="18">
        <v>6727.140198317345</v>
      </c>
      <c r="F668" s="18">
        <v>471.89444220361287</v>
      </c>
      <c r="G668" s="18">
        <v>-5050.272377644575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43</v>
      </c>
      <c r="C669">
        <v>172.49999999999997</v>
      </c>
      <c r="D669">
        <v>8</v>
      </c>
      <c r="E669" s="18">
        <v>5909.953437695703</v>
      </c>
      <c r="F669" s="18">
        <v>445.4013388150366</v>
      </c>
      <c r="G669" s="18">
        <v>-5362.481722794369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43</v>
      </c>
      <c r="C670">
        <v>172.49999999999997</v>
      </c>
      <c r="D670">
        <v>9</v>
      </c>
      <c r="E670" s="18">
        <v>5400.921056229421</v>
      </c>
      <c r="F670" s="18">
        <v>470.02928329912845</v>
      </c>
      <c r="G670" s="18">
        <v>-5623.403484269307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43</v>
      </c>
      <c r="C671">
        <v>172.49999999999997</v>
      </c>
      <c r="D671">
        <v>10</v>
      </c>
      <c r="E671" s="18">
        <v>4617.211129947831</v>
      </c>
      <c r="F671" s="18">
        <v>463.0724579727057</v>
      </c>
      <c r="G671" s="18">
        <v>-5430.1099658660805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43</v>
      </c>
      <c r="C672">
        <v>172.49999999999997</v>
      </c>
      <c r="D672">
        <v>11</v>
      </c>
      <c r="E672" s="18">
        <v>3456.8780860889246</v>
      </c>
      <c r="F672" s="18">
        <v>439.18026162850987</v>
      </c>
      <c r="G672" s="18">
        <v>-5046.491828498284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43</v>
      </c>
      <c r="C673">
        <v>172.49999999999997</v>
      </c>
      <c r="D673">
        <v>12</v>
      </c>
      <c r="E673" s="18">
        <v>2642.2195718862595</v>
      </c>
      <c r="F673" s="18">
        <v>461.7194835760776</v>
      </c>
      <c r="G673" s="18">
        <v>-4701.14016132162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43</v>
      </c>
      <c r="C674">
        <v>172.49999999999997</v>
      </c>
      <c r="D674">
        <v>13</v>
      </c>
      <c r="E674" s="18">
        <v>827.8851112706456</v>
      </c>
      <c r="F674" s="18">
        <v>466.62440630807424</v>
      </c>
      <c r="G674" s="18">
        <v>-3765.179223205349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43</v>
      </c>
      <c r="C675">
        <v>172.49999999999997</v>
      </c>
      <c r="D675">
        <v>14</v>
      </c>
      <c r="E675" s="18">
        <v>-603.9292155204913</v>
      </c>
      <c r="F675" s="18">
        <v>345.5140803442367</v>
      </c>
      <c r="G675" s="18">
        <v>-2922.6882470344603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7" x14ac:dyDescent="0.25">
      <c r="B676">
        <v>43</v>
      </c>
      <c r="C676">
        <v>172.49999999999997</v>
      </c>
      <c r="D676">
        <v>15</v>
      </c>
      <c r="E676" s="18">
        <v>-3132.6607018387913</v>
      </c>
      <c r="F676" s="18">
        <v>261.00662392459094</v>
      </c>
      <c r="G676" s="18">
        <v>-1244.8149052970346</v>
      </c>
    </row>
    <row r="678" spans="2:14" x14ac:dyDescent="0.25">
      <c r="B678">
        <v>44</v>
      </c>
      <c r="C678">
        <v>176.24999999999997</v>
      </c>
      <c r="D678">
        <v>1</v>
      </c>
      <c r="E678" s="18">
        <v>16878.345566701537</v>
      </c>
      <c r="F678" s="18">
        <v>142.84572011692788</v>
      </c>
      <c r="G678" s="18">
        <v>-3099.049468698059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44</v>
      </c>
      <c r="C679">
        <v>176.24999999999997</v>
      </c>
      <c r="D679">
        <v>2</v>
      </c>
      <c r="E679" s="18">
        <v>16330.366716891784</v>
      </c>
      <c r="F679" s="18">
        <v>135.57144034317403</v>
      </c>
      <c r="G679" s="18">
        <v>-3336.5490125395904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14" x14ac:dyDescent="0.25">
      <c r="B680">
        <v>44</v>
      </c>
      <c r="C680">
        <v>176.24999999999997</v>
      </c>
      <c r="D680">
        <v>3</v>
      </c>
      <c r="E680" s="18">
        <v>14862.710373988532</v>
      </c>
      <c r="F680" s="18">
        <v>155.49914082286946</v>
      </c>
      <c r="G680" s="18">
        <v>-3850.32008191739</v>
      </c>
      <c r="H680" s="12">
        <f>E681</f>
      </c>
      <c r="I680" s="12">
        <f>F681</f>
      </c>
      <c r="J680" s="12">
        <f>G681</f>
      </c>
      <c r="K680">
        <f>IF(AND(Pu&gt;=MIN(E680,H680),Pu&lt;=MAX(E680,H680),E680&lt;&gt;H680),1,0)</f>
      </c>
      <c r="L680">
        <f>IF(K680=1,(Pu-E680)/(H680-E680),"")</f>
      </c>
      <c r="M680" s="12">
        <f>IF(K680=1,F680+L680*(I680-F680),"")</f>
      </c>
      <c r="N680" s="12">
        <f>IF(K680=1,G680+L680*(J680-G680),"")</f>
      </c>
    </row>
    <row r="681" spans="2:14" x14ac:dyDescent="0.25">
      <c r="B681">
        <v>44</v>
      </c>
      <c r="C681">
        <v>176.24999999999997</v>
      </c>
      <c r="D681">
        <v>4</v>
      </c>
      <c r="E681" s="18">
        <v>13217.784134834725</v>
      </c>
      <c r="F681" s="18">
        <v>205.29867098560888</v>
      </c>
      <c r="G681" s="18">
        <v>-4238.924136589595</v>
      </c>
      <c r="H681" s="12">
        <f>E682</f>
      </c>
      <c r="I681" s="12">
        <f>F682</f>
      </c>
      <c r="J681" s="12">
        <f>G682</f>
      </c>
      <c r="K681">
        <f>IF(AND(Pu&gt;=MIN(E681,H681),Pu&lt;=MAX(E681,H681),E681&lt;&gt;H681),1,0)</f>
      </c>
      <c r="L681">
        <f>IF(K681=1,(Pu-E681)/(H681-E681),"")</f>
      </c>
      <c r="M681" s="12">
        <f>IF(K681=1,F681+L681*(I681-F681),"")</f>
      </c>
      <c r="N681" s="12">
        <f>IF(K681=1,G681+L681*(J681-G681),"")</f>
      </c>
    </row>
    <row r="682" spans="2:14" x14ac:dyDescent="0.25">
      <c r="B682">
        <v>44</v>
      </c>
      <c r="C682">
        <v>176.24999999999997</v>
      </c>
      <c r="D682">
        <v>5</v>
      </c>
      <c r="E682" s="18">
        <v>10881.986042428458</v>
      </c>
      <c r="F682" s="18">
        <v>213.0052714628321</v>
      </c>
      <c r="G682" s="18">
        <v>-4571.967742376358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44</v>
      </c>
      <c r="C683">
        <v>176.24999999999997</v>
      </c>
      <c r="D683">
        <v>6</v>
      </c>
      <c r="E683" s="18">
        <v>8916.334864531293</v>
      </c>
      <c r="F683" s="18">
        <v>226.40137590395912</v>
      </c>
      <c r="G683" s="18">
        <v>-4741.215745525986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44</v>
      </c>
      <c r="C684">
        <v>176.24999999999997</v>
      </c>
      <c r="D684">
        <v>7</v>
      </c>
      <c r="E684" s="18">
        <v>6753.592659725928</v>
      </c>
      <c r="F684" s="18">
        <v>243.9771360076447</v>
      </c>
      <c r="G684" s="18">
        <v>-5079.048272733507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44</v>
      </c>
      <c r="C685">
        <v>176.24999999999997</v>
      </c>
      <c r="D685">
        <v>8</v>
      </c>
      <c r="E685" s="18">
        <v>6017.104238211598</v>
      </c>
      <c r="F685" s="18">
        <v>228.61787017906235</v>
      </c>
      <c r="G685" s="18">
        <v>-5405.711313256285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14" x14ac:dyDescent="0.25">
      <c r="B686">
        <v>44</v>
      </c>
      <c r="C686">
        <v>176.24999999999997</v>
      </c>
      <c r="D686">
        <v>9</v>
      </c>
      <c r="E686" s="18">
        <v>5511.624668275603</v>
      </c>
      <c r="F686" s="18">
        <v>229.28415071179185</v>
      </c>
      <c r="G686" s="18">
        <v>-5686.417094913698</v>
      </c>
      <c r="H686" s="12">
        <f>E687</f>
      </c>
      <c r="I686" s="12">
        <f>F687</f>
      </c>
      <c r="J686" s="12">
        <f>G687</f>
      </c>
      <c r="K686">
        <f>IF(AND(Pu&gt;=MIN(E686,H686),Pu&lt;=MAX(E686,H686),E686&lt;&gt;H686),1,0)</f>
      </c>
      <c r="L686">
        <f>IF(K686=1,(Pu-E686)/(H686-E686),"")</f>
      </c>
      <c r="M686" s="12">
        <f>IF(K686=1,F686+L686*(I686-F686),"")</f>
      </c>
      <c r="N686" s="12">
        <f>IF(K686=1,G686+L686*(J686-G686),"")</f>
      </c>
    </row>
    <row r="687" spans="2:14" x14ac:dyDescent="0.25">
      <c r="B687">
        <v>44</v>
      </c>
      <c r="C687">
        <v>176.24999999999997</v>
      </c>
      <c r="D687">
        <v>10</v>
      </c>
      <c r="E687" s="18">
        <v>4752.981269581131</v>
      </c>
      <c r="F687" s="18">
        <v>239.1302837164739</v>
      </c>
      <c r="G687" s="18">
        <v>-5492.026326148359</v>
      </c>
      <c r="H687" s="12">
        <f>E688</f>
      </c>
      <c r="I687" s="12">
        <f>F688</f>
      </c>
      <c r="J687" s="12">
        <f>G688</f>
      </c>
      <c r="K687">
        <f>IF(AND(Pu&gt;=MIN(E687,H687),Pu&lt;=MAX(E687,H687),E687&lt;&gt;H687),1,0)</f>
      </c>
      <c r="L687">
        <f>IF(K687=1,(Pu-E687)/(H687-E687),"")</f>
      </c>
      <c r="M687" s="12">
        <f>IF(K687=1,F687+L687*(I687-F687),"")</f>
      </c>
      <c r="N687" s="12">
        <f>IF(K687=1,G687+L687*(J687-G687),"")</f>
      </c>
    </row>
    <row r="688" spans="2:14" x14ac:dyDescent="0.25">
      <c r="B688">
        <v>44</v>
      </c>
      <c r="C688">
        <v>176.24999999999997</v>
      </c>
      <c r="D688">
        <v>11</v>
      </c>
      <c r="E688" s="18">
        <v>3662.212383649921</v>
      </c>
      <c r="F688" s="18">
        <v>212.0475475594289</v>
      </c>
      <c r="G688" s="18">
        <v>-5146.746521213866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44</v>
      </c>
      <c r="C689">
        <v>176.24999999999997</v>
      </c>
      <c r="D689">
        <v>12</v>
      </c>
      <c r="E689" s="18">
        <v>2869.3279871758577</v>
      </c>
      <c r="F689" s="18">
        <v>233.28674929608866</v>
      </c>
      <c r="G689" s="18">
        <v>-4837.716654933896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44</v>
      </c>
      <c r="C690">
        <v>176.24999999999997</v>
      </c>
      <c r="D690">
        <v>13</v>
      </c>
      <c r="E690" s="18">
        <v>1360.7864781884984</v>
      </c>
      <c r="F690" s="18">
        <v>254.23986803445962</v>
      </c>
      <c r="G690" s="18">
        <v>-4098.932574043669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44</v>
      </c>
      <c r="C691">
        <v>176.24999999999997</v>
      </c>
      <c r="D691">
        <v>14</v>
      </c>
      <c r="E691" s="18">
        <v>-33.04742147350882</v>
      </c>
      <c r="F691" s="18">
        <v>175.81198152325663</v>
      </c>
      <c r="G691" s="18">
        <v>-3305.9869897678527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7" x14ac:dyDescent="0.25">
      <c r="B692">
        <v>44</v>
      </c>
      <c r="C692">
        <v>176.24999999999997</v>
      </c>
      <c r="D692">
        <v>15</v>
      </c>
      <c r="E692" s="18">
        <v>-2388.175237836481</v>
      </c>
      <c r="F692" s="18">
        <v>140.89646742940133</v>
      </c>
      <c r="G692" s="18">
        <v>-1764.5562582840125</v>
      </c>
    </row>
    <row r="694" spans="2:14" x14ac:dyDescent="0.25">
      <c r="B694">
        <v>45</v>
      </c>
      <c r="C694">
        <v>180</v>
      </c>
      <c r="D694">
        <v>1</v>
      </c>
      <c r="E694" s="18">
        <v>16729.912727771847</v>
      </c>
      <c r="F694" s="18">
        <v>2.6635825634002686e-14</v>
      </c>
      <c r="G694" s="18">
        <v>-3174.4158204826354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45</v>
      </c>
      <c r="C695">
        <v>180</v>
      </c>
      <c r="D695">
        <v>2</v>
      </c>
      <c r="E695" s="18">
        <v>16256.710414302552</v>
      </c>
      <c r="F695" s="18">
        <v>-9.443610906600953e-14</v>
      </c>
      <c r="G695" s="18">
        <v>-3378.863791222955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45</v>
      </c>
      <c r="C696">
        <v>180</v>
      </c>
      <c r="D696">
        <v>3</v>
      </c>
      <c r="E696" s="18">
        <v>14806.758881028094</v>
      </c>
      <c r="F696" s="18">
        <v>6.199474121753146e-13</v>
      </c>
      <c r="G696" s="18">
        <v>-3880.0922716141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45</v>
      </c>
      <c r="C697">
        <v>180</v>
      </c>
      <c r="D697">
        <v>4</v>
      </c>
      <c r="E697" s="18">
        <v>13152.449960230397</v>
      </c>
      <c r="F697" s="18">
        <v>2.324581146240235e-13</v>
      </c>
      <c r="G697" s="18">
        <v>-4269.512275466683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45</v>
      </c>
      <c r="C698">
        <v>180</v>
      </c>
      <c r="D698">
        <v>5</v>
      </c>
      <c r="E698" s="18">
        <v>10875.75001078793</v>
      </c>
      <c r="F698" s="18">
        <v>2.712011337280273e-13</v>
      </c>
      <c r="G698" s="18">
        <v>-4600.755784298551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45</v>
      </c>
      <c r="C699">
        <v>180</v>
      </c>
      <c r="D699">
        <v>6</v>
      </c>
      <c r="E699" s="18">
        <v>8968.920285263712</v>
      </c>
      <c r="F699" s="18">
        <v>3.9711594581604005e-13</v>
      </c>
      <c r="G699" s="18">
        <v>-4781.543944731382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14" x14ac:dyDescent="0.25">
      <c r="B700">
        <v>45</v>
      </c>
      <c r="C700">
        <v>180</v>
      </c>
      <c r="D700">
        <v>7</v>
      </c>
      <c r="E700" s="18">
        <v>6813.738571802293</v>
      </c>
      <c r="F700" s="18">
        <v>6.407499313354492e-13</v>
      </c>
      <c r="G700" s="18">
        <v>-5104.322117480474</v>
      </c>
      <c r="H700" s="12">
        <f>E701</f>
      </c>
      <c r="I700" s="12">
        <f>F701</f>
      </c>
      <c r="J700" s="12">
        <f>G701</f>
      </c>
      <c r="K700">
        <f>IF(AND(Pu&gt;=MIN(E700,H700),Pu&lt;=MAX(E700,H700),E700&lt;&gt;H700),1,0)</f>
      </c>
      <c r="L700">
        <f>IF(K700=1,(Pu-E700)/(H700-E700),"")</f>
      </c>
      <c r="M700" s="12">
        <f>IF(K700=1,F700+L700*(I700-F700),"")</f>
      </c>
      <c r="N700" s="12">
        <f>IF(K700=1,G700+L700*(J700-G700),"")</f>
      </c>
    </row>
    <row r="701" spans="2:14" x14ac:dyDescent="0.25">
      <c r="B701">
        <v>45</v>
      </c>
      <c r="C701">
        <v>180</v>
      </c>
      <c r="D701">
        <v>8</v>
      </c>
      <c r="E701" s="18">
        <v>6115.948112681749</v>
      </c>
      <c r="F701" s="18">
        <v>4.0270388126373285e-13</v>
      </c>
      <c r="G701" s="18">
        <v>-5437.974372072232</v>
      </c>
      <c r="H701" s="12">
        <f>E702</f>
      </c>
      <c r="I701" s="12">
        <f>F702</f>
      </c>
      <c r="J701" s="12">
        <f>G702</f>
      </c>
      <c r="K701">
        <f>IF(AND(Pu&gt;=MIN(E701,H701),Pu&lt;=MAX(E701,H701),E701&lt;&gt;H701),1,0)</f>
      </c>
      <c r="L701">
        <f>IF(K701=1,(Pu-E701)/(H701-E701),"")</f>
      </c>
      <c r="M701" s="12">
        <f>IF(K701=1,F701+L701*(I701-F701),"")</f>
      </c>
      <c r="N701" s="12">
        <f>IF(K701=1,G701+L701*(J701-G701),"")</f>
      </c>
    </row>
    <row r="702" spans="2:14" x14ac:dyDescent="0.25">
      <c r="B702">
        <v>45</v>
      </c>
      <c r="C702">
        <v>180</v>
      </c>
      <c r="D702">
        <v>9</v>
      </c>
      <c r="E702" s="18">
        <v>5651.216252728246</v>
      </c>
      <c r="F702" s="18">
        <v>7.267110049724578e-13</v>
      </c>
      <c r="G702" s="18">
        <v>-5733.468299427718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45</v>
      </c>
      <c r="C703">
        <v>180</v>
      </c>
      <c r="D703">
        <v>10</v>
      </c>
      <c r="E703" s="18">
        <v>4911.672282887007</v>
      </c>
      <c r="F703" s="18">
        <v>2.754852175712586e-13</v>
      </c>
      <c r="G703" s="18">
        <v>-5550.13844608314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45</v>
      </c>
      <c r="C704">
        <v>180</v>
      </c>
      <c r="D704">
        <v>11</v>
      </c>
      <c r="E704" s="18">
        <v>3863.9307841404225</v>
      </c>
      <c r="F704" s="18">
        <v>3.324821591377258e-13</v>
      </c>
      <c r="G704" s="18">
        <v>-5231.7746137257745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45</v>
      </c>
      <c r="C705">
        <v>180</v>
      </c>
      <c r="D705">
        <v>12</v>
      </c>
      <c r="E705" s="18">
        <v>3078.5106497889424</v>
      </c>
      <c r="F705" s="18">
        <v>4.0187518907215066e-13</v>
      </c>
      <c r="G705" s="18">
        <v>-4941.459462632535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45</v>
      </c>
      <c r="C706">
        <v>180</v>
      </c>
      <c r="D706">
        <v>13</v>
      </c>
      <c r="E706" s="18">
        <v>1836.3300516777638</v>
      </c>
      <c r="F706" s="18">
        <v>8.676201105117798e-13</v>
      </c>
      <c r="G706" s="18">
        <v>-4363.068796673946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45</v>
      </c>
      <c r="C707">
        <v>180</v>
      </c>
      <c r="D707">
        <v>14</v>
      </c>
      <c r="E707" s="18">
        <v>574.3755570888028</v>
      </c>
      <c r="F707" s="18">
        <v>5.509704351425172e-13</v>
      </c>
      <c r="G707" s="18">
        <v>-3684.959209896841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7" x14ac:dyDescent="0.25">
      <c r="B708">
        <v>45</v>
      </c>
      <c r="C708">
        <v>180</v>
      </c>
      <c r="D708">
        <v>15</v>
      </c>
      <c r="E708" s="18">
        <v>-1575.8014989798983</v>
      </c>
      <c r="F708" s="18">
        <v>-5.3830444812774654e-14</v>
      </c>
      <c r="G708" s="18">
        <v>-2317.2908365985645</v>
      </c>
    </row>
    <row r="710" spans="2:14" x14ac:dyDescent="0.25">
      <c r="B710">
        <v>46</v>
      </c>
      <c r="C710">
        <v>183.75000000000003</v>
      </c>
      <c r="D710">
        <v>1</v>
      </c>
      <c r="E710" s="18">
        <v>16878.34556670153</v>
      </c>
      <c r="F710" s="18">
        <v>-142.84572011692697</v>
      </c>
      <c r="G710" s="18">
        <v>-3099.049468698061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46</v>
      </c>
      <c r="C711">
        <v>183.75000000000003</v>
      </c>
      <c r="D711">
        <v>2</v>
      </c>
      <c r="E711" s="18">
        <v>16330.36671689179</v>
      </c>
      <c r="F711" s="18">
        <v>-135.57144034317378</v>
      </c>
      <c r="G711" s="18">
        <v>-3336.549012539591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46</v>
      </c>
      <c r="C712">
        <v>183.75000000000003</v>
      </c>
      <c r="D712">
        <v>3</v>
      </c>
      <c r="E712" s="18">
        <v>14862.710373988526</v>
      </c>
      <c r="F712" s="18">
        <v>-155.49914082286907</v>
      </c>
      <c r="G712" s="18">
        <v>-3850.3200819173894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46</v>
      </c>
      <c r="C713">
        <v>183.75000000000003</v>
      </c>
      <c r="D713">
        <v>4</v>
      </c>
      <c r="E713" s="18">
        <v>13217.784134834725</v>
      </c>
      <c r="F713" s="18">
        <v>-205.2986709856079</v>
      </c>
      <c r="G713" s="18">
        <v>-4238.924136589595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46</v>
      </c>
      <c r="C714">
        <v>183.75000000000003</v>
      </c>
      <c r="D714">
        <v>5</v>
      </c>
      <c r="E714" s="18">
        <v>10881.986042428458</v>
      </c>
      <c r="F714" s="18">
        <v>-213.00527146283167</v>
      </c>
      <c r="G714" s="18">
        <v>-4571.967742376359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46</v>
      </c>
      <c r="C715">
        <v>183.75000000000003</v>
      </c>
      <c r="D715">
        <v>6</v>
      </c>
      <c r="E715" s="18">
        <v>8916.334864531293</v>
      </c>
      <c r="F715" s="18">
        <v>-226.40137590395818</v>
      </c>
      <c r="G715" s="18">
        <v>-4741.215745525986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46</v>
      </c>
      <c r="C716">
        <v>183.75000000000003</v>
      </c>
      <c r="D716">
        <v>7</v>
      </c>
      <c r="E716" s="18">
        <v>6753.592659725928</v>
      </c>
      <c r="F716" s="18">
        <v>-243.97713600764402</v>
      </c>
      <c r="G716" s="18">
        <v>-5079.0482727335075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46</v>
      </c>
      <c r="C717">
        <v>183.75000000000003</v>
      </c>
      <c r="D717">
        <v>8</v>
      </c>
      <c r="E717" s="18">
        <v>6017.104238211601</v>
      </c>
      <c r="F717" s="18">
        <v>-228.61787017906167</v>
      </c>
      <c r="G717" s="18">
        <v>-5405.711313256287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46</v>
      </c>
      <c r="C718">
        <v>183.75000000000003</v>
      </c>
      <c r="D718">
        <v>9</v>
      </c>
      <c r="E718" s="18">
        <v>5511.624668275603</v>
      </c>
      <c r="F718" s="18">
        <v>-229.28415071179057</v>
      </c>
      <c r="G718" s="18">
        <v>-5686.417094913698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46</v>
      </c>
      <c r="C719">
        <v>183.75000000000003</v>
      </c>
      <c r="D719">
        <v>10</v>
      </c>
      <c r="E719" s="18">
        <v>4752.981269581131</v>
      </c>
      <c r="F719" s="18">
        <v>-239.13028371647314</v>
      </c>
      <c r="G719" s="18">
        <v>-5492.026326148359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46</v>
      </c>
      <c r="C720">
        <v>183.75000000000003</v>
      </c>
      <c r="D720">
        <v>11</v>
      </c>
      <c r="E720" s="18">
        <v>3662.212383649921</v>
      </c>
      <c r="F720" s="18">
        <v>-212.04754755942866</v>
      </c>
      <c r="G720" s="18">
        <v>-5146.746521213866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14" x14ac:dyDescent="0.25">
      <c r="B721">
        <v>46</v>
      </c>
      <c r="C721">
        <v>183.75000000000003</v>
      </c>
      <c r="D721">
        <v>12</v>
      </c>
      <c r="E721" s="18">
        <v>2869.3279871758555</v>
      </c>
      <c r="F721" s="18">
        <v>-233.28674929608815</v>
      </c>
      <c r="G721" s="18">
        <v>-4837.716654933896</v>
      </c>
      <c r="H721" s="12">
        <f>E722</f>
      </c>
      <c r="I721" s="12">
        <f>F722</f>
      </c>
      <c r="J721" s="12">
        <f>G722</f>
      </c>
      <c r="K721">
        <f>IF(AND(Pu&gt;=MIN(E721,H721),Pu&lt;=MAX(E721,H721),E721&lt;&gt;H721),1,0)</f>
      </c>
      <c r="L721">
        <f>IF(K721=1,(Pu-E721)/(H721-E721),"")</f>
      </c>
      <c r="M721" s="12">
        <f>IF(K721=1,F721+L721*(I721-F721),"")</f>
      </c>
      <c r="N721" s="12">
        <f>IF(K721=1,G721+L721*(J721-G721),"")</f>
      </c>
    </row>
    <row r="722" spans="2:14" x14ac:dyDescent="0.25">
      <c r="B722">
        <v>46</v>
      </c>
      <c r="C722">
        <v>183.75000000000003</v>
      </c>
      <c r="D722">
        <v>13</v>
      </c>
      <c r="E722" s="18">
        <v>1360.7864781885019</v>
      </c>
      <c r="F722" s="18">
        <v>-254.2398680344585</v>
      </c>
      <c r="G722" s="18">
        <v>-4098.932574043672</v>
      </c>
      <c r="H722" s="12">
        <f>E723</f>
      </c>
      <c r="I722" s="12">
        <f>F723</f>
      </c>
      <c r="J722" s="12">
        <f>G723</f>
      </c>
      <c r="K722">
        <f>IF(AND(Pu&gt;=MIN(E722,H722),Pu&lt;=MAX(E722,H722),E722&lt;&gt;H722),1,0)</f>
      </c>
      <c r="L722">
        <f>IF(K722=1,(Pu-E722)/(H722-E722),"")</f>
      </c>
      <c r="M722" s="12">
        <f>IF(K722=1,F722+L722*(I722-F722),"")</f>
      </c>
      <c r="N722" s="12">
        <f>IF(K722=1,G722+L722*(J722-G722),"")</f>
      </c>
    </row>
    <row r="723" spans="2:14" x14ac:dyDescent="0.25">
      <c r="B723">
        <v>46</v>
      </c>
      <c r="C723">
        <v>183.75000000000003</v>
      </c>
      <c r="D723">
        <v>14</v>
      </c>
      <c r="E723" s="18">
        <v>-33.04742147350486</v>
      </c>
      <c r="F723" s="18">
        <v>-175.81198152325592</v>
      </c>
      <c r="G723" s="18">
        <v>-3305.986989767855</v>
      </c>
      <c r="H723" s="12">
        <f>E724</f>
      </c>
      <c r="I723" s="12">
        <f>F724</f>
      </c>
      <c r="J723" s="12">
        <f>G724</f>
      </c>
      <c r="K723">
        <f>IF(AND(Pu&gt;=MIN(E723,H723),Pu&lt;=MAX(E723,H723),E723&lt;&gt;H723),1,0)</f>
      </c>
      <c r="L723">
        <f>IF(K723=1,(Pu-E723)/(H723-E723),"")</f>
      </c>
      <c r="M723" s="12">
        <f>IF(K723=1,F723+L723*(I723-F723),"")</f>
      </c>
      <c r="N723" s="12">
        <f>IF(K723=1,G723+L723*(J723-G723),"")</f>
      </c>
    </row>
    <row r="724" spans="2:7" x14ac:dyDescent="0.25">
      <c r="B724">
        <v>46</v>
      </c>
      <c r="C724">
        <v>183.75000000000003</v>
      </c>
      <c r="D724">
        <v>15</v>
      </c>
      <c r="E724" s="18">
        <v>-2388.1752378364777</v>
      </c>
      <c r="F724" s="18">
        <v>-140.89646742940064</v>
      </c>
      <c r="G724" s="18">
        <v>-1764.556258284015</v>
      </c>
    </row>
    <row r="726" spans="2:14" x14ac:dyDescent="0.25">
      <c r="B726">
        <v>47</v>
      </c>
      <c r="C726">
        <v>187.50000000000003</v>
      </c>
      <c r="D726">
        <v>1</v>
      </c>
      <c r="E726" s="18">
        <v>17041.119271250744</v>
      </c>
      <c r="F726" s="18">
        <v>-298.0481382390425</v>
      </c>
      <c r="G726" s="18">
        <v>-3000.9233066719053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47</v>
      </c>
      <c r="C727">
        <v>187.50000000000003</v>
      </c>
      <c r="D727">
        <v>2</v>
      </c>
      <c r="E727" s="18">
        <v>16416.290551901628</v>
      </c>
      <c r="F727" s="18">
        <v>-279.9750754380898</v>
      </c>
      <c r="G727" s="18">
        <v>-3279.766682804769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47</v>
      </c>
      <c r="C728">
        <v>187.50000000000003</v>
      </c>
      <c r="D728">
        <v>3</v>
      </c>
      <c r="E728" s="18">
        <v>14925.043922627357</v>
      </c>
      <c r="F728" s="18">
        <v>-304.6144306364099</v>
      </c>
      <c r="G728" s="18">
        <v>-3812.39930158711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47</v>
      </c>
      <c r="C729">
        <v>187.50000000000003</v>
      </c>
      <c r="D729">
        <v>4</v>
      </c>
      <c r="E729" s="18">
        <v>13232.013031610766</v>
      </c>
      <c r="F729" s="18">
        <v>-395.8267739897243</v>
      </c>
      <c r="G729" s="18">
        <v>-4205.313458273881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47</v>
      </c>
      <c r="C730">
        <v>187.50000000000003</v>
      </c>
      <c r="D730">
        <v>5</v>
      </c>
      <c r="E730" s="18">
        <v>10887.630298095926</v>
      </c>
      <c r="F730" s="18">
        <v>-423.9017302457366</v>
      </c>
      <c r="G730" s="18">
        <v>-4529.052632432672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47</v>
      </c>
      <c r="C731">
        <v>187.50000000000003</v>
      </c>
      <c r="D731">
        <v>6</v>
      </c>
      <c r="E731" s="18">
        <v>8848.81373606872</v>
      </c>
      <c r="F731" s="18">
        <v>-443.56580653488595</v>
      </c>
      <c r="G731" s="18">
        <v>-4691.802793414547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47</v>
      </c>
      <c r="C732">
        <v>187.50000000000003</v>
      </c>
      <c r="D732">
        <v>7</v>
      </c>
      <c r="E732" s="18">
        <v>6727.140198317347</v>
      </c>
      <c r="F732" s="18">
        <v>-471.89444220361185</v>
      </c>
      <c r="G732" s="18">
        <v>-5050.272377644577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47</v>
      </c>
      <c r="C733">
        <v>187.50000000000003</v>
      </c>
      <c r="D733">
        <v>8</v>
      </c>
      <c r="E733" s="18">
        <v>5909.953437695704</v>
      </c>
      <c r="F733" s="18">
        <v>-445.40133881503596</v>
      </c>
      <c r="G733" s="18">
        <v>-5362.481722794371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47</v>
      </c>
      <c r="C734">
        <v>187.50000000000003</v>
      </c>
      <c r="D734">
        <v>9</v>
      </c>
      <c r="E734" s="18">
        <v>5400.921056229422</v>
      </c>
      <c r="F734" s="18">
        <v>-470.02928329912726</v>
      </c>
      <c r="G734" s="18">
        <v>-5623.403484269309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47</v>
      </c>
      <c r="C735">
        <v>187.50000000000003</v>
      </c>
      <c r="D735">
        <v>10</v>
      </c>
      <c r="E735" s="18">
        <v>4617.2111299478365</v>
      </c>
      <c r="F735" s="18">
        <v>-463.07245797270514</v>
      </c>
      <c r="G735" s="18">
        <v>-5430.109965866081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47</v>
      </c>
      <c r="C736">
        <v>187.50000000000003</v>
      </c>
      <c r="D736">
        <v>11</v>
      </c>
      <c r="E736" s="18">
        <v>3456.878086088932</v>
      </c>
      <c r="F736" s="18">
        <v>-439.1802616285084</v>
      </c>
      <c r="G736" s="18">
        <v>-5046.491828498287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47</v>
      </c>
      <c r="C737">
        <v>187.50000000000003</v>
      </c>
      <c r="D737">
        <v>12</v>
      </c>
      <c r="E737" s="18">
        <v>2642.219571886265</v>
      </c>
      <c r="F737" s="18">
        <v>-461.71948357607704</v>
      </c>
      <c r="G737" s="18">
        <v>-4701.140161321623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47</v>
      </c>
      <c r="C738">
        <v>187.50000000000003</v>
      </c>
      <c r="D738">
        <v>13</v>
      </c>
      <c r="E738" s="18">
        <v>827.8851112706508</v>
      </c>
      <c r="F738" s="18">
        <v>-466.6244063080734</v>
      </c>
      <c r="G738" s="18">
        <v>-3765.1792232053517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47</v>
      </c>
      <c r="C739">
        <v>187.50000000000003</v>
      </c>
      <c r="D739">
        <v>14</v>
      </c>
      <c r="E739" s="18">
        <v>-603.9292155204835</v>
      </c>
      <c r="F739" s="18">
        <v>-345.5140803442365</v>
      </c>
      <c r="G739" s="18">
        <v>-2922.688247034465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7" x14ac:dyDescent="0.25">
      <c r="B740">
        <v>47</v>
      </c>
      <c r="C740">
        <v>187.50000000000003</v>
      </c>
      <c r="D740">
        <v>15</v>
      </c>
      <c r="E740" s="18">
        <v>-3132.6607018387867</v>
      </c>
      <c r="F740" s="18">
        <v>-261.0066239245905</v>
      </c>
      <c r="G740" s="18">
        <v>-1244.8149052970377</v>
      </c>
    </row>
    <row r="742" spans="2:14" x14ac:dyDescent="0.25">
      <c r="B742">
        <v>48</v>
      </c>
      <c r="C742">
        <v>189.375</v>
      </c>
      <c r="D742">
        <v>1</v>
      </c>
      <c r="E742" s="18">
        <v>17121.551614686727</v>
      </c>
      <c r="F742" s="18">
        <v>-372.99523555020284</v>
      </c>
      <c r="G742" s="18">
        <v>-2948.8368901511258</v>
      </c>
      <c r="H742" s="12">
        <f>E743</f>
      </c>
      <c r="I742" s="12">
        <f>F743</f>
      </c>
      <c r="J742" s="12">
        <f>G743</f>
      </c>
      <c r="K742">
        <f>IF(AND(Pu&gt;=MIN(E742,H742),Pu&lt;=MAX(E742,H742),E742&lt;&gt;H742),1,0)</f>
      </c>
      <c r="L742">
        <f>IF(K742=1,(Pu-E742)/(H742-E742),"")</f>
      </c>
      <c r="M742" s="12">
        <f>IF(K742=1,F742+L742*(I742-F742),"")</f>
      </c>
      <c r="N742" s="12">
        <f>IF(K742=1,G742+L742*(J742-G742),"")</f>
      </c>
    </row>
    <row r="743" spans="2:14" x14ac:dyDescent="0.25">
      <c r="B743">
        <v>48</v>
      </c>
      <c r="C743">
        <v>189.375</v>
      </c>
      <c r="D743">
        <v>2</v>
      </c>
      <c r="E743" s="18">
        <v>16465.444980204782</v>
      </c>
      <c r="F743" s="18">
        <v>-354.61124124745356</v>
      </c>
      <c r="G743" s="18">
        <v>-3245.45426204736</v>
      </c>
      <c r="H743" s="12">
        <f>E744</f>
      </c>
      <c r="I743" s="12">
        <f>F744</f>
      </c>
      <c r="J743" s="12">
        <f>G744</f>
      </c>
      <c r="K743">
        <f>IF(AND(Pu&gt;=MIN(E743,H743),Pu&lt;=MAX(E743,H743),E743&lt;&gt;H743),1,0)</f>
      </c>
      <c r="L743">
        <f>IF(K743=1,(Pu-E743)/(H743-E743),"")</f>
      </c>
      <c r="M743" s="12">
        <f>IF(K743=1,F743+L743*(I743-F743),"")</f>
      </c>
      <c r="N743" s="12">
        <f>IF(K743=1,G743+L743*(J743-G743),"")</f>
      </c>
    </row>
    <row r="744" spans="2:14" x14ac:dyDescent="0.25">
      <c r="B744">
        <v>48</v>
      </c>
      <c r="C744">
        <v>189.375</v>
      </c>
      <c r="D744">
        <v>3</v>
      </c>
      <c r="E744" s="18">
        <v>14947.423013202531</v>
      </c>
      <c r="F744" s="18">
        <v>-383.34108624296755</v>
      </c>
      <c r="G744" s="18">
        <v>-3792.3596270177623</v>
      </c>
      <c r="H744" s="12">
        <f>E745</f>
      </c>
      <c r="I744" s="12">
        <f>F745</f>
      </c>
      <c r="J744" s="12">
        <f>G745</f>
      </c>
      <c r="K744">
        <f>IF(AND(Pu&gt;=MIN(E744,H744),Pu&lt;=MAX(E744,H744),E744&lt;&gt;H744),1,0)</f>
      </c>
      <c r="L744">
        <f>IF(K744=1,(Pu-E744)/(H744-E744),"")</f>
      </c>
      <c r="M744" s="12">
        <f>IF(K744=1,F744+L744*(I744-F744),"")</f>
      </c>
      <c r="N744" s="12">
        <f>IF(K744=1,G744+L744*(J744-G744),"")</f>
      </c>
    </row>
    <row r="745" spans="2:14" x14ac:dyDescent="0.25">
      <c r="B745">
        <v>48</v>
      </c>
      <c r="C745">
        <v>189.375</v>
      </c>
      <c r="D745">
        <v>4</v>
      </c>
      <c r="E745" s="18">
        <v>13227.019337593123</v>
      </c>
      <c r="F745" s="18">
        <v>-494.49448424051906</v>
      </c>
      <c r="G745" s="18">
        <v>-4183.752792410161</v>
      </c>
      <c r="H745" s="12">
        <f>E746</f>
      </c>
      <c r="I745" s="12">
        <f>F746</f>
      </c>
      <c r="J745" s="12">
        <f>G746</f>
      </c>
      <c r="K745">
        <f>IF(AND(Pu&gt;=MIN(E745,H745),Pu&lt;=MAX(E745,H745),E745&lt;&gt;H745),1,0)</f>
      </c>
      <c r="L745">
        <f>IF(K745=1,(Pu-E745)/(H745-E745),"")</f>
      </c>
      <c r="M745" s="12">
        <f>IF(K745=1,F745+L745*(I745-F745),"")</f>
      </c>
      <c r="N745" s="12">
        <f>IF(K745=1,G745+L745*(J745-G745),"")</f>
      </c>
    </row>
    <row r="746" spans="2:14" x14ac:dyDescent="0.25">
      <c r="B746">
        <v>48</v>
      </c>
      <c r="C746">
        <v>189.375</v>
      </c>
      <c r="D746">
        <v>5</v>
      </c>
      <c r="E746" s="18">
        <v>10883.466836920876</v>
      </c>
      <c r="F746" s="18">
        <v>-532.8076414481359</v>
      </c>
      <c r="G746" s="18">
        <v>-4503.997933224706</v>
      </c>
      <c r="H746" s="12">
        <f>E747</f>
      </c>
      <c r="I746" s="12">
        <f>F747</f>
      </c>
      <c r="J746" s="12">
        <f>G747</f>
      </c>
      <c r="K746">
        <f>IF(AND(Pu&gt;=MIN(E746,H746),Pu&lt;=MAX(E746,H746),E746&lt;&gt;H746),1,0)</f>
      </c>
      <c r="L746">
        <f>IF(K746=1,(Pu-E746)/(H746-E746),"")</f>
      </c>
      <c r="M746" s="12">
        <f>IF(K746=1,F746+L746*(I746-F746),"")</f>
      </c>
      <c r="N746" s="12">
        <f>IF(K746=1,G746+L746*(J746-G746),"")</f>
      </c>
    </row>
    <row r="747" spans="2:14" x14ac:dyDescent="0.25">
      <c r="B747">
        <v>48</v>
      </c>
      <c r="C747">
        <v>189.375</v>
      </c>
      <c r="D747">
        <v>6</v>
      </c>
      <c r="E747" s="18">
        <v>8821.092466351005</v>
      </c>
      <c r="F747" s="18">
        <v>-555.5000320709157</v>
      </c>
      <c r="G747" s="18">
        <v>-4663.447362444937</v>
      </c>
      <c r="H747" s="12">
        <f>E748</f>
      </c>
      <c r="I747" s="12">
        <f>F748</f>
      </c>
      <c r="J747" s="12">
        <f>G748</f>
      </c>
      <c r="K747">
        <f>IF(AND(Pu&gt;=MIN(E747,H747),Pu&lt;=MAX(E747,H747),E747&lt;&gt;H747),1,0)</f>
      </c>
      <c r="L747">
        <f>IF(K747=1,(Pu-E747)/(H747-E747),"")</f>
      </c>
      <c r="M747" s="12">
        <f>IF(K747=1,F747+L747*(I747-F747),"")</f>
      </c>
      <c r="N747" s="12">
        <f>IF(K747=1,G747+L747*(J747-G747),"")</f>
      </c>
    </row>
    <row r="748" spans="2:14" x14ac:dyDescent="0.25">
      <c r="B748">
        <v>48</v>
      </c>
      <c r="C748">
        <v>189.375</v>
      </c>
      <c r="D748">
        <v>7</v>
      </c>
      <c r="E748" s="18">
        <v>6715.568829273754</v>
      </c>
      <c r="F748" s="18">
        <v>-585.7050546982816</v>
      </c>
      <c r="G748" s="18">
        <v>-5031.644420699809</v>
      </c>
      <c r="H748" s="12">
        <f>E749</f>
      </c>
      <c r="I748" s="12">
        <f>F749</f>
      </c>
      <c r="J748" s="12">
        <f>G749</f>
      </c>
      <c r="K748">
        <f>IF(AND(Pu&gt;=MIN(E748,H748),Pu&lt;=MAX(E748,H748),E748&lt;&gt;H748),1,0)</f>
      </c>
      <c r="L748">
        <f>IF(K748=1,(Pu-E748)/(H748-E748),"")</f>
      </c>
      <c r="M748" s="12">
        <f>IF(K748=1,F748+L748*(I748-F748),"")</f>
      </c>
      <c r="N748" s="12">
        <f>IF(K748=1,G748+L748*(J748-G748),"")</f>
      </c>
    </row>
    <row r="749" spans="2:14" x14ac:dyDescent="0.25">
      <c r="B749">
        <v>48</v>
      </c>
      <c r="C749">
        <v>189.375</v>
      </c>
      <c r="D749">
        <v>8</v>
      </c>
      <c r="E749" s="18">
        <v>5865.7645494196495</v>
      </c>
      <c r="F749" s="18">
        <v>-557.879141708225</v>
      </c>
      <c r="G749" s="18">
        <v>-5339.006487355408</v>
      </c>
      <c r="H749" s="12">
        <f>E750</f>
      </c>
      <c r="I749" s="12">
        <f>F750</f>
      </c>
      <c r="J749" s="12">
        <f>G750</f>
      </c>
      <c r="K749">
        <f>IF(AND(Pu&gt;=MIN(E749,H749),Pu&lt;=MAX(E749,H749),E749&lt;&gt;H749),1,0)</f>
      </c>
      <c r="L749">
        <f>IF(K749=1,(Pu-E749)/(H749-E749),"")</f>
      </c>
      <c r="M749" s="12">
        <f>IF(K749=1,F749+L749*(I749-F749),"")</f>
      </c>
      <c r="N749" s="12">
        <f>IF(K749=1,G749+L749*(J749-G749),"")</f>
      </c>
    </row>
    <row r="750" spans="2:14" x14ac:dyDescent="0.25">
      <c r="B750">
        <v>48</v>
      </c>
      <c r="C750">
        <v>189.375</v>
      </c>
      <c r="D750">
        <v>9</v>
      </c>
      <c r="E750" s="18">
        <v>5362.548656505964</v>
      </c>
      <c r="F750" s="18">
        <v>-580.4167113972409</v>
      </c>
      <c r="G750" s="18">
        <v>-5594.769163088009</v>
      </c>
      <c r="H750" s="12">
        <f>E751</f>
      </c>
      <c r="I750" s="12">
        <f>F751</f>
      </c>
      <c r="J750" s="12">
        <f>G751</f>
      </c>
      <c r="K750">
        <f>IF(AND(Pu&gt;=MIN(E750,H750),Pu&lt;=MAX(E750,H750),E750&lt;&gt;H750),1,0)</f>
      </c>
      <c r="L750">
        <f>IF(K750=1,(Pu-E750)/(H750-E750),"")</f>
      </c>
      <c r="M750" s="12">
        <f>IF(K750=1,F750+L750*(I750-F750),"")</f>
      </c>
      <c r="N750" s="12">
        <f>IF(K750=1,G750+L750*(J750-G750),"")</f>
      </c>
    </row>
    <row r="751" spans="2:14" x14ac:dyDescent="0.25">
      <c r="B751">
        <v>48</v>
      </c>
      <c r="C751">
        <v>189.375</v>
      </c>
      <c r="D751">
        <v>10</v>
      </c>
      <c r="E751" s="18">
        <v>4553.10533969842</v>
      </c>
      <c r="F751" s="18">
        <v>-572.3958139006178</v>
      </c>
      <c r="G751" s="18">
        <v>-5391.300411491213</v>
      </c>
      <c r="H751" s="12">
        <f>E752</f>
      </c>
      <c r="I751" s="12">
        <f>F752</f>
      </c>
      <c r="J751" s="12">
        <f>G752</f>
      </c>
      <c r="K751">
        <f>IF(AND(Pu&gt;=MIN(E751,H751),Pu&lt;=MAX(E751,H751),E751&lt;&gt;H751),1,0)</f>
      </c>
      <c r="L751">
        <f>IF(K751=1,(Pu-E751)/(H751-E751),"")</f>
      </c>
      <c r="M751" s="12">
        <f>IF(K751=1,F751+L751*(I751-F751),"")</f>
      </c>
      <c r="N751" s="12">
        <f>IF(K751=1,G751+L751*(J751-G751),"")</f>
      </c>
    </row>
    <row r="752" spans="2:14" x14ac:dyDescent="0.25">
      <c r="B752">
        <v>48</v>
      </c>
      <c r="C752">
        <v>189.375</v>
      </c>
      <c r="D752">
        <v>11</v>
      </c>
      <c r="E752" s="18">
        <v>3334.8956407799083</v>
      </c>
      <c r="F752" s="18">
        <v>-558.8592770540221</v>
      </c>
      <c r="G752" s="18">
        <v>-4980.310621129451</v>
      </c>
      <c r="H752" s="12">
        <f>E753</f>
      </c>
      <c r="I752" s="12">
        <f>F753</f>
      </c>
      <c r="J752" s="12">
        <f>G753</f>
      </c>
      <c r="K752">
        <f>IF(AND(Pu&gt;=MIN(E752,H752),Pu&lt;=MAX(E752,H752),E752&lt;&gt;H752),1,0)</f>
      </c>
      <c r="L752">
        <f>IF(K752=1,(Pu-E752)/(H752-E752),"")</f>
      </c>
      <c r="M752" s="12">
        <f>IF(K752=1,F752+L752*(I752-F752),"")</f>
      </c>
      <c r="N752" s="12">
        <f>IF(K752=1,G752+L752*(J752-G752),"")</f>
      </c>
    </row>
    <row r="753" spans="2:14" x14ac:dyDescent="0.25">
      <c r="B753">
        <v>48</v>
      </c>
      <c r="C753">
        <v>189.375</v>
      </c>
      <c r="D753">
        <v>12</v>
      </c>
      <c r="E753" s="18">
        <v>2512.8950118458815</v>
      </c>
      <c r="F753" s="18">
        <v>-574.5227064705734</v>
      </c>
      <c r="G753" s="18">
        <v>-4617.1270750882495</v>
      </c>
      <c r="H753" s="12">
        <f>E754</f>
      </c>
      <c r="I753" s="12">
        <f>F754</f>
      </c>
      <c r="J753" s="12">
        <f>G754</f>
      </c>
      <c r="K753">
        <f>IF(AND(Pu&gt;=MIN(E753,H753),Pu&lt;=MAX(E753,H753),E753&lt;&gt;H753),1,0)</f>
      </c>
      <c r="L753">
        <f>IF(K753=1,(Pu-E753)/(H753-E753),"")</f>
      </c>
      <c r="M753" s="12">
        <f>IF(K753=1,F753+L753*(I753-F753),"")</f>
      </c>
      <c r="N753" s="12">
        <f>IF(K753=1,G753+L753*(J753-G753),"")</f>
      </c>
    </row>
    <row r="754" spans="2:14" x14ac:dyDescent="0.25">
      <c r="B754">
        <v>48</v>
      </c>
      <c r="C754">
        <v>189.375</v>
      </c>
      <c r="D754">
        <v>13</v>
      </c>
      <c r="E754" s="18">
        <v>580.281653929701</v>
      </c>
      <c r="F754" s="18">
        <v>-553.5769118302928</v>
      </c>
      <c r="G754" s="18">
        <v>-3600.144985162889</v>
      </c>
      <c r="H754" s="12">
        <f>E755</f>
      </c>
      <c r="I754" s="12">
        <f>F755</f>
      </c>
      <c r="J754" s="12">
        <f>G755</f>
      </c>
      <c r="K754">
        <f>IF(AND(Pu&gt;=MIN(E754,H754),Pu&lt;=MAX(E754,H754),E754&lt;&gt;H754),1,0)</f>
      </c>
      <c r="L754">
        <f>IF(K754=1,(Pu-E754)/(H754-E754),"")</f>
      </c>
      <c r="M754" s="12">
        <f>IF(K754=1,F754+L754*(I754-F754),"")</f>
      </c>
      <c r="N754" s="12">
        <f>IF(K754=1,G754+L754*(J754-G754),"")</f>
      </c>
    </row>
    <row r="755" spans="2:14" x14ac:dyDescent="0.25">
      <c r="B755">
        <v>48</v>
      </c>
      <c r="C755">
        <v>189.375</v>
      </c>
      <c r="D755">
        <v>14</v>
      </c>
      <c r="E755" s="18">
        <v>-844.0031307759469</v>
      </c>
      <c r="F755" s="18">
        <v>-420.1132620387138</v>
      </c>
      <c r="G755" s="18">
        <v>-2754.0409194897725</v>
      </c>
      <c r="H755" s="12">
        <f>E756</f>
      </c>
      <c r="I755" s="12">
        <f>F756</f>
      </c>
      <c r="J755" s="12">
        <f>G756</f>
      </c>
      <c r="K755">
        <f>IF(AND(Pu&gt;=MIN(E755,H755),Pu&lt;=MAX(E755,H755),E755&lt;&gt;H755),1,0)</f>
      </c>
      <c r="L755">
        <f>IF(K755=1,(Pu-E755)/(H755-E755),"")</f>
      </c>
      <c r="M755" s="12">
        <f>IF(K755=1,F755+L755*(I755-F755),"")</f>
      </c>
      <c r="N755" s="12">
        <f>IF(K755=1,G755+L755*(J755-G755),"")</f>
      </c>
    </row>
    <row r="756" spans="2:7" x14ac:dyDescent="0.25">
      <c r="B756">
        <v>48</v>
      </c>
      <c r="C756">
        <v>189.375</v>
      </c>
      <c r="D756">
        <v>15</v>
      </c>
      <c r="E756" s="18">
        <v>-3427.082308179597</v>
      </c>
      <c r="F756" s="18">
        <v>-293.9518300709575</v>
      </c>
      <c r="G756" s="18">
        <v>-1039.1459504458653</v>
      </c>
    </row>
    <row r="758" spans="2:14" x14ac:dyDescent="0.25">
      <c r="B758">
        <v>49</v>
      </c>
      <c r="C758">
        <v>191.24999999999994</v>
      </c>
      <c r="D758">
        <v>1</v>
      </c>
      <c r="E758" s="18">
        <v>17212.131651709293</v>
      </c>
      <c r="F758" s="18">
        <v>-437.2921604065479</v>
      </c>
      <c r="G758" s="18">
        <v>-2891.0599009281786</v>
      </c>
      <c r="H758" s="12">
        <f>E759</f>
      </c>
      <c r="I758" s="12">
        <f>F759</f>
      </c>
      <c r="J758" s="12">
        <f>G759</f>
      </c>
      <c r="K758">
        <f>IF(AND(Pu&gt;=MIN(E758,H758),Pu&lt;=MAX(E758,H758),E758&lt;&gt;H758),1,0)</f>
      </c>
      <c r="L758">
        <f>IF(K758=1,(Pu-E758)/(H758-E758),"")</f>
      </c>
      <c r="M758" s="12">
        <f>IF(K758=1,F758+L758*(I758-F758),"")</f>
      </c>
      <c r="N758" s="12">
        <f>IF(K758=1,G758+L758*(J758-G758),"")</f>
      </c>
    </row>
    <row r="759" spans="2:14" x14ac:dyDescent="0.25">
      <c r="B759">
        <v>49</v>
      </c>
      <c r="C759">
        <v>191.24999999999994</v>
      </c>
      <c r="D759">
        <v>2</v>
      </c>
      <c r="E759" s="18">
        <v>16519.46012491815</v>
      </c>
      <c r="F759" s="18">
        <v>-431.25216624635067</v>
      </c>
      <c r="G759" s="18">
        <v>-3206.5503609632283</v>
      </c>
      <c r="H759" s="12">
        <f>E760</f>
      </c>
      <c r="I759" s="12">
        <f>F760</f>
      </c>
      <c r="J759" s="12">
        <f>G760</f>
      </c>
      <c r="K759">
        <f>IF(AND(Pu&gt;=MIN(E759,H759),Pu&lt;=MAX(E759,H759),E759&lt;&gt;H759),1,0)</f>
      </c>
      <c r="L759">
        <f>IF(K759=1,(Pu-E759)/(H759-E759),"")</f>
      </c>
      <c r="M759" s="12">
        <f>IF(K759=1,F759+L759*(I759-F759),"")</f>
      </c>
      <c r="N759" s="12">
        <f>IF(K759=1,G759+L759*(J759-G759),"")</f>
      </c>
    </row>
    <row r="760" spans="2:14" x14ac:dyDescent="0.25">
      <c r="B760">
        <v>49</v>
      </c>
      <c r="C760">
        <v>191.24999999999994</v>
      </c>
      <c r="D760">
        <v>3</v>
      </c>
      <c r="E760" s="18">
        <v>14965.487713727654</v>
      </c>
      <c r="F760" s="18">
        <v>-461.07080165811226</v>
      </c>
      <c r="G760" s="18">
        <v>-3769.9120292637895</v>
      </c>
      <c r="H760" s="12">
        <f>E761</f>
      </c>
      <c r="I760" s="12">
        <f>F761</f>
      </c>
      <c r="J760" s="12">
        <f>G761</f>
      </c>
      <c r="K760">
        <f>IF(AND(Pu&gt;=MIN(E760,H760),Pu&lt;=MAX(E760,H760),E760&lt;&gt;H760),1,0)</f>
      </c>
      <c r="L760">
        <f>IF(K760=1,(Pu-E760)/(H760-E760),"")</f>
      </c>
      <c r="M760" s="12">
        <f>IF(K760=1,F760+L760*(I760-F760),"")</f>
      </c>
      <c r="N760" s="12">
        <f>IF(K760=1,G760+L760*(J760-G760),"")</f>
      </c>
    </row>
    <row r="761" spans="2:14" x14ac:dyDescent="0.25">
      <c r="B761">
        <v>49</v>
      </c>
      <c r="C761">
        <v>191.24999999999994</v>
      </c>
      <c r="D761">
        <v>4</v>
      </c>
      <c r="E761" s="18">
        <v>13216.621640242704</v>
      </c>
      <c r="F761" s="18">
        <v>-592.1743745601595</v>
      </c>
      <c r="G761" s="18">
        <v>-4160.790971154465</v>
      </c>
      <c r="H761" s="12">
        <f>E762</f>
      </c>
      <c r="I761" s="12">
        <f>F762</f>
      </c>
      <c r="J761" s="12">
        <f>G762</f>
      </c>
      <c r="K761">
        <f>IF(AND(Pu&gt;=MIN(E761,H761),Pu&lt;=MAX(E761,H761),E761&lt;&gt;H761),1,0)</f>
      </c>
      <c r="L761">
        <f>IF(K761=1,(Pu-E761)/(H761-E761),"")</f>
      </c>
      <c r="M761" s="12">
        <f>IF(K761=1,F761+L761*(I761-F761),"")</f>
      </c>
      <c r="N761" s="12">
        <f>IF(K761=1,G761+L761*(J761-G761),"")</f>
      </c>
    </row>
    <row r="762" spans="2:14" x14ac:dyDescent="0.25">
      <c r="B762">
        <v>49</v>
      </c>
      <c r="C762">
        <v>191.24999999999994</v>
      </c>
      <c r="D762">
        <v>5</v>
      </c>
      <c r="E762" s="18">
        <v>10879.081737460101</v>
      </c>
      <c r="F762" s="18">
        <v>-642.0154648317167</v>
      </c>
      <c r="G762" s="18">
        <v>-4476.362841886771</v>
      </c>
      <c r="H762" s="12">
        <f>E763</f>
      </c>
      <c r="I762" s="12">
        <f>F763</f>
      </c>
      <c r="J762" s="12">
        <f>G763</f>
      </c>
      <c r="K762">
        <f>IF(AND(Pu&gt;=MIN(E762,H762),Pu&lt;=MAX(E762,H762),E762&lt;&gt;H762),1,0)</f>
      </c>
      <c r="L762">
        <f>IF(K762=1,(Pu-E762)/(H762-E762),"")</f>
      </c>
      <c r="M762" s="12">
        <f>IF(K762=1,F762+L762*(I762-F762),"")</f>
      </c>
      <c r="N762" s="12">
        <f>IF(K762=1,G762+L762*(J762-G762),"")</f>
      </c>
    </row>
    <row r="763" spans="2:14" x14ac:dyDescent="0.25">
      <c r="B763">
        <v>49</v>
      </c>
      <c r="C763">
        <v>191.24999999999994</v>
      </c>
      <c r="D763">
        <v>6</v>
      </c>
      <c r="E763" s="18">
        <v>8792.875148562776</v>
      </c>
      <c r="F763" s="18">
        <v>-667.6772366798039</v>
      </c>
      <c r="G763" s="18">
        <v>-4632.46399838557</v>
      </c>
      <c r="H763" s="12">
        <f>E764</f>
      </c>
      <c r="I763" s="12">
        <f>F764</f>
      </c>
      <c r="J763" s="12">
        <f>G764</f>
      </c>
      <c r="K763">
        <f>IF(AND(Pu&gt;=MIN(E763,H763),Pu&lt;=MAX(E763,H763),E763&lt;&gt;H763),1,0)</f>
      </c>
      <c r="L763">
        <f>IF(K763=1,(Pu-E763)/(H763-E763),"")</f>
      </c>
      <c r="M763" s="12">
        <f>IF(K763=1,F763+L763*(I763-F763),"")</f>
      </c>
      <c r="N763" s="12">
        <f>IF(K763=1,G763+L763*(J763-G763),"")</f>
      </c>
    </row>
    <row r="764" spans="2:14" x14ac:dyDescent="0.25">
      <c r="B764">
        <v>49</v>
      </c>
      <c r="C764">
        <v>191.24999999999994</v>
      </c>
      <c r="D764">
        <v>7</v>
      </c>
      <c r="E764" s="18">
        <v>6713.679864579505</v>
      </c>
      <c r="F764" s="18">
        <v>-695.2520996857813</v>
      </c>
      <c r="G764" s="18">
        <v>-5010.392681245933</v>
      </c>
      <c r="H764" s="12">
        <f>E765</f>
      </c>
      <c r="I764" s="12">
        <f>F765</f>
      </c>
      <c r="J764" s="12">
        <f>G765</f>
      </c>
      <c r="K764">
        <f>IF(AND(Pu&gt;=MIN(E764,H764),Pu&lt;=MAX(E764,H764),E764&lt;&gt;H764),1,0)</f>
      </c>
      <c r="L764">
        <f>IF(K764=1,(Pu-E764)/(H764-E764),"")</f>
      </c>
      <c r="M764" s="12">
        <f>IF(K764=1,F764+L764*(I764-F764),"")</f>
      </c>
      <c r="N764" s="12">
        <f>IF(K764=1,G764+L764*(J764-G764),"")</f>
      </c>
    </row>
    <row r="765" spans="2:14" x14ac:dyDescent="0.25">
      <c r="B765">
        <v>49</v>
      </c>
      <c r="C765">
        <v>191.24999999999994</v>
      </c>
      <c r="D765">
        <v>8</v>
      </c>
      <c r="E765" s="18">
        <v>5831.157966474204</v>
      </c>
      <c r="F765" s="18">
        <v>-675.2968230060604</v>
      </c>
      <c r="G765" s="18">
        <v>-5309.470114081759</v>
      </c>
      <c r="H765" s="12">
        <f>E766</f>
      </c>
      <c r="I765" s="12">
        <f>F766</f>
      </c>
      <c r="J765" s="12">
        <f>G766</f>
      </c>
      <c r="K765">
        <f>IF(AND(Pu&gt;=MIN(E765,H765),Pu&lt;=MAX(E765,H765),E765&lt;&gt;H765),1,0)</f>
      </c>
      <c r="L765">
        <f>IF(K765=1,(Pu-E765)/(H765-E765),"")</f>
      </c>
      <c r="M765" s="12">
        <f>IF(K765=1,F765+L765*(I765-F765),"")</f>
      </c>
      <c r="N765" s="12">
        <f>IF(K765=1,G765+L765*(J765-G765),"")</f>
      </c>
    </row>
    <row r="766" spans="2:14" x14ac:dyDescent="0.25">
      <c r="B766">
        <v>49</v>
      </c>
      <c r="C766">
        <v>191.24999999999994</v>
      </c>
      <c r="D766">
        <v>9</v>
      </c>
      <c r="E766" s="18">
        <v>5306.270338386781</v>
      </c>
      <c r="F766" s="18">
        <v>-699.9432678353747</v>
      </c>
      <c r="G766" s="18">
        <v>-5556.215332623594</v>
      </c>
      <c r="H766" s="12">
        <f>E767</f>
      </c>
      <c r="I766" s="12">
        <f>F767</f>
      </c>
      <c r="J766" s="12">
        <f>G767</f>
      </c>
      <c r="K766">
        <f>IF(AND(Pu&gt;=MIN(E766,H766),Pu&lt;=MAX(E766,H766),E766&lt;&gt;H766),1,0)</f>
      </c>
      <c r="L766">
        <f>IF(K766=1,(Pu-E766)/(H766-E766),"")</f>
      </c>
      <c r="M766" s="12">
        <f>IF(K766=1,F766+L766*(I766-F766),"")</f>
      </c>
      <c r="N766" s="12">
        <f>IF(K766=1,G766+L766*(J766-G766),"")</f>
      </c>
    </row>
    <row r="767" spans="2:14" x14ac:dyDescent="0.25">
      <c r="B767">
        <v>49</v>
      </c>
      <c r="C767">
        <v>191.24999999999994</v>
      </c>
      <c r="D767">
        <v>10</v>
      </c>
      <c r="E767" s="18">
        <v>4486.787837789109</v>
      </c>
      <c r="F767" s="18">
        <v>-682.4889259468026</v>
      </c>
      <c r="G767" s="18">
        <v>-5348.582468973015</v>
      </c>
      <c r="H767" s="12">
        <f>E768</f>
      </c>
      <c r="I767" s="12">
        <f>F768</f>
      </c>
      <c r="J767" s="12">
        <f>G768</f>
      </c>
      <c r="K767">
        <f>IF(AND(Pu&gt;=MIN(E767,H767),Pu&lt;=MAX(E767,H767),E767&lt;&gt;H767),1,0)</f>
      </c>
      <c r="L767">
        <f>IF(K767=1,(Pu-E767)/(H767-E767),"")</f>
      </c>
      <c r="M767" s="12">
        <f>IF(K767=1,F767+L767*(I767-F767),"")</f>
      </c>
      <c r="N767" s="12">
        <f>IF(K767=1,G767+L767*(J767-G767),"")</f>
      </c>
    </row>
    <row r="768" spans="2:14" x14ac:dyDescent="0.25">
      <c r="B768">
        <v>49</v>
      </c>
      <c r="C768">
        <v>191.24999999999994</v>
      </c>
      <c r="D768">
        <v>11</v>
      </c>
      <c r="E768" s="18">
        <v>3213.41590859094</v>
      </c>
      <c r="F768" s="18">
        <v>-685.7499813084288</v>
      </c>
      <c r="G768" s="18">
        <v>-4903.049244396635</v>
      </c>
      <c r="H768" s="12">
        <f>E769</f>
      </c>
      <c r="I768" s="12">
        <f>F769</f>
      </c>
      <c r="J768" s="12">
        <f>G769</f>
      </c>
      <c r="K768">
        <f>IF(AND(Pu&gt;=MIN(E768,H768),Pu&lt;=MAX(E768,H768),E768&lt;&gt;H768),1,0)</f>
      </c>
      <c r="L768">
        <f>IF(K768=1,(Pu-E768)/(H768-E768),"")</f>
      </c>
      <c r="M768" s="12">
        <f>IF(K768=1,F768+L768*(I768-F768),"")</f>
      </c>
      <c r="N768" s="12">
        <f>IF(K768=1,G768+L768*(J768-G768),"")</f>
      </c>
    </row>
    <row r="769" spans="2:14" x14ac:dyDescent="0.25">
      <c r="B769">
        <v>49</v>
      </c>
      <c r="C769">
        <v>191.24999999999994</v>
      </c>
      <c r="D769">
        <v>12</v>
      </c>
      <c r="E769" s="18">
        <v>2349.027117606061</v>
      </c>
      <c r="F769" s="18">
        <v>-689.3683325730689</v>
      </c>
      <c r="G769" s="18">
        <v>-4509.293644184413</v>
      </c>
      <c r="H769" s="12">
        <f>E770</f>
      </c>
      <c r="I769" s="12">
        <f>F770</f>
      </c>
      <c r="J769" s="12">
        <f>G770</f>
      </c>
      <c r="K769">
        <f>IF(AND(Pu&gt;=MIN(E769,H769),Pu&lt;=MAX(E769,H769),E769&lt;&gt;H769),1,0)</f>
      </c>
      <c r="L769">
        <f>IF(K769=1,(Pu-E769)/(H769-E769),"")</f>
      </c>
      <c r="M769" s="12">
        <f>IF(K769=1,F769+L769*(I769-F769),"")</f>
      </c>
      <c r="N769" s="12">
        <f>IF(K769=1,G769+L769*(J769-G769),"")</f>
      </c>
    </row>
    <row r="770" spans="2:14" x14ac:dyDescent="0.25">
      <c r="B770">
        <v>49</v>
      </c>
      <c r="C770">
        <v>191.24999999999994</v>
      </c>
      <c r="D770">
        <v>13</v>
      </c>
      <c r="E770" s="18">
        <v>344.2283341995779</v>
      </c>
      <c r="F770" s="18">
        <v>-634.7169232778417</v>
      </c>
      <c r="G770" s="18">
        <v>-3438.974391736205</v>
      </c>
      <c r="H770" s="12">
        <f>E771</f>
      </c>
      <c r="I770" s="12">
        <f>F771</f>
      </c>
      <c r="J770" s="12">
        <f>G771</f>
      </c>
      <c r="K770">
        <f>IF(AND(Pu&gt;=MIN(E770,H770),Pu&lt;=MAX(E770,H770),E770&lt;&gt;H770),1,0)</f>
      </c>
      <c r="L770">
        <f>IF(K770=1,(Pu-E770)/(H770-E770),"")</f>
      </c>
      <c r="M770" s="12">
        <f>IF(K770=1,F770+L770*(I770-F770),"")</f>
      </c>
      <c r="N770" s="12">
        <f>IF(K770=1,G770+L770*(J770-G770),"")</f>
      </c>
    </row>
    <row r="771" spans="2:14" x14ac:dyDescent="0.25">
      <c r="B771">
        <v>49</v>
      </c>
      <c r="C771">
        <v>191.24999999999994</v>
      </c>
      <c r="D771">
        <v>14</v>
      </c>
      <c r="E771" s="18">
        <v>-1093.5867277694513</v>
      </c>
      <c r="F771" s="18">
        <v>-493.6833783719163</v>
      </c>
      <c r="G771" s="18">
        <v>-2575.6755978051797</v>
      </c>
      <c r="H771" s="12">
        <f>E772</f>
      </c>
      <c r="I771" s="12">
        <f>F772</f>
      </c>
      <c r="J771" s="12">
        <f>G772</f>
      </c>
      <c r="K771">
        <f>IF(AND(Pu&gt;=MIN(E771,H771),Pu&lt;=MAX(E771,H771),E771&lt;&gt;H771),1,0)</f>
      </c>
      <c r="L771">
        <f>IF(K771=1,(Pu-E771)/(H771-E771),"")</f>
      </c>
      <c r="M771" s="12">
        <f>IF(K771=1,F771+L771*(I771-F771),"")</f>
      </c>
      <c r="N771" s="12">
        <f>IF(K771=1,G771+L771*(J771-G771),"")</f>
      </c>
    </row>
    <row r="772" spans="2:7" x14ac:dyDescent="0.25">
      <c r="B772">
        <v>49</v>
      </c>
      <c r="C772">
        <v>191.24999999999994</v>
      </c>
      <c r="D772">
        <v>15</v>
      </c>
      <c r="E772" s="18">
        <v>-3610.574019672962</v>
      </c>
      <c r="F772" s="18">
        <v>-299.4289314905262</v>
      </c>
      <c r="G772" s="18">
        <v>-910.562100029779</v>
      </c>
    </row>
    <row r="774" spans="2:14" x14ac:dyDescent="0.25">
      <c r="B774">
        <v>50</v>
      </c>
      <c r="C774">
        <v>195</v>
      </c>
      <c r="D774">
        <v>1</v>
      </c>
      <c r="E774" s="18">
        <v>17396.106570752956</v>
      </c>
      <c r="F774" s="18">
        <v>-579.4296736754595</v>
      </c>
      <c r="G774" s="18">
        <v>-2763.877879608644</v>
      </c>
      <c r="H774" s="12">
        <f>E775</f>
      </c>
      <c r="I774" s="12">
        <f>F775</f>
      </c>
      <c r="J774" s="12">
        <f>G775</f>
      </c>
      <c r="K774">
        <f>IF(AND(Pu&gt;=MIN(E774,H774),Pu&lt;=MAX(E774,H774),E774&lt;&gt;H774),1,0)</f>
      </c>
      <c r="L774">
        <f>IF(K774=1,(Pu-E774)/(H774-E774),"")</f>
      </c>
      <c r="M774" s="12">
        <f>IF(K774=1,F774+L774*(I774-F774),"")</f>
      </c>
      <c r="N774" s="12">
        <f>IF(K774=1,G774+L774*(J774-G774),"")</f>
      </c>
    </row>
    <row r="775" spans="2:14" x14ac:dyDescent="0.25">
      <c r="B775">
        <v>50</v>
      </c>
      <c r="C775">
        <v>195</v>
      </c>
      <c r="D775">
        <v>2</v>
      </c>
      <c r="E775" s="18">
        <v>16626.939329909954</v>
      </c>
      <c r="F775" s="18">
        <v>-582.0306216671495</v>
      </c>
      <c r="G775" s="18">
        <v>-3122.655407199273</v>
      </c>
      <c r="H775" s="12">
        <f>E776</f>
      </c>
      <c r="I775" s="12">
        <f>F776</f>
      </c>
      <c r="J775" s="12">
        <f>G776</f>
      </c>
      <c r="K775">
        <f>IF(AND(Pu&gt;=MIN(E775,H775),Pu&lt;=MAX(E775,H775),E775&lt;&gt;H775),1,0)</f>
      </c>
      <c r="L775">
        <f>IF(K775=1,(Pu-E775)/(H775-E775),"")</f>
      </c>
      <c r="M775" s="12">
        <f>IF(K775=1,F775+L775*(I775-F775),"")</f>
      </c>
      <c r="N775" s="12">
        <f>IF(K775=1,G775+L775*(J775-G775),"")</f>
      </c>
    </row>
    <row r="776" spans="2:14" x14ac:dyDescent="0.25">
      <c r="B776">
        <v>50</v>
      </c>
      <c r="C776">
        <v>195</v>
      </c>
      <c r="D776">
        <v>3</v>
      </c>
      <c r="E776" s="18">
        <v>14973.985384972375</v>
      </c>
      <c r="F776" s="18">
        <v>-618.1362181597364</v>
      </c>
      <c r="G776" s="18">
        <v>-3719.878340891543</v>
      </c>
      <c r="H776" s="12">
        <f>E777</f>
      </c>
      <c r="I776" s="12">
        <f>F777</f>
      </c>
      <c r="J776" s="12">
        <f>G777</f>
      </c>
      <c r="K776">
        <f>IF(AND(Pu&gt;=MIN(E776,H776),Pu&lt;=MAX(E776,H776),E776&lt;&gt;H776),1,0)</f>
      </c>
      <c r="L776">
        <f>IF(K776=1,(Pu-E776)/(H776-E776),"")</f>
      </c>
      <c r="M776" s="12">
        <f>IF(K776=1,F776+L776*(I776-F776),"")</f>
      </c>
      <c r="N776" s="12">
        <f>IF(K776=1,G776+L776*(J776-G776),"")</f>
      </c>
    </row>
    <row r="777" spans="2:14" x14ac:dyDescent="0.25">
      <c r="B777">
        <v>50</v>
      </c>
      <c r="C777">
        <v>195</v>
      </c>
      <c r="D777">
        <v>4</v>
      </c>
      <c r="E777" s="18">
        <v>13193.626987880902</v>
      </c>
      <c r="F777" s="18">
        <v>-777.8633120621788</v>
      </c>
      <c r="G777" s="18">
        <v>-4110.488214651377</v>
      </c>
      <c r="H777" s="12">
        <f>E778</f>
      </c>
      <c r="I777" s="12">
        <f>F778</f>
      </c>
      <c r="J777" s="12">
        <f>G778</f>
      </c>
      <c r="K777">
        <f>IF(AND(Pu&gt;=MIN(E777,H777),Pu&lt;=MAX(E777,H777),E777&lt;&gt;H777),1,0)</f>
      </c>
      <c r="L777">
        <f>IF(K777=1,(Pu-E777)/(H777-E777),"")</f>
      </c>
      <c r="M777" s="12">
        <f>IF(K777=1,F777+L777*(I777-F777),"")</f>
      </c>
      <c r="N777" s="12">
        <f>IF(K777=1,G777+L777*(J777-G777),"")</f>
      </c>
    </row>
    <row r="778" spans="2:14" x14ac:dyDescent="0.25">
      <c r="B778">
        <v>50</v>
      </c>
      <c r="C778">
        <v>195</v>
      </c>
      <c r="D778">
        <v>5</v>
      </c>
      <c r="E778" s="18">
        <v>10869.609998374528</v>
      </c>
      <c r="F778" s="18">
        <v>-862.4058025434072</v>
      </c>
      <c r="G778" s="18">
        <v>-4412.655517154713</v>
      </c>
      <c r="H778" s="12">
        <f>E779</f>
      </c>
      <c r="I778" s="12">
        <f>F779</f>
      </c>
      <c r="J778" s="12">
        <f>G779</f>
      </c>
      <c r="K778">
        <f>IF(AND(Pu&gt;=MIN(E778,H778),Pu&lt;=MAX(E778,H778),E778&lt;&gt;H778),1,0)</f>
      </c>
      <c r="L778">
        <f>IF(K778=1,(Pu-E778)/(H778-E778),"")</f>
      </c>
      <c r="M778" s="12">
        <f>IF(K778=1,F778+L778*(I778-F778),"")</f>
      </c>
      <c r="N778" s="12">
        <f>IF(K778=1,G778+L778*(J778-G778),"")</f>
      </c>
    </row>
    <row r="779" spans="2:14" x14ac:dyDescent="0.25">
      <c r="B779">
        <v>50</v>
      </c>
      <c r="C779">
        <v>195</v>
      </c>
      <c r="D779">
        <v>6</v>
      </c>
      <c r="E779" s="18">
        <v>8734.688734939808</v>
      </c>
      <c r="F779" s="18">
        <v>-893.8606206080422</v>
      </c>
      <c r="G779" s="18">
        <v>-4561.875849733289</v>
      </c>
      <c r="H779" s="12">
        <f>E780</f>
      </c>
      <c r="I779" s="12">
        <f>F780</f>
      </c>
      <c r="J779" s="12">
        <f>G780</f>
      </c>
      <c r="K779">
        <f>IF(AND(Pu&gt;=MIN(E779,H779),Pu&lt;=MAX(E779,H779),E779&lt;&gt;H779),1,0)</f>
      </c>
      <c r="L779">
        <f>IF(K779=1,(Pu-E779)/(H779-E779),"")</f>
      </c>
      <c r="M779" s="12">
        <f>IF(K779=1,F779+L779*(I779-F779),"")</f>
      </c>
      <c r="N779" s="12">
        <f>IF(K779=1,G779+L779*(J779-G779),"")</f>
      </c>
    </row>
    <row r="780" spans="2:14" x14ac:dyDescent="0.25">
      <c r="B780">
        <v>50</v>
      </c>
      <c r="C780">
        <v>195</v>
      </c>
      <c r="D780">
        <v>7</v>
      </c>
      <c r="E780" s="18">
        <v>6706.847717516593</v>
      </c>
      <c r="F780" s="18">
        <v>-908.9184833632903</v>
      </c>
      <c r="G780" s="18">
        <v>-4958.246326976184</v>
      </c>
      <c r="H780" s="12">
        <f>E781</f>
      </c>
      <c r="I780" s="12">
        <f>F781</f>
      </c>
      <c r="J780" s="12">
        <f>G781</f>
      </c>
      <c r="K780">
        <f>IF(AND(Pu&gt;=MIN(E780,H780),Pu&lt;=MAX(E780,H780),E780&lt;&gt;H780),1,0)</f>
      </c>
      <c r="L780">
        <f>IF(K780=1,(Pu-E780)/(H780-E780),"")</f>
      </c>
      <c r="M780" s="12">
        <f>IF(K780=1,F780+L780*(I780-F780),"")</f>
      </c>
      <c r="N780" s="12">
        <f>IF(K780=1,G780+L780*(J780-G780),"")</f>
      </c>
    </row>
    <row r="781" spans="2:14" x14ac:dyDescent="0.25">
      <c r="B781">
        <v>50</v>
      </c>
      <c r="C781">
        <v>195</v>
      </c>
      <c r="D781">
        <v>8</v>
      </c>
      <c r="E781" s="18">
        <v>5800.618413798189</v>
      </c>
      <c r="F781" s="18">
        <v>-899.5876857644422</v>
      </c>
      <c r="G781" s="18">
        <v>-5242.972515638743</v>
      </c>
      <c r="H781" s="12">
        <f>E782</f>
      </c>
      <c r="I781" s="12">
        <f>F782</f>
      </c>
      <c r="J781" s="12">
        <f>G782</f>
      </c>
      <c r="K781">
        <f>IF(AND(Pu&gt;=MIN(E781,H781),Pu&lt;=MAX(E781,H781),E781&lt;&gt;H781),1,0)</f>
      </c>
      <c r="L781">
        <f>IF(K781=1,(Pu-E781)/(H781-E781),"")</f>
      </c>
      <c r="M781" s="12">
        <f>IF(K781=1,F781+L781*(I781-F781),"")</f>
      </c>
      <c r="N781" s="12">
        <f>IF(K781=1,G781+L781*(J781-G781),"")</f>
      </c>
    </row>
    <row r="782" spans="2:14" x14ac:dyDescent="0.25">
      <c r="B782">
        <v>50</v>
      </c>
      <c r="C782">
        <v>195</v>
      </c>
      <c r="D782">
        <v>9</v>
      </c>
      <c r="E782" s="18">
        <v>5190.59433486981</v>
      </c>
      <c r="F782" s="18">
        <v>-941.4781320015701</v>
      </c>
      <c r="G782" s="18">
        <v>-5467.883620355341</v>
      </c>
      <c r="H782" s="12">
        <f>E783</f>
      </c>
      <c r="I782" s="12">
        <f>F783</f>
      </c>
      <c r="J782" s="12">
        <f>G783</f>
      </c>
      <c r="K782">
        <f>IF(AND(Pu&gt;=MIN(E782,H782),Pu&lt;=MAX(E782,H782),E782&lt;&gt;H782),1,0)</f>
      </c>
      <c r="L782">
        <f>IF(K782=1,(Pu-E782)/(H782-E782),"")</f>
      </c>
      <c r="M782" s="12">
        <f>IF(K782=1,F782+L782*(I782-F782),"")</f>
      </c>
      <c r="N782" s="12">
        <f>IF(K782=1,G782+L782*(J782-G782),"")</f>
      </c>
    </row>
    <row r="783" spans="2:14" x14ac:dyDescent="0.25">
      <c r="B783">
        <v>50</v>
      </c>
      <c r="C783">
        <v>195</v>
      </c>
      <c r="D783">
        <v>10</v>
      </c>
      <c r="E783" s="18">
        <v>4312.180659173066</v>
      </c>
      <c r="F783" s="18">
        <v>-921.882990293025</v>
      </c>
      <c r="G783" s="18">
        <v>-5225.148871858852</v>
      </c>
      <c r="H783" s="12">
        <f>E784</f>
      </c>
      <c r="I783" s="12">
        <f>F784</f>
      </c>
      <c r="J783" s="12">
        <f>G784</f>
      </c>
      <c r="K783">
        <f>IF(AND(Pu&gt;=MIN(E783,H783),Pu&lt;=MAX(E783,H783),E783&lt;&gt;H783),1,0)</f>
      </c>
      <c r="L783">
        <f>IF(K783=1,(Pu-E783)/(H783-E783),"")</f>
      </c>
      <c r="M783" s="12">
        <f>IF(K783=1,F783+L783*(I783-F783),"")</f>
      </c>
      <c r="N783" s="12">
        <f>IF(K783=1,G783+L783*(J783-G783),"")</f>
      </c>
    </row>
    <row r="784" spans="2:14" x14ac:dyDescent="0.25">
      <c r="B784">
        <v>50</v>
      </c>
      <c r="C784">
        <v>195</v>
      </c>
      <c r="D784">
        <v>11</v>
      </c>
      <c r="E784" s="18">
        <v>3015.2867777491024</v>
      </c>
      <c r="F784" s="18">
        <v>-909.4053524504542</v>
      </c>
      <c r="G784" s="18">
        <v>-4745.210553116553</v>
      </c>
      <c r="H784" s="12">
        <f>E785</f>
      </c>
      <c r="I784" s="12">
        <f>F785</f>
      </c>
      <c r="J784" s="12">
        <f>G785</f>
      </c>
      <c r="K784">
        <f>IF(AND(Pu&gt;=MIN(E784,H784),Pu&lt;=MAX(E784,H784),E784&lt;&gt;H784),1,0)</f>
      </c>
      <c r="L784">
        <f>IF(K784=1,(Pu-E784)/(H784-E784),"")</f>
      </c>
      <c r="M784" s="12">
        <f>IF(K784=1,F784+L784*(I784-F784),"")</f>
      </c>
      <c r="N784" s="12">
        <f>IF(K784=1,G784+L784*(J784-G784),"")</f>
      </c>
    </row>
    <row r="785" spans="2:14" x14ac:dyDescent="0.25">
      <c r="B785">
        <v>50</v>
      </c>
      <c r="C785">
        <v>195</v>
      </c>
      <c r="D785">
        <v>12</v>
      </c>
      <c r="E785" s="18">
        <v>1978.23689311348</v>
      </c>
      <c r="F785" s="18">
        <v>-900.4860405500606</v>
      </c>
      <c r="G785" s="18">
        <v>-4264.198673383867</v>
      </c>
      <c r="H785" s="12">
        <f>E786</f>
      </c>
      <c r="I785" s="12">
        <f>F786</f>
      </c>
      <c r="J785" s="12">
        <f>G786</f>
      </c>
      <c r="K785">
        <f>IF(AND(Pu&gt;=MIN(E785,H785),Pu&lt;=MAX(E785,H785),E785&lt;&gt;H785),1,0)</f>
      </c>
      <c r="L785">
        <f>IF(K785=1,(Pu-E785)/(H785-E785),"")</f>
      </c>
      <c r="M785" s="12">
        <f>IF(K785=1,F785+L785*(I785-F785),"")</f>
      </c>
      <c r="N785" s="12">
        <f>IF(K785=1,G785+L785*(J785-G785),"")</f>
      </c>
    </row>
    <row r="786" spans="2:14" x14ac:dyDescent="0.25">
      <c r="B786">
        <v>50</v>
      </c>
      <c r="C786">
        <v>195</v>
      </c>
      <c r="D786">
        <v>13</v>
      </c>
      <c r="E786" s="18">
        <v>-80.09316185951113</v>
      </c>
      <c r="F786" s="18">
        <v>-777.3311116508266</v>
      </c>
      <c r="G786" s="18">
        <v>-3138.8072754623004</v>
      </c>
      <c r="H786" s="12">
        <f>E787</f>
      </c>
      <c r="I786" s="12">
        <f>F787</f>
      </c>
      <c r="J786" s="12">
        <f>G787</f>
      </c>
      <c r="K786">
        <f>IF(AND(Pu&gt;=MIN(E786,H786),Pu&lt;=MAX(E786,H786),E786&lt;&gt;H786),1,0)</f>
      </c>
      <c r="L786">
        <f>IF(K786=1,(Pu-E786)/(H786-E786),"")</f>
      </c>
      <c r="M786" s="12">
        <f>IF(K786=1,F786+L786*(I786-F786),"")</f>
      </c>
      <c r="N786" s="12">
        <f>IF(K786=1,G786+L786*(J786-G786),"")</f>
      </c>
    </row>
    <row r="787" spans="2:14" x14ac:dyDescent="0.25">
      <c r="B787">
        <v>50</v>
      </c>
      <c r="C787">
        <v>195</v>
      </c>
      <c r="D787">
        <v>14</v>
      </c>
      <c r="E787" s="18">
        <v>-1514.3820201479814</v>
      </c>
      <c r="F787" s="18">
        <v>-615.3395957419025</v>
      </c>
      <c r="G787" s="18">
        <v>-2266.306239556554</v>
      </c>
      <c r="H787" s="12">
        <f>E788</f>
      </c>
      <c r="I787" s="12">
        <f>F788</f>
      </c>
      <c r="J787" s="12">
        <f>G788</f>
      </c>
      <c r="K787">
        <f>IF(AND(Pu&gt;=MIN(E787,H787),Pu&lt;=MAX(E787,H787),E787&lt;&gt;H787),1,0)</f>
      </c>
      <c r="L787">
        <f>IF(K787=1,(Pu-E787)/(H787-E787),"")</f>
      </c>
      <c r="M787" s="12">
        <f>IF(K787=1,F787+L787*(I787-F787),"")</f>
      </c>
      <c r="N787" s="12">
        <f>IF(K787=1,G787+L787*(J787-G787),"")</f>
      </c>
    </row>
    <row r="788" spans="2:7" x14ac:dyDescent="0.25">
      <c r="B788">
        <v>50</v>
      </c>
      <c r="C788">
        <v>195</v>
      </c>
      <c r="D788">
        <v>15</v>
      </c>
      <c r="E788" s="18">
        <v>-3857.426617095661</v>
      </c>
      <c r="F788" s="18">
        <v>-296.4630531108412</v>
      </c>
      <c r="G788" s="18">
        <v>-737.3919092917507</v>
      </c>
    </row>
    <row r="790" spans="2:14" x14ac:dyDescent="0.25">
      <c r="B790">
        <v>51</v>
      </c>
      <c r="C790">
        <v>198.75</v>
      </c>
      <c r="D790">
        <v>1</v>
      </c>
      <c r="E790" s="18">
        <v>17595.350234139998</v>
      </c>
      <c r="F790" s="18">
        <v>-713.5694762875682</v>
      </c>
      <c r="G790" s="18">
        <v>-2620.3604149080356</v>
      </c>
      <c r="H790" s="12">
        <f>E791</f>
      </c>
      <c r="I790" s="12">
        <f>F791</f>
      </c>
      <c r="J790" s="12">
        <f>G791</f>
      </c>
      <c r="K790">
        <f>IF(AND(Pu&gt;=MIN(E790,H790),Pu&lt;=MAX(E790,H790),E790&lt;&gt;H790),1,0)</f>
      </c>
      <c r="L790">
        <f>IF(K790=1,(Pu-E790)/(H790-E790),"")</f>
      </c>
      <c r="M790" s="12">
        <f>IF(K790=1,F790+L790*(I790-F790),"")</f>
      </c>
      <c r="N790" s="12">
        <f>IF(K790=1,G790+L790*(J790-G790),"")</f>
      </c>
    </row>
    <row r="791" spans="2:14" x14ac:dyDescent="0.25">
      <c r="B791">
        <v>51</v>
      </c>
      <c r="C791">
        <v>198.75</v>
      </c>
      <c r="D791">
        <v>2</v>
      </c>
      <c r="E791" s="18">
        <v>16717.056801764666</v>
      </c>
      <c r="F791" s="18">
        <v>-723.1575758834122</v>
      </c>
      <c r="G791" s="18">
        <v>-3038.583304001599</v>
      </c>
      <c r="H791" s="12">
        <f>E792</f>
      </c>
      <c r="I791" s="12">
        <f>F792</f>
      </c>
      <c r="J791" s="12">
        <f>G792</f>
      </c>
      <c r="K791">
        <f>IF(AND(Pu&gt;=MIN(E791,H791),Pu&lt;=MAX(E791,H791),E791&lt;&gt;H791),1,0)</f>
      </c>
      <c r="L791">
        <f>IF(K791=1,(Pu-E791)/(H791-E791),"")</f>
      </c>
      <c r="M791" s="12">
        <f>IF(K791=1,F791+L791*(I791-F791),"")</f>
      </c>
      <c r="N791" s="12">
        <f>IF(K791=1,G791+L791*(J791-G791),"")</f>
      </c>
    </row>
    <row r="792" spans="2:14" x14ac:dyDescent="0.25">
      <c r="B792">
        <v>51</v>
      </c>
      <c r="C792">
        <v>198.75</v>
      </c>
      <c r="D792">
        <v>3</v>
      </c>
      <c r="E792" s="18">
        <v>14992.086879493487</v>
      </c>
      <c r="F792" s="18">
        <v>-787.1716353099504</v>
      </c>
      <c r="G792" s="18">
        <v>-3655.20853916453</v>
      </c>
      <c r="H792" s="12">
        <f>E793</f>
      </c>
      <c r="I792" s="12">
        <f>F793</f>
      </c>
      <c r="J792" s="12">
        <f>G793</f>
      </c>
      <c r="K792">
        <f>IF(AND(Pu&gt;=MIN(E792,H792),Pu&lt;=MAX(E792,H792),E792&lt;&gt;H792),1,0)</f>
      </c>
      <c r="L792">
        <f>IF(K792=1,(Pu-E792)/(H792-E792),"")</f>
      </c>
      <c r="M792" s="12">
        <f>IF(K792=1,F792+L792*(I792-F792),"")</f>
      </c>
      <c r="N792" s="12">
        <f>IF(K792=1,G792+L792*(J792-G792),"")</f>
      </c>
    </row>
    <row r="793" spans="2:14" x14ac:dyDescent="0.25">
      <c r="B793">
        <v>51</v>
      </c>
      <c r="C793">
        <v>198.75</v>
      </c>
      <c r="D793">
        <v>4</v>
      </c>
      <c r="E793" s="18">
        <v>13139.928457218397</v>
      </c>
      <c r="F793" s="18">
        <v>-969.26189778824</v>
      </c>
      <c r="G793" s="18">
        <v>-4053.1678360255455</v>
      </c>
      <c r="H793" s="12">
        <f>E794</f>
      </c>
      <c r="I793" s="12">
        <f>F794</f>
      </c>
      <c r="J793" s="12">
        <f>G794</f>
      </c>
      <c r="K793">
        <f>IF(AND(Pu&gt;=MIN(E793,H793),Pu&lt;=MAX(E793,H793),E793&lt;&gt;H793),1,0)</f>
      </c>
      <c r="L793">
        <f>IF(K793=1,(Pu-E793)/(H793-E793),"")</f>
      </c>
      <c r="M793" s="12">
        <f>IF(K793=1,F793+L793*(I793-F793),"")</f>
      </c>
      <c r="N793" s="12">
        <f>IF(K793=1,G793+L793*(J793-G793),"")</f>
      </c>
    </row>
    <row r="794" spans="2:14" x14ac:dyDescent="0.25">
      <c r="B794">
        <v>51</v>
      </c>
      <c r="C794">
        <v>198.75</v>
      </c>
      <c r="D794">
        <v>5</v>
      </c>
      <c r="E794" s="18">
        <v>10845.789418349848</v>
      </c>
      <c r="F794" s="18">
        <v>-1080.212396188379</v>
      </c>
      <c r="G794" s="18">
        <v>-4338.9050391011015</v>
      </c>
      <c r="H794" s="12">
        <f>E795</f>
      </c>
      <c r="I794" s="12">
        <f>F795</f>
      </c>
      <c r="J794" s="12">
        <f>G795</f>
      </c>
      <c r="K794">
        <f>IF(AND(Pu&gt;=MIN(E794,H794),Pu&lt;=MAX(E794,H794),E794&lt;&gt;H794),1,0)</f>
      </c>
      <c r="L794">
        <f>IF(K794=1,(Pu-E794)/(H794-E794),"")</f>
      </c>
      <c r="M794" s="12">
        <f>IF(K794=1,F794+L794*(I794-F794),"")</f>
      </c>
      <c r="N794" s="12">
        <f>IF(K794=1,G794+L794*(J794-G794),"")</f>
      </c>
    </row>
    <row r="795" spans="2:14" x14ac:dyDescent="0.25">
      <c r="B795">
        <v>51</v>
      </c>
      <c r="C795">
        <v>198.75</v>
      </c>
      <c r="D795">
        <v>6</v>
      </c>
      <c r="E795" s="18">
        <v>8688.78989375458</v>
      </c>
      <c r="F795" s="18">
        <v>-1116.782914041434</v>
      </c>
      <c r="G795" s="18">
        <v>-4481.197285218685</v>
      </c>
      <c r="H795" s="12">
        <f>E796</f>
      </c>
      <c r="I795" s="12">
        <f>F796</f>
      </c>
      <c r="J795" s="12">
        <f>G796</f>
      </c>
      <c r="K795">
        <f>IF(AND(Pu&gt;=MIN(E795,H795),Pu&lt;=MAX(E795,H795),E795&lt;&gt;H795),1,0)</f>
      </c>
      <c r="L795">
        <f>IF(K795=1,(Pu-E795)/(H795-E795),"")</f>
      </c>
      <c r="M795" s="12">
        <f>IF(K795=1,F795+L795*(I795-F795),"")</f>
      </c>
      <c r="N795" s="12">
        <f>IF(K795=1,G795+L795*(J795-G795),"")</f>
      </c>
    </row>
    <row r="796" spans="2:14" x14ac:dyDescent="0.25">
      <c r="B796">
        <v>51</v>
      </c>
      <c r="C796">
        <v>198.75</v>
      </c>
      <c r="D796">
        <v>7</v>
      </c>
      <c r="E796" s="18">
        <v>6700.069746421679</v>
      </c>
      <c r="F796" s="18">
        <v>-1125.9038324199769</v>
      </c>
      <c r="G796" s="18">
        <v>-4894.814414058232</v>
      </c>
      <c r="H796" s="12">
        <f>E797</f>
      </c>
      <c r="I796" s="12">
        <f>F797</f>
      </c>
      <c r="J796" s="12">
        <f>G797</f>
      </c>
      <c r="K796">
        <f>IF(AND(Pu&gt;=MIN(E796,H796),Pu&lt;=MAX(E796,H796),E796&lt;&gt;H796),1,0)</f>
      </c>
      <c r="L796">
        <f>IF(K796=1,(Pu-E796)/(H796-E796),"")</f>
      </c>
      <c r="M796" s="12">
        <f>IF(K796=1,F796+L796*(I796-F796),"")</f>
      </c>
      <c r="N796" s="12">
        <f>IF(K796=1,G796+L796*(J796-G796),"")</f>
      </c>
    </row>
    <row r="797" spans="2:14" x14ac:dyDescent="0.25">
      <c r="B797">
        <v>51</v>
      </c>
      <c r="C797">
        <v>198.75</v>
      </c>
      <c r="D797">
        <v>8</v>
      </c>
      <c r="E797" s="18">
        <v>5750.745338105922</v>
      </c>
      <c r="F797" s="18">
        <v>-1136.8258599608723</v>
      </c>
      <c r="G797" s="18">
        <v>-5153.444512385511</v>
      </c>
      <c r="H797" s="12">
        <f>E798</f>
      </c>
      <c r="I797" s="12">
        <f>F798</f>
      </c>
      <c r="J797" s="12">
        <f>G798</f>
      </c>
      <c r="K797">
        <f>IF(AND(Pu&gt;=MIN(E797,H797),Pu&lt;=MAX(E797,H797),E797&lt;&gt;H797),1,0)</f>
      </c>
      <c r="L797">
        <f>IF(K797=1,(Pu-E797)/(H797-E797),"")</f>
      </c>
      <c r="M797" s="12">
        <f>IF(K797=1,F797+L797*(I797-F797),"")</f>
      </c>
      <c r="N797" s="12">
        <f>IF(K797=1,G797+L797*(J797-G797),"")</f>
      </c>
    </row>
    <row r="798" spans="2:14" x14ac:dyDescent="0.25">
      <c r="B798">
        <v>51</v>
      </c>
      <c r="C798">
        <v>198.75</v>
      </c>
      <c r="D798">
        <v>9</v>
      </c>
      <c r="E798" s="18">
        <v>5019.642534826676</v>
      </c>
      <c r="F798" s="18">
        <v>-1190.820397424218</v>
      </c>
      <c r="G798" s="18">
        <v>-5338.795816749516</v>
      </c>
      <c r="H798" s="12">
        <f>E799</f>
      </c>
      <c r="I798" s="12">
        <f>F799</f>
      </c>
      <c r="J798" s="12">
        <f>G799</f>
      </c>
      <c r="K798">
        <f>IF(AND(Pu&gt;=MIN(E798,H798),Pu&lt;=MAX(E798,H798),E798&lt;&gt;H798),1,0)</f>
      </c>
      <c r="L798">
        <f>IF(K798=1,(Pu-E798)/(H798-E798),"")</f>
      </c>
      <c r="M798" s="12">
        <f>IF(K798=1,F798+L798*(I798-F798),"")</f>
      </c>
      <c r="N798" s="12">
        <f>IF(K798=1,G798+L798*(J798-G798),"")</f>
      </c>
    </row>
    <row r="799" spans="2:14" x14ac:dyDescent="0.25">
      <c r="B799">
        <v>51</v>
      </c>
      <c r="C799">
        <v>198.75</v>
      </c>
      <c r="D799">
        <v>10</v>
      </c>
      <c r="E799" s="18">
        <v>4150.9468418966835</v>
      </c>
      <c r="F799" s="18">
        <v>-1170.16418398475</v>
      </c>
      <c r="G799" s="18">
        <v>-5077.994823094118</v>
      </c>
      <c r="H799" s="12">
        <f>E800</f>
      </c>
      <c r="I799" s="12">
        <f>F800</f>
      </c>
      <c r="J799" s="12">
        <f>G800</f>
      </c>
      <c r="K799">
        <f>IF(AND(Pu&gt;=MIN(E799,H799),Pu&lt;=MAX(E799,H799),E799&lt;&gt;H799),1,0)</f>
      </c>
      <c r="L799">
        <f>IF(K799=1,(Pu-E799)/(H799-E799),"")</f>
      </c>
      <c r="M799" s="12">
        <f>IF(K799=1,F799+L799*(I799-F799),"")</f>
      </c>
      <c r="N799" s="12">
        <f>IF(K799=1,G799+L799*(J799-G799),"")</f>
      </c>
    </row>
    <row r="800" spans="2:14" x14ac:dyDescent="0.25">
      <c r="B800">
        <v>51</v>
      </c>
      <c r="C800">
        <v>198.75</v>
      </c>
      <c r="D800">
        <v>11</v>
      </c>
      <c r="E800" s="18">
        <v>2779.805066011054</v>
      </c>
      <c r="F800" s="18">
        <v>-1128.7737141979264</v>
      </c>
      <c r="G800" s="18">
        <v>-4555.258927925309</v>
      </c>
      <c r="H800" s="12">
        <f>E801</f>
      </c>
      <c r="I800" s="12">
        <f>F801</f>
      </c>
      <c r="J800" s="12">
        <f>G801</f>
      </c>
      <c r="K800">
        <f>IF(AND(Pu&gt;=MIN(E800,H800),Pu&lt;=MAX(E800,H800),E800&lt;&gt;H800),1,0)</f>
      </c>
      <c r="L800">
        <f>IF(K800=1,(Pu-E800)/(H800-E800),"")</f>
      </c>
      <c r="M800" s="12">
        <f>IF(K800=1,F800+L800*(I800-F800),"")</f>
      </c>
      <c r="N800" s="12">
        <f>IF(K800=1,G800+L800*(J800-G800),"")</f>
      </c>
    </row>
    <row r="801" spans="2:14" x14ac:dyDescent="0.25">
      <c r="B801">
        <v>51</v>
      </c>
      <c r="C801">
        <v>198.75</v>
      </c>
      <c r="D801">
        <v>12</v>
      </c>
      <c r="E801" s="18">
        <v>1614.4409700347283</v>
      </c>
      <c r="F801" s="18">
        <v>-1102.3109744513824</v>
      </c>
      <c r="G801" s="18">
        <v>-4008.5794639041533</v>
      </c>
      <c r="H801" s="12">
        <f>E802</f>
      </c>
      <c r="I801" s="12">
        <f>F802</f>
      </c>
      <c r="J801" s="12">
        <f>G802</f>
      </c>
      <c r="K801">
        <f>IF(AND(Pu&gt;=MIN(E801,H801),Pu&lt;=MAX(E801,H801),E801&lt;&gt;H801),1,0)</f>
      </c>
      <c r="L801">
        <f>IF(K801=1,(Pu-E801)/(H801-E801),"")</f>
      </c>
      <c r="M801" s="12">
        <f>IF(K801=1,F801+L801*(I801-F801),"")</f>
      </c>
      <c r="N801" s="12">
        <f>IF(K801=1,G801+L801*(J801-G801),"")</f>
      </c>
    </row>
    <row r="802" spans="2:14" x14ac:dyDescent="0.25">
      <c r="B802">
        <v>51</v>
      </c>
      <c r="C802">
        <v>198.75</v>
      </c>
      <c r="D802">
        <v>13</v>
      </c>
      <c r="E802" s="18">
        <v>-464.65056098784925</v>
      </c>
      <c r="F802" s="18">
        <v>-901.6161692666728</v>
      </c>
      <c r="G802" s="18">
        <v>-2855.727328132507</v>
      </c>
      <c r="H802" s="12">
        <f>E803</f>
      </c>
      <c r="I802" s="12">
        <f>F803</f>
      </c>
      <c r="J802" s="12">
        <f>G803</f>
      </c>
      <c r="K802">
        <f>IF(AND(Pu&gt;=MIN(E802,H802),Pu&lt;=MAX(E802,H802),E802&lt;&gt;H802),1,0)</f>
      </c>
      <c r="L802">
        <f>IF(K802=1,(Pu-E802)/(H802-E802),"")</f>
      </c>
      <c r="M802" s="12">
        <f>IF(K802=1,F802+L802*(I802-F802),"")</f>
      </c>
      <c r="N802" s="12">
        <f>IF(K802=1,G802+L802*(J802-G802),"")</f>
      </c>
    </row>
    <row r="803" spans="2:14" x14ac:dyDescent="0.25">
      <c r="B803">
        <v>51</v>
      </c>
      <c r="C803">
        <v>198.75</v>
      </c>
      <c r="D803">
        <v>14</v>
      </c>
      <c r="E803" s="18">
        <v>-1817.8622236658107</v>
      </c>
      <c r="F803" s="18">
        <v>-698.3638953331845</v>
      </c>
      <c r="G803" s="18">
        <v>-2037.1919026700887</v>
      </c>
      <c r="H803" s="12">
        <f>E804</f>
      </c>
      <c r="I803" s="12">
        <f>F804</f>
      </c>
      <c r="J803" s="12">
        <f>G804</f>
      </c>
      <c r="K803">
        <f>IF(AND(Pu&gt;=MIN(E803,H803),Pu&lt;=MAX(E803,H803),E803&lt;&gt;H803),1,0)</f>
      </c>
      <c r="L803">
        <f>IF(K803=1,(Pu-E803)/(H803-E803),"")</f>
      </c>
      <c r="M803" s="12">
        <f>IF(K803=1,F803+L803*(I803-F803),"")</f>
      </c>
      <c r="N803" s="12">
        <f>IF(K803=1,G803+L803*(J803-G803),"")</f>
      </c>
    </row>
    <row r="804" spans="2:7" x14ac:dyDescent="0.25">
      <c r="B804">
        <v>51</v>
      </c>
      <c r="C804">
        <v>198.75</v>
      </c>
      <c r="D804">
        <v>15</v>
      </c>
      <c r="E804" s="18">
        <v>-3952.1157063605883</v>
      </c>
      <c r="F804" s="18">
        <v>-293.7587097145544</v>
      </c>
      <c r="G804" s="18">
        <v>-668.857979326865</v>
      </c>
    </row>
    <row r="806" spans="2:14" x14ac:dyDescent="0.25">
      <c r="B806">
        <v>52</v>
      </c>
      <c r="C806">
        <v>202.50000000000003</v>
      </c>
      <c r="D806">
        <v>1</v>
      </c>
      <c r="E806" s="18">
        <v>16802.191009544775</v>
      </c>
      <c r="F806" s="18">
        <v>-865.2030510494847</v>
      </c>
      <c r="G806" s="18">
        <v>-2942.0661834077196</v>
      </c>
      <c r="H806" s="12">
        <f>E807</f>
      </c>
      <c r="I806" s="12">
        <f>F807</f>
      </c>
      <c r="J806" s="12">
        <f>G807</f>
      </c>
      <c r="K806">
        <f>IF(AND(Pu&gt;=MIN(E806,H806),Pu&lt;=MAX(E806,H806),E806&lt;&gt;H806),1,0)</f>
      </c>
      <c r="L806">
        <f>IF(K806=1,(Pu-E806)/(H806-E806),"")</f>
      </c>
      <c r="M806" s="12">
        <f>IF(K806=1,F806+L806*(I806-F806),"")</f>
      </c>
      <c r="N806" s="12">
        <f>IF(K806=1,G806+L806*(J806-G806),"")</f>
      </c>
    </row>
    <row r="807" spans="2:14" x14ac:dyDescent="0.25">
      <c r="B807">
        <v>52</v>
      </c>
      <c r="C807">
        <v>202.50000000000003</v>
      </c>
      <c r="D807">
        <v>2</v>
      </c>
      <c r="E807" s="18">
        <v>15007.29248169634</v>
      </c>
      <c r="F807" s="18">
        <v>-962.5521155460322</v>
      </c>
      <c r="G807" s="18">
        <v>-3579.484973932545</v>
      </c>
      <c r="H807" s="12">
        <f>E808</f>
      </c>
      <c r="I807" s="12">
        <f>F808</f>
      </c>
      <c r="J807" s="12">
        <f>G808</f>
      </c>
      <c r="K807">
        <f>IF(AND(Pu&gt;=MIN(E807,H807),Pu&lt;=MAX(E807,H807),E807&lt;&gt;H807),1,0)</f>
      </c>
      <c r="L807">
        <f>IF(K807=1,(Pu-E807)/(H807-E807),"")</f>
      </c>
      <c r="M807" s="12">
        <f>IF(K807=1,F807+L807*(I807-F807),"")</f>
      </c>
      <c r="N807" s="12">
        <f>IF(K807=1,G807+L807*(J807-G807),"")</f>
      </c>
    </row>
    <row r="808" spans="2:14" x14ac:dyDescent="0.25">
      <c r="B808">
        <v>52</v>
      </c>
      <c r="C808">
        <v>202.50000000000003</v>
      </c>
      <c r="D808">
        <v>3</v>
      </c>
      <c r="E808" s="18">
        <v>13075.220891441473</v>
      </c>
      <c r="F808" s="18">
        <v>-1162.7810816266563</v>
      </c>
      <c r="G808" s="18">
        <v>-3982.9577831902784</v>
      </c>
      <c r="H808" s="12">
        <f>E809</f>
      </c>
      <c r="I808" s="12">
        <f>F809</f>
      </c>
      <c r="J808" s="12">
        <f>G809</f>
      </c>
      <c r="K808">
        <f>IF(AND(Pu&gt;=MIN(E808,H808),Pu&lt;=MAX(E808,H808),E808&lt;&gt;H808),1,0)</f>
      </c>
      <c r="L808">
        <f>IF(K808=1,(Pu-E808)/(H808-E808),"")</f>
      </c>
      <c r="M808" s="12">
        <f>IF(K808=1,F808+L808*(I808-F808),"")</f>
      </c>
      <c r="N808" s="12">
        <f>IF(K808=1,G808+L808*(J808-G808),"")</f>
      </c>
    </row>
    <row r="809" spans="2:14" x14ac:dyDescent="0.25">
      <c r="B809">
        <v>52</v>
      </c>
      <c r="C809">
        <v>202.50000000000003</v>
      </c>
      <c r="D809">
        <v>4</v>
      </c>
      <c r="E809" s="18">
        <v>10833.439598953879</v>
      </c>
      <c r="F809" s="18">
        <v>-1311.7332308944547</v>
      </c>
      <c r="G809" s="18">
        <v>-4247.617279107656</v>
      </c>
      <c r="H809" s="12">
        <f>E810</f>
      </c>
      <c r="I809" s="12">
        <f>F810</f>
      </c>
      <c r="J809" s="12">
        <f>G810</f>
      </c>
      <c r="K809">
        <f>IF(AND(Pu&gt;=MIN(E809,H809),Pu&lt;=MAX(E809,H809),E809&lt;&gt;H809),1,0)</f>
      </c>
      <c r="L809">
        <f>IF(K809=1,(Pu-E809)/(H809-E809),"")</f>
      </c>
      <c r="M809" s="12">
        <f>IF(K809=1,F809+L809*(I809-F809),"")</f>
      </c>
      <c r="N809" s="12">
        <f>IF(K809=1,G809+L809*(J809-G809),"")</f>
      </c>
    </row>
    <row r="810" spans="2:14" x14ac:dyDescent="0.25">
      <c r="B810">
        <v>52</v>
      </c>
      <c r="C810">
        <v>202.50000000000003</v>
      </c>
      <c r="D810">
        <v>5</v>
      </c>
      <c r="E810" s="18">
        <v>8660.155100207083</v>
      </c>
      <c r="F810" s="18">
        <v>-1343.5847581048513</v>
      </c>
      <c r="G810" s="18">
        <v>-4388.265007291908</v>
      </c>
      <c r="H810" s="12">
        <f>E811</f>
      </c>
      <c r="I810" s="12">
        <f>F811</f>
      </c>
      <c r="J810" s="12">
        <f>G811</f>
      </c>
      <c r="K810">
        <f>IF(AND(Pu&gt;=MIN(E810,H810),Pu&lt;=MAX(E810,H810),E810&lt;&gt;H810),1,0)</f>
      </c>
      <c r="L810">
        <f>IF(K810=1,(Pu-E810)/(H810-E810),"")</f>
      </c>
      <c r="M810" s="12">
        <f>IF(K810=1,F810+L810*(I810-F810),"")</f>
      </c>
      <c r="N810" s="12">
        <f>IF(K810=1,G810+L810*(J810-G810),"")</f>
      </c>
    </row>
    <row r="811" spans="2:14" x14ac:dyDescent="0.25">
      <c r="B811">
        <v>52</v>
      </c>
      <c r="C811">
        <v>202.50000000000003</v>
      </c>
      <c r="D811">
        <v>6</v>
      </c>
      <c r="E811" s="18">
        <v>6691.30754574531</v>
      </c>
      <c r="F811" s="18">
        <v>-1333.6175265229497</v>
      </c>
      <c r="G811" s="18">
        <v>-4822.637017948086</v>
      </c>
      <c r="H811" s="12">
        <f>E812</f>
      </c>
      <c r="I811" s="12">
        <f>F812</f>
      </c>
      <c r="J811" s="12">
        <f>G812</f>
      </c>
      <c r="K811">
        <f>IF(AND(Pu&gt;=MIN(E811,H811),Pu&lt;=MAX(E811,H811),E811&lt;&gt;H811),1,0)</f>
      </c>
      <c r="L811">
        <f>IF(K811=1,(Pu-E811)/(H811-E811),"")</f>
      </c>
      <c r="M811" s="12">
        <f>IF(K811=1,F811+L811*(I811-F811),"")</f>
      </c>
      <c r="N811" s="12">
        <f>IF(K811=1,G811+L811*(J811-G811),"")</f>
      </c>
    </row>
    <row r="812" spans="2:14" x14ac:dyDescent="0.25">
      <c r="B812">
        <v>52</v>
      </c>
      <c r="C812">
        <v>202.50000000000003</v>
      </c>
      <c r="D812">
        <v>7</v>
      </c>
      <c r="E812" s="18">
        <v>5677.316190257448</v>
      </c>
      <c r="F812" s="18">
        <v>-1382.9185662743055</v>
      </c>
      <c r="G812" s="18">
        <v>-5035.454405287944</v>
      </c>
      <c r="H812" s="12">
        <f>E813</f>
      </c>
      <c r="I812" s="12">
        <f>F813</f>
      </c>
      <c r="J812" s="12">
        <f>G813</f>
      </c>
      <c r="K812">
        <f>IF(AND(Pu&gt;=MIN(E812,H812),Pu&lt;=MAX(E812,H812),E812&lt;&gt;H812),1,0)</f>
      </c>
      <c r="L812">
        <f>IF(K812=1,(Pu-E812)/(H812-E812),"")</f>
      </c>
      <c r="M812" s="12">
        <f>IF(K812=1,F812+L812*(I812-F812),"")</f>
      </c>
      <c r="N812" s="12">
        <f>IF(K812=1,G812+L812*(J812-G812),"")</f>
      </c>
    </row>
    <row r="813" spans="2:14" x14ac:dyDescent="0.25">
      <c r="B813">
        <v>52</v>
      </c>
      <c r="C813">
        <v>202.50000000000003</v>
      </c>
      <c r="D813">
        <v>8</v>
      </c>
      <c r="E813" s="18">
        <v>4891.244997979238</v>
      </c>
      <c r="F813" s="18">
        <v>-1435.9711198830155</v>
      </c>
      <c r="G813" s="18">
        <v>-5198.528634661525</v>
      </c>
      <c r="H813" s="12">
        <f>E814</f>
      </c>
      <c r="I813" s="12">
        <f>F814</f>
      </c>
      <c r="J813" s="12">
        <f>G814</f>
      </c>
      <c r="K813">
        <f>IF(AND(Pu&gt;=MIN(E813,H813),Pu&lt;=MAX(E813,H813),E813&lt;&gt;H813),1,0)</f>
      </c>
      <c r="L813">
        <f>IF(K813=1,(Pu-E813)/(H813-E813),"")</f>
      </c>
      <c r="M813" s="12">
        <f>IF(K813=1,F813+L813*(I813-F813),"")</f>
      </c>
      <c r="N813" s="12">
        <f>IF(K813=1,G813+L813*(J813-G813),"")</f>
      </c>
    </row>
    <row r="814" spans="2:14" x14ac:dyDescent="0.25">
      <c r="B814">
        <v>52</v>
      </c>
      <c r="C814">
        <v>202.50000000000003</v>
      </c>
      <c r="D814">
        <v>9</v>
      </c>
      <c r="E814" s="18">
        <v>3991.7796150169534</v>
      </c>
      <c r="F814" s="18">
        <v>-1406.2039563092965</v>
      </c>
      <c r="G814" s="18">
        <v>-4918.988182740224</v>
      </c>
      <c r="H814" s="12">
        <f>E815</f>
      </c>
      <c r="I814" s="12">
        <f>F815</f>
      </c>
      <c r="J814" s="12">
        <f>G815</f>
      </c>
      <c r="K814">
        <f>IF(AND(Pu&gt;=MIN(E814,H814),Pu&lt;=MAX(E814,H814),E814&lt;&gt;H814),1,0)</f>
      </c>
      <c r="L814">
        <f>IF(K814=1,(Pu-E814)/(H814-E814),"")</f>
      </c>
      <c r="M814" s="12">
        <f>IF(K814=1,F814+L814*(I814-F814),"")</f>
      </c>
      <c r="N814" s="12">
        <f>IF(K814=1,G814+L814*(J814-G814),"")</f>
      </c>
    </row>
    <row r="815" spans="2:14" x14ac:dyDescent="0.25">
      <c r="B815">
        <v>52</v>
      </c>
      <c r="C815">
        <v>202.50000000000003</v>
      </c>
      <c r="D815">
        <v>10</v>
      </c>
      <c r="E815" s="18">
        <v>2526.0523915179087</v>
      </c>
      <c r="F815" s="18">
        <v>-1340.3330785459204</v>
      </c>
      <c r="G815" s="18">
        <v>-4345.226610139158</v>
      </c>
      <c r="H815" s="12">
        <f>E816</f>
      </c>
      <c r="I815" s="12">
        <f>F816</f>
      </c>
      <c r="J815" s="12">
        <f>G816</f>
      </c>
      <c r="K815">
        <f>IF(AND(Pu&gt;=MIN(E815,H815),Pu&lt;=MAX(E815,H815),E815&lt;&gt;H815),1,0)</f>
      </c>
      <c r="L815">
        <f>IF(K815=1,(Pu-E815)/(H815-E815),"")</f>
      </c>
      <c r="M815" s="12">
        <f>IF(K815=1,F815+L815*(I815-F815),"")</f>
      </c>
      <c r="N815" s="12">
        <f>IF(K815=1,G815+L815*(J815-G815),"")</f>
      </c>
    </row>
    <row r="816" spans="2:14" x14ac:dyDescent="0.25">
      <c r="B816">
        <v>52</v>
      </c>
      <c r="C816">
        <v>202.50000000000003</v>
      </c>
      <c r="D816">
        <v>11</v>
      </c>
      <c r="E816" s="18">
        <v>1320.7295542762927</v>
      </c>
      <c r="F816" s="18">
        <v>-1256.60162012153</v>
      </c>
      <c r="G816" s="18">
        <v>-3775.7636563528686</v>
      </c>
      <c r="H816" s="12">
        <f>E817</f>
      </c>
      <c r="I816" s="12">
        <f>F817</f>
      </c>
      <c r="J816" s="12">
        <f>G817</f>
      </c>
      <c r="K816">
        <f>IF(AND(Pu&gt;=MIN(E816,H816),Pu&lt;=MAX(E816,H816),E816&lt;&gt;H816),1,0)</f>
      </c>
      <c r="L816">
        <f>IF(K816=1,(Pu-E816)/(H816-E816),"")</f>
      </c>
      <c r="M816" s="12">
        <f>IF(K816=1,F816+L816*(I816-F816),"")</f>
      </c>
      <c r="N816" s="12">
        <f>IF(K816=1,G816+L816*(J816-G816),"")</f>
      </c>
    </row>
    <row r="817" spans="2:14" x14ac:dyDescent="0.25">
      <c r="B817">
        <v>52</v>
      </c>
      <c r="C817">
        <v>202.50000000000003</v>
      </c>
      <c r="D817">
        <v>12</v>
      </c>
      <c r="E817" s="18">
        <v>-718.2537779196911</v>
      </c>
      <c r="F817" s="18">
        <v>-990.5468081860513</v>
      </c>
      <c r="G817" s="18">
        <v>-2658.158591189999</v>
      </c>
      <c r="H817" s="12">
        <f>E818</f>
      </c>
      <c r="I817" s="12">
        <f>F818</f>
      </c>
      <c r="J817" s="12">
        <f>G818</f>
      </c>
      <c r="K817">
        <f>IF(AND(Pu&gt;=MIN(E817,H817),Pu&lt;=MAX(E817,H817),E817&lt;&gt;H817),1,0)</f>
      </c>
      <c r="L817">
        <f>IF(K817=1,(Pu-E817)/(H817-E817),"")</f>
      </c>
      <c r="M817" s="12">
        <f>IF(K817=1,F817+L817*(I817-F817),"")</f>
      </c>
      <c r="N817" s="12">
        <f>IF(K817=1,G817+L817*(J817-G817),"")</f>
      </c>
    </row>
    <row r="818" spans="2:14" x14ac:dyDescent="0.25">
      <c r="B818">
        <v>52</v>
      </c>
      <c r="C818">
        <v>202.50000000000003</v>
      </c>
      <c r="D818">
        <v>13</v>
      </c>
      <c r="E818" s="18">
        <v>-2043.8499721972469</v>
      </c>
      <c r="F818" s="18">
        <v>-768.395320658059</v>
      </c>
      <c r="G818" s="18">
        <v>-1860.830974136151</v>
      </c>
      <c r="H818" s="12">
        <f>E819</f>
      </c>
      <c r="I818" s="12">
        <f>F819</f>
      </c>
      <c r="J818" s="12">
        <f>G819</f>
      </c>
      <c r="K818">
        <f>IF(AND(Pu&gt;=MIN(E818,H818),Pu&lt;=MAX(E818,H818),E818&lt;&gt;H818),1,0)</f>
      </c>
      <c r="L818">
        <f>IF(K818=1,(Pu-E818)/(H818-E818),"")</f>
      </c>
      <c r="M818" s="12">
        <f>IF(K818=1,F818+L818*(I818-F818),"")</f>
      </c>
      <c r="N818" s="12">
        <f>IF(K818=1,G818+L818*(J818-G818),"")</f>
      </c>
    </row>
    <row r="819" spans="2:7" x14ac:dyDescent="0.25">
      <c r="B819">
        <v>52</v>
      </c>
      <c r="C819">
        <v>202.50000000000003</v>
      </c>
      <c r="D819">
        <v>14</v>
      </c>
      <c r="E819" s="18">
        <v>-4033.744396808368</v>
      </c>
      <c r="F819" s="18">
        <v>-292.25798112808263</v>
      </c>
      <c r="G819" s="18">
        <v>-609.0838507623969</v>
      </c>
    </row>
    <row r="821" spans="2:14" x14ac:dyDescent="0.25">
      <c r="B821">
        <v>53</v>
      </c>
      <c r="C821">
        <v>209.99999999999997</v>
      </c>
      <c r="D821">
        <v>1</v>
      </c>
      <c r="E821" s="18">
        <v>16998.009337410247</v>
      </c>
      <c r="F821" s="18">
        <v>-1133.6483233342221</v>
      </c>
      <c r="G821" s="18">
        <v>-2709.872655296522</v>
      </c>
      <c r="H821" s="12">
        <f>E822</f>
      </c>
      <c r="I821" s="12">
        <f>F822</f>
      </c>
      <c r="J821" s="12">
        <f>G822</f>
      </c>
      <c r="K821">
        <f>IF(AND(Pu&gt;=MIN(E821,H821),Pu&lt;=MAX(E821,H821),E821&lt;&gt;H821),1,0)</f>
      </c>
      <c r="L821">
        <f>IF(K821=1,(Pu-E821)/(H821-E821),"")</f>
      </c>
      <c r="M821" s="12">
        <f>IF(K821=1,F821+L821*(I821-F821),"")</f>
      </c>
      <c r="N821" s="12">
        <f>IF(K821=1,G821+L821*(J821-G821),"")</f>
      </c>
    </row>
    <row r="822" spans="2:14" x14ac:dyDescent="0.25">
      <c r="B822">
        <v>53</v>
      </c>
      <c r="C822">
        <v>209.99999999999997</v>
      </c>
      <c r="D822">
        <v>2</v>
      </c>
      <c r="E822" s="18">
        <v>15021.685687512978</v>
      </c>
      <c r="F822" s="18">
        <v>-1322.3102911534027</v>
      </c>
      <c r="G822" s="18">
        <v>-3396.3693219095753</v>
      </c>
      <c r="H822" s="12">
        <f>E823</f>
      </c>
      <c r="I822" s="12">
        <f>F823</f>
      </c>
      <c r="J822" s="12">
        <f>G823</f>
      </c>
      <c r="K822">
        <f>IF(AND(Pu&gt;=MIN(E822,H822),Pu&lt;=MAX(E822,H822),E822&lt;&gt;H822),1,0)</f>
      </c>
      <c r="L822">
        <f>IF(K822=1,(Pu-E822)/(H822-E822),"")</f>
      </c>
      <c r="M822" s="12">
        <f>IF(K822=1,F822+L822*(I822-F822),"")</f>
      </c>
      <c r="N822" s="12">
        <f>IF(K822=1,G822+L822*(J822-G822),"")</f>
      </c>
    </row>
    <row r="823" spans="2:14" x14ac:dyDescent="0.25">
      <c r="B823">
        <v>53</v>
      </c>
      <c r="C823">
        <v>209.99999999999997</v>
      </c>
      <c r="D823">
        <v>3</v>
      </c>
      <c r="E823" s="18">
        <v>12917.191162616706</v>
      </c>
      <c r="F823" s="18">
        <v>-1568.6732710273857</v>
      </c>
      <c r="G823" s="18">
        <v>-3801.681556680441</v>
      </c>
      <c r="H823" s="12">
        <f>E824</f>
      </c>
      <c r="I823" s="12">
        <f>F824</f>
      </c>
      <c r="J823" s="12">
        <f>G824</f>
      </c>
      <c r="K823">
        <f>IF(AND(Pu&gt;=MIN(E823,H823),Pu&lt;=MAX(E823,H823),E823&lt;&gt;H823),1,0)</f>
      </c>
      <c r="L823">
        <f>IF(K823=1,(Pu-E823)/(H823-E823),"")</f>
      </c>
      <c r="M823" s="12">
        <f>IF(K823=1,F823+L823*(I823-F823),"")</f>
      </c>
      <c r="N823" s="12">
        <f>IF(K823=1,G823+L823*(J823-G823),"")</f>
      </c>
    </row>
    <row r="824" spans="2:14" x14ac:dyDescent="0.25">
      <c r="B824">
        <v>53</v>
      </c>
      <c r="C824">
        <v>209.99999999999997</v>
      </c>
      <c r="D824">
        <v>4</v>
      </c>
      <c r="E824" s="18">
        <v>10727.012526339862</v>
      </c>
      <c r="F824" s="18">
        <v>-1769.9478393561374</v>
      </c>
      <c r="G824" s="18">
        <v>-4024.5058086536574</v>
      </c>
      <c r="H824" s="12">
        <f>E825</f>
      </c>
      <c r="I824" s="12">
        <f>F825</f>
      </c>
      <c r="J824" s="12">
        <f>G825</f>
      </c>
      <c r="K824">
        <f>IF(AND(Pu&gt;=MIN(E824,H824),Pu&lt;=MAX(E824,H824),E824&lt;&gt;H824),1,0)</f>
      </c>
      <c r="L824">
        <f>IF(K824=1,(Pu-E824)/(H824-E824),"")</f>
      </c>
      <c r="M824" s="12">
        <f>IF(K824=1,F824+L824*(I824-F824),"")</f>
      </c>
      <c r="N824" s="12">
        <f>IF(K824=1,G824+L824*(J824-G824),"")</f>
      </c>
    </row>
    <row r="825" spans="2:14" x14ac:dyDescent="0.25">
      <c r="B825">
        <v>53</v>
      </c>
      <c r="C825">
        <v>209.99999999999997</v>
      </c>
      <c r="D825">
        <v>5</v>
      </c>
      <c r="E825" s="18">
        <v>8691.31874850863</v>
      </c>
      <c r="F825" s="18">
        <v>-1787.0400065559834</v>
      </c>
      <c r="G825" s="18">
        <v>-4169.332745253193</v>
      </c>
      <c r="H825" s="12">
        <f>E826</f>
      </c>
      <c r="I825" s="12">
        <f>F826</f>
      </c>
      <c r="J825" s="12">
        <f>G826</f>
      </c>
      <c r="K825">
        <f>IF(AND(Pu&gt;=MIN(E825,H825),Pu&lt;=MAX(E825,H825),E825&lt;&gt;H825),1,0)</f>
      </c>
      <c r="L825">
        <f>IF(K825=1,(Pu-E825)/(H825-E825),"")</f>
      </c>
      <c r="M825" s="12">
        <f>IF(K825=1,F825+L825*(I825-F825),"")</f>
      </c>
      <c r="N825" s="12">
        <f>IF(K825=1,G825+L825*(J825-G825),"")</f>
      </c>
    </row>
    <row r="826" spans="2:14" x14ac:dyDescent="0.25">
      <c r="B826">
        <v>53</v>
      </c>
      <c r="C826">
        <v>209.99999999999997</v>
      </c>
      <c r="D826">
        <v>6</v>
      </c>
      <c r="E826" s="18">
        <v>6664.820375148367</v>
      </c>
      <c r="F826" s="18">
        <v>-1823.3477417543443</v>
      </c>
      <c r="G826" s="18">
        <v>-4579.5157997130445</v>
      </c>
      <c r="H826" s="12">
        <f>E827</f>
      </c>
      <c r="I826" s="12">
        <f>F827</f>
      </c>
      <c r="J826" s="12">
        <f>G827</f>
      </c>
      <c r="K826">
        <f>IF(AND(Pu&gt;=MIN(E826,H826),Pu&lt;=MAX(E826,H826),E826&lt;&gt;H826),1,0)</f>
      </c>
      <c r="L826">
        <f>IF(K826=1,(Pu-E826)/(H826-E826),"")</f>
      </c>
      <c r="M826" s="12">
        <f>IF(K826=1,F826+L826*(I826-F826),"")</f>
      </c>
      <c r="N826" s="12">
        <f>IF(K826=1,G826+L826*(J826-G826),"")</f>
      </c>
    </row>
    <row r="827" spans="2:14" x14ac:dyDescent="0.25">
      <c r="B827">
        <v>53</v>
      </c>
      <c r="C827">
        <v>209.99999999999997</v>
      </c>
      <c r="D827">
        <v>7</v>
      </c>
      <c r="E827" s="18">
        <v>5523.813323565008</v>
      </c>
      <c r="F827" s="18">
        <v>-1876.9741645261354</v>
      </c>
      <c r="G827" s="18">
        <v>-4748.332897726923</v>
      </c>
      <c r="H827" s="12">
        <f>E828</f>
      </c>
      <c r="I827" s="12">
        <f>F828</f>
      </c>
      <c r="J827" s="12">
        <f>G828</f>
      </c>
      <c r="K827">
        <f>IF(AND(Pu&gt;=MIN(E827,H827),Pu&lt;=MAX(E827,H827),E827&lt;&gt;H827),1,0)</f>
      </c>
      <c r="L827">
        <f>IF(K827=1,(Pu-E827)/(H827-E827),"")</f>
      </c>
      <c r="M827" s="12">
        <f>IF(K827=1,F827+L827*(I827-F827),"")</f>
      </c>
      <c r="N827" s="12">
        <f>IF(K827=1,G827+L827*(J827-G827),"")</f>
      </c>
    </row>
    <row r="828" spans="2:14" x14ac:dyDescent="0.25">
      <c r="B828">
        <v>53</v>
      </c>
      <c r="C828">
        <v>209.99999999999997</v>
      </c>
      <c r="D828">
        <v>8</v>
      </c>
      <c r="E828" s="18">
        <v>4712.473903860887</v>
      </c>
      <c r="F828" s="18">
        <v>-1932.0039260876254</v>
      </c>
      <c r="G828" s="18">
        <v>-4863.813696206679</v>
      </c>
      <c r="H828" s="12">
        <f>E829</f>
      </c>
      <c r="I828" s="12">
        <f>F829</f>
      </c>
      <c r="J828" s="12">
        <f>G829</f>
      </c>
      <c r="K828">
        <f>IF(AND(Pu&gt;=MIN(E828,H828),Pu&lt;=MAX(E828,H828),E828&lt;&gt;H828),1,0)</f>
      </c>
      <c r="L828">
        <f>IF(K828=1,(Pu-E828)/(H828-E828),"")</f>
      </c>
      <c r="M828" s="12">
        <f>IF(K828=1,F828+L828*(I828-F828),"")</f>
      </c>
      <c r="N828" s="12">
        <f>IF(K828=1,G828+L828*(J828-G828),"")</f>
      </c>
    </row>
    <row r="829" spans="2:14" x14ac:dyDescent="0.25">
      <c r="B829">
        <v>53</v>
      </c>
      <c r="C829">
        <v>209.99999999999997</v>
      </c>
      <c r="D829">
        <v>9</v>
      </c>
      <c r="E829" s="18">
        <v>3655.58902848831</v>
      </c>
      <c r="F829" s="18">
        <v>-1848.0920579585443</v>
      </c>
      <c r="G829" s="18">
        <v>-4552.941779706578</v>
      </c>
      <c r="H829" s="12">
        <f>E830</f>
      </c>
      <c r="I829" s="12">
        <f>F830</f>
      </c>
      <c r="J829" s="12">
        <f>G830</f>
      </c>
      <c r="K829">
        <f>IF(AND(Pu&gt;=MIN(E829,H829),Pu&lt;=MAX(E829,H829),E829&lt;&gt;H829),1,0)</f>
      </c>
      <c r="L829">
        <f>IF(K829=1,(Pu-E829)/(H829-E829),"")</f>
      </c>
      <c r="M829" s="12">
        <f>IF(K829=1,F829+L829*(I829-F829),"")</f>
      </c>
      <c r="N829" s="12">
        <f>IF(K829=1,G829+L829*(J829-G829),"")</f>
      </c>
    </row>
    <row r="830" spans="2:14" x14ac:dyDescent="0.25">
      <c r="B830">
        <v>53</v>
      </c>
      <c r="C830">
        <v>209.99999999999997</v>
      </c>
      <c r="D830">
        <v>10</v>
      </c>
      <c r="E830" s="18">
        <v>2045.697222416559</v>
      </c>
      <c r="F830" s="18">
        <v>-1711.8493171399878</v>
      </c>
      <c r="G830" s="18">
        <v>-3907.482836324864</v>
      </c>
      <c r="H830" s="12">
        <f>E831</f>
      </c>
      <c r="I830" s="12">
        <f>F831</f>
      </c>
      <c r="J830" s="12">
        <f>G831</f>
      </c>
      <c r="K830">
        <f>IF(AND(Pu&gt;=MIN(E830,H830),Pu&lt;=MAX(E830,H830),E830&lt;&gt;H830),1,0)</f>
      </c>
      <c r="L830">
        <f>IF(K830=1,(Pu-E830)/(H830-E830),"")</f>
      </c>
      <c r="M830" s="12">
        <f>IF(K830=1,F830+L830*(I830-F830),"")</f>
      </c>
      <c r="N830" s="12">
        <f>IF(K830=1,G830+L830*(J830-G830),"")</f>
      </c>
    </row>
    <row r="831" spans="2:14" x14ac:dyDescent="0.25">
      <c r="B831">
        <v>53</v>
      </c>
      <c r="C831">
        <v>209.99999999999997</v>
      </c>
      <c r="D831">
        <v>11</v>
      </c>
      <c r="E831" s="18">
        <v>909.6960597465935</v>
      </c>
      <c r="F831" s="18">
        <v>-1537.2891152390164</v>
      </c>
      <c r="G831" s="18">
        <v>-3370.677902549651</v>
      </c>
      <c r="H831" s="12">
        <f>E832</f>
      </c>
      <c r="I831" s="12">
        <f>F832</f>
      </c>
      <c r="J831" s="12">
        <f>G832</f>
      </c>
      <c r="K831">
        <f>IF(AND(Pu&gt;=MIN(E831,H831),Pu&lt;=MAX(E831,H831),E831&lt;&gt;H831),1,0)</f>
      </c>
      <c r="L831">
        <f>IF(K831=1,(Pu-E831)/(H831-E831),"")</f>
      </c>
      <c r="M831" s="12">
        <f>IF(K831=1,F831+L831*(I831-F831),"")</f>
      </c>
      <c r="N831" s="12">
        <f>IF(K831=1,G831+L831*(J831-G831),"")</f>
      </c>
    </row>
    <row r="832" spans="2:14" x14ac:dyDescent="0.25">
      <c r="B832">
        <v>53</v>
      </c>
      <c r="C832">
        <v>209.99999999999997</v>
      </c>
      <c r="D832">
        <v>12</v>
      </c>
      <c r="E832" s="18">
        <v>-1001.69651138126</v>
      </c>
      <c r="F832" s="18">
        <v>-1175.5242872224317</v>
      </c>
      <c r="G832" s="18">
        <v>-2376.213534492664</v>
      </c>
      <c r="H832" s="12">
        <f>E833</f>
      </c>
      <c r="I832" s="12">
        <f>F833</f>
      </c>
      <c r="J832" s="12">
        <f>G833</f>
      </c>
      <c r="K832">
        <f>IF(AND(Pu&gt;=MIN(E832,H832),Pu&lt;=MAX(E832,H832),E832&lt;&gt;H832),1,0)</f>
      </c>
      <c r="L832">
        <f>IF(K832=1,(Pu-E832)/(H832-E832),"")</f>
      </c>
      <c r="M832" s="12">
        <f>IF(K832=1,F832+L832*(I832-F832),"")</f>
      </c>
      <c r="N832" s="12">
        <f>IF(K832=1,G832+L832*(J832-G832),"")</f>
      </c>
    </row>
    <row r="833" spans="2:14" x14ac:dyDescent="0.25">
      <c r="B833">
        <v>53</v>
      </c>
      <c r="C833">
        <v>209.99999999999997</v>
      </c>
      <c r="D833">
        <v>13</v>
      </c>
      <c r="E833" s="18">
        <v>-2257.327155870937</v>
      </c>
      <c r="F833" s="18">
        <v>-876.348767785417</v>
      </c>
      <c r="G833" s="18">
        <v>-1667.259747832724</v>
      </c>
      <c r="H833" s="12">
        <f>E834</f>
      </c>
      <c r="I833" s="12">
        <f>F834</f>
      </c>
      <c r="J833" s="12">
        <f>G834</f>
      </c>
      <c r="K833">
        <f>IF(AND(Pu&gt;=MIN(E833,H833),Pu&lt;=MAX(E833,H833),E833&lt;&gt;H833),1,0)</f>
      </c>
      <c r="L833">
        <f>IF(K833=1,(Pu-E833)/(H833-E833),"")</f>
      </c>
      <c r="M833" s="12">
        <f>IF(K833=1,F833+L833*(I833-F833),"")</f>
      </c>
      <c r="N833" s="12">
        <f>IF(K833=1,G833+L833*(J833-G833),"")</f>
      </c>
    </row>
    <row r="834" spans="2:7" x14ac:dyDescent="0.25">
      <c r="B834">
        <v>53</v>
      </c>
      <c r="C834">
        <v>209.99999999999997</v>
      </c>
      <c r="D834">
        <v>14</v>
      </c>
      <c r="E834" s="18">
        <v>-4073.363030721496</v>
      </c>
      <c r="F834" s="18">
        <v>-317.1119100570364</v>
      </c>
      <c r="G834" s="18">
        <v>-570.0336548953585</v>
      </c>
    </row>
    <row r="836" spans="2:14" x14ac:dyDescent="0.25">
      <c r="B836">
        <v>54</v>
      </c>
      <c r="C836">
        <v>217.5</v>
      </c>
      <c r="D836">
        <v>1</v>
      </c>
      <c r="E836" s="18">
        <v>17108.712410985074</v>
      </c>
      <c r="F836" s="18">
        <v>-1389.669905823529</v>
      </c>
      <c r="G836" s="18">
        <v>-2484.0356642882853</v>
      </c>
      <c r="H836" s="12">
        <f>E837</f>
      </c>
      <c r="I836" s="12">
        <f>F837</f>
      </c>
      <c r="J836" s="12">
        <f>G837</f>
      </c>
      <c r="K836">
        <f>IF(AND(Pu&gt;=MIN(E836,H836),Pu&lt;=MAX(E836,H836),E836&lt;&gt;H836),1,0)</f>
      </c>
      <c r="L836">
        <f>IF(K836=1,(Pu-E836)/(H836-E836),"")</f>
      </c>
      <c r="M836" s="12">
        <f>IF(K836=1,F836+L836*(I836-F836),"")</f>
      </c>
      <c r="N836" s="12">
        <f>IF(K836=1,G836+L836*(J836-G836),"")</f>
      </c>
    </row>
    <row r="837" spans="2:14" x14ac:dyDescent="0.25">
      <c r="B837">
        <v>54</v>
      </c>
      <c r="C837">
        <v>217.5</v>
      </c>
      <c r="D837">
        <v>2</v>
      </c>
      <c r="E837" s="18">
        <v>14923.421714236587</v>
      </c>
      <c r="F837" s="18">
        <v>-1692.5837570021981</v>
      </c>
      <c r="G837" s="18">
        <v>-3187.2495057572646</v>
      </c>
      <c r="H837" s="12">
        <f>E838</f>
      </c>
      <c r="I837" s="12">
        <f>F838</f>
      </c>
      <c r="J837" s="12">
        <f>G838</f>
      </c>
      <c r="K837">
        <f>IF(AND(Pu&gt;=MIN(E837,H837),Pu&lt;=MAX(E837,H837),E837&lt;&gt;H837),1,0)</f>
      </c>
      <c r="L837">
        <f>IF(K837=1,(Pu-E837)/(H837-E837),"")</f>
      </c>
      <c r="M837" s="12">
        <f>IF(K837=1,F837+L837*(I837-F837),"")</f>
      </c>
      <c r="N837" s="12">
        <f>IF(K837=1,G837+L837*(J837-G837),"")</f>
      </c>
    </row>
    <row r="838" spans="2:14" x14ac:dyDescent="0.25">
      <c r="B838">
        <v>54</v>
      </c>
      <c r="C838">
        <v>217.5</v>
      </c>
      <c r="D838">
        <v>3</v>
      </c>
      <c r="E838" s="18">
        <v>12739.596416437678</v>
      </c>
      <c r="F838" s="18">
        <v>-2020.2904486827897</v>
      </c>
      <c r="G838" s="18">
        <v>-3536.320285623422</v>
      </c>
      <c r="H838" s="12">
        <f>E839</f>
      </c>
      <c r="I838" s="12">
        <f>F839</f>
      </c>
      <c r="J838" s="12">
        <f>G839</f>
      </c>
      <c r="K838">
        <f>IF(AND(Pu&gt;=MIN(E838,H838),Pu&lt;=MAX(E838,H838),E838&lt;&gt;H838),1,0)</f>
      </c>
      <c r="L838">
        <f>IF(K838=1,(Pu-E838)/(H838-E838),"")</f>
      </c>
      <c r="M838" s="12">
        <f>IF(K838=1,F838+L838*(I838-F838),"")</f>
      </c>
      <c r="N838" s="12">
        <f>IF(K838=1,G838+L838*(J838-G838),"")</f>
      </c>
    </row>
    <row r="839" spans="2:14" x14ac:dyDescent="0.25">
      <c r="B839">
        <v>54</v>
      </c>
      <c r="C839">
        <v>217.5</v>
      </c>
      <c r="D839">
        <v>4</v>
      </c>
      <c r="E839" s="18">
        <v>10562.03906669527</v>
      </c>
      <c r="F839" s="18">
        <v>-2230.183834195956</v>
      </c>
      <c r="G839" s="18">
        <v>-3725.3005716450607</v>
      </c>
      <c r="H839" s="12">
        <f>E840</f>
      </c>
      <c r="I839" s="12">
        <f>F840</f>
      </c>
      <c r="J839" s="12">
        <f>G840</f>
      </c>
      <c r="K839">
        <f>IF(AND(Pu&gt;=MIN(E839,H839),Pu&lt;=MAX(E839,H839),E839&lt;&gt;H839),1,0)</f>
      </c>
      <c r="L839">
        <f>IF(K839=1,(Pu-E839)/(H839-E839),"")</f>
      </c>
      <c r="M839" s="12">
        <f>IF(K839=1,F839+L839*(I839-F839),"")</f>
      </c>
      <c r="N839" s="12">
        <f>IF(K839=1,G839+L839*(J839-G839),"")</f>
      </c>
    </row>
    <row r="840" spans="2:14" x14ac:dyDescent="0.25">
      <c r="B840">
        <v>54</v>
      </c>
      <c r="C840">
        <v>217.5</v>
      </c>
      <c r="D840">
        <v>5</v>
      </c>
      <c r="E840" s="18">
        <v>8773.07022351979</v>
      </c>
      <c r="F840" s="18">
        <v>-2278.4331390243424</v>
      </c>
      <c r="G840" s="18">
        <v>-3851.6695754617945</v>
      </c>
      <c r="H840" s="12">
        <f>E841</f>
      </c>
      <c r="I840" s="12">
        <f>F841</f>
      </c>
      <c r="J840" s="12">
        <f>G841</f>
      </c>
      <c r="K840">
        <f>IF(AND(Pu&gt;=MIN(E840,H840),Pu&lt;=MAX(E840,H840),E840&lt;&gt;H840),1,0)</f>
      </c>
      <c r="L840">
        <f>IF(K840=1,(Pu-E840)/(H840-E840),"")</f>
      </c>
      <c r="M840" s="12">
        <f>IF(K840=1,F840+L840*(I840-F840),"")</f>
      </c>
      <c r="N840" s="12">
        <f>IF(K840=1,G840+L840*(J840-G840),"")</f>
      </c>
    </row>
    <row r="841" spans="2:14" x14ac:dyDescent="0.25">
      <c r="B841">
        <v>54</v>
      </c>
      <c r="C841">
        <v>217.5</v>
      </c>
      <c r="D841">
        <v>6</v>
      </c>
      <c r="E841" s="18">
        <v>6697.512934626376</v>
      </c>
      <c r="F841" s="18">
        <v>-2330.908733824902</v>
      </c>
      <c r="G841" s="18">
        <v>-4262.382169382591</v>
      </c>
      <c r="H841" s="12">
        <f>E842</f>
      </c>
      <c r="I841" s="12">
        <f>F842</f>
      </c>
      <c r="J841" s="12">
        <f>G842</f>
      </c>
      <c r="K841">
        <f>IF(AND(Pu&gt;=MIN(E841,H841),Pu&lt;=MAX(E841,H841),E841&lt;&gt;H841),1,0)</f>
      </c>
      <c r="L841">
        <f>IF(K841=1,(Pu-E841)/(H841-E841),"")</f>
      </c>
      <c r="M841" s="12">
        <f>IF(K841=1,F841+L841*(I841-F841),"")</f>
      </c>
      <c r="N841" s="12">
        <f>IF(K841=1,G841+L841*(J841-G841),"")</f>
      </c>
    </row>
    <row r="842" spans="2:14" x14ac:dyDescent="0.25">
      <c r="B842">
        <v>54</v>
      </c>
      <c r="C842">
        <v>217.5</v>
      </c>
      <c r="D842">
        <v>7</v>
      </c>
      <c r="E842" s="18">
        <v>5442.032341993214</v>
      </c>
      <c r="F842" s="18">
        <v>-2350.8874838756356</v>
      </c>
      <c r="G842" s="18">
        <v>-4421.99273013307</v>
      </c>
      <c r="H842" s="12">
        <f>E843</f>
      </c>
      <c r="I842" s="12">
        <f>F843</f>
      </c>
      <c r="J842" s="12">
        <f>G843</f>
      </c>
      <c r="K842">
        <f>IF(AND(Pu&gt;=MIN(E842,H842),Pu&lt;=MAX(E842,H842),E842&lt;&gt;H842),1,0)</f>
      </c>
      <c r="L842">
        <f>IF(K842=1,(Pu-E842)/(H842-E842),"")</f>
      </c>
      <c r="M842" s="12">
        <f>IF(K842=1,F842+L842*(I842-F842),"")</f>
      </c>
      <c r="N842" s="12">
        <f>IF(K842=1,G842+L842*(J842-G842),"")</f>
      </c>
    </row>
    <row r="843" spans="2:14" x14ac:dyDescent="0.25">
      <c r="B843">
        <v>54</v>
      </c>
      <c r="C843">
        <v>217.5</v>
      </c>
      <c r="D843">
        <v>8</v>
      </c>
      <c r="E843" s="18">
        <v>4515.240129831893</v>
      </c>
      <c r="F843" s="18">
        <v>-2428.72781231533</v>
      </c>
      <c r="G843" s="18">
        <v>-4453.186024962651</v>
      </c>
      <c r="H843" s="12">
        <f>E844</f>
      </c>
      <c r="I843" s="12">
        <f>F844</f>
      </c>
      <c r="J843" s="12">
        <f>G844</f>
      </c>
      <c r="K843">
        <f>IF(AND(Pu&gt;=MIN(E843,H843),Pu&lt;=MAX(E843,H843),E843&lt;&gt;H843),1,0)</f>
      </c>
      <c r="L843">
        <f>IF(K843=1,(Pu-E843)/(H843-E843),"")</f>
      </c>
      <c r="M843" s="12">
        <f>IF(K843=1,F843+L843*(I843-F843),"")</f>
      </c>
      <c r="N843" s="12">
        <f>IF(K843=1,G843+L843*(J843-G843),"")</f>
      </c>
    </row>
    <row r="844" spans="2:14" x14ac:dyDescent="0.25">
      <c r="B844">
        <v>54</v>
      </c>
      <c r="C844">
        <v>217.5</v>
      </c>
      <c r="D844">
        <v>9</v>
      </c>
      <c r="E844" s="18">
        <v>3413.561556985552</v>
      </c>
      <c r="F844" s="18">
        <v>-2283.4141883496845</v>
      </c>
      <c r="G844" s="18">
        <v>-4125.827192293984</v>
      </c>
      <c r="H844" s="12">
        <f>E845</f>
      </c>
      <c r="I844" s="12">
        <f>F845</f>
      </c>
      <c r="J844" s="12">
        <f>G845</f>
      </c>
      <c r="K844">
        <f>IF(AND(Pu&gt;=MIN(E844,H844),Pu&lt;=MAX(E844,H844),E844&lt;&gt;H844),1,0)</f>
      </c>
      <c r="L844">
        <f>IF(K844=1,(Pu-E844)/(H844-E844),"")</f>
      </c>
      <c r="M844" s="12">
        <f>IF(K844=1,F844+L844*(I844-F844),"")</f>
      </c>
      <c r="N844" s="12">
        <f>IF(K844=1,G844+L844*(J844-G844),"")</f>
      </c>
    </row>
    <row r="845" spans="2:14" x14ac:dyDescent="0.25">
      <c r="B845">
        <v>54</v>
      </c>
      <c r="C845">
        <v>217.5</v>
      </c>
      <c r="D845">
        <v>10</v>
      </c>
      <c r="E845" s="18">
        <v>1843.7864076233082</v>
      </c>
      <c r="F845" s="18">
        <v>-2004.5108793603383</v>
      </c>
      <c r="G845" s="18">
        <v>-3566.3272037865477</v>
      </c>
      <c r="H845" s="12">
        <f>E846</f>
      </c>
      <c r="I845" s="12">
        <f>F846</f>
      </c>
      <c r="J845" s="12">
        <f>G846</f>
      </c>
      <c r="K845">
        <f>IF(AND(Pu&gt;=MIN(E845,H845),Pu&lt;=MAX(E845,H845),E845&lt;&gt;H845),1,0)</f>
      </c>
      <c r="L845">
        <f>IF(K845=1,(Pu-E845)/(H845-E845),"")</f>
      </c>
      <c r="M845" s="12">
        <f>IF(K845=1,F845+L845*(I845-F845),"")</f>
      </c>
      <c r="N845" s="12">
        <f>IF(K845=1,G845+L845*(J845-G845),"")</f>
      </c>
    </row>
    <row r="846" spans="2:14" x14ac:dyDescent="0.25">
      <c r="B846">
        <v>54</v>
      </c>
      <c r="C846">
        <v>217.5</v>
      </c>
      <c r="D846">
        <v>11</v>
      </c>
      <c r="E846" s="18">
        <v>754.8276751562529</v>
      </c>
      <c r="F846" s="18">
        <v>-1769.2233058163715</v>
      </c>
      <c r="G846" s="18">
        <v>-3109.8068147023123</v>
      </c>
      <c r="H846" s="12">
        <f>E847</f>
      </c>
      <c r="I846" s="12">
        <f>F847</f>
      </c>
      <c r="J846" s="12">
        <f>G847</f>
      </c>
      <c r="K846">
        <f>IF(AND(Pu&gt;=MIN(E846,H846),Pu&lt;=MAX(E846,H846),E846&lt;&gt;H846),1,0)</f>
      </c>
      <c r="L846">
        <f>IF(K846=1,(Pu-E846)/(H846-E846),"")</f>
      </c>
      <c r="M846" s="12">
        <f>IF(K846=1,F846+L846*(I846-F846),"")</f>
      </c>
      <c r="N846" s="12">
        <f>IF(K846=1,G846+L846*(J846-G846),"")</f>
      </c>
    </row>
    <row r="847" spans="2:14" x14ac:dyDescent="0.25">
      <c r="B847">
        <v>54</v>
      </c>
      <c r="C847">
        <v>217.5</v>
      </c>
      <c r="D847">
        <v>12</v>
      </c>
      <c r="E847" s="18">
        <v>-1106.4344891201163</v>
      </c>
      <c r="F847" s="18">
        <v>-1337.468843230493</v>
      </c>
      <c r="G847" s="18">
        <v>-2207.18772102654</v>
      </c>
      <c r="H847" s="12">
        <f>E848</f>
      </c>
      <c r="I847" s="12">
        <f>F848</f>
      </c>
      <c r="J847" s="12">
        <f>G848</f>
      </c>
      <c r="K847">
        <f>IF(AND(Pu&gt;=MIN(E847,H847),Pu&lt;=MAX(E847,H847),E847&lt;&gt;H847),1,0)</f>
      </c>
      <c r="L847">
        <f>IF(K847=1,(Pu-E847)/(H847-E847),"")</f>
      </c>
      <c r="M847" s="12">
        <f>IF(K847=1,F847+L847*(I847-F847),"")</f>
      </c>
      <c r="N847" s="12">
        <f>IF(K847=1,G847+L847*(J847-G847),"")</f>
      </c>
    </row>
    <row r="848" spans="2:14" x14ac:dyDescent="0.25">
      <c r="B848">
        <v>54</v>
      </c>
      <c r="C848">
        <v>217.5</v>
      </c>
      <c r="D848">
        <v>13</v>
      </c>
      <c r="E848" s="18">
        <v>-2327.6010073568686</v>
      </c>
      <c r="F848" s="18">
        <v>-976.0132893894726</v>
      </c>
      <c r="G848" s="18">
        <v>-1562.3935890089028</v>
      </c>
      <c r="H848" s="12">
        <f>E849</f>
      </c>
      <c r="I848" s="12">
        <f>F849</f>
      </c>
      <c r="J848" s="12">
        <f>G849</f>
      </c>
      <c r="K848">
        <f>IF(AND(Pu&gt;=MIN(E848,H848),Pu&lt;=MAX(E848,H848),E848&lt;&gt;H848),1,0)</f>
      </c>
      <c r="L848">
        <f>IF(K848=1,(Pu-E848)/(H848-E848),"")</f>
      </c>
      <c r="M848" s="12">
        <f>IF(K848=1,F848+L848*(I848-F848),"")</f>
      </c>
      <c r="N848" s="12">
        <f>IF(K848=1,G848+L848*(J848-G848),"")</f>
      </c>
    </row>
    <row r="849" spans="2:7" x14ac:dyDescent="0.25">
      <c r="B849">
        <v>54</v>
      </c>
      <c r="C849">
        <v>217.5</v>
      </c>
      <c r="D849">
        <v>14</v>
      </c>
      <c r="E849" s="18">
        <v>-4016.738628684818</v>
      </c>
      <c r="F849" s="18">
        <v>-361.75800729527725</v>
      </c>
      <c r="G849" s="18">
        <v>-591.8186988631569</v>
      </c>
    </row>
    <row r="851" spans="2:14" x14ac:dyDescent="0.25">
      <c r="B851">
        <v>55</v>
      </c>
      <c r="C851">
        <v>224.99999999999997</v>
      </c>
      <c r="D851">
        <v>1</v>
      </c>
      <c r="E851" s="18">
        <v>17061.135408178066</v>
      </c>
      <c r="F851" s="18">
        <v>-1637.02022954161</v>
      </c>
      <c r="G851" s="18">
        <v>-2303.708078877421</v>
      </c>
      <c r="H851" s="12">
        <f>E852</f>
      </c>
      <c r="I851" s="12">
        <f>F852</f>
      </c>
      <c r="J851" s="12">
        <f>G852</f>
      </c>
      <c r="K851">
        <f>IF(AND(Pu&gt;=MIN(E851,H851),Pu&lt;=MAX(E851,H851),E851&lt;&gt;H851),1,0)</f>
      </c>
      <c r="L851">
        <f>IF(K851=1,(Pu-E851)/(H851-E851),"")</f>
      </c>
      <c r="M851" s="12">
        <f>IF(K851=1,F851+L851*(I851-F851),"")</f>
      </c>
      <c r="N851" s="12">
        <f>IF(K851=1,G851+L851*(J851-G851),"")</f>
      </c>
    </row>
    <row r="852" spans="2:14" x14ac:dyDescent="0.25">
      <c r="B852">
        <v>55</v>
      </c>
      <c r="C852">
        <v>224.99999999999997</v>
      </c>
      <c r="D852">
        <v>2</v>
      </c>
      <c r="E852" s="18">
        <v>14734.149067661087</v>
      </c>
      <c r="F852" s="18">
        <v>-2085.7026740642773</v>
      </c>
      <c r="G852" s="18">
        <v>-2914.3994503629083</v>
      </c>
      <c r="H852" s="12">
        <f>E853</f>
      </c>
      <c r="I852" s="12">
        <f>F853</f>
      </c>
      <c r="J852" s="12">
        <f>G853</f>
      </c>
      <c r="K852">
        <f>IF(AND(Pu&gt;=MIN(E852,H852),Pu&lt;=MAX(E852,H852),E852&lt;&gt;H852),1,0)</f>
      </c>
      <c r="L852">
        <f>IF(K852=1,(Pu-E852)/(H852-E852),"")</f>
      </c>
      <c r="M852" s="12">
        <f>IF(K852=1,F852+L852*(I852-F852),"")</f>
      </c>
      <c r="N852" s="12">
        <f>IF(K852=1,G852+L852*(J852-G852),"")</f>
      </c>
    </row>
    <row r="853" spans="2:14" x14ac:dyDescent="0.25">
      <c r="B853">
        <v>55</v>
      </c>
      <c r="C853">
        <v>224.99999999999997</v>
      </c>
      <c r="D853">
        <v>3</v>
      </c>
      <c r="E853" s="18">
        <v>12386.265615091017</v>
      </c>
      <c r="F853" s="18">
        <v>-2510.2997035624917</v>
      </c>
      <c r="G853" s="18">
        <v>-3176.061813582955</v>
      </c>
      <c r="H853" s="12">
        <f>E854</f>
      </c>
      <c r="I853" s="12">
        <f>F854</f>
      </c>
      <c r="J853" s="12">
        <f>G854</f>
      </c>
      <c r="K853">
        <f>IF(AND(Pu&gt;=MIN(E853,H853),Pu&lt;=MAX(E853,H853),E853&lt;&gt;H853),1,0)</f>
      </c>
      <c r="L853">
        <f>IF(K853=1,(Pu-E853)/(H853-E853),"")</f>
      </c>
      <c r="M853" s="12">
        <f>IF(K853=1,F853+L853*(I853-F853),"")</f>
      </c>
      <c r="N853" s="12">
        <f>IF(K853=1,G853+L853*(J853-G853),"")</f>
      </c>
    </row>
    <row r="854" spans="2:14" x14ac:dyDescent="0.25">
      <c r="B854">
        <v>55</v>
      </c>
      <c r="C854">
        <v>224.99999999999997</v>
      </c>
      <c r="D854">
        <v>4</v>
      </c>
      <c r="E854" s="18">
        <v>10459.652677413576</v>
      </c>
      <c r="F854" s="18">
        <v>-2727.04108251071</v>
      </c>
      <c r="G854" s="18">
        <v>-3314.685229101069</v>
      </c>
      <c r="H854" s="12">
        <f>E855</f>
      </c>
      <c r="I854" s="12">
        <f>F855</f>
      </c>
      <c r="J854" s="12">
        <f>G855</f>
      </c>
      <c r="K854">
        <f>IF(AND(Pu&gt;=MIN(E854,H854),Pu&lt;=MAX(E854,H854),E854&lt;&gt;H854),1,0)</f>
      </c>
      <c r="L854">
        <f>IF(K854=1,(Pu-E854)/(H854-E854),"")</f>
      </c>
      <c r="M854" s="12">
        <f>IF(K854=1,F854+L854*(I854-F854),"")</f>
      </c>
      <c r="N854" s="12">
        <f>IF(K854=1,G854+L854*(J854-G854),"")</f>
      </c>
    </row>
    <row r="855" spans="2:14" x14ac:dyDescent="0.25">
      <c r="B855">
        <v>55</v>
      </c>
      <c r="C855">
        <v>224.99999999999997</v>
      </c>
      <c r="D855">
        <v>5</v>
      </c>
      <c r="E855" s="18">
        <v>8791.494961409317</v>
      </c>
      <c r="F855" s="18">
        <v>-2768.3183182157027</v>
      </c>
      <c r="G855" s="18">
        <v>-3447.048762453708</v>
      </c>
      <c r="H855" s="12">
        <f>E856</f>
      </c>
      <c r="I855" s="12">
        <f>F856</f>
      </c>
      <c r="J855" s="12">
        <f>G856</f>
      </c>
      <c r="K855">
        <f>IF(AND(Pu&gt;=MIN(E855,H855),Pu&lt;=MAX(E855,H855),E855&lt;&gt;H855),1,0)</f>
      </c>
      <c r="L855">
        <f>IF(K855=1,(Pu-E855)/(H855-E855),"")</f>
      </c>
      <c r="M855" s="12">
        <f>IF(K855=1,F855+L855*(I855-F855),"")</f>
      </c>
      <c r="N855" s="12">
        <f>IF(K855=1,G855+L855*(J855-G855),"")</f>
      </c>
    </row>
    <row r="856" spans="2:14" x14ac:dyDescent="0.25">
      <c r="B856">
        <v>55</v>
      </c>
      <c r="C856">
        <v>224.99999999999997</v>
      </c>
      <c r="D856">
        <v>6</v>
      </c>
      <c r="E856" s="18">
        <v>6850.467355868668</v>
      </c>
      <c r="F856" s="18">
        <v>-2839.4660906273666</v>
      </c>
      <c r="G856" s="18">
        <v>-3858.558625137919</v>
      </c>
      <c r="H856" s="12">
        <f>E857</f>
      </c>
      <c r="I856" s="12">
        <f>F857</f>
      </c>
      <c r="J856" s="12">
        <f>G857</f>
      </c>
      <c r="K856">
        <f>IF(AND(Pu&gt;=MIN(E856,H856),Pu&lt;=MAX(E856,H856),E856&lt;&gt;H856),1,0)</f>
      </c>
      <c r="L856">
        <f>IF(K856=1,(Pu-E856)/(H856-E856),"")</f>
      </c>
      <c r="M856" s="12">
        <f>IF(K856=1,F856+L856*(I856-F856),"")</f>
      </c>
      <c r="N856" s="12">
        <f>IF(K856=1,G856+L856*(J856-G856),"")</f>
      </c>
    </row>
    <row r="857" spans="2:14" x14ac:dyDescent="0.25">
      <c r="B857">
        <v>55</v>
      </c>
      <c r="C857">
        <v>224.99999999999997</v>
      </c>
      <c r="D857">
        <v>7</v>
      </c>
      <c r="E857" s="18">
        <v>5443.491859239998</v>
      </c>
      <c r="F857" s="18">
        <v>-2861.287004212467</v>
      </c>
      <c r="G857" s="18">
        <v>-4004.8376538577304</v>
      </c>
      <c r="H857" s="12">
        <f>E858</f>
      </c>
      <c r="I857" s="12">
        <f>F858</f>
      </c>
      <c r="J857" s="12">
        <f>G858</f>
      </c>
      <c r="K857">
        <f>IF(AND(Pu&gt;=MIN(E857,H857),Pu&lt;=MAX(E857,H857),E857&lt;&gt;H857),1,0)</f>
      </c>
      <c r="L857">
        <f>IF(K857=1,(Pu-E857)/(H857-E857),"")</f>
      </c>
      <c r="M857" s="12">
        <f>IF(K857=1,F857+L857*(I857-F857),"")</f>
      </c>
      <c r="N857" s="12">
        <f>IF(K857=1,G857+L857*(J857-G857),"")</f>
      </c>
    </row>
    <row r="858" spans="2:14" x14ac:dyDescent="0.25">
      <c r="B858">
        <v>55</v>
      </c>
      <c r="C858">
        <v>224.99999999999997</v>
      </c>
      <c r="D858">
        <v>8</v>
      </c>
      <c r="E858" s="18">
        <v>4456.3248768306075</v>
      </c>
      <c r="F858" s="18">
        <v>-2880.4086417882986</v>
      </c>
      <c r="G858" s="18">
        <v>-4029.9062304683607</v>
      </c>
      <c r="H858" s="12">
        <f>E859</f>
      </c>
      <c r="I858" s="12">
        <f>F859</f>
      </c>
      <c r="J858" s="12">
        <f>G859</f>
      </c>
      <c r="K858">
        <f>IF(AND(Pu&gt;=MIN(E858,H858),Pu&lt;=MAX(E858,H858),E858&lt;&gt;H858),1,0)</f>
      </c>
      <c r="L858">
        <f>IF(K858=1,(Pu-E858)/(H858-E858),"")</f>
      </c>
      <c r="M858" s="12">
        <f>IF(K858=1,F858+L858*(I858-F858),"")</f>
      </c>
      <c r="N858" s="12">
        <f>IF(K858=1,G858+L858*(J858-G858),"")</f>
      </c>
    </row>
    <row r="859" spans="2:14" x14ac:dyDescent="0.25">
      <c r="B859">
        <v>55</v>
      </c>
      <c r="C859">
        <v>224.99999999999997</v>
      </c>
      <c r="D859">
        <v>9</v>
      </c>
      <c r="E859" s="18">
        <v>3393.4713703566345</v>
      </c>
      <c r="F859" s="18">
        <v>-2676.519962461803</v>
      </c>
      <c r="G859" s="18">
        <v>-3745.6293819413745</v>
      </c>
      <c r="H859" s="12">
        <f>E860</f>
      </c>
      <c r="I859" s="12">
        <f>F860</f>
      </c>
      <c r="J859" s="12">
        <f>G860</f>
      </c>
      <c r="K859">
        <f>IF(AND(Pu&gt;=MIN(E859,H859),Pu&lt;=MAX(E859,H859),E859&lt;&gt;H859),1,0)</f>
      </c>
      <c r="L859">
        <f>IF(K859=1,(Pu-E859)/(H859-E859),"")</f>
      </c>
      <c r="M859" s="12">
        <f>IF(K859=1,F859+L859*(I859-F859),"")</f>
      </c>
      <c r="N859" s="12">
        <f>IF(K859=1,G859+L859*(J859-G859),"")</f>
      </c>
    </row>
    <row r="860" spans="2:14" x14ac:dyDescent="0.25">
      <c r="B860">
        <v>55</v>
      </c>
      <c r="C860">
        <v>224.99999999999997</v>
      </c>
      <c r="D860">
        <v>10</v>
      </c>
      <c r="E860" s="18">
        <v>1849.68849141786</v>
      </c>
      <c r="F860" s="18">
        <v>-2288.170473812029</v>
      </c>
      <c r="G860" s="18">
        <v>-3305.627847520099</v>
      </c>
      <c r="H860" s="12">
        <f>E861</f>
      </c>
      <c r="I860" s="12">
        <f>F861</f>
      </c>
      <c r="J860" s="12">
        <f>G861</f>
      </c>
      <c r="K860">
        <f>IF(AND(Pu&gt;=MIN(E860,H860),Pu&lt;=MAX(E860,H860),E860&lt;&gt;H860),1,0)</f>
      </c>
      <c r="L860">
        <f>IF(K860=1,(Pu-E860)/(H860-E860),"")</f>
      </c>
      <c r="M860" s="12">
        <f>IF(K860=1,F860+L860*(I860-F860),"")</f>
      </c>
      <c r="N860" s="12">
        <f>IF(K860=1,G860+L860*(J860-G860),"")</f>
      </c>
    </row>
    <row r="861" spans="2:14" x14ac:dyDescent="0.25">
      <c r="B861">
        <v>55</v>
      </c>
      <c r="C861">
        <v>224.99999999999997</v>
      </c>
      <c r="D861">
        <v>11</v>
      </c>
      <c r="E861" s="18">
        <v>732.5153291585743</v>
      </c>
      <c r="F861" s="18">
        <v>-2013.3938192672565</v>
      </c>
      <c r="G861" s="18">
        <v>-2890.167752046105</v>
      </c>
      <c r="H861" s="12">
        <f>E862</f>
      </c>
      <c r="I861" s="12">
        <f>F862</f>
      </c>
      <c r="J861" s="12">
        <f>G862</f>
      </c>
      <c r="K861">
        <f>IF(AND(Pu&gt;=MIN(E861,H861),Pu&lt;=MAX(E861,H861),E861&lt;&gt;H861),1,0)</f>
      </c>
      <c r="L861">
        <f>IF(K861=1,(Pu-E861)/(H861-E861),"")</f>
      </c>
      <c r="M861" s="12">
        <f>IF(K861=1,F861+L861*(I861-F861),"")</f>
      </c>
      <c r="N861" s="12">
        <f>IF(K861=1,G861+L861*(J861-G861),"")</f>
      </c>
    </row>
    <row r="862" spans="2:14" x14ac:dyDescent="0.25">
      <c r="B862">
        <v>55</v>
      </c>
      <c r="C862">
        <v>224.99999999999997</v>
      </c>
      <c r="D862">
        <v>12</v>
      </c>
      <c r="E862" s="18">
        <v>-1050.3888189711104</v>
      </c>
      <c r="F862" s="18">
        <v>-1501.0020205598826</v>
      </c>
      <c r="G862" s="18">
        <v>-2121.2011537958647</v>
      </c>
      <c r="H862" s="12">
        <f>E863</f>
      </c>
      <c r="I862" s="12">
        <f>F863</f>
      </c>
      <c r="J862" s="12">
        <f>G863</f>
      </c>
      <c r="K862">
        <f>IF(AND(Pu&gt;=MIN(E862,H862),Pu&lt;=MAX(E862,H862),E862&lt;&gt;H862),1,0)</f>
      </c>
      <c r="L862">
        <f>IF(K862=1,(Pu-E862)/(H862-E862),"")</f>
      </c>
      <c r="M862" s="12">
        <f>IF(K862=1,F862+L862*(I862-F862),"")</f>
      </c>
      <c r="N862" s="12">
        <f>IF(K862=1,G862+L862*(J862-G862),"")</f>
      </c>
    </row>
    <row r="863" spans="2:14" x14ac:dyDescent="0.25">
      <c r="B863">
        <v>55</v>
      </c>
      <c r="C863">
        <v>224.99999999999997</v>
      </c>
      <c r="D863">
        <v>13</v>
      </c>
      <c r="E863" s="18">
        <v>-2145.7278507444917</v>
      </c>
      <c r="F863" s="18">
        <v>-1129.3800446978896</v>
      </c>
      <c r="G863" s="18">
        <v>-1571.4430724252618</v>
      </c>
      <c r="H863" s="12">
        <f>E864</f>
      </c>
      <c r="I863" s="12">
        <f>F864</f>
      </c>
      <c r="J863" s="12">
        <f>G864</f>
      </c>
      <c r="K863">
        <f>IF(AND(Pu&gt;=MIN(E863,H863),Pu&lt;=MAX(E863,H863),E863&lt;&gt;H863),1,0)</f>
      </c>
      <c r="L863">
        <f>IF(K863=1,(Pu-E863)/(H863-E863),"")</f>
      </c>
      <c r="M863" s="12">
        <f>IF(K863=1,F863+L863*(I863-F863),"")</f>
      </c>
      <c r="N863" s="12">
        <f>IF(K863=1,G863+L863*(J863-G863),"")</f>
      </c>
    </row>
    <row r="864" spans="2:7" x14ac:dyDescent="0.25">
      <c r="B864">
        <v>55</v>
      </c>
      <c r="C864">
        <v>224.99999999999997</v>
      </c>
      <c r="D864">
        <v>14</v>
      </c>
      <c r="E864" s="18">
        <v>-3810.951826801608</v>
      </c>
      <c r="F864" s="18">
        <v>-482.30053759266883</v>
      </c>
      <c r="G864" s="18">
        <v>-675.2617340453224</v>
      </c>
    </row>
    <row r="866" spans="2:14" x14ac:dyDescent="0.25">
      <c r="B866">
        <v>56</v>
      </c>
      <c r="C866">
        <v>232.5</v>
      </c>
      <c r="D866">
        <v>1</v>
      </c>
      <c r="E866" s="18">
        <v>16842.67711210919</v>
      </c>
      <c r="F866" s="18">
        <v>-1894.3681078044697</v>
      </c>
      <c r="G866" s="18">
        <v>-2132.323268118941</v>
      </c>
      <c r="H866" s="12">
        <f>E867</f>
      </c>
      <c r="I866" s="12">
        <f>F867</f>
      </c>
      <c r="J866" s="12">
        <f>G867</f>
      </c>
      <c r="K866">
        <f>IF(AND(Pu&gt;=MIN(E866,H866),Pu&lt;=MAX(E866,H866),E866&lt;&gt;H866),1,0)</f>
      </c>
      <c r="L866">
        <f>IF(K866=1,(Pu-E866)/(H866-E866),"")</f>
      </c>
      <c r="M866" s="12">
        <f>IF(K866=1,F866+L866*(I866-F866),"")</f>
      </c>
      <c r="N866" s="12">
        <f>IF(K866=1,G866+L866*(J866-G866),"")</f>
      </c>
    </row>
    <row r="867" spans="2:14" x14ac:dyDescent="0.25">
      <c r="B867">
        <v>56</v>
      </c>
      <c r="C867">
        <v>232.5</v>
      </c>
      <c r="D867">
        <v>2</v>
      </c>
      <c r="E867" s="18">
        <v>14299.918243022532</v>
      </c>
      <c r="F867" s="18">
        <v>-2541.9033393331683</v>
      </c>
      <c r="G867" s="18">
        <v>-2548.8022377612538</v>
      </c>
      <c r="H867" s="12">
        <f>E868</f>
      </c>
      <c r="I867" s="12">
        <f>F868</f>
      </c>
      <c r="J867" s="12">
        <f>G868</f>
      </c>
      <c r="K867">
        <f>IF(AND(Pu&gt;=MIN(E867,H867),Pu&lt;=MAX(E867,H867),E867&lt;&gt;H867),1,0)</f>
      </c>
      <c r="L867">
        <f>IF(K867=1,(Pu-E867)/(H867-E867),"")</f>
      </c>
      <c r="M867" s="12">
        <f>IF(K867=1,F867+L867*(I867-F867),"")</f>
      </c>
      <c r="N867" s="12">
        <f>IF(K867=1,G867+L867*(J867-G867),"")</f>
      </c>
    </row>
    <row r="868" spans="2:14" x14ac:dyDescent="0.25">
      <c r="B868">
        <v>56</v>
      </c>
      <c r="C868">
        <v>232.5</v>
      </c>
      <c r="D868">
        <v>3</v>
      </c>
      <c r="E868" s="18">
        <v>11924.520528232564</v>
      </c>
      <c r="F868" s="18">
        <v>-2987.593985977992</v>
      </c>
      <c r="G868" s="18">
        <v>-2714.6089352287568</v>
      </c>
      <c r="H868" s="12">
        <f>E869</f>
      </c>
      <c r="I868" s="12">
        <f>F869</f>
      </c>
      <c r="J868" s="12">
        <f>G869</f>
      </c>
      <c r="K868">
        <f>IF(AND(Pu&gt;=MIN(E868,H868),Pu&lt;=MAX(E868,H868),E868&lt;&gt;H868),1,0)</f>
      </c>
      <c r="L868">
        <f>IF(K868=1,(Pu-E868)/(H868-E868),"")</f>
      </c>
      <c r="M868" s="12">
        <f>IF(K868=1,F868+L868*(I868-F868),"")</f>
      </c>
      <c r="N868" s="12">
        <f>IF(K868=1,G868+L868*(J868-G868),"")</f>
      </c>
    </row>
    <row r="869" spans="2:14" x14ac:dyDescent="0.25">
      <c r="B869">
        <v>56</v>
      </c>
      <c r="C869">
        <v>232.5</v>
      </c>
      <c r="D869">
        <v>4</v>
      </c>
      <c r="E869" s="18">
        <v>10166.988759695369</v>
      </c>
      <c r="F869" s="18">
        <v>-3164.3227615278715</v>
      </c>
      <c r="G869" s="18">
        <v>-2839.3699828540653</v>
      </c>
      <c r="H869" s="12">
        <f>E870</f>
      </c>
      <c r="I869" s="12">
        <f>F870</f>
      </c>
      <c r="J869" s="12">
        <f>G870</f>
      </c>
      <c r="K869">
        <f>IF(AND(Pu&gt;=MIN(E869,H869),Pu&lt;=MAX(E869,H869),E869&lt;&gt;H869),1,0)</f>
      </c>
      <c r="L869">
        <f>IF(K869=1,(Pu-E869)/(H869-E869),"")</f>
      </c>
      <c r="M869" s="12">
        <f>IF(K869=1,F869+L869*(I869-F869),"")</f>
      </c>
      <c r="N869" s="12">
        <f>IF(K869=1,G869+L869*(J869-G869),"")</f>
      </c>
    </row>
    <row r="870" spans="2:14" x14ac:dyDescent="0.25">
      <c r="B870">
        <v>56</v>
      </c>
      <c r="C870">
        <v>232.5</v>
      </c>
      <c r="D870">
        <v>5</v>
      </c>
      <c r="E870" s="18">
        <v>8651.512731717814</v>
      </c>
      <c r="F870" s="18">
        <v>-3224.928797479175</v>
      </c>
      <c r="G870" s="18">
        <v>-2941.6681424533162</v>
      </c>
      <c r="H870" s="12">
        <f>E871</f>
      </c>
      <c r="I870" s="12">
        <f>F871</f>
      </c>
      <c r="J870" s="12">
        <f>G871</f>
      </c>
      <c r="K870">
        <f>IF(AND(Pu&gt;=MIN(E870,H870),Pu&lt;=MAX(E870,H870),E870&lt;&gt;H870),1,0)</f>
      </c>
      <c r="L870">
        <f>IF(K870=1,(Pu-E870)/(H870-E870),"")</f>
      </c>
      <c r="M870" s="12">
        <f>IF(K870=1,F870+L870*(I870-F870),"")</f>
      </c>
      <c r="N870" s="12">
        <f>IF(K870=1,G870+L870*(J870-G870),"")</f>
      </c>
    </row>
    <row r="871" spans="2:14" x14ac:dyDescent="0.25">
      <c r="B871">
        <v>56</v>
      </c>
      <c r="C871">
        <v>232.5</v>
      </c>
      <c r="D871">
        <v>6</v>
      </c>
      <c r="E871" s="18">
        <v>6762.55177420514</v>
      </c>
      <c r="F871" s="18">
        <v>-3332.33640990002</v>
      </c>
      <c r="G871" s="18">
        <v>-3298.9601559023235</v>
      </c>
      <c r="H871" s="12">
        <f>E872</f>
      </c>
      <c r="I871" s="12">
        <f>F872</f>
      </c>
      <c r="J871" s="12">
        <f>G872</f>
      </c>
      <c r="K871">
        <f>IF(AND(Pu&gt;=MIN(E871,H871),Pu&lt;=MAX(E871,H871),E871&lt;&gt;H871),1,0)</f>
      </c>
      <c r="L871">
        <f>IF(K871=1,(Pu-E871)/(H871-E871),"")</f>
      </c>
      <c r="M871" s="12">
        <f>IF(K871=1,F871+L871*(I871-F871),"")</f>
      </c>
      <c r="N871" s="12">
        <f>IF(K871=1,G871+L871*(J871-G871),"")</f>
      </c>
    </row>
    <row r="872" spans="2:14" x14ac:dyDescent="0.25">
      <c r="B872">
        <v>56</v>
      </c>
      <c r="C872">
        <v>232.5</v>
      </c>
      <c r="D872">
        <v>7</v>
      </c>
      <c r="E872" s="18">
        <v>5249.535709554334</v>
      </c>
      <c r="F872" s="18">
        <v>-3276.0403337058037</v>
      </c>
      <c r="G872" s="18">
        <v>-3464.3160325741587</v>
      </c>
      <c r="H872" s="12">
        <f>E873</f>
      </c>
      <c r="I872" s="12">
        <f>F873</f>
      </c>
      <c r="J872" s="12">
        <f>G873</f>
      </c>
      <c r="K872">
        <f>IF(AND(Pu&gt;=MIN(E872,H872),Pu&lt;=MAX(E872,H872),E872&lt;&gt;H872),1,0)</f>
      </c>
      <c r="L872">
        <f>IF(K872=1,(Pu-E872)/(H872-E872),"")</f>
      </c>
      <c r="M872" s="12">
        <f>IF(K872=1,F872+L872*(I872-F872),"")</f>
      </c>
      <c r="N872" s="12">
        <f>IF(K872=1,G872+L872*(J872-G872),"")</f>
      </c>
    </row>
    <row r="873" spans="2:14" x14ac:dyDescent="0.25">
      <c r="B873">
        <v>56</v>
      </c>
      <c r="C873">
        <v>232.5</v>
      </c>
      <c r="D873">
        <v>8</v>
      </c>
      <c r="E873" s="18">
        <v>4222.559198399388</v>
      </c>
      <c r="F873" s="18">
        <v>-3218.5347080094284</v>
      </c>
      <c r="G873" s="18">
        <v>-3539.863059433099</v>
      </c>
      <c r="H873" s="12">
        <f>E874</f>
      </c>
      <c r="I873" s="12">
        <f>F874</f>
      </c>
      <c r="J873" s="12">
        <f>G874</f>
      </c>
      <c r="K873">
        <f>IF(AND(Pu&gt;=MIN(E873,H873),Pu&lt;=MAX(E873,H873),E873&lt;&gt;H873),1,0)</f>
      </c>
      <c r="L873">
        <f>IF(K873=1,(Pu-E873)/(H873-E873),"")</f>
      </c>
      <c r="M873" s="12">
        <f>IF(K873=1,F873+L873*(I873-F873),"")</f>
      </c>
      <c r="N873" s="12">
        <f>IF(K873=1,G873+L873*(J873-G873),"")</f>
      </c>
    </row>
    <row r="874" spans="2:14" x14ac:dyDescent="0.25">
      <c r="B874">
        <v>56</v>
      </c>
      <c r="C874">
        <v>232.5</v>
      </c>
      <c r="D874">
        <v>9</v>
      </c>
      <c r="E874" s="18">
        <v>3156.6023179219615</v>
      </c>
      <c r="F874" s="18">
        <v>-2931.7185167318144</v>
      </c>
      <c r="G874" s="18">
        <v>-3299.5593116643977</v>
      </c>
      <c r="H874" s="12">
        <f>E875</f>
      </c>
      <c r="I874" s="12">
        <f>F875</f>
      </c>
      <c r="J874" s="12">
        <f>G875</f>
      </c>
      <c r="K874">
        <f>IF(AND(Pu&gt;=MIN(E874,H874),Pu&lt;=MAX(E874,H874),E874&lt;&gt;H874),1,0)</f>
      </c>
      <c r="L874">
        <f>IF(K874=1,(Pu-E874)/(H874-E874),"")</f>
      </c>
      <c r="M874" s="12">
        <f>IF(K874=1,F874+L874*(I874-F874),"")</f>
      </c>
      <c r="N874" s="12">
        <f>IF(K874=1,G874+L874*(J874-G874),"")</f>
      </c>
    </row>
    <row r="875" spans="2:14" x14ac:dyDescent="0.25">
      <c r="B875">
        <v>56</v>
      </c>
      <c r="C875">
        <v>232.5</v>
      </c>
      <c r="D875">
        <v>10</v>
      </c>
      <c r="E875" s="18">
        <v>1566.1174287565218</v>
      </c>
      <c r="F875" s="18">
        <v>-2491.9686880638424</v>
      </c>
      <c r="G875" s="18">
        <v>-2869.7473509416423</v>
      </c>
      <c r="H875" s="12">
        <f>E876</f>
      </c>
      <c r="I875" s="12">
        <f>F876</f>
      </c>
      <c r="J875" s="12">
        <f>G876</f>
      </c>
      <c r="K875">
        <f>IF(AND(Pu&gt;=MIN(E875,H875),Pu&lt;=MAX(E875,H875),E875&lt;&gt;H875),1,0)</f>
      </c>
      <c r="L875">
        <f>IF(K875=1,(Pu-E875)/(H875-E875),"")</f>
      </c>
      <c r="M875" s="12">
        <f>IF(K875=1,F875+L875*(I875-F875),"")</f>
      </c>
      <c r="N875" s="12">
        <f>IF(K875=1,G875+L875*(J875-G875),"")</f>
      </c>
    </row>
    <row r="876" spans="2:14" x14ac:dyDescent="0.25">
      <c r="B876">
        <v>56</v>
      </c>
      <c r="C876">
        <v>232.5</v>
      </c>
      <c r="D876">
        <v>11</v>
      </c>
      <c r="E876" s="18">
        <v>425.4091359643752</v>
      </c>
      <c r="F876" s="18">
        <v>-2141.1443005364185</v>
      </c>
      <c r="G876" s="18">
        <v>-2518.704716021321</v>
      </c>
      <c r="H876" s="12">
        <f>E877</f>
      </c>
      <c r="I876" s="12">
        <f>F877</f>
      </c>
      <c r="J876" s="12">
        <f>G877</f>
      </c>
      <c r="K876">
        <f>IF(AND(Pu&gt;=MIN(E876,H876),Pu&lt;=MAX(E876,H876),E876&lt;&gt;H876),1,0)</f>
      </c>
      <c r="L876">
        <f>IF(K876=1,(Pu-E876)/(H876-E876),"")</f>
      </c>
      <c r="M876" s="12">
        <f>IF(K876=1,F876+L876*(I876-F876),"")</f>
      </c>
      <c r="N876" s="12">
        <f>IF(K876=1,G876+L876*(J876-G876),"")</f>
      </c>
    </row>
    <row r="877" spans="2:14" x14ac:dyDescent="0.25">
      <c r="B877">
        <v>56</v>
      </c>
      <c r="C877">
        <v>232.5</v>
      </c>
      <c r="D877">
        <v>12</v>
      </c>
      <c r="E877" s="18">
        <v>-1431.5304623280274</v>
      </c>
      <c r="F877" s="18">
        <v>-1490.745511474625</v>
      </c>
      <c r="G877" s="18">
        <v>-1788.1377109710852</v>
      </c>
      <c r="H877" s="12">
        <f>E878</f>
      </c>
      <c r="I877" s="12">
        <f>F878</f>
      </c>
      <c r="J877" s="12">
        <f>G878</f>
      </c>
      <c r="K877">
        <f>IF(AND(Pu&gt;=MIN(E877,H877),Pu&lt;=MAX(E877,H877),E877&lt;&gt;H877),1,0)</f>
      </c>
      <c r="L877">
        <f>IF(K877=1,(Pu-E877)/(H877-E877),"")</f>
      </c>
      <c r="M877" s="12">
        <f>IF(K877=1,F877+L877*(I877-F877),"")</f>
      </c>
      <c r="N877" s="12">
        <f>IF(K877=1,G877+L877*(J877-G877),"")</f>
      </c>
    </row>
    <row r="878" spans="2:14" x14ac:dyDescent="0.25">
      <c r="B878">
        <v>56</v>
      </c>
      <c r="C878">
        <v>232.5</v>
      </c>
      <c r="D878">
        <v>13</v>
      </c>
      <c r="E878" s="18">
        <v>-2545.970734871877</v>
      </c>
      <c r="F878" s="18">
        <v>-1061.2908909024163</v>
      </c>
      <c r="G878" s="18">
        <v>-1270.646879260287</v>
      </c>
      <c r="H878" s="12">
        <f>E879</f>
      </c>
      <c r="I878" s="12">
        <f>F879</f>
      </c>
      <c r="J878" s="12">
        <f>G879</f>
      </c>
      <c r="K878">
        <f>IF(AND(Pu&gt;=MIN(E878,H878),Pu&lt;=MAX(E878,H878),E878&lt;&gt;H878),1,0)</f>
      </c>
      <c r="L878">
        <f>IF(K878=1,(Pu-E878)/(H878-E878),"")</f>
      </c>
      <c r="M878" s="12">
        <f>IF(K878=1,F878+L878*(I878-F878),"")</f>
      </c>
      <c r="N878" s="12">
        <f>IF(K878=1,G878+L878*(J878-G878),"")</f>
      </c>
    </row>
    <row r="879" spans="2:7" x14ac:dyDescent="0.25">
      <c r="B879">
        <v>56</v>
      </c>
      <c r="C879">
        <v>232.5</v>
      </c>
      <c r="D879">
        <v>14</v>
      </c>
      <c r="E879" s="18">
        <v>-4128.017111968445</v>
      </c>
      <c r="F879" s="18">
        <v>-380.33527219468664</v>
      </c>
      <c r="G879" s="18">
        <v>-454.46535249606075</v>
      </c>
    </row>
    <row r="881" spans="2:14" x14ac:dyDescent="0.25">
      <c r="B881">
        <v>57</v>
      </c>
      <c r="C881">
        <v>239.99999999999994</v>
      </c>
      <c r="D881">
        <v>1</v>
      </c>
      <c r="E881" s="18">
        <v>16822.91130402749</v>
      </c>
      <c r="F881" s="18">
        <v>-2091.0772565373004</v>
      </c>
      <c r="G881" s="18">
        <v>-1846.3121376499744</v>
      </c>
      <c r="H881" s="12">
        <f>E882</f>
      </c>
      <c r="I881" s="12">
        <f>F882</f>
      </c>
      <c r="J881" s="12">
        <f>G882</f>
      </c>
      <c r="K881">
        <f>IF(AND(Pu&gt;=MIN(E881,H881),Pu&lt;=MAX(E881,H881),E881&lt;&gt;H881),1,0)</f>
      </c>
      <c r="L881">
        <f>IF(K881=1,(Pu-E881)/(H881-E881),"")</f>
      </c>
      <c r="M881" s="12">
        <f>IF(K881=1,F881+L881*(I881-F881),"")</f>
      </c>
      <c r="N881" s="12">
        <f>IF(K881=1,G881+L881*(J881-G881),"")</f>
      </c>
    </row>
    <row r="882" spans="2:14" x14ac:dyDescent="0.25">
      <c r="B882">
        <v>57</v>
      </c>
      <c r="C882">
        <v>239.99999999999994</v>
      </c>
      <c r="D882">
        <v>2</v>
      </c>
      <c r="E882" s="18">
        <v>14070.917898113932</v>
      </c>
      <c r="F882" s="18">
        <v>-2928.0348018955283</v>
      </c>
      <c r="G882" s="18">
        <v>-2047.8332989882997</v>
      </c>
      <c r="H882" s="12">
        <f>E883</f>
      </c>
      <c r="I882" s="12">
        <f>F883</f>
      </c>
      <c r="J882" s="12">
        <f>G883</f>
      </c>
      <c r="K882">
        <f>IF(AND(Pu&gt;=MIN(E882,H882),Pu&lt;=MAX(E882,H882),E882&lt;&gt;H882),1,0)</f>
      </c>
      <c r="L882">
        <f>IF(K882=1,(Pu-E882)/(H882-E882),"")</f>
      </c>
      <c r="M882" s="12">
        <f>IF(K882=1,F882+L882*(I882-F882),"")</f>
      </c>
      <c r="N882" s="12">
        <f>IF(K882=1,G882+L882*(J882-G882),"")</f>
      </c>
    </row>
    <row r="883" spans="2:14" x14ac:dyDescent="0.25">
      <c r="B883">
        <v>57</v>
      </c>
      <c r="C883">
        <v>239.99999999999994</v>
      </c>
      <c r="D883">
        <v>3</v>
      </c>
      <c r="E883" s="18">
        <v>11935.566040529277</v>
      </c>
      <c r="F883" s="18">
        <v>-3346.4962168695924</v>
      </c>
      <c r="G883" s="18">
        <v>-2169.9074877760977</v>
      </c>
      <c r="H883" s="12">
        <f>E884</f>
      </c>
      <c r="I883" s="12">
        <f>F884</f>
      </c>
      <c r="J883" s="12">
        <f>G884</f>
      </c>
      <c r="K883">
        <f>IF(AND(Pu&gt;=MIN(E883,H883),Pu&lt;=MAX(E883,H883),E883&lt;&gt;H883),1,0)</f>
      </c>
      <c r="L883">
        <f>IF(K883=1,(Pu-E883)/(H883-E883),"")</f>
      </c>
      <c r="M883" s="12">
        <f>IF(K883=1,F883+L883*(I883-F883),"")</f>
      </c>
      <c r="N883" s="12">
        <f>IF(K883=1,G883+L883*(J883-G883),"")</f>
      </c>
    </row>
    <row r="884" spans="2:14" x14ac:dyDescent="0.25">
      <c r="B884">
        <v>57</v>
      </c>
      <c r="C884">
        <v>239.99999999999994</v>
      </c>
      <c r="D884">
        <v>4</v>
      </c>
      <c r="E884" s="18">
        <v>10256.541858725841</v>
      </c>
      <c r="F884" s="18">
        <v>-3525.165508161797</v>
      </c>
      <c r="G884" s="18">
        <v>-2285.8786708221046</v>
      </c>
      <c r="H884" s="12">
        <f>E885</f>
      </c>
      <c r="I884" s="12">
        <f>F885</f>
      </c>
      <c r="J884" s="12">
        <f>G885</f>
      </c>
      <c r="K884">
        <f>IF(AND(Pu&gt;=MIN(E884,H884),Pu&lt;=MAX(E884,H884),E884&lt;&gt;H884),1,0)</f>
      </c>
      <c r="L884">
        <f>IF(K884=1,(Pu-E884)/(H884-E884),"")</f>
      </c>
      <c r="M884" s="12">
        <f>IF(K884=1,F884+L884*(I884-F884),"")</f>
      </c>
      <c r="N884" s="12">
        <f>IF(K884=1,G884+L884*(J884-G884),"")</f>
      </c>
    </row>
    <row r="885" spans="2:14" x14ac:dyDescent="0.25">
      <c r="B885">
        <v>57</v>
      </c>
      <c r="C885">
        <v>239.99999999999994</v>
      </c>
      <c r="D885">
        <v>5</v>
      </c>
      <c r="E885" s="18">
        <v>8792.157526062834</v>
      </c>
      <c r="F885" s="18">
        <v>-3613.0310474925127</v>
      </c>
      <c r="G885" s="18">
        <v>-2365.295964650825</v>
      </c>
      <c r="H885" s="12">
        <f>E886</f>
      </c>
      <c r="I885" s="12">
        <f>F886</f>
      </c>
      <c r="J885" s="12">
        <f>G886</f>
      </c>
      <c r="K885">
        <f>IF(AND(Pu&gt;=MIN(E885,H885),Pu&lt;=MAX(E885,H885),E885&lt;&gt;H885),1,0)</f>
      </c>
      <c r="L885">
        <f>IF(K885=1,(Pu-E885)/(H885-E885),"")</f>
      </c>
      <c r="M885" s="12">
        <f>IF(K885=1,F885+L885*(I885-F885),"")</f>
      </c>
      <c r="N885" s="12">
        <f>IF(K885=1,G885+L885*(J885-G885),"")</f>
      </c>
    </row>
    <row r="886" spans="2:14" x14ac:dyDescent="0.25">
      <c r="B886">
        <v>57</v>
      </c>
      <c r="C886">
        <v>239.99999999999994</v>
      </c>
      <c r="D886">
        <v>6</v>
      </c>
      <c r="E886" s="18">
        <v>7180.825741674879</v>
      </c>
      <c r="F886" s="18">
        <v>-3862.7924438875825</v>
      </c>
      <c r="G886" s="18">
        <v>-2652.807421861855</v>
      </c>
      <c r="H886" s="12">
        <f>E887</f>
      </c>
      <c r="I886" s="12">
        <f>F887</f>
      </c>
      <c r="J886" s="12">
        <f>G887</f>
      </c>
      <c r="K886">
        <f>IF(AND(Pu&gt;=MIN(E886,H886),Pu&lt;=MAX(E886,H886),E886&lt;&gt;H886),1,0)</f>
      </c>
      <c r="L886">
        <f>IF(K886=1,(Pu-E886)/(H886-E886),"")</f>
      </c>
      <c r="M886" s="12">
        <f>IF(K886=1,F886+L886*(I886-F886),"")</f>
      </c>
      <c r="N886" s="12">
        <f>IF(K886=1,G886+L886*(J886-G886),"")</f>
      </c>
    </row>
    <row r="887" spans="2:14" x14ac:dyDescent="0.25">
      <c r="B887">
        <v>57</v>
      </c>
      <c r="C887">
        <v>239.99999999999994</v>
      </c>
      <c r="D887">
        <v>7</v>
      </c>
      <c r="E887" s="18">
        <v>5652.587608389084</v>
      </c>
      <c r="F887" s="18">
        <v>-3777.7941585667713</v>
      </c>
      <c r="G887" s="18">
        <v>-2915.9941830047437</v>
      </c>
      <c r="H887" s="12">
        <f>E888</f>
      </c>
      <c r="I887" s="12">
        <f>F888</f>
      </c>
      <c r="J887" s="12">
        <f>G888</f>
      </c>
      <c r="K887">
        <f>IF(AND(Pu&gt;=MIN(E887,H887),Pu&lt;=MAX(E887,H887),E887&lt;&gt;H887),1,0)</f>
      </c>
      <c r="L887">
        <f>IF(K887=1,(Pu-E887)/(H887-E887),"")</f>
      </c>
      <c r="M887" s="12">
        <f>IF(K887=1,F887+L887*(I887-F887),"")</f>
      </c>
      <c r="N887" s="12">
        <f>IF(K887=1,G887+L887*(J887-G887),"")</f>
      </c>
    </row>
    <row r="888" spans="2:14" x14ac:dyDescent="0.25">
      <c r="B888">
        <v>57</v>
      </c>
      <c r="C888">
        <v>239.99999999999994</v>
      </c>
      <c r="D888">
        <v>8</v>
      </c>
      <c r="E888" s="18">
        <v>4514.101072206957</v>
      </c>
      <c r="F888" s="18">
        <v>-3636.599231115671</v>
      </c>
      <c r="G888" s="18">
        <v>-3075.558700827431</v>
      </c>
      <c r="H888" s="12">
        <f>E889</f>
      </c>
      <c r="I888" s="12">
        <f>F889</f>
      </c>
      <c r="J888" s="12">
        <f>G889</f>
      </c>
      <c r="K888">
        <f>IF(AND(Pu&gt;=MIN(E888,H888),Pu&lt;=MAX(E888,H888),E888&lt;&gt;H888),1,0)</f>
      </c>
      <c r="L888">
        <f>IF(K888=1,(Pu-E888)/(H888-E888),"")</f>
      </c>
      <c r="M888" s="12">
        <f>IF(K888=1,F888+L888*(I888-F888),"")</f>
      </c>
      <c r="N888" s="12">
        <f>IF(K888=1,G888+L888*(J888-G888),"")</f>
      </c>
    </row>
    <row r="889" spans="2:14" x14ac:dyDescent="0.25">
      <c r="B889">
        <v>57</v>
      </c>
      <c r="C889">
        <v>239.99999999999994</v>
      </c>
      <c r="D889">
        <v>9</v>
      </c>
      <c r="E889" s="18">
        <v>3331.785765319131</v>
      </c>
      <c r="F889" s="18">
        <v>-3288.9994358440276</v>
      </c>
      <c r="G889" s="18">
        <v>-2907.662440757471</v>
      </c>
      <c r="H889" s="12">
        <f>E890</f>
      </c>
      <c r="I889" s="12">
        <f>F890</f>
      </c>
      <c r="J889" s="12">
        <f>G890</f>
      </c>
      <c r="K889">
        <f>IF(AND(Pu&gt;=MIN(E889,H889),Pu&lt;=MAX(E889,H889),E889&lt;&gt;H889),1,0)</f>
      </c>
      <c r="L889">
        <f>IF(K889=1,(Pu-E889)/(H889-E889),"")</f>
      </c>
      <c r="M889" s="12">
        <f>IF(K889=1,F889+L889*(I889-F889),"")</f>
      </c>
      <c r="N889" s="12">
        <f>IF(K889=1,G889+L889*(J889-G889),"")</f>
      </c>
    </row>
    <row r="890" spans="2:14" x14ac:dyDescent="0.25">
      <c r="B890">
        <v>57</v>
      </c>
      <c r="C890">
        <v>239.99999999999994</v>
      </c>
      <c r="D890">
        <v>10</v>
      </c>
      <c r="E890" s="18">
        <v>1637.5892091143146</v>
      </c>
      <c r="F890" s="18">
        <v>-2758.96119421957</v>
      </c>
      <c r="G890" s="18">
        <v>-2523.68274266991</v>
      </c>
      <c r="H890" s="12">
        <f>E891</f>
      </c>
      <c r="I890" s="12">
        <f>F891</f>
      </c>
      <c r="J890" s="12">
        <f>G891</f>
      </c>
      <c r="K890">
        <f>IF(AND(Pu&gt;=MIN(E890,H890),Pu&lt;=MAX(E890,H890),E890&lt;&gt;H890),1,0)</f>
      </c>
      <c r="L890">
        <f>IF(K890=1,(Pu-E890)/(H890-E890),"")</f>
      </c>
      <c r="M890" s="12">
        <f>IF(K890=1,F890+L890*(I890-F890),"")</f>
      </c>
      <c r="N890" s="12">
        <f>IF(K890=1,G890+L890*(J890-G890),"")</f>
      </c>
    </row>
    <row r="891" spans="2:14" x14ac:dyDescent="0.25">
      <c r="B891">
        <v>57</v>
      </c>
      <c r="C891">
        <v>239.99999999999994</v>
      </c>
      <c r="D891">
        <v>11</v>
      </c>
      <c r="E891" s="18">
        <v>454.5145945618349</v>
      </c>
      <c r="F891" s="18">
        <v>-2337.694081553411</v>
      </c>
      <c r="G891" s="18">
        <v>-2221.03163631109</v>
      </c>
      <c r="H891" s="12">
        <f>E892</f>
      </c>
      <c r="I891" s="12">
        <f>F892</f>
      </c>
      <c r="J891" s="12">
        <f>G892</f>
      </c>
      <c r="K891">
        <f>IF(AND(Pu&gt;=MIN(E891,H891),Pu&lt;=MAX(E891,H891),E891&lt;&gt;H891),1,0)</f>
      </c>
      <c r="L891">
        <f>IF(K891=1,(Pu-E891)/(H891-E891),"")</f>
      </c>
      <c r="M891" s="12">
        <f>IF(K891=1,F891+L891*(I891-F891),"")</f>
      </c>
      <c r="N891" s="12">
        <f>IF(K891=1,G891+L891*(J891-G891),"")</f>
      </c>
    </row>
    <row r="892" spans="2:14" x14ac:dyDescent="0.25">
      <c r="B892">
        <v>57</v>
      </c>
      <c r="C892">
        <v>239.99999999999994</v>
      </c>
      <c r="D892">
        <v>12</v>
      </c>
      <c r="E892" s="18">
        <v>-1552.097392240688</v>
      </c>
      <c r="F892" s="18">
        <v>-1541.74004355525</v>
      </c>
      <c r="G892" s="18">
        <v>-1576.7650024787329</v>
      </c>
      <c r="H892" s="12">
        <f>E893</f>
      </c>
      <c r="I892" s="12">
        <f>F893</f>
      </c>
      <c r="J892" s="12">
        <f>G893</f>
      </c>
      <c r="K892">
        <f>IF(AND(Pu&gt;=MIN(E892,H892),Pu&lt;=MAX(E892,H892),E892&lt;&gt;H892),1,0)</f>
      </c>
      <c r="L892">
        <f>IF(K892=1,(Pu-E892)/(H892-E892),"")</f>
      </c>
      <c r="M892" s="12">
        <f>IF(K892=1,F892+L892*(I892-F892),"")</f>
      </c>
      <c r="N892" s="12">
        <f>IF(K892=1,G892+L892*(J892-G892),"")</f>
      </c>
    </row>
    <row r="893" spans="2:14" x14ac:dyDescent="0.25">
      <c r="B893">
        <v>57</v>
      </c>
      <c r="C893">
        <v>239.99999999999994</v>
      </c>
      <c r="D893">
        <v>13</v>
      </c>
      <c r="E893" s="18">
        <v>-2685.9307749147324</v>
      </c>
      <c r="F893" s="18">
        <v>-1059.2867167057905</v>
      </c>
      <c r="G893" s="18">
        <v>-1117.6191978244199</v>
      </c>
      <c r="H893" s="12">
        <f>E894</f>
      </c>
      <c r="I893" s="12">
        <f>F894</f>
      </c>
      <c r="J893" s="12">
        <f>G894</f>
      </c>
      <c r="K893">
        <f>IF(AND(Pu&gt;=MIN(E893,H893),Pu&lt;=MAX(E893,H893),E893&lt;&gt;H893),1,0)</f>
      </c>
      <c r="L893">
        <f>IF(K893=1,(Pu-E893)/(H893-E893),"")</f>
      </c>
      <c r="M893" s="12">
        <f>IF(K893=1,F893+L893*(I893-F893),"")</f>
      </c>
      <c r="N893" s="12">
        <f>IF(K893=1,G893+L893*(J893-G893),"")</f>
      </c>
    </row>
    <row r="894" spans="2:7" x14ac:dyDescent="0.25">
      <c r="B894">
        <v>57</v>
      </c>
      <c r="C894">
        <v>239.99999999999994</v>
      </c>
      <c r="D894">
        <v>14</v>
      </c>
      <c r="E894" s="18">
        <v>-4292.7116678587445</v>
      </c>
      <c r="F894" s="18">
        <v>-329.75830878064994</v>
      </c>
      <c r="G894" s="18">
        <v>-328.5824510703778</v>
      </c>
    </row>
    <row r="896" spans="2:14" x14ac:dyDescent="0.25">
      <c r="B896">
        <v>58</v>
      </c>
      <c r="C896">
        <v>243.74999999999994</v>
      </c>
      <c r="D896">
        <v>1</v>
      </c>
      <c r="E896" s="18">
        <v>16744.100793970072</v>
      </c>
      <c r="F896" s="18">
        <v>-2201.8794852700908</v>
      </c>
      <c r="G896" s="18">
        <v>-1696.1455216829613</v>
      </c>
      <c r="H896" s="12">
        <f>E897</f>
      </c>
      <c r="I896" s="12">
        <f>F897</f>
      </c>
      <c r="J896" s="12">
        <f>G897</f>
      </c>
      <c r="K896">
        <f>IF(AND(Pu&gt;=MIN(E896,H896),Pu&lt;=MAX(E896,H896),E896&lt;&gt;H896),1,0)</f>
      </c>
      <c r="L896">
        <f>IF(K896=1,(Pu-E896)/(H896-E896),"")</f>
      </c>
      <c r="M896" s="12">
        <f>IF(K896=1,F896+L896*(I896-F896),"")</f>
      </c>
      <c r="N896" s="12">
        <f>IF(K896=1,G896+L896*(J896-G896),"")</f>
      </c>
    </row>
    <row r="897" spans="2:14" x14ac:dyDescent="0.25">
      <c r="B897">
        <v>58</v>
      </c>
      <c r="C897">
        <v>243.74999999999994</v>
      </c>
      <c r="D897">
        <v>2</v>
      </c>
      <c r="E897" s="18">
        <v>13912.33894581203</v>
      </c>
      <c r="F897" s="18">
        <v>-3102.3309472937167</v>
      </c>
      <c r="G897" s="18">
        <v>-1793.7583710510714</v>
      </c>
      <c r="H897" s="12">
        <f>E898</f>
      </c>
      <c r="I897" s="12">
        <f>F898</f>
      </c>
      <c r="J897" s="12">
        <f>G898</f>
      </c>
      <c r="K897">
        <f>IF(AND(Pu&gt;=MIN(E897,H897),Pu&lt;=MAX(E897,H897),E897&lt;&gt;H897),1,0)</f>
      </c>
      <c r="L897">
        <f>IF(K897=1,(Pu-E897)/(H897-E897),"")</f>
      </c>
      <c r="M897" s="12">
        <f>IF(K897=1,F897+L897*(I897-F897),"")</f>
      </c>
      <c r="N897" s="12">
        <f>IF(K897=1,G897+L897*(J897-G897),"")</f>
      </c>
    </row>
    <row r="898" spans="2:14" x14ac:dyDescent="0.25">
      <c r="B898">
        <v>58</v>
      </c>
      <c r="C898">
        <v>243.74999999999994</v>
      </c>
      <c r="D898">
        <v>3</v>
      </c>
      <c r="E898" s="18">
        <v>11929.77969596678</v>
      </c>
      <c r="F898" s="18">
        <v>-3494.1701732296006</v>
      </c>
      <c r="G898" s="18">
        <v>-1895.4052039953388</v>
      </c>
      <c r="H898" s="12">
        <f>E899</f>
      </c>
      <c r="I898" s="12">
        <f>F899</f>
      </c>
      <c r="J898" s="12">
        <f>G899</f>
      </c>
      <c r="K898">
        <f>IF(AND(Pu&gt;=MIN(E898,H898),Pu&lt;=MAX(E898,H898),E898&lt;&gt;H898),1,0)</f>
      </c>
      <c r="L898">
        <f>IF(K898=1,(Pu-E898)/(H898-E898),"")</f>
      </c>
      <c r="M898" s="12">
        <f>IF(K898=1,F898+L898*(I898-F898),"")</f>
      </c>
      <c r="N898" s="12">
        <f>IF(K898=1,G898+L898*(J898-G898),"")</f>
      </c>
    </row>
    <row r="899" spans="2:14" x14ac:dyDescent="0.25">
      <c r="B899">
        <v>58</v>
      </c>
      <c r="C899">
        <v>243.74999999999994</v>
      </c>
      <c r="D899">
        <v>4</v>
      </c>
      <c r="E899" s="18">
        <v>10299.958063161872</v>
      </c>
      <c r="F899" s="18">
        <v>-3692.7863231788647</v>
      </c>
      <c r="G899" s="18">
        <v>-1980.7029489475829</v>
      </c>
      <c r="H899" s="12">
        <f>E900</f>
      </c>
      <c r="I899" s="12">
        <f>F900</f>
      </c>
      <c r="J899" s="12">
        <f>G900</f>
      </c>
      <c r="K899">
        <f>IF(AND(Pu&gt;=MIN(E899,H899),Pu&lt;=MAX(E899,H899),E899&lt;&gt;H899),1,0)</f>
      </c>
      <c r="L899">
        <f>IF(K899=1,(Pu-E899)/(H899-E899),"")</f>
      </c>
      <c r="M899" s="12">
        <f>IF(K899=1,F899+L899*(I899-F899),"")</f>
      </c>
      <c r="N899" s="12">
        <f>IF(K899=1,G899+L899*(J899-G899),"")</f>
      </c>
    </row>
    <row r="900" spans="2:14" x14ac:dyDescent="0.25">
      <c r="B900">
        <v>58</v>
      </c>
      <c r="C900">
        <v>243.74999999999994</v>
      </c>
      <c r="D900">
        <v>5</v>
      </c>
      <c r="E900" s="18">
        <v>8868.934892812233</v>
      </c>
      <c r="F900" s="18">
        <v>-3777.276450036048</v>
      </c>
      <c r="G900" s="18">
        <v>-2069.181341110371</v>
      </c>
      <c r="H900" s="12">
        <f>E901</f>
      </c>
      <c r="I900" s="12">
        <f>F901</f>
      </c>
      <c r="J900" s="12">
        <f>G901</f>
      </c>
      <c r="K900">
        <f>IF(AND(Pu&gt;=MIN(E900,H900),Pu&lt;=MAX(E900,H900),E900&lt;&gt;H900),1,0)</f>
      </c>
      <c r="L900">
        <f>IF(K900=1,(Pu-E900)/(H900-E900),"")</f>
      </c>
      <c r="M900" s="12">
        <f>IF(K900=1,F900+L900*(I900-F900),"")</f>
      </c>
      <c r="N900" s="12">
        <f>IF(K900=1,G900+L900*(J900-G900),"")</f>
      </c>
    </row>
    <row r="901" spans="2:14" x14ac:dyDescent="0.25">
      <c r="B901">
        <v>58</v>
      </c>
      <c r="C901">
        <v>243.74999999999994</v>
      </c>
      <c r="D901">
        <v>6</v>
      </c>
      <c r="E901" s="18">
        <v>7371.238635732023</v>
      </c>
      <c r="F901" s="18">
        <v>-4081.7244011154057</v>
      </c>
      <c r="G901" s="18">
        <v>-2320.9127066679184</v>
      </c>
      <c r="H901" s="12">
        <f>E902</f>
      </c>
      <c r="I901" s="12">
        <f>F902</f>
      </c>
      <c r="J901" s="12">
        <f>G902</f>
      </c>
      <c r="K901">
        <f>IF(AND(Pu&gt;=MIN(E901,H901),Pu&lt;=MAX(E901,H901),E901&lt;&gt;H901),1,0)</f>
      </c>
      <c r="L901">
        <f>IF(K901=1,(Pu-E901)/(H901-E901),"")</f>
      </c>
      <c r="M901" s="12">
        <f>IF(K901=1,F901+L901*(I901-F901),"")</f>
      </c>
      <c r="N901" s="12">
        <f>IF(K901=1,G901+L901*(J901-G901),"")</f>
      </c>
    </row>
    <row r="902" spans="2:14" x14ac:dyDescent="0.25">
      <c r="B902">
        <v>58</v>
      </c>
      <c r="C902">
        <v>243.74999999999994</v>
      </c>
      <c r="D902">
        <v>7</v>
      </c>
      <c r="E902" s="18">
        <v>6015.224838528363</v>
      </c>
      <c r="F902" s="18">
        <v>-4052.64221064582</v>
      </c>
      <c r="G902" s="18">
        <v>-2579.0273319655366</v>
      </c>
      <c r="H902" s="12">
        <f>E903</f>
      </c>
      <c r="I902" s="12">
        <f>F903</f>
      </c>
      <c r="J902" s="12">
        <f>G903</f>
      </c>
      <c r="K902">
        <f>IF(AND(Pu&gt;=MIN(E902,H902),Pu&lt;=MAX(E902,H902),E902&lt;&gt;H902),1,0)</f>
      </c>
      <c r="L902">
        <f>IF(K902=1,(Pu-E902)/(H902-E902),"")</f>
      </c>
      <c r="M902" s="12">
        <f>IF(K902=1,F902+L902*(I902-F902),"")</f>
      </c>
      <c r="N902" s="12">
        <f>IF(K902=1,G902+L902*(J902-G902),"")</f>
      </c>
    </row>
    <row r="903" spans="2:14" x14ac:dyDescent="0.25">
      <c r="B903">
        <v>58</v>
      </c>
      <c r="C903">
        <v>243.74999999999994</v>
      </c>
      <c r="D903">
        <v>8</v>
      </c>
      <c r="E903" s="18">
        <v>4814.87523283577</v>
      </c>
      <c r="F903" s="18">
        <v>-3900.6557142540805</v>
      </c>
      <c r="G903" s="18">
        <v>-2789.012963954558</v>
      </c>
      <c r="H903" s="12">
        <f>E904</f>
      </c>
      <c r="I903" s="12">
        <f>F904</f>
      </c>
      <c r="J903" s="12">
        <f>G904</f>
      </c>
      <c r="K903">
        <f>IF(AND(Pu&gt;=MIN(E903,H903),Pu&lt;=MAX(E903,H903),E903&lt;&gt;H903),1,0)</f>
      </c>
      <c r="L903">
        <f>IF(K903=1,(Pu-E903)/(H903-E903),"")</f>
      </c>
      <c r="M903" s="12">
        <f>IF(K903=1,F903+L903*(I903-F903),"")</f>
      </c>
      <c r="N903" s="12">
        <f>IF(K903=1,G903+L903*(J903-G903),"")</f>
      </c>
    </row>
    <row r="904" spans="2:14" x14ac:dyDescent="0.25">
      <c r="B904">
        <v>58</v>
      </c>
      <c r="C904">
        <v>243.74999999999994</v>
      </c>
      <c r="D904">
        <v>9</v>
      </c>
      <c r="E904" s="18">
        <v>3503.3921746783444</v>
      </c>
      <c r="F904" s="18">
        <v>-3496.6135351068256</v>
      </c>
      <c r="G904" s="18">
        <v>-2685.2975128827716</v>
      </c>
      <c r="H904" s="12">
        <f>E905</f>
      </c>
      <c r="I904" s="12">
        <f>F905</f>
      </c>
      <c r="J904" s="12">
        <f>G905</f>
      </c>
      <c r="K904">
        <f>IF(AND(Pu&gt;=MIN(E904,H904),Pu&lt;=MAX(E904,H904),E904&lt;&gt;H904),1,0)</f>
      </c>
      <c r="L904">
        <f>IF(K904=1,(Pu-E904)/(H904-E904),"")</f>
      </c>
      <c r="M904" s="12">
        <f>IF(K904=1,F904+L904*(I904-F904),"")</f>
      </c>
      <c r="N904" s="12">
        <f>IF(K904=1,G904+L904*(J904-G904),"")</f>
      </c>
    </row>
    <row r="905" spans="2:14" x14ac:dyDescent="0.25">
      <c r="B905">
        <v>58</v>
      </c>
      <c r="C905">
        <v>243.74999999999994</v>
      </c>
      <c r="D905">
        <v>10</v>
      </c>
      <c r="E905" s="18">
        <v>1774.734037518163</v>
      </c>
      <c r="F905" s="18">
        <v>-2915.1712602236184</v>
      </c>
      <c r="G905" s="18">
        <v>-2357.938765620332</v>
      </c>
      <c r="H905" s="12">
        <f>E906</f>
      </c>
      <c r="I905" s="12">
        <f>F906</f>
      </c>
      <c r="J905" s="12">
        <f>G906</f>
      </c>
      <c r="K905">
        <f>IF(AND(Pu&gt;=MIN(E905,H905),Pu&lt;=MAX(E905,H905),E905&lt;&gt;H905),1,0)</f>
      </c>
      <c r="L905">
        <f>IF(K905=1,(Pu-E905)/(H905-E905),"")</f>
      </c>
      <c r="M905" s="12">
        <f>IF(K905=1,F905+L905*(I905-F905),"")</f>
      </c>
      <c r="N905" s="12">
        <f>IF(K905=1,G905+L905*(J905-G905),"")</f>
      </c>
    </row>
    <row r="906" spans="2:14" x14ac:dyDescent="0.25">
      <c r="B906">
        <v>58</v>
      </c>
      <c r="C906">
        <v>243.74999999999994</v>
      </c>
      <c r="D906">
        <v>11</v>
      </c>
      <c r="E906" s="18">
        <v>554.5550593624492</v>
      </c>
      <c r="F906" s="18">
        <v>-2473.5040373396782</v>
      </c>
      <c r="G906" s="18">
        <v>-2063.122282156468</v>
      </c>
      <c r="H906" s="12">
        <f>E907</f>
      </c>
      <c r="I906" s="12">
        <f>F907</f>
      </c>
      <c r="J906" s="12">
        <f>G907</f>
      </c>
      <c r="K906">
        <f>IF(AND(Pu&gt;=MIN(E906,H906),Pu&lt;=MAX(E906,H906),E906&lt;&gt;H906),1,0)</f>
      </c>
      <c r="L906">
        <f>IF(K906=1,(Pu-E906)/(H906-E906),"")</f>
      </c>
      <c r="M906" s="12">
        <f>IF(K906=1,F906+L906*(I906-F906),"")</f>
      </c>
      <c r="N906" s="12">
        <f>IF(K906=1,G906+L906*(J906-G906),"")</f>
      </c>
    </row>
    <row r="907" spans="2:14" x14ac:dyDescent="0.25">
      <c r="B907">
        <v>58</v>
      </c>
      <c r="C907">
        <v>243.74999999999994</v>
      </c>
      <c r="D907">
        <v>12</v>
      </c>
      <c r="E907" s="18">
        <v>-1522.26218645527</v>
      </c>
      <c r="F907" s="18">
        <v>-1605.7875193960729</v>
      </c>
      <c r="G907" s="18">
        <v>-1485.1897222643943</v>
      </c>
      <c r="H907" s="12">
        <f>E908</f>
      </c>
      <c r="I907" s="12">
        <f>F908</f>
      </c>
      <c r="J907" s="12">
        <f>G908</f>
      </c>
      <c r="K907">
        <f>IF(AND(Pu&gt;=MIN(E907,H907),Pu&lt;=MAX(E907,H907),E907&lt;&gt;H907),1,0)</f>
      </c>
      <c r="L907">
        <f>IF(K907=1,(Pu-E907)/(H907-E907),"")</f>
      </c>
      <c r="M907" s="12">
        <f>IF(K907=1,F907+L907*(I907-F907),"")</f>
      </c>
      <c r="N907" s="12">
        <f>IF(K907=1,G907+L907*(J907-G907),"")</f>
      </c>
    </row>
    <row r="908" spans="2:14" x14ac:dyDescent="0.25">
      <c r="B908">
        <v>58</v>
      </c>
      <c r="C908">
        <v>243.74999999999994</v>
      </c>
      <c r="D908">
        <v>13</v>
      </c>
      <c r="E908" s="18">
        <v>-2675.1561546053445</v>
      </c>
      <c r="F908" s="18">
        <v>-1090.85766573399</v>
      </c>
      <c r="G908" s="18">
        <v>-1057.8465017152132</v>
      </c>
      <c r="H908" s="12">
        <f>E909</f>
      </c>
      <c r="I908" s="12">
        <f>F909</f>
      </c>
      <c r="J908" s="12">
        <f>G909</f>
      </c>
      <c r="K908">
        <f>IF(AND(Pu&gt;=MIN(E908,H908),Pu&lt;=MAX(E908,H908),E908&lt;&gt;H908),1,0)</f>
      </c>
      <c r="L908">
        <f>IF(K908=1,(Pu-E908)/(H908-E908),"")</f>
      </c>
      <c r="M908" s="12">
        <f>IF(K908=1,F908+L908*(I908-F908),"")</f>
      </c>
      <c r="N908" s="12">
        <f>IF(K908=1,G908+L908*(J908-G908),"")</f>
      </c>
    </row>
    <row r="909" spans="2:7" x14ac:dyDescent="0.25">
      <c r="B909">
        <v>58</v>
      </c>
      <c r="C909">
        <v>243.74999999999994</v>
      </c>
      <c r="D909">
        <v>14</v>
      </c>
      <c r="E909" s="18">
        <v>-4318.740988835909</v>
      </c>
      <c r="F909" s="18">
        <v>-322.1572569433637</v>
      </c>
      <c r="G909" s="18">
        <v>-302.3432411801939</v>
      </c>
    </row>
    <row r="911" spans="2:14" x14ac:dyDescent="0.25">
      <c r="B911">
        <v>59</v>
      </c>
      <c r="C911">
        <v>247.49999999999997</v>
      </c>
      <c r="D911">
        <v>1</v>
      </c>
      <c r="E911" s="18">
        <v>16557.408461219264</v>
      </c>
      <c r="F911" s="18">
        <v>-2351.737838170153</v>
      </c>
      <c r="G911" s="18">
        <v>-1521.4875419289745</v>
      </c>
      <c r="H911" s="12">
        <f>E912</f>
      </c>
      <c r="I911" s="12">
        <f>F912</f>
      </c>
      <c r="J911" s="12">
        <f>G912</f>
      </c>
      <c r="K911">
        <f>IF(AND(Pu&gt;=MIN(E911,H911),Pu&lt;=MAX(E911,H911),E911&lt;&gt;H911),1,0)</f>
      </c>
      <c r="L911">
        <f>IF(K911=1,(Pu-E911)/(H911-E911),"")</f>
      </c>
      <c r="M911" s="12">
        <f>IF(K911=1,F911+L911*(I911-F911),"")</f>
      </c>
      <c r="N911" s="12">
        <f>IF(K911=1,G911+L911*(J911-G911),"")</f>
      </c>
    </row>
    <row r="912" spans="2:14" x14ac:dyDescent="0.25">
      <c r="B912">
        <v>59</v>
      </c>
      <c r="C912">
        <v>247.49999999999997</v>
      </c>
      <c r="D912">
        <v>2</v>
      </c>
      <c r="E912" s="18">
        <v>13787.354594027167</v>
      </c>
      <c r="F912" s="18">
        <v>-3243.9505830445078</v>
      </c>
      <c r="G912" s="18">
        <v>-1540.8172447784098</v>
      </c>
      <c r="H912" s="12">
        <f>E913</f>
      </c>
      <c r="I912" s="12">
        <f>F913</f>
      </c>
      <c r="J912" s="12">
        <f>G913</f>
      </c>
      <c r="K912">
        <f>IF(AND(Pu&gt;=MIN(E912,H912),Pu&lt;=MAX(E912,H912),E912&lt;&gt;H912),1,0)</f>
      </c>
      <c r="L912">
        <f>IF(K912=1,(Pu-E912)/(H912-E912),"")</f>
      </c>
      <c r="M912" s="12">
        <f>IF(K912=1,F912+L912*(I912-F912),"")</f>
      </c>
      <c r="N912" s="12">
        <f>IF(K912=1,G912+L912*(J912-G912),"")</f>
      </c>
    </row>
    <row r="913" spans="2:14" x14ac:dyDescent="0.25">
      <c r="B913">
        <v>59</v>
      </c>
      <c r="C913">
        <v>247.49999999999997</v>
      </c>
      <c r="D913">
        <v>3</v>
      </c>
      <c r="E913" s="18">
        <v>11906.581702234143</v>
      </c>
      <c r="F913" s="18">
        <v>-3628.8315220228696</v>
      </c>
      <c r="G913" s="18">
        <v>-1615.6790353202687</v>
      </c>
      <c r="H913" s="12">
        <f>E914</f>
      </c>
      <c r="I913" s="12">
        <f>F914</f>
      </c>
      <c r="J913" s="12">
        <f>G914</f>
      </c>
      <c r="K913">
        <f>IF(AND(Pu&gt;=MIN(E913,H913),Pu&lt;=MAX(E913,H913),E913&lt;&gt;H913),1,0)</f>
      </c>
      <c r="L913">
        <f>IF(K913=1,(Pu-E913)/(H913-E913),"")</f>
      </c>
      <c r="M913" s="12">
        <f>IF(K913=1,F913+L913*(I913-F913),"")</f>
      </c>
      <c r="N913" s="12">
        <f>IF(K913=1,G913+L913*(J913-G913),"")</f>
      </c>
    </row>
    <row r="914" spans="2:14" x14ac:dyDescent="0.25">
      <c r="B914">
        <v>59</v>
      </c>
      <c r="C914">
        <v>247.49999999999997</v>
      </c>
      <c r="D914">
        <v>4</v>
      </c>
      <c r="E914" s="18">
        <v>10320.665762980432</v>
      </c>
      <c r="F914" s="18">
        <v>-3824.603950181504</v>
      </c>
      <c r="G914" s="18">
        <v>-1695.487576162913</v>
      </c>
      <c r="H914" s="12">
        <f>E915</f>
      </c>
      <c r="I914" s="12">
        <f>F915</f>
      </c>
      <c r="J914" s="12">
        <f>G915</f>
      </c>
      <c r="K914">
        <f>IF(AND(Pu&gt;=MIN(E914,H914),Pu&lt;=MAX(E914,H914),E914&lt;&gt;H914),1,0)</f>
      </c>
      <c r="L914">
        <f>IF(K914=1,(Pu-E914)/(H914-E914),"")</f>
      </c>
      <c r="M914" s="12">
        <f>IF(K914=1,F914+L914*(I914-F914),"")</f>
      </c>
      <c r="N914" s="12">
        <f>IF(K914=1,G914+L914*(J914-G914),"")</f>
      </c>
    </row>
    <row r="915" spans="2:14" x14ac:dyDescent="0.25">
      <c r="B915">
        <v>59</v>
      </c>
      <c r="C915">
        <v>247.49999999999997</v>
      </c>
      <c r="D915">
        <v>5</v>
      </c>
      <c r="E915" s="18">
        <v>8946.634448049082</v>
      </c>
      <c r="F915" s="18">
        <v>-3931.5758027549123</v>
      </c>
      <c r="G915" s="18">
        <v>-1757.2968406061782</v>
      </c>
      <c r="H915" s="12">
        <f>E916</f>
      </c>
      <c r="I915" s="12">
        <f>F916</f>
      </c>
      <c r="J915" s="12">
        <f>G916</f>
      </c>
      <c r="K915">
        <f>IF(AND(Pu&gt;=MIN(E915,H915),Pu&lt;=MAX(E915,H915),E915&lt;&gt;H915),1,0)</f>
      </c>
      <c r="L915">
        <f>IF(K915=1,(Pu-E915)/(H915-E915),"")</f>
      </c>
      <c r="M915" s="12">
        <f>IF(K915=1,F915+L915*(I915-F915),"")</f>
      </c>
      <c r="N915" s="12">
        <f>IF(K915=1,G915+L915*(J915-G915),"")</f>
      </c>
    </row>
    <row r="916" spans="2:14" x14ac:dyDescent="0.25">
      <c r="B916">
        <v>59</v>
      </c>
      <c r="C916">
        <v>247.49999999999997</v>
      </c>
      <c r="D916">
        <v>6</v>
      </c>
      <c r="E916" s="18">
        <v>7542.15130044381</v>
      </c>
      <c r="F916" s="18">
        <v>-4266.790598582743</v>
      </c>
      <c r="G916" s="18">
        <v>-2005.1431113745011</v>
      </c>
      <c r="H916" s="12">
        <f>E917</f>
      </c>
      <c r="I916" s="12">
        <f>F917</f>
      </c>
      <c r="J916" s="12">
        <f>G917</f>
      </c>
      <c r="K916">
        <f>IF(AND(Pu&gt;=MIN(E916,H916),Pu&lt;=MAX(E916,H916),E916&lt;&gt;H916),1,0)</f>
      </c>
      <c r="L916">
        <f>IF(K916=1,(Pu-E916)/(H916-E916),"")</f>
      </c>
      <c r="M916" s="12">
        <f>IF(K916=1,F916+L916*(I916-F916),"")</f>
      </c>
      <c r="N916" s="12">
        <f>IF(K916=1,G916+L916*(J916-G916),"")</f>
      </c>
    </row>
    <row r="917" spans="2:14" x14ac:dyDescent="0.25">
      <c r="B917">
        <v>59</v>
      </c>
      <c r="C917">
        <v>247.49999999999997</v>
      </c>
      <c r="D917">
        <v>7</v>
      </c>
      <c r="E917" s="18">
        <v>6421.265972082092</v>
      </c>
      <c r="F917" s="18">
        <v>-4326.605658612294</v>
      </c>
      <c r="G917" s="18">
        <v>-2217.3118868752495</v>
      </c>
      <c r="H917" s="12">
        <f>E918</f>
      </c>
      <c r="I917" s="12">
        <f>F918</f>
      </c>
      <c r="J917" s="12">
        <f>G918</f>
      </c>
      <c r="K917">
        <f>IF(AND(Pu&gt;=MIN(E917,H917),Pu&lt;=MAX(E917,H917),E917&lt;&gt;H917),1,0)</f>
      </c>
      <c r="L917">
        <f>IF(K917=1,(Pu-E917)/(H917-E917),"")</f>
      </c>
      <c r="M917" s="12">
        <f>IF(K917=1,F917+L917*(I917-F917),"")</f>
      </c>
      <c r="N917" s="12">
        <f>IF(K917=1,G917+L917*(J917-G917),"")</f>
      </c>
    </row>
    <row r="918" spans="2:14" x14ac:dyDescent="0.25">
      <c r="B918">
        <v>59</v>
      </c>
      <c r="C918">
        <v>247.49999999999997</v>
      </c>
      <c r="D918">
        <v>8</v>
      </c>
      <c r="E918" s="18">
        <v>5208.752604383591</v>
      </c>
      <c r="F918" s="18">
        <v>-4200.243508931339</v>
      </c>
      <c r="G918" s="18">
        <v>-2446.1374143572184</v>
      </c>
      <c r="H918" s="12">
        <f>E919</f>
      </c>
      <c r="I918" s="12">
        <f>F919</f>
      </c>
      <c r="J918" s="12">
        <f>G919</f>
      </c>
      <c r="K918">
        <f>IF(AND(Pu&gt;=MIN(E918,H918),Pu&lt;=MAX(E918,H918),E918&lt;&gt;H918),1,0)</f>
      </c>
      <c r="L918">
        <f>IF(K918=1,(Pu-E918)/(H918-E918),"")</f>
      </c>
      <c r="M918" s="12">
        <f>IF(K918=1,F918+L918*(I918-F918),"")</f>
      </c>
      <c r="N918" s="12">
        <f>IF(K918=1,G918+L918*(J918-G918),"")</f>
      </c>
    </row>
    <row r="919" spans="2:14" x14ac:dyDescent="0.25">
      <c r="B919">
        <v>59</v>
      </c>
      <c r="C919">
        <v>247.49999999999997</v>
      </c>
      <c r="D919">
        <v>9</v>
      </c>
      <c r="E919" s="18">
        <v>3853.4616137359753</v>
      </c>
      <c r="F919" s="18">
        <v>-3774.2177268784767</v>
      </c>
      <c r="G919" s="18">
        <v>-2396.3178542980495</v>
      </c>
      <c r="H919" s="12">
        <f>E920</f>
      </c>
      <c r="I919" s="12">
        <f>F920</f>
      </c>
      <c r="J919" s="12">
        <f>G920</f>
      </c>
      <c r="K919">
        <f>IF(AND(Pu&gt;=MIN(E919,H919),Pu&lt;=MAX(E919,H919),E919&lt;&gt;H919),1,0)</f>
      </c>
      <c r="L919">
        <f>IF(K919=1,(Pu-E919)/(H919-E919),"")</f>
      </c>
      <c r="M919" s="12">
        <f>IF(K919=1,F919+L919*(I919-F919),"")</f>
      </c>
      <c r="N919" s="12">
        <f>IF(K919=1,G919+L919*(J919-G919),"")</f>
      </c>
    </row>
    <row r="920" spans="2:14" x14ac:dyDescent="0.25">
      <c r="B920">
        <v>59</v>
      </c>
      <c r="C920">
        <v>247.49999999999997</v>
      </c>
      <c r="D920">
        <v>10</v>
      </c>
      <c r="E920" s="18">
        <v>1988.6444526660316</v>
      </c>
      <c r="F920" s="18">
        <v>-3106.5914674201917</v>
      </c>
      <c r="G920" s="18">
        <v>-2176.477724734928</v>
      </c>
      <c r="H920" s="12">
        <f>E921</f>
      </c>
      <c r="I920" s="12">
        <f>F921</f>
      </c>
      <c r="J920" s="12">
        <f>G921</f>
      </c>
      <c r="K920">
        <f>IF(AND(Pu&gt;=MIN(E920,H920),Pu&lt;=MAX(E920,H920),E920&lt;&gt;H920),1,0)</f>
      </c>
      <c r="L920">
        <f>IF(K920=1,(Pu-E920)/(H920-E920),"")</f>
      </c>
      <c r="M920" s="12">
        <f>IF(K920=1,F920+L920*(I920-F920),"")</f>
      </c>
      <c r="N920" s="12">
        <f>IF(K920=1,G920+L920*(J920-G920),"")</f>
      </c>
    </row>
    <row r="921" spans="2:14" x14ac:dyDescent="0.25">
      <c r="B921">
        <v>59</v>
      </c>
      <c r="C921">
        <v>247.49999999999997</v>
      </c>
      <c r="D921">
        <v>11</v>
      </c>
      <c r="E921" s="18">
        <v>740.7199496883732</v>
      </c>
      <c r="F921" s="18">
        <v>-2622.5928872822005</v>
      </c>
      <c r="G921" s="18">
        <v>-1931.0189766734768</v>
      </c>
      <c r="H921" s="12">
        <f>E922</f>
      </c>
      <c r="I921" s="12">
        <f>F922</f>
      </c>
      <c r="J921" s="12">
        <f>G922</f>
      </c>
      <c r="K921">
        <f>IF(AND(Pu&gt;=MIN(E921,H921),Pu&lt;=MAX(E921,H921),E921&lt;&gt;H921),1,0)</f>
      </c>
      <c r="L921">
        <f>IF(K921=1,(Pu-E921)/(H921-E921),"")</f>
      </c>
      <c r="M921" s="12">
        <f>IF(K921=1,F921+L921*(I921-F921),"")</f>
      </c>
      <c r="N921" s="12">
        <f>IF(K921=1,G921+L921*(J921-G921),"")</f>
      </c>
    </row>
    <row r="922" spans="2:14" x14ac:dyDescent="0.25">
      <c r="B922">
        <v>59</v>
      </c>
      <c r="C922">
        <v>247.49999999999997</v>
      </c>
      <c r="D922">
        <v>12</v>
      </c>
      <c r="E922" s="18">
        <v>-1459.5891334705136</v>
      </c>
      <c r="F922" s="18">
        <v>-1685.9605431913317</v>
      </c>
      <c r="G922" s="18">
        <v>-1382.2249101827128</v>
      </c>
      <c r="H922" s="12">
        <f>E923</f>
      </c>
      <c r="I922" s="12">
        <f>F923</f>
      </c>
      <c r="J922" s="12">
        <f>G923</f>
      </c>
      <c r="K922">
        <f>IF(AND(Pu&gt;=MIN(E922,H922),Pu&lt;=MAX(E922,H922),E922&lt;&gt;H922),1,0)</f>
      </c>
      <c r="L922">
        <f>IF(K922=1,(Pu-E922)/(H922-E922),"")</f>
      </c>
      <c r="M922" s="12">
        <f>IF(K922=1,F922+L922*(I922-F922),"")</f>
      </c>
      <c r="N922" s="12">
        <f>IF(K922=1,G922+L922*(J922-G922),"")</f>
      </c>
    </row>
    <row r="923" spans="2:14" x14ac:dyDescent="0.25">
      <c r="B923">
        <v>59</v>
      </c>
      <c r="C923">
        <v>247.49999999999997</v>
      </c>
      <c r="D923">
        <v>13</v>
      </c>
      <c r="E923" s="18">
        <v>-2630.1514750161855</v>
      </c>
      <c r="F923" s="18">
        <v>-1139.073781616524</v>
      </c>
      <c r="G923" s="18">
        <v>-1003.5065037734468</v>
      </c>
      <c r="H923" s="12">
        <f>E924</f>
      </c>
      <c r="I923" s="12">
        <f>F924</f>
      </c>
      <c r="J923" s="12">
        <f>G924</f>
      </c>
      <c r="K923">
        <f>IF(AND(Pu&gt;=MIN(E923,H923),Pu&lt;=MAX(E923,H923),E923&lt;&gt;H923),1,0)</f>
      </c>
      <c r="L923">
        <f>IF(K923=1,(Pu-E923)/(H923-E923),"")</f>
      </c>
      <c r="M923" s="12">
        <f>IF(K923=1,F923+L923*(I923-F923),"")</f>
      </c>
      <c r="N923" s="12">
        <f>IF(K923=1,G923+L923*(J923-G923),"")</f>
      </c>
    </row>
    <row r="924" spans="2:7" x14ac:dyDescent="0.25">
      <c r="B924">
        <v>59</v>
      </c>
      <c r="C924">
        <v>247.49999999999997</v>
      </c>
      <c r="D924">
        <v>14</v>
      </c>
      <c r="E924" s="18">
        <v>-4325.435467284805</v>
      </c>
      <c r="F924" s="18">
        <v>-322.7837736367779</v>
      </c>
      <c r="G924" s="18">
        <v>-287.9931842369626</v>
      </c>
    </row>
    <row r="926" spans="2:14" x14ac:dyDescent="0.25">
      <c r="B926">
        <v>60</v>
      </c>
      <c r="C926">
        <v>251.25</v>
      </c>
      <c r="D926">
        <v>1</v>
      </c>
      <c r="E926" s="18">
        <v>16311.820785690332</v>
      </c>
      <c r="F926" s="18">
        <v>-2528.2141346217636</v>
      </c>
      <c r="G926" s="18">
        <v>-1301.9025202723822</v>
      </c>
      <c r="H926" s="12">
        <f>E927</f>
      </c>
      <c r="I926" s="12">
        <f>F927</f>
      </c>
      <c r="J926" s="12">
        <f>G927</f>
      </c>
      <c r="K926">
        <f>IF(AND(Pu&gt;=MIN(E926,H926),Pu&lt;=MAX(E926,H926),E926&lt;&gt;H926),1,0)</f>
      </c>
      <c r="L926">
        <f>IF(K926=1,(Pu-E926)/(H926-E926),"")</f>
      </c>
      <c r="M926" s="12">
        <f>IF(K926=1,F926+L926*(I926-F926),"")</f>
      </c>
      <c r="N926" s="12">
        <f>IF(K926=1,G926+L926*(J926-G926),"")</f>
      </c>
    </row>
    <row r="927" spans="2:14" x14ac:dyDescent="0.25">
      <c r="B927">
        <v>60</v>
      </c>
      <c r="C927">
        <v>251.25</v>
      </c>
      <c r="D927">
        <v>2</v>
      </c>
      <c r="E927" s="18">
        <v>13684.019488538934</v>
      </c>
      <c r="F927" s="18">
        <v>-3362.3014840012447</v>
      </c>
      <c r="G927" s="18">
        <v>-1292.7564212612835</v>
      </c>
      <c r="H927" s="12">
        <f>E928</f>
      </c>
      <c r="I927" s="12">
        <f>F928</f>
      </c>
      <c r="J927" s="12">
        <f>G928</f>
      </c>
      <c r="K927">
        <f>IF(AND(Pu&gt;=MIN(E927,H927),Pu&lt;=MAX(E927,H927),E927&lt;&gt;H927),1,0)</f>
      </c>
      <c r="L927">
        <f>IF(K927=1,(Pu-E927)/(H927-E927),"")</f>
      </c>
      <c r="M927" s="12">
        <f>IF(K927=1,F927+L927*(I927-F927),"")</f>
      </c>
      <c r="N927" s="12">
        <f>IF(K927=1,G927+L927*(J927-G927),"")</f>
      </c>
    </row>
    <row r="928" spans="2:14" x14ac:dyDescent="0.25">
      <c r="B928">
        <v>60</v>
      </c>
      <c r="C928">
        <v>251.25</v>
      </c>
      <c r="D928">
        <v>3</v>
      </c>
      <c r="E928" s="18">
        <v>11855.962084893183</v>
      </c>
      <c r="F928" s="18">
        <v>-3740.8474844281145</v>
      </c>
      <c r="G928" s="18">
        <v>-1335.9649835756297</v>
      </c>
      <c r="H928" s="12">
        <f>E929</f>
      </c>
      <c r="I928" s="12">
        <f>F929</f>
      </c>
      <c r="J928" s="12">
        <f>G929</f>
      </c>
      <c r="K928">
        <f>IF(AND(Pu&gt;=MIN(E928,H928),Pu&lt;=MAX(E928,H928),E928&lt;&gt;H928),1,0)</f>
      </c>
      <c r="L928">
        <f>IF(K928=1,(Pu-E928)/(H928-E928),"")</f>
      </c>
      <c r="M928" s="12">
        <f>IF(K928=1,F928+L928*(I928-F928),"")</f>
      </c>
      <c r="N928" s="12">
        <f>IF(K928=1,G928+L928*(J928-G928),"")</f>
      </c>
    </row>
    <row r="929" spans="2:14" x14ac:dyDescent="0.25">
      <c r="B929">
        <v>60</v>
      </c>
      <c r="C929">
        <v>251.25</v>
      </c>
      <c r="D929">
        <v>4</v>
      </c>
      <c r="E929" s="18">
        <v>10337.272450231174</v>
      </c>
      <c r="F929" s="18">
        <v>-3942.757637219405</v>
      </c>
      <c r="G929" s="18">
        <v>-1401.3727892310176</v>
      </c>
      <c r="H929" s="12">
        <f>E930</f>
      </c>
      <c r="I929" s="12">
        <f>F930</f>
      </c>
      <c r="J929" s="12">
        <f>G930</f>
      </c>
      <c r="K929">
        <f>IF(AND(Pu&gt;=MIN(E929,H929),Pu&lt;=MAX(E929,H929),E929&lt;&gt;H929),1,0)</f>
      </c>
      <c r="L929">
        <f>IF(K929=1,(Pu-E929)/(H929-E929),"")</f>
      </c>
      <c r="M929" s="12">
        <f>IF(K929=1,F929+L929*(I929-F929),"")</f>
      </c>
      <c r="N929" s="12">
        <f>IF(K929=1,G929+L929*(J929-G929),"")</f>
      </c>
    </row>
    <row r="930" spans="2:14" x14ac:dyDescent="0.25">
      <c r="B930">
        <v>60</v>
      </c>
      <c r="C930">
        <v>251.25</v>
      </c>
      <c r="D930">
        <v>5</v>
      </c>
      <c r="E930" s="18">
        <v>8994.790214855866</v>
      </c>
      <c r="F930" s="18">
        <v>-4055.863243592079</v>
      </c>
      <c r="G930" s="18">
        <v>-1463.2419939846695</v>
      </c>
      <c r="H930" s="12">
        <f>E931</f>
      </c>
      <c r="I930" s="12">
        <f>F931</f>
      </c>
      <c r="J930" s="12">
        <f>G931</f>
      </c>
      <c r="K930">
        <f>IF(AND(Pu&gt;=MIN(E930,H930),Pu&lt;=MAX(E930,H930),E930&lt;&gt;H930),1,0)</f>
      </c>
      <c r="L930">
        <f>IF(K930=1,(Pu-E930)/(H930-E930),"")</f>
      </c>
      <c r="M930" s="12">
        <f>IF(K930=1,F930+L930*(I930-F930),"")</f>
      </c>
      <c r="N930" s="12">
        <f>IF(K930=1,G930+L930*(J930-G930),"")</f>
      </c>
    </row>
    <row r="931" spans="2:14" x14ac:dyDescent="0.25">
      <c r="B931">
        <v>60</v>
      </c>
      <c r="C931">
        <v>251.25</v>
      </c>
      <c r="D931">
        <v>6</v>
      </c>
      <c r="E931" s="18">
        <v>7716.259574673526</v>
      </c>
      <c r="F931" s="18">
        <v>-4431.85530353337</v>
      </c>
      <c r="G931" s="18">
        <v>-1670.1930832106602</v>
      </c>
      <c r="H931" s="12">
        <f>E932</f>
      </c>
      <c r="I931" s="12">
        <f>F932</f>
      </c>
      <c r="J931" s="12">
        <f>G932</f>
      </c>
      <c r="K931">
        <f>IF(AND(Pu&gt;=MIN(E931,H931),Pu&lt;=MAX(E931,H931),E931&lt;&gt;H931),1,0)</f>
      </c>
      <c r="L931">
        <f>IF(K931=1,(Pu-E931)/(H931-E931),"")</f>
      </c>
      <c r="M931" s="12">
        <f>IF(K931=1,F931+L931*(I931-F931),"")</f>
      </c>
      <c r="N931" s="12">
        <f>IF(K931=1,G931+L931*(J931-G931),"")</f>
      </c>
    </row>
    <row r="932" spans="2:14" x14ac:dyDescent="0.25">
      <c r="B932">
        <v>60</v>
      </c>
      <c r="C932">
        <v>251.25</v>
      </c>
      <c r="D932">
        <v>7</v>
      </c>
      <c r="E932" s="18">
        <v>6767.386812944158</v>
      </c>
      <c r="F932" s="18">
        <v>-4558.411781644409</v>
      </c>
      <c r="G932" s="18">
        <v>-1858.07672748923</v>
      </c>
      <c r="H932" s="12">
        <f>E933</f>
      </c>
      <c r="I932" s="12">
        <f>F933</f>
      </c>
      <c r="J932" s="12">
        <f>G933</f>
      </c>
      <c r="K932">
        <f>IF(AND(Pu&gt;=MIN(E932,H932),Pu&lt;=MAX(E932,H932),E932&lt;&gt;H932),1,0)</f>
      </c>
      <c r="L932">
        <f>IF(K932=1,(Pu-E932)/(H932-E932),"")</f>
      </c>
      <c r="M932" s="12">
        <f>IF(K932=1,F932+L932*(I932-F932),"")</f>
      </c>
      <c r="N932" s="12">
        <f>IF(K932=1,G932+L932*(J932-G932),"")</f>
      </c>
    </row>
    <row r="933" spans="2:14" x14ac:dyDescent="0.25">
      <c r="B933">
        <v>60</v>
      </c>
      <c r="C933">
        <v>251.25</v>
      </c>
      <c r="D933">
        <v>8</v>
      </c>
      <c r="E933" s="18">
        <v>5673.4980468064205</v>
      </c>
      <c r="F933" s="18">
        <v>-4513.889072161677</v>
      </c>
      <c r="G933" s="18">
        <v>-2049.3921726076483</v>
      </c>
      <c r="H933" s="12">
        <f>E934</f>
      </c>
      <c r="I933" s="12">
        <f>F934</f>
      </c>
      <c r="J933" s="12">
        <f>G934</f>
      </c>
      <c r="K933">
        <f>IF(AND(Pu&gt;=MIN(E933,H933),Pu&lt;=MAX(E933,H933),E933&lt;&gt;H933),1,0)</f>
      </c>
      <c r="L933">
        <f>IF(K933=1,(Pu-E933)/(H933-E933),"")</f>
      </c>
      <c r="M933" s="12">
        <f>IF(K933=1,F933+L933*(I933-F933),"")</f>
      </c>
      <c r="N933" s="12">
        <f>IF(K933=1,G933+L933*(J933-G933),"")</f>
      </c>
    </row>
    <row r="934" spans="2:14" x14ac:dyDescent="0.25">
      <c r="B934">
        <v>60</v>
      </c>
      <c r="C934">
        <v>251.25</v>
      </c>
      <c r="D934">
        <v>9</v>
      </c>
      <c r="E934" s="18">
        <v>4314.484214683441</v>
      </c>
      <c r="F934" s="18">
        <v>-4085.916456227186</v>
      </c>
      <c r="G934" s="18">
        <v>-2047.3096476611147</v>
      </c>
      <c r="H934" s="12">
        <f>E935</f>
      </c>
      <c r="I934" s="12">
        <f>F935</f>
      </c>
      <c r="J934" s="12">
        <f>G935</f>
      </c>
      <c r="K934">
        <f>IF(AND(Pu&gt;=MIN(E934,H934),Pu&lt;=MAX(E934,H934),E934&lt;&gt;H934),1,0)</f>
      </c>
      <c r="L934">
        <f>IF(K934=1,(Pu-E934)/(H934-E934),"")</f>
      </c>
      <c r="M934" s="12">
        <f>IF(K934=1,F934+L934*(I934-F934),"")</f>
      </c>
      <c r="N934" s="12">
        <f>IF(K934=1,G934+L934*(J934-G934),"")</f>
      </c>
    </row>
    <row r="935" spans="2:14" x14ac:dyDescent="0.25">
      <c r="B935">
        <v>60</v>
      </c>
      <c r="C935">
        <v>251.25</v>
      </c>
      <c r="D935">
        <v>10</v>
      </c>
      <c r="E935" s="18">
        <v>2301.9319894323867</v>
      </c>
      <c r="F935" s="18">
        <v>-3346.0030974539973</v>
      </c>
      <c r="G935" s="18">
        <v>-1959.1813067014127</v>
      </c>
      <c r="H935" s="12">
        <f>E936</f>
      </c>
      <c r="I935" s="12">
        <f>F936</f>
      </c>
      <c r="J935" s="12">
        <f>G936</f>
      </c>
      <c r="K935">
        <f>IF(AND(Pu&gt;=MIN(E935,H935),Pu&lt;=MAX(E935,H935),E935&lt;&gt;H935),1,0)</f>
      </c>
      <c r="L935">
        <f>IF(K935=1,(Pu-E935)/(H935-E935),"")</f>
      </c>
      <c r="M935" s="12">
        <f>IF(K935=1,F935+L935*(I935-F935),"")</f>
      </c>
      <c r="N935" s="12">
        <f>IF(K935=1,G935+L935*(J935-G935),"")</f>
      </c>
    </row>
    <row r="936" spans="2:14" x14ac:dyDescent="0.25">
      <c r="B936">
        <v>60</v>
      </c>
      <c r="C936">
        <v>251.25</v>
      </c>
      <c r="D936">
        <v>11</v>
      </c>
      <c r="E936" s="18">
        <v>1030.8674797097467</v>
      </c>
      <c r="F936" s="18">
        <v>-2823.490566626937</v>
      </c>
      <c r="G936" s="18">
        <v>-1781.1259018739947</v>
      </c>
      <c r="H936" s="12">
        <f>E937</f>
      </c>
      <c r="I936" s="12">
        <f>F937</f>
      </c>
      <c r="J936" s="12">
        <f>G937</f>
      </c>
      <c r="K936">
        <f>IF(AND(Pu&gt;=MIN(E936,H936),Pu&lt;=MAX(E936,H936),E936&lt;&gt;H936),1,0)</f>
      </c>
      <c r="L936">
        <f>IF(K936=1,(Pu-E936)/(H936-E936),"")</f>
      </c>
      <c r="M936" s="12">
        <f>IF(K936=1,F936+L936*(I936-F936),"")</f>
      </c>
      <c r="N936" s="12">
        <f>IF(K936=1,G936+L936*(J936-G936),"")</f>
      </c>
    </row>
    <row r="937" spans="2:14" x14ac:dyDescent="0.25">
      <c r="B937">
        <v>60</v>
      </c>
      <c r="C937">
        <v>251.25</v>
      </c>
      <c r="D937">
        <v>12</v>
      </c>
      <c r="E937" s="18">
        <v>-1237.0185745448728</v>
      </c>
      <c r="F937" s="18">
        <v>-1831.0726795101737</v>
      </c>
      <c r="G937" s="18">
        <v>-1293.7661052842464</v>
      </c>
      <c r="H937" s="12">
        <f>E938</f>
      </c>
      <c r="I937" s="12">
        <f>F938</f>
      </c>
      <c r="J937" s="12">
        <f>G938</f>
      </c>
      <c r="K937">
        <f>IF(AND(Pu&gt;=MIN(E937,H937),Pu&lt;=MAX(E937,H937),E937&lt;&gt;H937),1,0)</f>
      </c>
      <c r="L937">
        <f>IF(K937=1,(Pu-E937)/(H937-E937),"")</f>
      </c>
      <c r="M937" s="12">
        <f>IF(K937=1,F937+L937*(I937-F937),"")</f>
      </c>
      <c r="N937" s="12">
        <f>IF(K937=1,G937+L937*(J937-G937),"")</f>
      </c>
    </row>
    <row r="938" spans="2:14" x14ac:dyDescent="0.25">
      <c r="B938">
        <v>60</v>
      </c>
      <c r="C938">
        <v>251.25</v>
      </c>
      <c r="D938">
        <v>13</v>
      </c>
      <c r="E938" s="18">
        <v>-2539.9052022943397</v>
      </c>
      <c r="F938" s="18">
        <v>-1210.552340205729</v>
      </c>
      <c r="G938" s="18">
        <v>-951.3991534747237</v>
      </c>
      <c r="H938" s="12">
        <f>E939</f>
      </c>
      <c r="I938" s="12">
        <f>F939</f>
      </c>
      <c r="J938" s="12">
        <f>G939</f>
      </c>
      <c r="K938">
        <f>IF(AND(Pu&gt;=MIN(E938,H938),Pu&lt;=MAX(E938,H938),E938&lt;&gt;H938),1,0)</f>
      </c>
      <c r="L938">
        <f>IF(K938=1,(Pu-E938)/(H938-E938),"")</f>
      </c>
      <c r="M938" s="12">
        <f>IF(K938=1,F938+L938*(I938-F938),"")</f>
      </c>
      <c r="N938" s="12">
        <f>IF(K938=1,G938+L938*(J938-G938),"")</f>
      </c>
    </row>
    <row r="939" spans="2:7" x14ac:dyDescent="0.25">
      <c r="B939">
        <v>60</v>
      </c>
      <c r="C939">
        <v>251.25</v>
      </c>
      <c r="D939">
        <v>14</v>
      </c>
      <c r="E939" s="18">
        <v>-4311.15905697642</v>
      </c>
      <c r="F939" s="18">
        <v>-333.33770281416884</v>
      </c>
      <c r="G939" s="18">
        <v>-285.16936006297294</v>
      </c>
    </row>
    <row r="941" spans="2:14" x14ac:dyDescent="0.25">
      <c r="B941">
        <v>61</v>
      </c>
      <c r="C941">
        <v>255</v>
      </c>
      <c r="D941">
        <v>1</v>
      </c>
      <c r="E941" s="18">
        <v>17663.40830987146</v>
      </c>
      <c r="F941" s="18">
        <v>-2056.1564175509648</v>
      </c>
      <c r="G941" s="18">
        <v>-1055.1978129984743</v>
      </c>
      <c r="H941" s="12">
        <f>E942</f>
      </c>
      <c r="I941" s="12">
        <f>F942</f>
      </c>
      <c r="J941" s="12">
        <f>G942</f>
      </c>
      <c r="K941">
        <f>IF(AND(Pu&gt;=MIN(E941,H941),Pu&lt;=MAX(E941,H941),E941&lt;&gt;H941),1,0)</f>
      </c>
      <c r="L941">
        <f>IF(K941=1,(Pu-E941)/(H941-E941),"")</f>
      </c>
      <c r="M941" s="12">
        <f>IF(K941=1,F941+L941*(I941-F941),"")</f>
      </c>
      <c r="N941" s="12">
        <f>IF(K941=1,G941+L941*(J941-G941),"")</f>
      </c>
    </row>
    <row r="942" spans="2:14" x14ac:dyDescent="0.25">
      <c r="B942">
        <v>61</v>
      </c>
      <c r="C942">
        <v>255</v>
      </c>
      <c r="D942">
        <v>2</v>
      </c>
      <c r="E942" s="18">
        <v>16018.371759561904</v>
      </c>
      <c r="F942" s="18">
        <v>-2713.9903618427825</v>
      </c>
      <c r="G942" s="18">
        <v>-1056.525650299796</v>
      </c>
      <c r="H942" s="12">
        <f>E943</f>
      </c>
      <c r="I942" s="12">
        <f>F943</f>
      </c>
      <c r="J942" s="12">
        <f>G943</f>
      </c>
      <c r="K942">
        <f>IF(AND(Pu&gt;=MIN(E942,H942),Pu&lt;=MAX(E942,H942),E942&lt;&gt;H942),1,0)</f>
      </c>
      <c r="L942">
        <f>IF(K942=1,(Pu-E942)/(H942-E942),"")</f>
      </c>
      <c r="M942" s="12">
        <f>IF(K942=1,F942+L942*(I942-F942),"")</f>
      </c>
      <c r="N942" s="12">
        <f>IF(K942=1,G942+L942*(J942-G942),"")</f>
      </c>
    </row>
    <row r="943" spans="2:14" x14ac:dyDescent="0.25">
      <c r="B943">
        <v>61</v>
      </c>
      <c r="C943">
        <v>255</v>
      </c>
      <c r="D943">
        <v>3</v>
      </c>
      <c r="E943" s="18">
        <v>13568.048277372505</v>
      </c>
      <c r="F943" s="18">
        <v>-3472.0176361037747</v>
      </c>
      <c r="G943" s="18">
        <v>-1033.3938432807445</v>
      </c>
      <c r="H943" s="12">
        <f>E944</f>
      </c>
      <c r="I943" s="12">
        <f>F944</f>
      </c>
      <c r="J943" s="12">
        <f>G944</f>
      </c>
      <c r="K943">
        <f>IF(AND(Pu&gt;=MIN(E943,H943),Pu&lt;=MAX(E943,H943),E943&lt;&gt;H943),1,0)</f>
      </c>
      <c r="L943">
        <f>IF(K943=1,(Pu-E943)/(H943-E943),"")</f>
      </c>
      <c r="M943" s="12">
        <f>IF(K943=1,F943+L943*(I943-F943),"")</f>
      </c>
      <c r="N943" s="12">
        <f>IF(K943=1,G943+L943*(J943-G943),"")</f>
      </c>
    </row>
    <row r="944" spans="2:14" x14ac:dyDescent="0.25">
      <c r="B944">
        <v>61</v>
      </c>
      <c r="C944">
        <v>255</v>
      </c>
      <c r="D944">
        <v>4</v>
      </c>
      <c r="E944" s="18">
        <v>11805.735141735513</v>
      </c>
      <c r="F944" s="18">
        <v>-3827.794453457008</v>
      </c>
      <c r="G944" s="18">
        <v>-1080.1988296870034</v>
      </c>
      <c r="H944" s="12">
        <f>E945</f>
      </c>
      <c r="I944" s="12">
        <f>F945</f>
      </c>
      <c r="J944" s="12">
        <f>G945</f>
      </c>
      <c r="K944">
        <f>IF(AND(Pu&gt;=MIN(E944,H944),Pu&lt;=MAX(E944,H944),E944&lt;&gt;H944),1,0)</f>
      </c>
      <c r="L944">
        <f>IF(K944=1,(Pu-E944)/(H944-E944),"")</f>
      </c>
      <c r="M944" s="12">
        <f>IF(K944=1,F944+L944*(I944-F944),"")</f>
      </c>
      <c r="N944" s="12">
        <f>IF(K944=1,G944+L944*(J944-G944),"")</f>
      </c>
    </row>
    <row r="945" spans="2:14" x14ac:dyDescent="0.25">
      <c r="B945">
        <v>61</v>
      </c>
      <c r="C945">
        <v>255</v>
      </c>
      <c r="D945">
        <v>5</v>
      </c>
      <c r="E945" s="18">
        <v>10334.81863956615</v>
      </c>
      <c r="F945" s="18">
        <v>-4035.044633502739</v>
      </c>
      <c r="G945" s="18">
        <v>-1119.4132893610915</v>
      </c>
      <c r="H945" s="12">
        <f>E946</f>
      </c>
      <c r="I945" s="12">
        <f>F946</f>
      </c>
      <c r="J945" s="12">
        <f>G946</f>
      </c>
      <c r="K945">
        <f>IF(AND(Pu&gt;=MIN(E945,H945),Pu&lt;=MAX(E945,H945),E945&lt;&gt;H945),1,0)</f>
      </c>
      <c r="L945">
        <f>IF(K945=1,(Pu-E945)/(H945-E945),"")</f>
      </c>
      <c r="M945" s="12">
        <f>IF(K945=1,F945+L945*(I945-F945),"")</f>
      </c>
      <c r="N945" s="12">
        <f>IF(K945=1,G945+L945*(J945-G945),"")</f>
      </c>
    </row>
    <row r="946" spans="2:14" x14ac:dyDescent="0.25">
      <c r="B946">
        <v>61</v>
      </c>
      <c r="C946">
        <v>255</v>
      </c>
      <c r="D946">
        <v>6</v>
      </c>
      <c r="E946" s="18">
        <v>9044.414289894843</v>
      </c>
      <c r="F946" s="18">
        <v>-4162.797357567723</v>
      </c>
      <c r="G946" s="18">
        <v>-1167.692425079624</v>
      </c>
      <c r="H946" s="12">
        <f>E947</f>
      </c>
      <c r="I946" s="12">
        <f>F947</f>
      </c>
      <c r="J946" s="12">
        <f>G947</f>
      </c>
      <c r="K946">
        <f>IF(AND(Pu&gt;=MIN(E946,H946),Pu&lt;=MAX(E946,H946),E946&lt;&gt;H946),1,0)</f>
      </c>
      <c r="L946">
        <f>IF(K946=1,(Pu-E946)/(H946-E946),"")</f>
      </c>
      <c r="M946" s="12">
        <f>IF(K946=1,F946+L946*(I946-F946),"")</f>
      </c>
      <c r="N946" s="12">
        <f>IF(K946=1,G946+L946*(J946-G946),"")</f>
      </c>
    </row>
    <row r="947" spans="2:14" x14ac:dyDescent="0.25">
      <c r="B947">
        <v>61</v>
      </c>
      <c r="C947">
        <v>255</v>
      </c>
      <c r="D947">
        <v>7</v>
      </c>
      <c r="E947" s="18">
        <v>7900.926956347102</v>
      </c>
      <c r="F947" s="18">
        <v>-4579.01517641749</v>
      </c>
      <c r="G947" s="18">
        <v>-1323.5720693498274</v>
      </c>
      <c r="H947" s="12">
        <f>E948</f>
      </c>
      <c r="I947" s="12">
        <f>F948</f>
      </c>
      <c r="J947" s="12">
        <f>G948</f>
      </c>
      <c r="K947">
        <f>IF(AND(Pu&gt;=MIN(E947,H947),Pu&lt;=MAX(E947,H947),E947&lt;&gt;H947),1,0)</f>
      </c>
      <c r="L947">
        <f>IF(K947=1,(Pu-E947)/(H947-E947),"")</f>
      </c>
      <c r="M947" s="12">
        <f>IF(K947=1,F947+L947*(I947-F947),"")</f>
      </c>
      <c r="N947" s="12">
        <f>IF(K947=1,G947+L947*(J947-G947),"")</f>
      </c>
    </row>
    <row r="948" spans="2:14" x14ac:dyDescent="0.25">
      <c r="B948">
        <v>61</v>
      </c>
      <c r="C948">
        <v>255</v>
      </c>
      <c r="D948">
        <v>8</v>
      </c>
      <c r="E948" s="18">
        <v>7024.472214754451</v>
      </c>
      <c r="F948" s="18">
        <v>-4738.891699856123</v>
      </c>
      <c r="G948" s="18">
        <v>-1495.3665003615886</v>
      </c>
      <c r="H948" s="12">
        <f>E949</f>
      </c>
      <c r="I948" s="12">
        <f>F949</f>
      </c>
      <c r="J948" s="12">
        <f>G949</f>
      </c>
      <c r="K948">
        <f>IF(AND(Pu&gt;=MIN(E948,H948),Pu&lt;=MAX(E948,H948),E948&lt;&gt;H948),1,0)</f>
      </c>
      <c r="L948">
        <f>IF(K948=1,(Pu-E948)/(H948-E948),"")</f>
      </c>
      <c r="M948" s="12">
        <f>IF(K948=1,F948+L948*(I948-F948),"")</f>
      </c>
      <c r="N948" s="12">
        <f>IF(K948=1,G948+L948*(J948-G948),"")</f>
      </c>
    </row>
    <row r="949" spans="2:14" x14ac:dyDescent="0.25">
      <c r="B949">
        <v>61</v>
      </c>
      <c r="C949">
        <v>255</v>
      </c>
      <c r="D949">
        <v>9</v>
      </c>
      <c r="E949" s="18">
        <v>6192.823512197098</v>
      </c>
      <c r="F949" s="18">
        <v>-4816.122040964442</v>
      </c>
      <c r="G949" s="18">
        <v>-1620.8527463722994</v>
      </c>
      <c r="H949" s="12">
        <f>E950</f>
      </c>
      <c r="I949" s="12">
        <f>F950</f>
      </c>
      <c r="J949" s="12">
        <f>G950</f>
      </c>
      <c r="K949">
        <f>IF(AND(Pu&gt;=MIN(E949,H949),Pu&lt;=MAX(E949,H949),E949&lt;&gt;H949),1,0)</f>
      </c>
      <c r="L949">
        <f>IF(K949=1,(Pu-E949)/(H949-E949),"")</f>
      </c>
      <c r="M949" s="12">
        <f>IF(K949=1,F949+L949*(I949-F949),"")</f>
      </c>
      <c r="N949" s="12">
        <f>IF(K949=1,G949+L949*(J949-G949),"")</f>
      </c>
    </row>
    <row r="950" spans="2:14" x14ac:dyDescent="0.25">
      <c r="B950">
        <v>61</v>
      </c>
      <c r="C950">
        <v>255</v>
      </c>
      <c r="D950">
        <v>10</v>
      </c>
      <c r="E950" s="18">
        <v>4865.596984903789</v>
      </c>
      <c r="F950" s="18">
        <v>-4406.705064794094</v>
      </c>
      <c r="G950" s="18">
        <v>-1666.4128844382687</v>
      </c>
      <c r="H950" s="12">
        <f>E951</f>
      </c>
      <c r="I950" s="12">
        <f>F951</f>
      </c>
      <c r="J950" s="12">
        <f>G951</f>
      </c>
      <c r="K950">
        <f>IF(AND(Pu&gt;=MIN(E950,H950),Pu&lt;=MAX(E950,H950),E950&lt;&gt;H950),1,0)</f>
      </c>
      <c r="L950">
        <f>IF(K950=1,(Pu-E950)/(H950-E950),"")</f>
      </c>
      <c r="M950" s="12">
        <f>IF(K950=1,F950+L950*(I950-F950),"")</f>
      </c>
      <c r="N950" s="12">
        <f>IF(K950=1,G950+L950*(J950-G950),"")</f>
      </c>
    </row>
    <row r="951" spans="2:14" x14ac:dyDescent="0.25">
      <c r="B951">
        <v>61</v>
      </c>
      <c r="C951">
        <v>255</v>
      </c>
      <c r="D951">
        <v>11</v>
      </c>
      <c r="E951" s="18">
        <v>2844.4108700908732</v>
      </c>
      <c r="F951" s="18">
        <v>-3684.270104234368</v>
      </c>
      <c r="G951" s="18">
        <v>-1652.5424880271312</v>
      </c>
      <c r="H951" s="12">
        <f>E952</f>
      </c>
      <c r="I951" s="12">
        <f>F952</f>
      </c>
      <c r="J951" s="12">
        <f>G952</f>
      </c>
      <c r="K951">
        <f>IF(AND(Pu&gt;=MIN(E951,H951),Pu&lt;=MAX(E951,H951),E951&lt;&gt;H951),1,0)</f>
      </c>
      <c r="L951">
        <f>IF(K951=1,(Pu-E951)/(H951-E951),"")</f>
      </c>
      <c r="M951" s="12">
        <f>IF(K951=1,F951+L951*(I951-F951),"")</f>
      </c>
      <c r="N951" s="12">
        <f>IF(K951=1,G951+L951*(J951-G951),"")</f>
      </c>
    </row>
    <row r="952" spans="2:14" x14ac:dyDescent="0.25">
      <c r="B952">
        <v>61</v>
      </c>
      <c r="C952">
        <v>255</v>
      </c>
      <c r="D952">
        <v>12</v>
      </c>
      <c r="E952" s="18">
        <v>1445.082468662186</v>
      </c>
      <c r="F952" s="18">
        <v>-3088.821791028519</v>
      </c>
      <c r="G952" s="18">
        <v>-1582.745669843005</v>
      </c>
      <c r="H952" s="12">
        <f>E953</f>
      </c>
      <c r="I952" s="12">
        <f>F953</f>
      </c>
      <c r="J952" s="12">
        <f>G953</f>
      </c>
      <c r="K952">
        <f>IF(AND(Pu&gt;=MIN(E952,H952),Pu&lt;=MAX(E952,H952),E952&lt;&gt;H952),1,0)</f>
      </c>
      <c r="L952">
        <f>IF(K952=1,(Pu-E952)/(H952-E952),"")</f>
      </c>
      <c r="M952" s="12">
        <f>IF(K952=1,F952+L952*(I952-F952),"")</f>
      </c>
      <c r="N952" s="12">
        <f>IF(K952=1,G952+L952*(J952-G952),"")</f>
      </c>
    </row>
    <row r="953" spans="2:14" x14ac:dyDescent="0.25">
      <c r="B953">
        <v>61</v>
      </c>
      <c r="C953">
        <v>255</v>
      </c>
      <c r="D953">
        <v>13</v>
      </c>
      <c r="E953" s="18">
        <v>-890.1954490091854</v>
      </c>
      <c r="F953" s="18">
        <v>-2041.468301253823</v>
      </c>
      <c r="G953" s="18">
        <v>-1182.6306354101991</v>
      </c>
      <c r="H953" s="12">
        <f>E954</f>
      </c>
      <c r="I953" s="12">
        <f>F954</f>
      </c>
      <c r="J953" s="12">
        <f>G954</f>
      </c>
      <c r="K953">
        <f>IF(AND(Pu&gt;=MIN(E953,H953),Pu&lt;=MAX(E953,H953),E953&lt;&gt;H953),1,0)</f>
      </c>
      <c r="L953">
        <f>IF(K953=1,(Pu-E953)/(H953-E953),"")</f>
      </c>
      <c r="M953" s="12">
        <f>IF(K953=1,F953+L953*(I953-F953),"")</f>
      </c>
      <c r="N953" s="12">
        <f>IF(K953=1,G953+L953*(J953-G953),"")</f>
      </c>
    </row>
    <row r="954" spans="2:14" x14ac:dyDescent="0.25">
      <c r="B954">
        <v>61</v>
      </c>
      <c r="C954">
        <v>255</v>
      </c>
      <c r="D954">
        <v>14</v>
      </c>
      <c r="E954" s="18">
        <v>-2322.243621166516</v>
      </c>
      <c r="F954" s="18">
        <v>-1349.805246642934</v>
      </c>
      <c r="G954" s="18">
        <v>-887.0520973354106</v>
      </c>
      <c r="H954" s="12">
        <f>E955</f>
      </c>
      <c r="I954" s="12">
        <f>F955</f>
      </c>
      <c r="J954" s="12">
        <f>G955</f>
      </c>
      <c r="K954">
        <f>IF(AND(Pu&gt;=MIN(E954,H954),Pu&lt;=MAX(E954,H954),E954&lt;&gt;H954),1,0)</f>
      </c>
      <c r="L954">
        <f>IF(K954=1,(Pu-E954)/(H954-E954),"")</f>
      </c>
      <c r="M954" s="12">
        <f>IF(K954=1,F954+L954*(I954-F954),"")</f>
      </c>
      <c r="N954" s="12">
        <f>IF(K954=1,G954+L954*(J954-G954),"")</f>
      </c>
    </row>
    <row r="955" spans="2:7" x14ac:dyDescent="0.25">
      <c r="B955">
        <v>61</v>
      </c>
      <c r="C955">
        <v>255</v>
      </c>
      <c r="D955">
        <v>15</v>
      </c>
      <c r="E955" s="18">
        <v>-4250.483916974663</v>
      </c>
      <c r="F955" s="18">
        <v>-368.32790287278493</v>
      </c>
      <c r="G955" s="18">
        <v>-296.584673257065</v>
      </c>
    </row>
    <row r="957" spans="2:14" x14ac:dyDescent="0.25">
      <c r="B957">
        <v>62</v>
      </c>
      <c r="C957">
        <v>258.75000000000006</v>
      </c>
      <c r="D957">
        <v>1</v>
      </c>
      <c r="E957" s="18">
        <v>17263.170063934096</v>
      </c>
      <c r="F957" s="18">
        <v>-2285.6322031906607</v>
      </c>
      <c r="G957" s="18">
        <v>-835.2411015442766</v>
      </c>
      <c r="H957" s="12">
        <f>E958</f>
      </c>
      <c r="I957" s="12">
        <f>F958</f>
      </c>
      <c r="J957" s="12">
        <f>G958</f>
      </c>
      <c r="K957">
        <f>IF(AND(Pu&gt;=MIN(E957,H957),Pu&lt;=MAX(E957,H957),E957&lt;&gt;H957),1,0)</f>
      </c>
      <c r="L957">
        <f>IF(K957=1,(Pu-E957)/(H957-E957),"")</f>
      </c>
      <c r="M957" s="12">
        <f>IF(K957=1,F957+L957*(I957-F957),"")</f>
      </c>
      <c r="N957" s="12">
        <f>IF(K957=1,G957+L957*(J957-G957),"")</f>
      </c>
    </row>
    <row r="958" spans="2:14" x14ac:dyDescent="0.25">
      <c r="B958">
        <v>62</v>
      </c>
      <c r="C958">
        <v>258.75000000000006</v>
      </c>
      <c r="D958">
        <v>2</v>
      </c>
      <c r="E958" s="18">
        <v>15691.23978200155</v>
      </c>
      <c r="F958" s="18">
        <v>-2899.5144748158045</v>
      </c>
      <c r="G958" s="18">
        <v>-787.6934675639885</v>
      </c>
      <c r="H958" s="12">
        <f>E959</f>
      </c>
      <c r="I958" s="12">
        <f>F959</f>
      </c>
      <c r="J958" s="12">
        <f>G959</f>
      </c>
      <c r="K958">
        <f>IF(AND(Pu&gt;=MIN(E958,H958),Pu&lt;=MAX(E958,H958),E958&lt;&gt;H958),1,0)</f>
      </c>
      <c r="L958">
        <f>IF(K958=1,(Pu-E958)/(H958-E958),"")</f>
      </c>
      <c r="M958" s="12">
        <f>IF(K958=1,F958+L958*(I958-F958),"")</f>
      </c>
      <c r="N958" s="12">
        <f>IF(K958=1,G958+L958*(J958-G958),"")</f>
      </c>
    </row>
    <row r="959" spans="2:14" x14ac:dyDescent="0.25">
      <c r="B959">
        <v>62</v>
      </c>
      <c r="C959">
        <v>258.75000000000006</v>
      </c>
      <c r="D959">
        <v>3</v>
      </c>
      <c r="E959" s="18">
        <v>13439.476393900133</v>
      </c>
      <c r="F959" s="18">
        <v>-3569.7953623997914</v>
      </c>
      <c r="G959" s="18">
        <v>-761.2159744450416</v>
      </c>
      <c r="H959" s="12">
        <f>E960</f>
      </c>
      <c r="I959" s="12">
        <f>F960</f>
      </c>
      <c r="J959" s="12">
        <f>G960</f>
      </c>
      <c r="K959">
        <f>IF(AND(Pu&gt;=MIN(E959,H959),Pu&lt;=MAX(E959,H959),E959&lt;&gt;H959),1,0)</f>
      </c>
      <c r="L959">
        <f>IF(K959=1,(Pu-E959)/(H959-E959),"")</f>
      </c>
      <c r="M959" s="12">
        <f>IF(K959=1,F959+L959*(I959-F959),"")</f>
      </c>
      <c r="N959" s="12">
        <f>IF(K959=1,G959+L959*(J959-G959),"")</f>
      </c>
    </row>
    <row r="960" spans="2:14" x14ac:dyDescent="0.25">
      <c r="B960">
        <v>62</v>
      </c>
      <c r="C960">
        <v>258.75000000000006</v>
      </c>
      <c r="D960">
        <v>4</v>
      </c>
      <c r="E960" s="18">
        <v>11755.029611653848</v>
      </c>
      <c r="F960" s="18">
        <v>-3905.615962511759</v>
      </c>
      <c r="G960" s="18">
        <v>-808.9799705121038</v>
      </c>
      <c r="H960" s="12">
        <f>E961</f>
      </c>
      <c r="I960" s="12">
        <f>F961</f>
      </c>
      <c r="J960" s="12">
        <f>G961</f>
      </c>
      <c r="K960">
        <f>IF(AND(Pu&gt;=MIN(E960,H960),Pu&lt;=MAX(E960,H960),E960&lt;&gt;H960),1,0)</f>
      </c>
      <c r="L960">
        <f>IF(K960=1,(Pu-E960)/(H960-E960),"")</f>
      </c>
      <c r="M960" s="12">
        <f>IF(K960=1,F960+L960*(I960-F960),"")</f>
      </c>
      <c r="N960" s="12">
        <f>IF(K960=1,G960+L960*(J960-G960),"")</f>
      </c>
    </row>
    <row r="961" spans="2:14" x14ac:dyDescent="0.25">
      <c r="B961">
        <v>62</v>
      </c>
      <c r="C961">
        <v>258.75000000000006</v>
      </c>
      <c r="D961">
        <v>5</v>
      </c>
      <c r="E961" s="18">
        <v>10329.97994029749</v>
      </c>
      <c r="F961" s="18">
        <v>-4113.203580616373</v>
      </c>
      <c r="G961" s="18">
        <v>-839.62067729858</v>
      </c>
      <c r="H961" s="12">
        <f>E962</f>
      </c>
      <c r="I961" s="12">
        <f>F962</f>
      </c>
      <c r="J961" s="12">
        <f>G962</f>
      </c>
      <c r="K961">
        <f>IF(AND(Pu&gt;=MIN(E961,H961),Pu&lt;=MAX(E961,H961),E961&lt;&gt;H961),1,0)</f>
      </c>
      <c r="L961">
        <f>IF(K961=1,(Pu-E961)/(H961-E961),"")</f>
      </c>
      <c r="M961" s="12">
        <f>IF(K961=1,F961+L961*(I961-F961),"")</f>
      </c>
      <c r="N961" s="12">
        <f>IF(K961=1,G961+L961*(J961-G961),"")</f>
      </c>
    </row>
    <row r="962" spans="2:14" x14ac:dyDescent="0.25">
      <c r="B962">
        <v>62</v>
      </c>
      <c r="C962">
        <v>258.75000000000006</v>
      </c>
      <c r="D962">
        <v>6</v>
      </c>
      <c r="E962" s="18">
        <v>9089.590677847846</v>
      </c>
      <c r="F962" s="18">
        <v>-4246.716281637672</v>
      </c>
      <c r="G962" s="18">
        <v>-888.3907361739456</v>
      </c>
      <c r="H962" s="12">
        <f>E963</f>
      </c>
      <c r="I962" s="12">
        <f>F963</f>
      </c>
      <c r="J962" s="12">
        <f>G963</f>
      </c>
      <c r="K962">
        <f>IF(AND(Pu&gt;=MIN(E962,H962),Pu&lt;=MAX(E962,H962),E962&lt;&gt;H962),1,0)</f>
      </c>
      <c r="L962">
        <f>IF(K962=1,(Pu-E962)/(H962-E962),"")</f>
      </c>
      <c r="M962" s="12">
        <f>IF(K962=1,F962+L962*(I962-F962),"")</f>
      </c>
      <c r="N962" s="12">
        <f>IF(K962=1,G962+L962*(J962-G962),"")</f>
      </c>
    </row>
    <row r="963" spans="2:14" x14ac:dyDescent="0.25">
      <c r="B963">
        <v>62</v>
      </c>
      <c r="C963">
        <v>258.75000000000006</v>
      </c>
      <c r="D963">
        <v>7</v>
      </c>
      <c r="E963" s="18">
        <v>8049.68538336347</v>
      </c>
      <c r="F963" s="18">
        <v>-4676.49857435678</v>
      </c>
      <c r="G963" s="18">
        <v>-1009.3898121511673</v>
      </c>
      <c r="H963" s="12">
        <f>E964</f>
      </c>
      <c r="I963" s="12">
        <f>F964</f>
      </c>
      <c r="J963" s="12">
        <f>G964</f>
      </c>
      <c r="K963">
        <f>IF(AND(Pu&gt;=MIN(E963,H963),Pu&lt;=MAX(E963,H963),E963&lt;&gt;H963),1,0)</f>
      </c>
      <c r="L963">
        <f>IF(K963=1,(Pu-E963)/(H963-E963),"")</f>
      </c>
      <c r="M963" s="12">
        <f>IF(K963=1,F963+L963*(I963-F963),"")</f>
      </c>
      <c r="N963" s="12">
        <f>IF(K963=1,G963+L963*(J963-G963),"")</f>
      </c>
    </row>
    <row r="964" spans="2:14" x14ac:dyDescent="0.25">
      <c r="B964">
        <v>62</v>
      </c>
      <c r="C964">
        <v>258.75000000000006</v>
      </c>
      <c r="D964">
        <v>8</v>
      </c>
      <c r="E964" s="18">
        <v>7291.740698268392</v>
      </c>
      <c r="F964" s="18">
        <v>-4902.144820824775</v>
      </c>
      <c r="G964" s="18">
        <v>-1102.8539547935861</v>
      </c>
      <c r="H964" s="12">
        <f>E965</f>
      </c>
      <c r="I964" s="12">
        <f>F965</f>
      </c>
      <c r="J964" s="12">
        <f>G965</f>
      </c>
      <c r="K964">
        <f>IF(AND(Pu&gt;=MIN(E964,H964),Pu&lt;=MAX(E964,H964),E964&lt;&gt;H964),1,0)</f>
      </c>
      <c r="L964">
        <f>IF(K964=1,(Pu-E964)/(H964-E964),"")</f>
      </c>
      <c r="M964" s="12">
        <f>IF(K964=1,F964+L964*(I964-F964),"")</f>
      </c>
      <c r="N964" s="12">
        <f>IF(K964=1,G964+L964*(J964-G964),"")</f>
      </c>
    </row>
    <row r="965" spans="2:14" x14ac:dyDescent="0.25">
      <c r="B965">
        <v>62</v>
      </c>
      <c r="C965">
        <v>258.75000000000006</v>
      </c>
      <c r="D965">
        <v>9</v>
      </c>
      <c r="E965" s="18">
        <v>6601.301168973172</v>
      </c>
      <c r="F965" s="18">
        <v>-5039.434939117218</v>
      </c>
      <c r="G965" s="18">
        <v>-1204.4775586545495</v>
      </c>
      <c r="H965" s="12">
        <f>E966</f>
      </c>
      <c r="I965" s="12">
        <f>F966</f>
      </c>
      <c r="J965" s="12">
        <f>G966</f>
      </c>
      <c r="K965">
        <f>IF(AND(Pu&gt;=MIN(E965,H965),Pu&lt;=MAX(E965,H965),E965&lt;&gt;H965),1,0)</f>
      </c>
      <c r="L965">
        <f>IF(K965=1,(Pu-E965)/(H965-E965),"")</f>
      </c>
      <c r="M965" s="12">
        <f>IF(K965=1,F965+L965*(I965-F965),"")</f>
      </c>
      <c r="N965" s="12">
        <f>IF(K965=1,G965+L965*(J965-G965),"")</f>
      </c>
    </row>
    <row r="966" spans="2:14" x14ac:dyDescent="0.25">
      <c r="B966">
        <v>62</v>
      </c>
      <c r="C966">
        <v>258.75000000000006</v>
      </c>
      <c r="D966">
        <v>10</v>
      </c>
      <c r="E966" s="18">
        <v>5457.995376929317</v>
      </c>
      <c r="F966" s="18">
        <v>-4720.921647443063</v>
      </c>
      <c r="G966" s="18">
        <v>-1243.7390714569844</v>
      </c>
      <c r="H966" s="12">
        <f>E967</f>
      </c>
      <c r="I966" s="12">
        <f>F967</f>
      </c>
      <c r="J966" s="12">
        <f>G967</f>
      </c>
      <c r="K966">
        <f>IF(AND(Pu&gt;=MIN(E966,H966),Pu&lt;=MAX(E966,H966),E966&lt;&gt;H966),1,0)</f>
      </c>
      <c r="L966">
        <f>IF(K966=1,(Pu-E966)/(H966-E966),"")</f>
      </c>
      <c r="M966" s="12">
        <f>IF(K966=1,F966+L966*(I966-F966),"")</f>
      </c>
      <c r="N966" s="12">
        <f>IF(K966=1,G966+L966*(J966-G966),"")</f>
      </c>
    </row>
    <row r="967" spans="2:14" x14ac:dyDescent="0.25">
      <c r="B967">
        <v>62</v>
      </c>
      <c r="C967">
        <v>258.75000000000006</v>
      </c>
      <c r="D967">
        <v>11</v>
      </c>
      <c r="E967" s="18">
        <v>3507.4823657365623</v>
      </c>
      <c r="F967" s="18">
        <v>-4037.8424698798913</v>
      </c>
      <c r="G967" s="18">
        <v>-1290.0406410680941</v>
      </c>
      <c r="H967" s="12">
        <f>E968</f>
      </c>
      <c r="I967" s="12">
        <f>F968</f>
      </c>
      <c r="J967" s="12">
        <f>G968</f>
      </c>
      <c r="K967">
        <f>IF(AND(Pu&gt;=MIN(E967,H967),Pu&lt;=MAX(E967,H967),E967&lt;&gt;H967),1,0)</f>
      </c>
      <c r="L967">
        <f>IF(K967=1,(Pu-E967)/(H967-E967),"")</f>
      </c>
      <c r="M967" s="12">
        <f>IF(K967=1,F967+L967*(I967-F967),"")</f>
      </c>
      <c r="N967" s="12">
        <f>IF(K967=1,G967+L967*(J967-G967),"")</f>
      </c>
    </row>
    <row r="968" spans="2:14" x14ac:dyDescent="0.25">
      <c r="B968">
        <v>62</v>
      </c>
      <c r="C968">
        <v>258.75000000000006</v>
      </c>
      <c r="D968">
        <v>12</v>
      </c>
      <c r="E968" s="18">
        <v>2073.7236228396064</v>
      </c>
      <c r="F968" s="18">
        <v>-3457.454749512866</v>
      </c>
      <c r="G968" s="18">
        <v>-1299.4496533100012</v>
      </c>
      <c r="H968" s="12">
        <f>E969</f>
      </c>
      <c r="I968" s="12">
        <f>F969</f>
      </c>
      <c r="J968" s="12">
        <f>G969</f>
      </c>
      <c r="K968">
        <f>IF(AND(Pu&gt;=MIN(E968,H968),Pu&lt;=MAX(E968,H968),E968&lt;&gt;H968),1,0)</f>
      </c>
      <c r="L968">
        <f>IF(K968=1,(Pu-E968)/(H968-E968),"")</f>
      </c>
      <c r="M968" s="12">
        <f>IF(K968=1,F968+L968*(I968-F968),"")</f>
      </c>
      <c r="N968" s="12">
        <f>IF(K968=1,G968+L968*(J968-G968),"")</f>
      </c>
    </row>
    <row r="969" spans="2:14" x14ac:dyDescent="0.25">
      <c r="B969">
        <v>62</v>
      </c>
      <c r="C969">
        <v>258.75000000000006</v>
      </c>
      <c r="D969">
        <v>13</v>
      </c>
      <c r="E969" s="18">
        <v>-397.9558364794768</v>
      </c>
      <c r="F969" s="18">
        <v>-2329.9576495092547</v>
      </c>
      <c r="G969" s="18">
        <v>-1034.3904202099645</v>
      </c>
      <c r="H969" s="12">
        <f>E970</f>
      </c>
      <c r="I969" s="12">
        <f>F970</f>
      </c>
      <c r="J969" s="12">
        <f>G970</f>
      </c>
      <c r="K969">
        <f>IF(AND(Pu&gt;=MIN(E969,H969),Pu&lt;=MAX(E969,H969),E969&lt;&gt;H969),1,0)</f>
      </c>
      <c r="L969">
        <f>IF(K969=1,(Pu-E969)/(H969-E969),"")</f>
      </c>
      <c r="M969" s="12">
        <f>IF(K969=1,F969+L969*(I969-F969),"")</f>
      </c>
      <c r="N969" s="12">
        <f>IF(K969=1,G969+L969*(J969-G969),"")</f>
      </c>
    </row>
    <row r="970" spans="2:14" x14ac:dyDescent="0.25">
      <c r="B970">
        <v>62</v>
      </c>
      <c r="C970">
        <v>258.75000000000006</v>
      </c>
      <c r="D970">
        <v>14</v>
      </c>
      <c r="E970" s="18">
        <v>-1918.733510311635</v>
      </c>
      <c r="F970" s="18">
        <v>-1589.2239476015436</v>
      </c>
      <c r="G970" s="18">
        <v>-773.7009017067879</v>
      </c>
      <c r="H970" s="12">
        <f>E971</f>
      </c>
      <c r="I970" s="12">
        <f>F971</f>
      </c>
      <c r="J970" s="12">
        <f>G971</f>
      </c>
      <c r="K970">
        <f>IF(AND(Pu&gt;=MIN(E970,H970),Pu&lt;=MAX(E970,H970),E970&lt;&gt;H970),1,0)</f>
      </c>
      <c r="L970">
        <f>IF(K970=1,(Pu-E970)/(H970-E970),"")</f>
      </c>
      <c r="M970" s="12">
        <f>IF(K970=1,F970+L970*(I970-F970),"")</f>
      </c>
      <c r="N970" s="12">
        <f>IF(K970=1,G970+L970*(J970-G970),"")</f>
      </c>
    </row>
    <row r="971" spans="2:7" x14ac:dyDescent="0.25">
      <c r="B971">
        <v>62</v>
      </c>
      <c r="C971">
        <v>258.75000000000006</v>
      </c>
      <c r="D971">
        <v>15</v>
      </c>
      <c r="E971" s="18">
        <v>-4107.687660175253</v>
      </c>
      <c r="F971" s="18">
        <v>-447.65414438770364</v>
      </c>
      <c r="G971" s="18">
        <v>-327.5515561256578</v>
      </c>
    </row>
    <row r="973" spans="2:14" x14ac:dyDescent="0.25">
      <c r="B973">
        <v>63</v>
      </c>
      <c r="C973">
        <v>262.50000000000006</v>
      </c>
      <c r="D973">
        <v>1</v>
      </c>
      <c r="E973" s="18">
        <v>16783.311291715534</v>
      </c>
      <c r="F973" s="18">
        <v>-2525.963365155481</v>
      </c>
      <c r="G973" s="18">
        <v>-591.2537739247883</v>
      </c>
      <c r="H973" s="12">
        <f>E974</f>
      </c>
      <c r="I973" s="12">
        <f>F974</f>
      </c>
      <c r="J973" s="12">
        <f>G974</f>
      </c>
      <c r="K973">
        <f>IF(AND(Pu&gt;=MIN(E973,H973),Pu&lt;=MAX(E973,H973),E973&lt;&gt;H973),1,0)</f>
      </c>
      <c r="L973">
        <f>IF(K973=1,(Pu-E973)/(H973-E973),"")</f>
      </c>
      <c r="M973" s="12">
        <f>IF(K973=1,F973+L973*(I973-F973),"")</f>
      </c>
      <c r="N973" s="12">
        <f>IF(K973=1,G973+L973*(J973-G973),"")</f>
      </c>
    </row>
    <row r="974" spans="2:14" x14ac:dyDescent="0.25">
      <c r="B974">
        <v>63</v>
      </c>
      <c r="C974">
        <v>262.50000000000006</v>
      </c>
      <c r="D974">
        <v>2</v>
      </c>
      <c r="E974" s="18">
        <v>15397.801277609688</v>
      </c>
      <c r="F974" s="18">
        <v>-3050.5432161695544</v>
      </c>
      <c r="G974" s="18">
        <v>-520.5570074295823</v>
      </c>
      <c r="H974" s="12">
        <f>E975</f>
      </c>
      <c r="I974" s="12">
        <f>F975</f>
      </c>
      <c r="J974" s="12">
        <f>G975</f>
      </c>
      <c r="K974">
        <f>IF(AND(Pu&gt;=MIN(E974,H974),Pu&lt;=MAX(E974,H974),E974&lt;&gt;H974),1,0)</f>
      </c>
      <c r="L974">
        <f>IF(K974=1,(Pu-E974)/(H974-E974),"")</f>
      </c>
      <c r="M974" s="12">
        <f>IF(K974=1,F974+L974*(I974-F974),"")</f>
      </c>
      <c r="N974" s="12">
        <f>IF(K974=1,G974+L974*(J974-G974),"")</f>
      </c>
    </row>
    <row r="975" spans="2:14" x14ac:dyDescent="0.25">
      <c r="B975">
        <v>63</v>
      </c>
      <c r="C975">
        <v>262.50000000000006</v>
      </c>
      <c r="D975">
        <v>3</v>
      </c>
      <c r="E975" s="18">
        <v>13328.93046021938</v>
      </c>
      <c r="F975" s="18">
        <v>-3644.5088585648546</v>
      </c>
      <c r="G975" s="18">
        <v>-515.9050532142492</v>
      </c>
      <c r="H975" s="12">
        <f>E976</f>
      </c>
      <c r="I975" s="12">
        <f>F976</f>
      </c>
      <c r="J975" s="12">
        <f>G976</f>
      </c>
      <c r="K975">
        <f>IF(AND(Pu&gt;=MIN(E975,H975),Pu&lt;=MAX(E975,H975),E975&lt;&gt;H975),1,0)</f>
      </c>
      <c r="L975">
        <f>IF(K975=1,(Pu-E975)/(H975-E975),"")</f>
      </c>
      <c r="M975" s="12">
        <f>IF(K975=1,F975+L975*(I975-F975),"")</f>
      </c>
      <c r="N975" s="12">
        <f>IF(K975=1,G975+L975*(J975-G975),"")</f>
      </c>
    </row>
    <row r="976" spans="2:14" x14ac:dyDescent="0.25">
      <c r="B976">
        <v>63</v>
      </c>
      <c r="C976">
        <v>262.50000000000006</v>
      </c>
      <c r="D976">
        <v>4</v>
      </c>
      <c r="E976" s="18">
        <v>11703.210126888844</v>
      </c>
      <c r="F976" s="18">
        <v>-3971.180389071291</v>
      </c>
      <c r="G976" s="18">
        <v>-537.3309272567027</v>
      </c>
      <c r="H976" s="12">
        <f>E977</f>
      </c>
      <c r="I976" s="12">
        <f>F977</f>
      </c>
      <c r="J976" s="12">
        <f>G977</f>
      </c>
      <c r="K976">
        <f>IF(AND(Pu&gt;=MIN(E976,H976),Pu&lt;=MAX(E976,H976),E976&lt;&gt;H976),1,0)</f>
      </c>
      <c r="L976">
        <f>IF(K976=1,(Pu-E976)/(H976-E976),"")</f>
      </c>
      <c r="M976" s="12">
        <f>IF(K976=1,F976+L976*(I976-F976),"")</f>
      </c>
      <c r="N976" s="12">
        <f>IF(K976=1,G976+L976*(J976-G976),"")</f>
      </c>
    </row>
    <row r="977" spans="2:14" x14ac:dyDescent="0.25">
      <c r="B977">
        <v>63</v>
      </c>
      <c r="C977">
        <v>262.50000000000006</v>
      </c>
      <c r="D977">
        <v>5</v>
      </c>
      <c r="E977" s="18">
        <v>10309.235015179509</v>
      </c>
      <c r="F977" s="18">
        <v>-4178.12146142661</v>
      </c>
      <c r="G977" s="18">
        <v>-567.8214773436015</v>
      </c>
      <c r="H977" s="12">
        <f>E978</f>
      </c>
      <c r="I977" s="12">
        <f>F978</f>
      </c>
      <c r="J977" s="12">
        <f>G978</f>
      </c>
      <c r="K977">
        <f>IF(AND(Pu&gt;=MIN(E977,H977),Pu&lt;=MAX(E977,H977),E977&lt;&gt;H977),1,0)</f>
      </c>
      <c r="L977">
        <f>IF(K977=1,(Pu-E977)/(H977-E977),"")</f>
      </c>
      <c r="M977" s="12">
        <f>IF(K977=1,F977+L977*(I977-F977),"")</f>
      </c>
      <c r="N977" s="12">
        <f>IF(K977=1,G977+L977*(J977-G977),"")</f>
      </c>
    </row>
    <row r="978" spans="2:14" x14ac:dyDescent="0.25">
      <c r="B978">
        <v>63</v>
      </c>
      <c r="C978">
        <v>262.50000000000006</v>
      </c>
      <c r="D978">
        <v>6</v>
      </c>
      <c r="E978" s="18">
        <v>9117.635316264068</v>
      </c>
      <c r="F978" s="18">
        <v>-4319.94339771633</v>
      </c>
      <c r="G978" s="18">
        <v>-598.3120274305003</v>
      </c>
      <c r="H978" s="12">
        <f>E979</f>
      </c>
      <c r="I978" s="12">
        <f>F979</f>
      </c>
      <c r="J978" s="12">
        <f>G979</f>
      </c>
      <c r="K978">
        <f>IF(AND(Pu&gt;=MIN(E978,H978),Pu&lt;=MAX(E978,H978),E978&lt;&gt;H978),1,0)</f>
      </c>
      <c r="L978">
        <f>IF(K978=1,(Pu-E978)/(H978-E978),"")</f>
      </c>
      <c r="M978" s="12">
        <f>IF(K978=1,F978+L978*(I978-F978),"")</f>
      </c>
      <c r="N978" s="12">
        <f>IF(K978=1,G978+L978*(J978-G978),"")</f>
      </c>
    </row>
    <row r="979" spans="2:14" x14ac:dyDescent="0.25">
      <c r="B979">
        <v>63</v>
      </c>
      <c r="C979">
        <v>262.50000000000006</v>
      </c>
      <c r="D979">
        <v>7</v>
      </c>
      <c r="E979" s="18">
        <v>8176.761097740371</v>
      </c>
      <c r="F979" s="18">
        <v>-4747.320934091594</v>
      </c>
      <c r="G979" s="18">
        <v>-684.6436289229025</v>
      </c>
      <c r="H979" s="12">
        <f>E980</f>
      </c>
      <c r="I979" s="12">
        <f>F980</f>
      </c>
      <c r="J979" s="12">
        <f>G980</f>
      </c>
      <c r="K979">
        <f>IF(AND(Pu&gt;=MIN(E979,H979),Pu&lt;=MAX(E979,H979),E979&lt;&gt;H979),1,0)</f>
      </c>
      <c r="L979">
        <f>IF(K979=1,(Pu-E979)/(H979-E979),"")</f>
      </c>
      <c r="M979" s="12">
        <f>IF(K979=1,F979+L979*(I979-F979),"")</f>
      </c>
      <c r="N979" s="12">
        <f>IF(K979=1,G979+L979*(J979-G979),"")</f>
      </c>
    </row>
    <row r="980" spans="2:14" x14ac:dyDescent="0.25">
      <c r="B980">
        <v>63</v>
      </c>
      <c r="C980">
        <v>262.50000000000006</v>
      </c>
      <c r="D980">
        <v>8</v>
      </c>
      <c r="E980" s="18">
        <v>7528.714236169145</v>
      </c>
      <c r="F980" s="18">
        <v>-5019.687538907796</v>
      </c>
      <c r="G980" s="18">
        <v>-724.728755081687</v>
      </c>
      <c r="H980" s="12">
        <f>E981</f>
      </c>
      <c r="I980" s="12">
        <f>F981</f>
      </c>
      <c r="J980" s="12">
        <f>G981</f>
      </c>
      <c r="K980">
        <f>IF(AND(Pu&gt;=MIN(E980,H980),Pu&lt;=MAX(E980,H980),E980&lt;&gt;H980),1,0)</f>
      </c>
      <c r="L980">
        <f>IF(K980=1,(Pu-E980)/(H980-E980),"")</f>
      </c>
      <c r="M980" s="12">
        <f>IF(K980=1,F980+L980*(I980-F980),"")</f>
      </c>
      <c r="N980" s="12">
        <f>IF(K980=1,G980+L980*(J980-G980),"")</f>
      </c>
    </row>
    <row r="981" spans="2:14" x14ac:dyDescent="0.25">
      <c r="B981">
        <v>63</v>
      </c>
      <c r="C981">
        <v>262.50000000000006</v>
      </c>
      <c r="D981">
        <v>9</v>
      </c>
      <c r="E981" s="18">
        <v>6977.856630387719</v>
      </c>
      <c r="F981" s="18">
        <v>-5217.654827504135</v>
      </c>
      <c r="G981" s="18">
        <v>-784.370537442248</v>
      </c>
      <c r="H981" s="12">
        <f>E982</f>
      </c>
      <c r="I981" s="12">
        <f>F982</f>
      </c>
      <c r="J981" s="12">
        <f>G982</f>
      </c>
      <c r="K981">
        <f>IF(AND(Pu&gt;=MIN(E981,H981),Pu&lt;=MAX(E981,H981),E981&lt;&gt;H981),1,0)</f>
      </c>
      <c r="L981">
        <f>IF(K981=1,(Pu-E981)/(H981-E981),"")</f>
      </c>
      <c r="M981" s="12">
        <f>IF(K981=1,F981+L981*(I981-F981),"")</f>
      </c>
      <c r="N981" s="12">
        <f>IF(K981=1,G981+L981*(J981-G981),"")</f>
      </c>
    </row>
    <row r="982" spans="2:14" x14ac:dyDescent="0.25">
      <c r="B982">
        <v>63</v>
      </c>
      <c r="C982">
        <v>262.50000000000006</v>
      </c>
      <c r="D982">
        <v>10</v>
      </c>
      <c r="E982" s="18">
        <v>5957.352515334311</v>
      </c>
      <c r="F982" s="18">
        <v>-4961.315671761343</v>
      </c>
      <c r="G982" s="18">
        <v>-797.9597462668198</v>
      </c>
      <c r="H982" s="12">
        <f>E983</f>
      </c>
      <c r="I982" s="12">
        <f>F983</f>
      </c>
      <c r="J982" s="12">
        <f>G983</f>
      </c>
      <c r="K982">
        <f>IF(AND(Pu&gt;=MIN(E982,H982),Pu&lt;=MAX(E982,H982),E982&lt;&gt;H982),1,0)</f>
      </c>
      <c r="L982">
        <f>IF(K982=1,(Pu-E982)/(H982-E982),"")</f>
      </c>
      <c r="M982" s="12">
        <f>IF(K982=1,F982+L982*(I982-F982),"")</f>
      </c>
      <c r="N982" s="12">
        <f>IF(K982=1,G982+L982*(J982-G982),"")</f>
      </c>
    </row>
    <row r="983" spans="2:14" x14ac:dyDescent="0.25">
      <c r="B983">
        <v>63</v>
      </c>
      <c r="C983">
        <v>262.50000000000006</v>
      </c>
      <c r="D983">
        <v>11</v>
      </c>
      <c r="E983" s="18">
        <v>4250.78452185799</v>
      </c>
      <c r="F983" s="18">
        <v>-4403.665492312934</v>
      </c>
      <c r="G983" s="18">
        <v>-869.4796075638044</v>
      </c>
      <c r="H983" s="12">
        <f>E984</f>
      </c>
      <c r="I983" s="12">
        <f>F984</f>
      </c>
      <c r="J983" s="12">
        <f>G984</f>
      </c>
      <c r="K983">
        <f>IF(AND(Pu&gt;=MIN(E983,H983),Pu&lt;=MAX(E983,H983),E983&lt;&gt;H983),1,0)</f>
      </c>
      <c r="L983">
        <f>IF(K983=1,(Pu-E983)/(H983-E983),"")</f>
      </c>
      <c r="M983" s="12">
        <f>IF(K983=1,F983+L983*(I983-F983),"")</f>
      </c>
      <c r="N983" s="12">
        <f>IF(K983=1,G983+L983*(J983-G983),"")</f>
      </c>
    </row>
    <row r="984" spans="2:14" x14ac:dyDescent="0.25">
      <c r="B984">
        <v>63</v>
      </c>
      <c r="C984">
        <v>262.50000000000006</v>
      </c>
      <c r="D984">
        <v>12</v>
      </c>
      <c r="E984" s="18">
        <v>2825.474626251417</v>
      </c>
      <c r="F984" s="18">
        <v>-3858.2000103963023</v>
      </c>
      <c r="G984" s="18">
        <v>-905.2565630434674</v>
      </c>
      <c r="H984" s="12">
        <f>E985</f>
      </c>
      <c r="I984" s="12">
        <f>F985</f>
      </c>
      <c r="J984" s="12">
        <f>G985</f>
      </c>
      <c r="K984">
        <f>IF(AND(Pu&gt;=MIN(E984,H984),Pu&lt;=MAX(E984,H984),E984&lt;&gt;H984),1,0)</f>
      </c>
      <c r="L984">
        <f>IF(K984=1,(Pu-E984)/(H984-E984),"")</f>
      </c>
      <c r="M984" s="12">
        <f>IF(K984=1,F984+L984*(I984-F984),"")</f>
      </c>
      <c r="N984" s="12">
        <f>IF(K984=1,G984+L984*(J984-G984),"")</f>
      </c>
    </row>
    <row r="985" spans="2:14" x14ac:dyDescent="0.25">
      <c r="B985">
        <v>63</v>
      </c>
      <c r="C985">
        <v>262.50000000000006</v>
      </c>
      <c r="D985">
        <v>13</v>
      </c>
      <c r="E985" s="18">
        <v>384.1593434020192</v>
      </c>
      <c r="F985" s="18">
        <v>-2771.2715721991062</v>
      </c>
      <c r="G985" s="18">
        <v>-769.6855036965793</v>
      </c>
      <c r="H985" s="12">
        <f>E986</f>
      </c>
      <c r="I985" s="12">
        <f>F986</f>
      </c>
      <c r="J985" s="12">
        <f>G986</f>
      </c>
      <c r="K985">
        <f>IF(AND(Pu&gt;=MIN(E985,H985),Pu&lt;=MAX(E985,H985),E985&lt;&gt;H985),1,0)</f>
      </c>
      <c r="L985">
        <f>IF(K985=1,(Pu-E985)/(H985-E985),"")</f>
      </c>
      <c r="M985" s="12">
        <f>IF(K985=1,F985+L985*(I985-F985),"")</f>
      </c>
      <c r="N985" s="12">
        <f>IF(K985=1,G985+L985*(J985-G985),"")</f>
      </c>
    </row>
    <row r="986" spans="2:14" x14ac:dyDescent="0.25">
      <c r="B986">
        <v>63</v>
      </c>
      <c r="C986">
        <v>262.50000000000006</v>
      </c>
      <c r="D986">
        <v>14</v>
      </c>
      <c r="E986" s="18">
        <v>-1217.3613026629425</v>
      </c>
      <c r="F986" s="18">
        <v>-1991.4818780991613</v>
      </c>
      <c r="G986" s="18">
        <v>-596.4909885497757</v>
      </c>
      <c r="H986" s="12">
        <f>E987</f>
      </c>
      <c r="I986" s="12">
        <f>F987</f>
      </c>
      <c r="J986" s="12">
        <f>G987</f>
      </c>
      <c r="K986">
        <f>IF(AND(Pu&gt;=MIN(E986,H986),Pu&lt;=MAX(E986,H986),E986&lt;&gt;H986),1,0)</f>
      </c>
      <c r="L986">
        <f>IF(K986=1,(Pu-E986)/(H986-E986),"")</f>
      </c>
      <c r="M986" s="12">
        <f>IF(K986=1,F986+L986*(I986-F986),"")</f>
      </c>
      <c r="N986" s="12">
        <f>IF(K986=1,G986+L986*(J986-G986),"")</f>
      </c>
    </row>
    <row r="987" spans="2:7" x14ac:dyDescent="0.25">
      <c r="B987">
        <v>63</v>
      </c>
      <c r="C987">
        <v>262.50000000000006</v>
      </c>
      <c r="D987">
        <v>15</v>
      </c>
      <c r="E987" s="18">
        <v>-3835.6086287745006</v>
      </c>
      <c r="F987" s="18">
        <v>-598.3367558505147</v>
      </c>
      <c r="G987" s="18">
        <v>-369.9999105702492</v>
      </c>
    </row>
    <row r="989" spans="2:14" x14ac:dyDescent="0.25">
      <c r="B989">
        <v>64</v>
      </c>
      <c r="C989">
        <v>264.375</v>
      </c>
      <c r="D989">
        <v>1</v>
      </c>
      <c r="E989" s="18">
        <v>16530.01163644034</v>
      </c>
      <c r="F989" s="18">
        <v>-2645.2521143097356</v>
      </c>
      <c r="G989" s="18">
        <v>-449.0384581804054</v>
      </c>
      <c r="H989" s="12">
        <f>E990</f>
      </c>
      <c r="I989" s="12">
        <f>F990</f>
      </c>
      <c r="J989" s="12">
        <f>G990</f>
      </c>
      <c r="K989">
        <f>IF(AND(Pu&gt;=MIN(E989,H989),Pu&lt;=MAX(E989,H989),E989&lt;&gt;H989),1,0)</f>
      </c>
      <c r="L989">
        <f>IF(K989=1,(Pu-E989)/(H989-E989),"")</f>
      </c>
      <c r="M989" s="12">
        <f>IF(K989=1,F989+L989*(I989-F989),"")</f>
      </c>
      <c r="N989" s="12">
        <f>IF(K989=1,G989+L989*(J989-G989),"")</f>
      </c>
    </row>
    <row r="990" spans="2:14" x14ac:dyDescent="0.25">
      <c r="B990">
        <v>64</v>
      </c>
      <c r="C990">
        <v>264.375</v>
      </c>
      <c r="D990">
        <v>2</v>
      </c>
      <c r="E990" s="18">
        <v>15264.575971189883</v>
      </c>
      <c r="F990" s="18">
        <v>-3112.1423451986147</v>
      </c>
      <c r="G990" s="18">
        <v>-387.7588049130817</v>
      </c>
      <c r="H990" s="12">
        <f>E991</f>
      </c>
      <c r="I990" s="12">
        <f>F991</f>
      </c>
      <c r="J990" s="12">
        <f>G991</f>
      </c>
      <c r="K990">
        <f>IF(AND(Pu&gt;=MIN(E990,H990),Pu&lt;=MAX(E990,H990),E990&lt;&gt;H990),1,0)</f>
      </c>
      <c r="L990">
        <f>IF(K990=1,(Pu-E990)/(H990-E990),"")</f>
      </c>
      <c r="M990" s="12">
        <f>IF(K990=1,F990+L990*(I990-F990),"")</f>
      </c>
      <c r="N990" s="12">
        <f>IF(K990=1,G990+L990*(J990-G990),"")</f>
      </c>
    </row>
    <row r="991" spans="2:14" x14ac:dyDescent="0.25">
      <c r="B991">
        <v>64</v>
      </c>
      <c r="C991">
        <v>264.375</v>
      </c>
      <c r="D991">
        <v>3</v>
      </c>
      <c r="E991" s="18">
        <v>13274.45868874393</v>
      </c>
      <c r="F991" s="18">
        <v>-3678.44015408714</v>
      </c>
      <c r="G991" s="18">
        <v>-383.82514951783725</v>
      </c>
      <c r="H991" s="12">
        <f>E992</f>
      </c>
      <c r="I991" s="12">
        <f>F992</f>
      </c>
      <c r="J991" s="12">
        <f>G992</f>
      </c>
      <c r="K991">
        <f>IF(AND(Pu&gt;=MIN(E991,H991),Pu&lt;=MAX(E991,H991),E991&lt;&gt;H991),1,0)</f>
      </c>
      <c r="L991">
        <f>IF(K991=1,(Pu-E991)/(H991-E991),"")</f>
      </c>
      <c r="M991" s="12">
        <f>IF(K991=1,F991+L991*(I991-F991),"")</f>
      </c>
      <c r="N991" s="12">
        <f>IF(K991=1,G991+L991*(J991-G991),"")</f>
      </c>
    </row>
    <row r="992" spans="2:14" x14ac:dyDescent="0.25">
      <c r="B992">
        <v>64</v>
      </c>
      <c r="C992">
        <v>264.375</v>
      </c>
      <c r="D992">
        <v>4</v>
      </c>
      <c r="E992" s="18">
        <v>11676.667238208798</v>
      </c>
      <c r="F992" s="18">
        <v>-3999.9201515235086</v>
      </c>
      <c r="G992" s="18">
        <v>-400.3536138463967</v>
      </c>
      <c r="H992" s="12">
        <f>E993</f>
      </c>
      <c r="I992" s="12">
        <f>F993</f>
      </c>
      <c r="J992" s="12">
        <f>G993</f>
      </c>
      <c r="K992">
        <f>IF(AND(Pu&gt;=MIN(E992,H992),Pu&lt;=MAX(E992,H992),E992&lt;&gt;H992),1,0)</f>
      </c>
      <c r="L992">
        <f>IF(K992=1,(Pu-E992)/(H992-E992),"")</f>
      </c>
      <c r="M992" s="12">
        <f>IF(K992=1,F992+L992*(I992-F992),"")</f>
      </c>
      <c r="N992" s="12">
        <f>IF(K992=1,G992+L992*(J992-G992),"")</f>
      </c>
    </row>
    <row r="993" spans="2:14" x14ac:dyDescent="0.25">
      <c r="B993">
        <v>64</v>
      </c>
      <c r="C993">
        <v>264.375</v>
      </c>
      <c r="D993">
        <v>5</v>
      </c>
      <c r="E993" s="18">
        <v>10317.799863565453</v>
      </c>
      <c r="F993" s="18">
        <v>-4206.012806084651</v>
      </c>
      <c r="G993" s="18">
        <v>-435.0114302638443</v>
      </c>
      <c r="H993" s="12">
        <f>E994</f>
      </c>
      <c r="I993" s="12">
        <f>F994</f>
      </c>
      <c r="J993" s="12">
        <f>G994</f>
      </c>
      <c r="K993">
        <f>IF(AND(Pu&gt;=MIN(E993,H993),Pu&lt;=MAX(E993,H993),E993&lt;&gt;H993),1,0)</f>
      </c>
      <c r="L993">
        <f>IF(K993=1,(Pu-E993)/(H993-E993),"")</f>
      </c>
      <c r="M993" s="12">
        <f>IF(K993=1,F993+L993*(I993-F993),"")</f>
      </c>
      <c r="N993" s="12">
        <f>IF(K993=1,G993+L993*(J993-G993),"")</f>
      </c>
    </row>
    <row r="994" spans="2:14" x14ac:dyDescent="0.25">
      <c r="B994">
        <v>64</v>
      </c>
      <c r="C994">
        <v>264.375</v>
      </c>
      <c r="D994">
        <v>6</v>
      </c>
      <c r="E994" s="18">
        <v>9130.236543335082</v>
      </c>
      <c r="F994" s="18">
        <v>-4352.647343644442</v>
      </c>
      <c r="G994" s="18">
        <v>-451.53989459240347</v>
      </c>
      <c r="H994" s="12">
        <f>E995</f>
      </c>
      <c r="I994" s="12">
        <f>F995</f>
      </c>
      <c r="J994" s="12">
        <f>G995</f>
      </c>
      <c r="K994">
        <f>IF(AND(Pu&gt;=MIN(E994,H994),Pu&lt;=MAX(E994,H994),E994&lt;&gt;H994),1,0)</f>
      </c>
      <c r="L994">
        <f>IF(K994=1,(Pu-E994)/(H994-E994),"")</f>
      </c>
      <c r="M994" s="12">
        <f>IF(K994=1,F994+L994*(I994-F994),"")</f>
      </c>
      <c r="N994" s="12">
        <f>IF(K994=1,G994+L994*(J994-G994),"")</f>
      </c>
    </row>
    <row r="995" spans="2:14" x14ac:dyDescent="0.25">
      <c r="B995">
        <v>64</v>
      </c>
      <c r="C995">
        <v>264.375</v>
      </c>
      <c r="D995">
        <v>7</v>
      </c>
      <c r="E995" s="18">
        <v>8244.144019605781</v>
      </c>
      <c r="F995" s="18">
        <v>-4775.6474625820065</v>
      </c>
      <c r="G995" s="18">
        <v>-516.8935583085449</v>
      </c>
      <c r="H995" s="12">
        <f>E996</f>
      </c>
      <c r="I995" s="12">
        <f>F996</f>
      </c>
      <c r="J995" s="12">
        <f>G996</f>
      </c>
      <c r="K995">
        <f>IF(AND(Pu&gt;=MIN(E995,H995),Pu&lt;=MAX(E995,H995),E995&lt;&gt;H995),1,0)</f>
      </c>
      <c r="L995">
        <f>IF(K995=1,(Pu-E995)/(H995-E995),"")</f>
      </c>
      <c r="M995" s="12">
        <f>IF(K995=1,F995+L995*(I995-F995),"")</f>
      </c>
      <c r="N995" s="12">
        <f>IF(K995=1,G995+L995*(J995-G995),"")</f>
      </c>
    </row>
    <row r="996" spans="2:14" x14ac:dyDescent="0.25">
      <c r="B996">
        <v>64</v>
      </c>
      <c r="C996">
        <v>264.375</v>
      </c>
      <c r="D996">
        <v>8</v>
      </c>
      <c r="E996" s="18">
        <v>7605.928655370987</v>
      </c>
      <c r="F996" s="18">
        <v>-5059.346900852883</v>
      </c>
      <c r="G996" s="18">
        <v>-545.5343368776562</v>
      </c>
      <c r="H996" s="12">
        <f>E997</f>
      </c>
      <c r="I996" s="12">
        <f>F997</f>
      </c>
      <c r="J996" s="12">
        <f>G997</f>
      </c>
      <c r="K996">
        <f>IF(AND(Pu&gt;=MIN(E996,H996),Pu&lt;=MAX(E996,H996),E996&lt;&gt;H996),1,0)</f>
      </c>
      <c r="L996">
        <f>IF(K996=1,(Pu-E996)/(H996-E996),"")</f>
      </c>
      <c r="M996" s="12">
        <f>IF(K996=1,F996+L996*(I996-F996),"")</f>
      </c>
      <c r="N996" s="12">
        <f>IF(K996=1,G996+L996*(J996-G996),"")</f>
      </c>
    </row>
    <row r="997" spans="2:14" x14ac:dyDescent="0.25">
      <c r="B997">
        <v>64</v>
      </c>
      <c r="C997">
        <v>264.375</v>
      </c>
      <c r="D997">
        <v>9</v>
      </c>
      <c r="E997" s="18">
        <v>7122.6312131243085</v>
      </c>
      <c r="F997" s="18">
        <v>-5278.5568482373465</v>
      </c>
      <c r="G997" s="18">
        <v>-586.8571565321912</v>
      </c>
      <c r="H997" s="12">
        <f>E998</f>
      </c>
      <c r="I997" s="12">
        <f>F998</f>
      </c>
      <c r="J997" s="12">
        <f>G998</f>
      </c>
      <c r="K997">
        <f>IF(AND(Pu&gt;=MIN(E997,H997),Pu&lt;=MAX(E997,H997),E997&lt;&gt;H997),1,0)</f>
      </c>
      <c r="L997">
        <f>IF(K997=1,(Pu-E997)/(H997-E997),"")</f>
      </c>
      <c r="M997" s="12">
        <f>IF(K997=1,F997+L997*(I997-F997),"")</f>
      </c>
      <c r="N997" s="12">
        <f>IF(K997=1,G997+L997*(J997-G997),"")</f>
      </c>
    </row>
    <row r="998" spans="2:14" x14ac:dyDescent="0.25">
      <c r="B998">
        <v>64</v>
      </c>
      <c r="C998">
        <v>264.375</v>
      </c>
      <c r="D998">
        <v>10</v>
      </c>
      <c r="E998" s="18">
        <v>6169.204079512792</v>
      </c>
      <c r="F998" s="18">
        <v>-5055.490995102937</v>
      </c>
      <c r="G998" s="18">
        <v>-573.4283907753454</v>
      </c>
      <c r="H998" s="12">
        <f>E999</f>
      </c>
      <c r="I998" s="12">
        <f>F999</f>
      </c>
      <c r="J998" s="12">
        <f>G999</f>
      </c>
      <c r="K998">
        <f>IF(AND(Pu&gt;=MIN(E998,H998),Pu&lt;=MAX(E998,H998),E998&lt;&gt;H998),1,0)</f>
      </c>
      <c r="L998">
        <f>IF(K998=1,(Pu-E998)/(H998-E998),"")</f>
      </c>
      <c r="M998" s="12">
        <f>IF(K998=1,F998+L998*(I998-F998),"")</f>
      </c>
      <c r="N998" s="12">
        <f>IF(K998=1,G998+L998*(J998-G998),"")</f>
      </c>
    </row>
    <row r="999" spans="2:14" x14ac:dyDescent="0.25">
      <c r="B999">
        <v>64</v>
      </c>
      <c r="C999">
        <v>264.375</v>
      </c>
      <c r="D999">
        <v>11</v>
      </c>
      <c r="E999" s="18">
        <v>4646.601434879056</v>
      </c>
      <c r="F999" s="18">
        <v>-4582.646005325413</v>
      </c>
      <c r="G999" s="18">
        <v>-648.5698311520017</v>
      </c>
      <c r="H999" s="12">
        <f>E1000</f>
      </c>
      <c r="I999" s="12">
        <f>F1000</f>
      </c>
      <c r="J999" s="12">
        <f>G1000</f>
      </c>
      <c r="K999">
        <f>IF(AND(Pu&gt;=MIN(E999,H999),Pu&lt;=MAX(E999,H999),E999&lt;&gt;H999),1,0)</f>
      </c>
      <c r="L999">
        <f>IF(K999=1,(Pu-E999)/(H999-E999),"")</f>
      </c>
      <c r="M999" s="12">
        <f>IF(K999=1,F999+L999*(I999-F999),"")</f>
      </c>
      <c r="N999" s="12">
        <f>IF(K999=1,G999+L999*(J999-G999),"")</f>
      </c>
    </row>
    <row r="1000" spans="2:14" x14ac:dyDescent="0.25">
      <c r="B1000">
        <v>64</v>
      </c>
      <c r="C1000">
        <v>264.375</v>
      </c>
      <c r="D1000">
        <v>12</v>
      </c>
      <c r="E1000" s="18">
        <v>3238.648003353853</v>
      </c>
      <c r="F1000" s="18">
        <v>-4062.948656429879</v>
      </c>
      <c r="G1000" s="18">
        <v>-674.6303600366707</v>
      </c>
      <c r="H1000" s="12">
        <f>E1001</f>
      </c>
      <c r="I1000" s="12">
        <f>F1001</f>
      </c>
      <c r="J1000" s="12">
        <f>G1001</f>
      </c>
      <c r="K1000">
        <f>IF(AND(Pu&gt;=MIN(E1000,H1000),Pu&lt;=MAX(E1000,H1000),E1000&lt;&gt;H1000),1,0)</f>
      </c>
      <c r="L1000">
        <f>IF(K1000=1,(Pu-E1000)/(H1000-E1000),"")</f>
      </c>
      <c r="M1000" s="12">
        <f>IF(K1000=1,F1000+L1000*(I1000-F1000),"")</f>
      </c>
      <c r="N1000" s="12">
        <f>IF(K1000=1,G1000+L1000*(J1000-G1000),"")</f>
      </c>
    </row>
    <row r="1001" spans="2:14" x14ac:dyDescent="0.25">
      <c r="B1001">
        <v>64</v>
      </c>
      <c r="C1001">
        <v>264.375</v>
      </c>
      <c r="D1001">
        <v>13</v>
      </c>
      <c r="E1001" s="18">
        <v>814.7999689979121</v>
      </c>
      <c r="F1001" s="18">
        <v>-3003.954594340026</v>
      </c>
      <c r="G1001" s="18">
        <v>-613.275586920692</v>
      </c>
      <c r="H1001" s="12">
        <f>E1002</f>
      </c>
      <c r="I1001" s="12">
        <f>F1002</f>
      </c>
      <c r="J1001" s="12">
        <f>G1002</f>
      </c>
      <c r="K1001">
        <f>IF(AND(Pu&gt;=MIN(E1001,H1001),Pu&lt;=MAX(E1001,H1001),E1001&lt;&gt;H1001),1,0)</f>
      </c>
      <c r="L1001">
        <f>IF(K1001=1,(Pu-E1001)/(H1001-E1001),"")</f>
      </c>
      <c r="M1001" s="12">
        <f>IF(K1001=1,F1001+L1001*(I1001-F1001),"")</f>
      </c>
      <c r="N1001" s="12">
        <f>IF(K1001=1,G1001+L1001*(J1001-G1001),"")</f>
      </c>
    </row>
    <row r="1002" spans="2:14" x14ac:dyDescent="0.25">
      <c r="B1002">
        <v>64</v>
      </c>
      <c r="C1002">
        <v>264.375</v>
      </c>
      <c r="D1002">
        <v>14</v>
      </c>
      <c r="E1002" s="18">
        <v>-713.5986718636213</v>
      </c>
      <c r="F1002" s="18">
        <v>-2268.8210454932537</v>
      </c>
      <c r="G1002" s="18">
        <v>-462.75628832693826</v>
      </c>
      <c r="H1002" s="12">
        <f>E1003</f>
      </c>
      <c r="I1002" s="12">
        <f>F1003</f>
      </c>
      <c r="J1002" s="12">
        <f>G1003</f>
      </c>
      <c r="K1002">
        <f>IF(AND(Pu&gt;=MIN(E1002,H1002),Pu&lt;=MAX(E1002,H1002),E1002&lt;&gt;H1002),1,0)</f>
      </c>
      <c r="L1002">
        <f>IF(K1002=1,(Pu-E1002)/(H1002-E1002),"")</f>
      </c>
      <c r="M1002" s="12">
        <f>IF(K1002=1,F1002+L1002*(I1002-F1002),"")</f>
      </c>
      <c r="N1002" s="12">
        <f>IF(K1002=1,G1002+L1002*(J1002-G1002),"")</f>
      </c>
    </row>
    <row r="1003" spans="2:7" x14ac:dyDescent="0.25">
      <c r="B1003">
        <v>64</v>
      </c>
      <c r="C1003">
        <v>264.375</v>
      </c>
      <c r="D1003">
        <v>15</v>
      </c>
      <c r="E1003" s="18">
        <v>-3556.719119838245</v>
      </c>
      <c r="F1003" s="18">
        <v>-752.4092790874386</v>
      </c>
      <c r="G1003" s="18">
        <v>-384.7446384548395</v>
      </c>
    </row>
    <row r="1005" spans="2:14" x14ac:dyDescent="0.25">
      <c r="B1005">
        <v>65</v>
      </c>
      <c r="C1005">
        <v>265.31249999999994</v>
      </c>
      <c r="D1005">
        <v>1</v>
      </c>
      <c r="E1005" s="18">
        <v>16397.59743901384</v>
      </c>
      <c r="F1005" s="18">
        <v>-2705.1672464526855</v>
      </c>
      <c r="G1005" s="18">
        <v>-373.3624071230032</v>
      </c>
      <c r="H1005" s="12">
        <f>E1006</f>
      </c>
      <c r="I1005" s="12">
        <f>F1006</f>
      </c>
      <c r="J1005" s="12">
        <f>G1006</f>
      </c>
      <c r="K1005">
        <f>IF(AND(Pu&gt;=MIN(E1005,H1005),Pu&lt;=MAX(E1005,H1005),E1005&lt;&gt;H1005),1,0)</f>
      </c>
      <c r="L1005">
        <f>IF(K1005=1,(Pu-E1005)/(H1005-E1005),"")</f>
      </c>
      <c r="M1005" s="12">
        <f>IF(K1005=1,F1005+L1005*(I1005-F1005),"")</f>
      </c>
      <c r="N1005" s="12">
        <f>IF(K1005=1,G1005+L1005*(J1005-G1005),"")</f>
      </c>
    </row>
    <row r="1006" spans="2:14" x14ac:dyDescent="0.25">
      <c r="B1006">
        <v>65</v>
      </c>
      <c r="C1006">
        <v>265.31249999999994</v>
      </c>
      <c r="D1006">
        <v>2</v>
      </c>
      <c r="E1006" s="18">
        <v>15197.148585900328</v>
      </c>
      <c r="F1006" s="18">
        <v>-3141.021626649815</v>
      </c>
      <c r="G1006" s="18">
        <v>-319.22691604995936</v>
      </c>
      <c r="H1006" s="12">
        <f>E1007</f>
      </c>
      <c r="I1006" s="12">
        <f>F1007</f>
      </c>
      <c r="J1006" s="12">
        <f>G1007</f>
      </c>
      <c r="K1006">
        <f>IF(AND(Pu&gt;=MIN(E1006,H1006),Pu&lt;=MAX(E1006,H1006),E1006&lt;&gt;H1006),1,0)</f>
      </c>
      <c r="L1006">
        <f>IF(K1006=1,(Pu-E1006)/(H1006-E1006),"")</f>
      </c>
      <c r="M1006" s="12">
        <f>IF(K1006=1,F1006+L1006*(I1006-F1006),"")</f>
      </c>
      <c r="N1006" s="12">
        <f>IF(K1006=1,G1006+L1006*(J1006-G1006),"")</f>
      </c>
    </row>
    <row r="1007" spans="2:14" x14ac:dyDescent="0.25">
      <c r="B1007">
        <v>65</v>
      </c>
      <c r="C1007">
        <v>265.31249999999994</v>
      </c>
      <c r="D1007">
        <v>3</v>
      </c>
      <c r="E1007" s="18">
        <v>13243.055771047264</v>
      </c>
      <c r="F1007" s="18">
        <v>-3693.153905447164</v>
      </c>
      <c r="G1007" s="18">
        <v>-320.1659695543827</v>
      </c>
      <c r="H1007" s="12">
        <f>E1008</f>
      </c>
      <c r="I1007" s="12">
        <f>F1008</f>
      </c>
      <c r="J1007" s="12">
        <f>G1008</f>
      </c>
      <c r="K1007">
        <f>IF(AND(Pu&gt;=MIN(E1007,H1007),Pu&lt;=MAX(E1007,H1007),E1007&lt;&gt;H1007),1,0)</f>
      </c>
      <c r="L1007">
        <f>IF(K1007=1,(Pu-E1007)/(H1007-E1007),"")</f>
      </c>
      <c r="M1007" s="12">
        <f>IF(K1007=1,F1007+L1007*(I1007-F1007),"")</f>
      </c>
      <c r="N1007" s="12">
        <f>IF(K1007=1,G1007+L1007*(J1007-G1007),"")</f>
      </c>
    </row>
    <row r="1008" spans="2:14" x14ac:dyDescent="0.25">
      <c r="B1008">
        <v>65</v>
      </c>
      <c r="C1008">
        <v>265.31249999999994</v>
      </c>
      <c r="D1008">
        <v>4</v>
      </c>
      <c r="E1008" s="18">
        <v>11663.196318221293</v>
      </c>
      <c r="F1008" s="18">
        <v>-4013.361977750686</v>
      </c>
      <c r="G1008" s="18">
        <v>-331.3956223691042</v>
      </c>
      <c r="H1008" s="12">
        <f>E1009</f>
      </c>
      <c r="I1008" s="12">
        <f>F1009</f>
      </c>
      <c r="J1008" s="12">
        <f>G1009</f>
      </c>
      <c r="K1008">
        <f>IF(AND(Pu&gt;=MIN(E1008,H1008),Pu&lt;=MAX(E1008,H1008),E1008&lt;&gt;H1008),1,0)</f>
      </c>
      <c r="L1008">
        <f>IF(K1008=1,(Pu-E1008)/(H1008-E1008),"")</f>
      </c>
      <c r="M1008" s="12">
        <f>IF(K1008=1,F1008+L1008*(I1008-F1008),"")</f>
      </c>
      <c r="N1008" s="12">
        <f>IF(K1008=1,G1008+L1008*(J1008-G1008),"")</f>
      </c>
    </row>
    <row r="1009" spans="2:14" x14ac:dyDescent="0.25">
      <c r="B1009">
        <v>65</v>
      </c>
      <c r="C1009">
        <v>265.31249999999994</v>
      </c>
      <c r="D1009">
        <v>5</v>
      </c>
      <c r="E1009" s="18">
        <v>10315.131077915305</v>
      </c>
      <c r="F1009" s="18">
        <v>-4219.734815855762</v>
      </c>
      <c r="G1009" s="18">
        <v>-363.52206246690025</v>
      </c>
      <c r="H1009" s="12">
        <f>E1010</f>
      </c>
      <c r="I1009" s="12">
        <f>F1010</f>
      </c>
      <c r="J1009" s="12">
        <f>G1010</f>
      </c>
      <c r="K1009">
        <f>IF(AND(Pu&gt;=MIN(E1009,H1009),Pu&lt;=MAX(E1009,H1009),E1009&lt;&gt;H1009),1,0)</f>
      </c>
      <c r="L1009">
        <f>IF(K1009=1,(Pu-E1009)/(H1009-E1009),"")</f>
      </c>
      <c r="M1009" s="12">
        <f>IF(K1009=1,F1009+L1009*(I1009-F1009),"")</f>
      </c>
      <c r="N1009" s="12">
        <f>IF(K1009=1,G1009+L1009*(J1009-G1009),"")</f>
      </c>
    </row>
    <row r="1010" spans="2:14" x14ac:dyDescent="0.25">
      <c r="B1010">
        <v>65</v>
      </c>
      <c r="C1010">
        <v>265.31249999999994</v>
      </c>
      <c r="D1010">
        <v>6</v>
      </c>
      <c r="E1010" s="18">
        <v>9122.84544800167</v>
      </c>
      <c r="F1010" s="18">
        <v>-4366.780244709623</v>
      </c>
      <c r="G1010" s="18">
        <v>-386.5838265202518</v>
      </c>
      <c r="H1010" s="12">
        <f>E1011</f>
      </c>
      <c r="I1010" s="12">
        <f>F1011</f>
      </c>
      <c r="J1010" s="12">
        <f>G1011</f>
      </c>
      <c r="K1010">
        <f>IF(AND(Pu&gt;=MIN(E1010,H1010),Pu&lt;=MAX(E1010,H1010),E1010&lt;&gt;H1010),1,0)</f>
      </c>
      <c r="L1010">
        <f>IF(K1010=1,(Pu-E1010)/(H1010-E1010),"")</f>
      </c>
      <c r="M1010" s="12">
        <f>IF(K1010=1,F1010+L1010*(I1010-F1010),"")</f>
      </c>
      <c r="N1010" s="12">
        <f>IF(K1010=1,G1010+L1010*(J1010-G1010),"")</f>
      </c>
    </row>
    <row r="1011" spans="2:14" x14ac:dyDescent="0.25">
      <c r="B1011">
        <v>65</v>
      </c>
      <c r="C1011">
        <v>265.31249999999994</v>
      </c>
      <c r="D1011">
        <v>7</v>
      </c>
      <c r="E1011" s="18">
        <v>8279.539508678581</v>
      </c>
      <c r="F1011" s="18">
        <v>-4787.916619865318</v>
      </c>
      <c r="G1011" s="18">
        <v>-430.98216212284063</v>
      </c>
      <c r="H1011" s="12">
        <f>E1012</f>
      </c>
      <c r="I1011" s="12">
        <f>F1012</f>
      </c>
      <c r="J1011" s="12">
        <f>G1012</f>
      </c>
      <c r="K1011">
        <f>IF(AND(Pu&gt;=MIN(E1011,H1011),Pu&lt;=MAX(E1011,H1011),E1011&lt;&gt;H1011),1,0)</f>
      </c>
      <c r="L1011">
        <f>IF(K1011=1,(Pu-E1011)/(H1011-E1011),"")</f>
      </c>
      <c r="M1011" s="12">
        <f>IF(K1011=1,F1011+L1011*(I1011-F1011),"")</f>
      </c>
      <c r="N1011" s="12">
        <f>IF(K1011=1,G1011+L1011*(J1011-G1011),"")</f>
      </c>
    </row>
    <row r="1012" spans="2:14" x14ac:dyDescent="0.25">
      <c r="B1012">
        <v>65</v>
      </c>
      <c r="C1012">
        <v>265.31249999999994</v>
      </c>
      <c r="D1012">
        <v>8</v>
      </c>
      <c r="E1012" s="18">
        <v>7661.706851883576</v>
      </c>
      <c r="F1012" s="18">
        <v>-5077.198474296199</v>
      </c>
      <c r="G1012" s="18">
        <v>-455.894772759506</v>
      </c>
      <c r="H1012" s="12">
        <f>E1013</f>
      </c>
      <c r="I1012" s="12">
        <f>F1013</f>
      </c>
      <c r="J1012" s="12">
        <f>G1013</f>
      </c>
      <c r="K1012">
        <f>IF(AND(Pu&gt;=MIN(E1012,H1012),Pu&lt;=MAX(E1012,H1012),E1012&lt;&gt;H1012),1,0)</f>
      </c>
      <c r="L1012">
        <f>IF(K1012=1,(Pu-E1012)/(H1012-E1012),"")</f>
      </c>
      <c r="M1012" s="12">
        <f>IF(K1012=1,F1012+L1012*(I1012-F1012),"")</f>
      </c>
      <c r="N1012" s="12">
        <f>IF(K1012=1,G1012+L1012*(J1012-G1012),"")</f>
      </c>
    </row>
    <row r="1013" spans="2:14" x14ac:dyDescent="0.25">
      <c r="B1013">
        <v>65</v>
      </c>
      <c r="C1013">
        <v>265.31249999999994</v>
      </c>
      <c r="D1013">
        <v>9</v>
      </c>
      <c r="E1013" s="18">
        <v>7189.872710994782</v>
      </c>
      <c r="F1013" s="18">
        <v>-5305.413398931899</v>
      </c>
      <c r="G1013" s="18">
        <v>-489.9111098904</v>
      </c>
      <c r="H1013" s="12">
        <f>E1014</f>
      </c>
      <c r="I1013" s="12">
        <f>F1014</f>
      </c>
      <c r="J1013" s="12">
        <f>G1014</f>
      </c>
      <c r="K1013">
        <f>IF(AND(Pu&gt;=MIN(E1013,H1013),Pu&lt;=MAX(E1013,H1013),E1013&lt;&gt;H1013),1,0)</f>
      </c>
      <c r="L1013">
        <f>IF(K1013=1,(Pu-E1013)/(H1013-E1013),"")</f>
      </c>
      <c r="M1013" s="12">
        <f>IF(K1013=1,F1013+L1013*(I1013-F1013),"")</f>
      </c>
      <c r="N1013" s="12">
        <f>IF(K1013=1,G1013+L1013*(J1013-G1013),"")</f>
      </c>
    </row>
    <row r="1014" spans="2:14" x14ac:dyDescent="0.25">
      <c r="B1014">
        <v>65</v>
      </c>
      <c r="C1014">
        <v>265.31249999999994</v>
      </c>
      <c r="D1014">
        <v>10</v>
      </c>
      <c r="E1014" s="18">
        <v>6260.0010334922235</v>
      </c>
      <c r="F1014" s="18">
        <v>-5092.791334133079</v>
      </c>
      <c r="G1014" s="18">
        <v>-466.9047907554783</v>
      </c>
      <c r="H1014" s="12">
        <f>E1015</f>
      </c>
      <c r="I1014" s="12">
        <f>F1015</f>
      </c>
      <c r="J1014" s="12">
        <f>G1015</f>
      </c>
      <c r="K1014">
        <f>IF(AND(Pu&gt;=MIN(E1014,H1014),Pu&lt;=MAX(E1014,H1014),E1014&lt;&gt;H1014),1,0)</f>
      </c>
      <c r="L1014">
        <f>IF(K1014=1,(Pu-E1014)/(H1014-E1014),"")</f>
      </c>
      <c r="M1014" s="12">
        <f>IF(K1014=1,F1014+L1014*(I1014-F1014),"")</f>
      </c>
      <c r="N1014" s="12">
        <f>IF(K1014=1,G1014+L1014*(J1014-G1014),"")</f>
      </c>
    </row>
    <row r="1015" spans="2:14" x14ac:dyDescent="0.25">
      <c r="B1015">
        <v>65</v>
      </c>
      <c r="C1015">
        <v>265.31249999999994</v>
      </c>
      <c r="D1015">
        <v>11</v>
      </c>
      <c r="E1015" s="18">
        <v>4803.9690346452235</v>
      </c>
      <c r="F1015" s="18">
        <v>-4652.885759111727</v>
      </c>
      <c r="G1015" s="18">
        <v>-536.9196260670105</v>
      </c>
      <c r="H1015" s="12">
        <f>E1016</f>
      </c>
      <c r="I1015" s="12">
        <f>F1016</f>
      </c>
      <c r="J1015" s="12">
        <f>G1016</f>
      </c>
      <c r="K1015">
        <f>IF(AND(Pu&gt;=MIN(E1015,H1015),Pu&lt;=MAX(E1015,H1015),E1015&lt;&gt;H1015),1,0)</f>
      </c>
      <c r="L1015">
        <f>IF(K1015=1,(Pu-E1015)/(H1015-E1015),"")</f>
      </c>
      <c r="M1015" s="12">
        <f>IF(K1015=1,F1015+L1015*(I1015-F1015),"")</f>
      </c>
      <c r="N1015" s="12">
        <f>IF(K1015=1,G1015+L1015*(J1015-G1015),"")</f>
      </c>
    </row>
    <row r="1016" spans="2:14" x14ac:dyDescent="0.25">
      <c r="B1016">
        <v>65</v>
      </c>
      <c r="C1016">
        <v>265.31249999999994</v>
      </c>
      <c r="D1016">
        <v>12</v>
      </c>
      <c r="E1016" s="18">
        <v>3461.8172311677586</v>
      </c>
      <c r="F1016" s="18">
        <v>-4165.308936557875</v>
      </c>
      <c r="G1016" s="18">
        <v>-560.7572280486229</v>
      </c>
      <c r="H1016" s="12">
        <f>E1017</f>
      </c>
      <c r="I1016" s="12">
        <f>F1017</f>
      </c>
      <c r="J1016" s="12">
        <f>G1017</f>
      </c>
      <c r="K1016">
        <f>IF(AND(Pu&gt;=MIN(E1016,H1016),Pu&lt;=MAX(E1016,H1016),E1016&lt;&gt;H1016),1,0)</f>
      </c>
      <c r="L1016">
        <f>IF(K1016=1,(Pu-E1016)/(H1016-E1016),"")</f>
      </c>
      <c r="M1016" s="12">
        <f>IF(K1016=1,F1016+L1016*(I1016-F1016),"")</f>
      </c>
      <c r="N1016" s="12">
        <f>IF(K1016=1,G1016+L1016*(J1016-G1016),"")</f>
      </c>
    </row>
    <row r="1017" spans="2:14" x14ac:dyDescent="0.25">
      <c r="B1017">
        <v>65</v>
      </c>
      <c r="C1017">
        <v>265.31249999999994</v>
      </c>
      <c r="D1017">
        <v>13</v>
      </c>
      <c r="E1017" s="18">
        <v>1048.6022614024714</v>
      </c>
      <c r="F1017" s="18">
        <v>-3126.9427237530476</v>
      </c>
      <c r="G1017" s="18">
        <v>-526.4358484594079</v>
      </c>
      <c r="H1017" s="12">
        <f>E1018</f>
      </c>
      <c r="I1017" s="12">
        <f>F1018</f>
      </c>
      <c r="J1017" s="12">
        <f>G1018</f>
      </c>
      <c r="K1017">
        <f>IF(AND(Pu&gt;=MIN(E1017,H1017),Pu&lt;=MAX(E1017,H1017),E1017&lt;&gt;H1017),1,0)</f>
      </c>
      <c r="L1017">
        <f>IF(K1017=1,(Pu-E1017)/(H1017-E1017),"")</f>
      </c>
      <c r="M1017" s="12">
        <f>IF(K1017=1,F1017+L1017*(I1017-F1017),"")</f>
      </c>
      <c r="N1017" s="12">
        <f>IF(K1017=1,G1017+L1017*(J1017-G1017),"")</f>
      </c>
    </row>
    <row r="1018" spans="2:14" x14ac:dyDescent="0.25">
      <c r="B1018">
        <v>65</v>
      </c>
      <c r="C1018">
        <v>265.31249999999994</v>
      </c>
      <c r="D1018">
        <v>14</v>
      </c>
      <c r="E1018" s="18">
        <v>-455.54775326507774</v>
      </c>
      <c r="F1018" s="18">
        <v>-2407.1800293487527</v>
      </c>
      <c r="G1018" s="18">
        <v>-396.95108224781205</v>
      </c>
      <c r="H1018" s="12">
        <f>E1019</f>
      </c>
      <c r="I1018" s="12">
        <f>F1019</f>
      </c>
      <c r="J1018" s="12">
        <f>G1019</f>
      </c>
      <c r="K1018">
        <f>IF(AND(Pu&gt;=MIN(E1018,H1018),Pu&lt;=MAX(E1018,H1018),E1018&lt;&gt;H1018),1,0)</f>
      </c>
      <c r="L1018">
        <f>IF(K1018=1,(Pu-E1018)/(H1018-E1018),"")</f>
      </c>
      <c r="M1018" s="12">
        <f>IF(K1018=1,F1018+L1018*(I1018-F1018),"")</f>
      </c>
      <c r="N1018" s="12">
        <f>IF(K1018=1,G1018+L1018*(J1018-G1018),"")</f>
      </c>
    </row>
    <row r="1019" spans="2:7" x14ac:dyDescent="0.25">
      <c r="B1019">
        <v>65</v>
      </c>
      <c r="C1019">
        <v>265.31249999999994</v>
      </c>
      <c r="D1019">
        <v>15</v>
      </c>
      <c r="E1019" s="18">
        <v>-3338.291348672828</v>
      </c>
      <c r="F1019" s="18">
        <v>-873.1436248668805</v>
      </c>
      <c r="G1019" s="18">
        <v>-377.23627292095654</v>
      </c>
    </row>
    <row r="1021" spans="2:14" x14ac:dyDescent="0.25">
      <c r="B1021">
        <v>66</v>
      </c>
      <c r="C1021">
        <v>266.25</v>
      </c>
      <c r="D1021">
        <v>1</v>
      </c>
      <c r="E1021" s="18">
        <v>16261.546585826274</v>
      </c>
      <c r="F1021" s="18">
        <v>-2765.033384337812</v>
      </c>
      <c r="G1021" s="18">
        <v>-294.48419572758064</v>
      </c>
      <c r="H1021" s="12">
        <f>E1022</f>
      </c>
      <c r="I1021" s="12">
        <f>F1022</f>
      </c>
      <c r="J1021" s="12">
        <f>G1022</f>
      </c>
      <c r="K1021">
        <f>IF(AND(Pu&gt;=MIN(E1021,H1021),Pu&lt;=MAX(E1021,H1021),E1021&lt;&gt;H1021),1,0)</f>
      </c>
      <c r="L1021">
        <f>IF(K1021=1,(Pu-E1021)/(H1021-E1021),"")</f>
      </c>
      <c r="M1021" s="12">
        <f>IF(K1021=1,F1021+L1021*(I1021-F1021),"")</f>
      </c>
      <c r="N1021" s="12">
        <f>IF(K1021=1,G1021+L1021*(J1021-G1021),"")</f>
      </c>
    </row>
    <row r="1022" spans="2:14" x14ac:dyDescent="0.25">
      <c r="B1022">
        <v>66</v>
      </c>
      <c r="C1022">
        <v>266.25</v>
      </c>
      <c r="D1022">
        <v>2</v>
      </c>
      <c r="E1022" s="18">
        <v>15132.455787852125</v>
      </c>
      <c r="F1022" s="18">
        <v>-3167.883440009351</v>
      </c>
      <c r="G1022" s="18">
        <v>-251.64982696468962</v>
      </c>
      <c r="H1022" s="12">
        <f>E1023</f>
      </c>
      <c r="I1022" s="12">
        <f>F1023</f>
      </c>
      <c r="J1022" s="12">
        <f>G1023</f>
      </c>
      <c r="K1022">
        <f>IF(AND(Pu&gt;=MIN(E1022,H1022),Pu&lt;=MAX(E1022,H1022),E1022&lt;&gt;H1022),1,0)</f>
      </c>
      <c r="L1022">
        <f>IF(K1022=1,(Pu-E1022)/(H1022-E1022),"")</f>
      </c>
      <c r="M1022" s="12">
        <f>IF(K1022=1,F1022+L1022*(I1022-F1022),"")</f>
      </c>
      <c r="N1022" s="12">
        <f>IF(K1022=1,G1022+L1022*(J1022-G1022),"")</f>
      </c>
    </row>
    <row r="1023" spans="2:14" x14ac:dyDescent="0.25">
      <c r="B1023">
        <v>66</v>
      </c>
      <c r="C1023">
        <v>266.25</v>
      </c>
      <c r="D1023">
        <v>3</v>
      </c>
      <c r="E1023" s="18">
        <v>13210.616660302083</v>
      </c>
      <c r="F1023" s="18">
        <v>-3706.9263376417907</v>
      </c>
      <c r="G1023" s="18">
        <v>-256.82371347157374</v>
      </c>
      <c r="H1023" s="12">
        <f>E1024</f>
      </c>
      <c r="I1023" s="12">
        <f>F1024</f>
      </c>
      <c r="J1023" s="12">
        <f>G1024</f>
      </c>
      <c r="K1023">
        <f>IF(AND(Pu&gt;=MIN(E1023,H1023),Pu&lt;=MAX(E1023,H1023),E1023&lt;&gt;H1023),1,0)</f>
      </c>
      <c r="L1023">
        <f>IF(K1023=1,(Pu-E1023)/(H1023-E1023),"")</f>
      </c>
      <c r="M1023" s="12">
        <f>IF(K1023=1,F1023+L1023*(I1023-F1023),"")</f>
      </c>
      <c r="N1023" s="12">
        <f>IF(K1023=1,G1023+L1023*(J1023-G1023),"")</f>
      </c>
    </row>
    <row r="1024" spans="2:14" x14ac:dyDescent="0.25">
      <c r="B1024">
        <v>66</v>
      </c>
      <c r="C1024">
        <v>266.25</v>
      </c>
      <c r="D1024">
        <v>4</v>
      </c>
      <c r="E1024" s="18">
        <v>11649.575448306829</v>
      </c>
      <c r="F1024" s="18">
        <v>-4026.2133290155193</v>
      </c>
      <c r="G1024" s="18">
        <v>-262.0524423508642</v>
      </c>
      <c r="H1024" s="12">
        <f>E1025</f>
      </c>
      <c r="I1024" s="12">
        <f>F1025</f>
      </c>
      <c r="J1024" s="12">
        <f>G1025</f>
      </c>
      <c r="K1024">
        <f>IF(AND(Pu&gt;=MIN(E1024,H1024),Pu&lt;=MAX(E1024,H1024),E1024&lt;&gt;H1024),1,0)</f>
      </c>
      <c r="L1024">
        <f>IF(K1024=1,(Pu-E1024)/(H1024-E1024),"")</f>
      </c>
      <c r="M1024" s="12">
        <f>IF(K1024=1,F1024+L1024*(I1024-F1024),"")</f>
      </c>
      <c r="N1024" s="12">
        <f>IF(K1024=1,G1024+L1024*(J1024-G1024),"")</f>
      </c>
    </row>
    <row r="1025" spans="2:14" x14ac:dyDescent="0.25">
      <c r="B1025">
        <v>66</v>
      </c>
      <c r="C1025">
        <v>266.25</v>
      </c>
      <c r="D1025">
        <v>5</v>
      </c>
      <c r="E1025" s="18">
        <v>10312.261759475556</v>
      </c>
      <c r="F1025" s="18">
        <v>-4232.89278305439</v>
      </c>
      <c r="G1025" s="18">
        <v>-291.58801197709755</v>
      </c>
      <c r="H1025" s="12">
        <f>E1026</f>
      </c>
      <c r="I1025" s="12">
        <f>F1026</f>
      </c>
      <c r="J1025" s="12">
        <f>G1026</f>
      </c>
      <c r="K1025">
        <f>IF(AND(Pu&gt;=MIN(E1025,H1025),Pu&lt;=MAX(E1025,H1025),E1025&lt;&gt;H1025),1,0)</f>
      </c>
      <c r="L1025">
        <f>IF(K1025=1,(Pu-E1025)/(H1025-E1025),"")</f>
      </c>
      <c r="M1025" s="12">
        <f>IF(K1025=1,F1025+L1025*(I1025-F1025),"")</f>
      </c>
      <c r="N1025" s="12">
        <f>IF(K1025=1,G1025+L1025*(J1025-G1025),"")</f>
      </c>
    </row>
    <row r="1026" spans="2:14" x14ac:dyDescent="0.25">
      <c r="B1026">
        <v>66</v>
      </c>
      <c r="C1026">
        <v>266.25</v>
      </c>
      <c r="D1026">
        <v>6</v>
      </c>
      <c r="E1026" s="18">
        <v>9128.539522842064</v>
      </c>
      <c r="F1026" s="18">
        <v>-4381.687387932178</v>
      </c>
      <c r="G1026" s="18">
        <v>-312.058905558887</v>
      </c>
      <c r="H1026" s="12">
        <f>E1027</f>
      </c>
      <c r="I1026" s="12">
        <f>F1027</f>
      </c>
      <c r="J1026" s="12">
        <f>G1027</f>
      </c>
      <c r="K1026">
        <f>IF(AND(Pu&gt;=MIN(E1026,H1026),Pu&lt;=MAX(E1026,H1026),E1026&lt;&gt;H1026),1,0)</f>
      </c>
      <c r="L1026">
        <f>IF(K1026=1,(Pu-E1026)/(H1026-E1026),"")</f>
      </c>
      <c r="M1026" s="12">
        <f>IF(K1026=1,F1026+L1026*(I1026-F1026),"")</f>
      </c>
      <c r="N1026" s="12">
        <f>IF(K1026=1,G1026+L1026*(J1026-G1026),"")</f>
      </c>
    </row>
    <row r="1027" spans="2:14" x14ac:dyDescent="0.25">
      <c r="B1027">
        <v>66</v>
      </c>
      <c r="C1027">
        <v>266.25</v>
      </c>
      <c r="D1027">
        <v>7</v>
      </c>
      <c r="E1027" s="18">
        <v>8314.92758043104</v>
      </c>
      <c r="F1027" s="18">
        <v>-4799.298731243151</v>
      </c>
      <c r="G1027" s="18">
        <v>-344.4138457341081</v>
      </c>
      <c r="H1027" s="12">
        <f>E1028</f>
      </c>
      <c r="I1027" s="12">
        <f>F1028</f>
      </c>
      <c r="J1027" s="12">
        <f>G1028</f>
      </c>
      <c r="K1027">
        <f>IF(AND(Pu&gt;=MIN(E1027,H1027),Pu&lt;=MAX(E1027,H1027),E1027&lt;&gt;H1027),1,0)</f>
      </c>
      <c r="L1027">
        <f>IF(K1027=1,(Pu-E1027)/(H1027-E1027),"")</f>
      </c>
      <c r="M1027" s="12">
        <f>IF(K1027=1,F1027+L1027*(I1027-F1027),"")</f>
      </c>
      <c r="N1027" s="12">
        <f>IF(K1027=1,G1027+L1027*(J1027-G1027),"")</f>
      </c>
    </row>
    <row r="1028" spans="2:14" x14ac:dyDescent="0.25">
      <c r="B1028">
        <v>66</v>
      </c>
      <c r="C1028">
        <v>266.25</v>
      </c>
      <c r="D1028">
        <v>8</v>
      </c>
      <c r="E1028" s="18">
        <v>7718.431707239609</v>
      </c>
      <c r="F1028" s="18">
        <v>-5093.712901300796</v>
      </c>
      <c r="G1028" s="18">
        <v>-366.23744557272977</v>
      </c>
      <c r="H1028" s="12">
        <f>E1029</f>
      </c>
      <c r="I1028" s="12">
        <f>F1029</f>
      </c>
      <c r="J1028" s="12">
        <f>G1029</f>
      </c>
      <c r="K1028">
        <f>IF(AND(Pu&gt;=MIN(E1028,H1028),Pu&lt;=MAX(E1028,H1028),E1028&lt;&gt;H1028),1,0)</f>
      </c>
      <c r="L1028">
        <f>IF(K1028=1,(Pu-E1028)/(H1028-E1028),"")</f>
      </c>
      <c r="M1028" s="12">
        <f>IF(K1028=1,F1028+L1028*(I1028-F1028),"")</f>
      </c>
      <c r="N1028" s="12">
        <f>IF(K1028=1,G1028+L1028*(J1028-G1028),"")</f>
      </c>
    </row>
    <row r="1029" spans="2:14" x14ac:dyDescent="0.25">
      <c r="B1029">
        <v>66</v>
      </c>
      <c r="C1029">
        <v>266.25</v>
      </c>
      <c r="D1029">
        <v>9</v>
      </c>
      <c r="E1029" s="18">
        <v>7254.093261607333</v>
      </c>
      <c r="F1029" s="18">
        <v>-5330.126315830486</v>
      </c>
      <c r="G1029" s="18">
        <v>-393.9195120748556</v>
      </c>
      <c r="H1029" s="12">
        <f>E1030</f>
      </c>
      <c r="I1029" s="12">
        <f>F1030</f>
      </c>
      <c r="J1029" s="12">
        <f>G1030</f>
      </c>
      <c r="K1029">
        <f>IF(AND(Pu&gt;=MIN(E1029,H1029),Pu&lt;=MAX(E1029,H1029),E1029&lt;&gt;H1029),1,0)</f>
      </c>
      <c r="L1029">
        <f>IF(K1029=1,(Pu-E1029)/(H1029-E1029),"")</f>
      </c>
      <c r="M1029" s="12">
        <f>IF(K1029=1,F1029+L1029*(I1029-F1029),"")</f>
      </c>
      <c r="N1029" s="12">
        <f>IF(K1029=1,G1029+L1029*(J1029-G1029),"")</f>
      </c>
    </row>
    <row r="1030" spans="2:14" x14ac:dyDescent="0.25">
      <c r="B1030">
        <v>66</v>
      </c>
      <c r="C1030">
        <v>266.25</v>
      </c>
      <c r="D1030">
        <v>10</v>
      </c>
      <c r="E1030" s="18">
        <v>6356.752784419789</v>
      </c>
      <c r="F1030" s="18">
        <v>-5125.950635688304</v>
      </c>
      <c r="G1030" s="18">
        <v>-368.9247058332121</v>
      </c>
      <c r="H1030" s="12">
        <f>E1031</f>
      </c>
      <c r="I1030" s="12">
        <f>F1031</f>
      </c>
      <c r="J1030" s="12">
        <f>G1031</f>
      </c>
      <c r="K1030">
        <f>IF(AND(Pu&gt;=MIN(E1030,H1030),Pu&lt;=MAX(E1030,H1030),E1030&lt;&gt;H1030),1,0)</f>
      </c>
      <c r="L1030">
        <f>IF(K1030=1,(Pu-E1030)/(H1030-E1030),"")</f>
      </c>
      <c r="M1030" s="12">
        <f>IF(K1030=1,F1030+L1030*(I1030-F1030),"")</f>
      </c>
      <c r="N1030" s="12">
        <f>IF(K1030=1,G1030+L1030*(J1030-G1030),"")</f>
      </c>
    </row>
    <row r="1031" spans="2:14" x14ac:dyDescent="0.25">
      <c r="B1031">
        <v>66</v>
      </c>
      <c r="C1031">
        <v>266.25</v>
      </c>
      <c r="D1031">
        <v>11</v>
      </c>
      <c r="E1031" s="18">
        <v>4935.595473764768</v>
      </c>
      <c r="F1031" s="18">
        <v>-4709.876619744561</v>
      </c>
      <c r="G1031" s="18">
        <v>-431.8615378209669</v>
      </c>
      <c r="H1031" s="12">
        <f>E1032</f>
      </c>
      <c r="I1031" s="12">
        <f>F1032</f>
      </c>
      <c r="J1031" s="12">
        <f>G1032</f>
      </c>
      <c r="K1031">
        <f>IF(AND(Pu&gt;=MIN(E1031,H1031),Pu&lt;=MAX(E1031,H1031),E1031&lt;&gt;H1031),1,0)</f>
      </c>
      <c r="L1031">
        <f>IF(K1031=1,(Pu-E1031)/(H1031-E1031),"")</f>
      </c>
      <c r="M1031" s="12">
        <f>IF(K1031=1,F1031+L1031*(I1031-F1031),"")</f>
      </c>
      <c r="N1031" s="12">
        <f>IF(K1031=1,G1031+L1031*(J1031-G1031),"")</f>
      </c>
    </row>
    <row r="1032" spans="2:14" x14ac:dyDescent="0.25">
      <c r="B1032">
        <v>66</v>
      </c>
      <c r="C1032">
        <v>266.25</v>
      </c>
      <c r="D1032">
        <v>12</v>
      </c>
      <c r="E1032" s="18">
        <v>3685.297398882586</v>
      </c>
      <c r="F1032" s="18">
        <v>-4264.792069082914</v>
      </c>
      <c r="G1032" s="18">
        <v>-442.54489664767675</v>
      </c>
      <c r="H1032" s="12">
        <f>E1033</f>
      </c>
      <c r="I1032" s="12">
        <f>F1033</f>
      </c>
      <c r="J1032" s="12">
        <f>G1033</f>
      </c>
      <c r="K1032">
        <f>IF(AND(Pu&gt;=MIN(E1032,H1032),Pu&lt;=MAX(E1032,H1032),E1032&lt;&gt;H1032),1,0)</f>
      </c>
      <c r="L1032">
        <f>IF(K1032=1,(Pu-E1032)/(H1032-E1032),"")</f>
      </c>
      <c r="M1032" s="12">
        <f>IF(K1032=1,F1032+L1032*(I1032-F1032),"")</f>
      </c>
      <c r="N1032" s="12">
        <f>IF(K1032=1,G1032+L1032*(J1032-G1032),"")</f>
      </c>
    </row>
    <row r="1033" spans="2:14" x14ac:dyDescent="0.25">
      <c r="B1033">
        <v>66</v>
      </c>
      <c r="C1033">
        <v>266.25</v>
      </c>
      <c r="D1033">
        <v>13</v>
      </c>
      <c r="E1033" s="18">
        <v>1289.9805885811743</v>
      </c>
      <c r="F1033" s="18">
        <v>-3251.6176104377355</v>
      </c>
      <c r="G1033" s="18">
        <v>-436.06740261342713</v>
      </c>
      <c r="H1033" s="12">
        <f>E1034</f>
      </c>
      <c r="I1033" s="12">
        <f>F1034</f>
      </c>
      <c r="J1033" s="12">
        <f>G1034</f>
      </c>
      <c r="K1033">
        <f>IF(AND(Pu&gt;=MIN(E1033,H1033),Pu&lt;=MAX(E1033,H1033),E1033&lt;&gt;H1033),1,0)</f>
      </c>
      <c r="L1033">
        <f>IF(K1033=1,(Pu-E1033)/(H1033-E1033),"")</f>
      </c>
      <c r="M1033" s="12">
        <f>IF(K1033=1,F1033+L1033*(I1033-F1033),"")</f>
      </c>
      <c r="N1033" s="12">
        <f>IF(K1033=1,G1033+L1033*(J1033-G1033),"")</f>
      </c>
    </row>
    <row r="1034" spans="2:14" x14ac:dyDescent="0.25">
      <c r="B1034">
        <v>66</v>
      </c>
      <c r="C1034">
        <v>266.25</v>
      </c>
      <c r="D1034">
        <v>14</v>
      </c>
      <c r="E1034" s="18">
        <v>-189.40712196078465</v>
      </c>
      <c r="F1034" s="18">
        <v>-2547.7368090850027</v>
      </c>
      <c r="G1034" s="18">
        <v>-331.237730184805</v>
      </c>
      <c r="H1034" s="12">
        <f>E1035</f>
      </c>
      <c r="I1034" s="12">
        <f>F1035</f>
      </c>
      <c r="J1034" s="12">
        <f>G1035</f>
      </c>
      <c r="K1034">
        <f>IF(AND(Pu&gt;=MIN(E1034,H1034),Pu&lt;=MAX(E1034,H1034),E1034&lt;&gt;H1034),1,0)</f>
      </c>
      <c r="L1034">
        <f>IF(K1034=1,(Pu-E1034)/(H1034-E1034),"")</f>
      </c>
      <c r="M1034" s="12">
        <f>IF(K1034=1,F1034+L1034*(I1034-F1034),"")</f>
      </c>
      <c r="N1034" s="12">
        <f>IF(K1034=1,G1034+L1034*(J1034-G1034),"")</f>
      </c>
    </row>
    <row r="1035" spans="2:7" x14ac:dyDescent="0.25">
      <c r="B1035">
        <v>66</v>
      </c>
      <c r="C1035">
        <v>266.25</v>
      </c>
      <c r="D1035">
        <v>15</v>
      </c>
      <c r="E1035" s="18">
        <v>-2996.7695780931185</v>
      </c>
      <c r="F1035" s="18">
        <v>-1061.5720082489813</v>
      </c>
      <c r="G1035" s="18">
        <v>-323.04727759265586</v>
      </c>
    </row>
    <row r="1037" spans="2:14" x14ac:dyDescent="0.25">
      <c r="B1037">
        <v>67</v>
      </c>
      <c r="C1037">
        <v>270</v>
      </c>
      <c r="D1037">
        <v>1</v>
      </c>
      <c r="E1037" s="18">
        <v>15831.862746689701</v>
      </c>
      <c r="F1037" s="18">
        <v>-2940.658855894904</v>
      </c>
      <c r="G1037" s="18">
        <v>-1.3317912817001343e-12</v>
      </c>
      <c r="H1037" s="12">
        <f>E1038</f>
      </c>
      <c r="I1037" s="12">
        <f>F1038</f>
      </c>
      <c r="J1037" s="12">
        <f>G1038</f>
      </c>
      <c r="K1037">
        <f>IF(AND(Pu&gt;=MIN(E1037,H1037),Pu&lt;=MAX(E1037,H1037),E1037&lt;&gt;H1037),1,0)</f>
      </c>
      <c r="L1037">
        <f>IF(K1037=1,(Pu-E1037)/(H1037-E1037),"")</f>
      </c>
      <c r="M1037" s="12">
        <f>IF(K1037=1,F1037+L1037*(I1037-F1037),"")</f>
      </c>
      <c r="N1037" s="12">
        <f>IF(K1037=1,G1037+L1037*(J1037-G1037),"")</f>
      </c>
    </row>
    <row r="1038" spans="2:14" x14ac:dyDescent="0.25">
      <c r="B1038">
        <v>67</v>
      </c>
      <c r="C1038">
        <v>270</v>
      </c>
      <c r="D1038">
        <v>2</v>
      </c>
      <c r="E1038" s="18">
        <v>14887.875937058567</v>
      </c>
      <c r="F1038" s="18">
        <v>-3260.4526071625673</v>
      </c>
      <c r="G1038" s="18">
        <v>-1.1816620826721192e-12</v>
      </c>
      <c r="H1038" s="12">
        <f>E1039</f>
      </c>
      <c r="I1038" s="12">
        <f>F1039</f>
      </c>
      <c r="J1038" s="12">
        <f>G1039</f>
      </c>
      <c r="K1038">
        <f>IF(AND(Pu&gt;=MIN(E1038,H1038),Pu&lt;=MAX(E1038,H1038),E1038&lt;&gt;H1038),1,0)</f>
      </c>
      <c r="L1038">
        <f>IF(K1038=1,(Pu-E1038)/(H1038-E1038),"")</f>
      </c>
      <c r="M1038" s="12">
        <f>IF(K1038=1,F1038+L1038*(I1038-F1038),"")</f>
      </c>
      <c r="N1038" s="12">
        <f>IF(K1038=1,G1038+L1038*(J1038-G1038),"")</f>
      </c>
    </row>
    <row r="1039" spans="2:14" x14ac:dyDescent="0.25">
      <c r="B1039">
        <v>67</v>
      </c>
      <c r="C1039">
        <v>270</v>
      </c>
      <c r="D1039">
        <v>3</v>
      </c>
      <c r="E1039" s="18">
        <v>13078.23844287175</v>
      </c>
      <c r="F1039" s="18">
        <v>-3755.446100048312</v>
      </c>
      <c r="G1039" s="18">
        <v>-4.4070184230804444e-13</v>
      </c>
      <c r="H1039" s="12">
        <f>E1040</f>
      </c>
      <c r="I1039" s="12">
        <f>F1040</f>
      </c>
      <c r="J1039" s="12">
        <f>G1040</f>
      </c>
      <c r="K1039">
        <f>IF(AND(Pu&gt;=MIN(E1039,H1039),Pu&lt;=MAX(E1039,H1039),E1039&lt;&gt;H1039),1,0)</f>
      </c>
      <c r="L1039">
        <f>IF(K1039=1,(Pu-E1039)/(H1039-E1039),"")</f>
      </c>
      <c r="M1039" s="12">
        <f>IF(K1039=1,F1039+L1039*(I1039-F1039),"")</f>
      </c>
      <c r="N1039" s="12">
        <f>IF(K1039=1,G1039+L1039*(J1039-G1039),"")</f>
      </c>
    </row>
    <row r="1040" spans="2:14" x14ac:dyDescent="0.25">
      <c r="B1040">
        <v>67</v>
      </c>
      <c r="C1040">
        <v>270</v>
      </c>
      <c r="D1040">
        <v>4</v>
      </c>
      <c r="E1040" s="18">
        <v>11590.081777081512</v>
      </c>
      <c r="F1040" s="18">
        <v>-4065.7979162699176</v>
      </c>
      <c r="G1040" s="18">
        <v>-6.029382348060608e-13</v>
      </c>
      <c r="H1040" s="12">
        <f>E1041</f>
      </c>
      <c r="I1040" s="12">
        <f>F1041</f>
      </c>
      <c r="J1040" s="12">
        <f>G1041</f>
      </c>
      <c r="K1040">
        <f>IF(AND(Pu&gt;=MIN(E1040,H1040),Pu&lt;=MAX(E1040,H1040),E1040&lt;&gt;H1040),1,0)</f>
      </c>
      <c r="L1040">
        <f>IF(K1040=1,(Pu-E1040)/(H1040-E1040),"")</f>
      </c>
      <c r="M1040" s="12">
        <f>IF(K1040=1,F1040+L1040*(I1040-F1040),"")</f>
      </c>
      <c r="N1040" s="12">
        <f>IF(K1040=1,G1040+L1040*(J1040-G1040),"")</f>
      </c>
    </row>
    <row r="1041" spans="2:14" x14ac:dyDescent="0.25">
      <c r="B1041">
        <v>67</v>
      </c>
      <c r="C1041">
        <v>270</v>
      </c>
      <c r="D1041">
        <v>5</v>
      </c>
      <c r="E1041" s="18">
        <v>10295.917718918488</v>
      </c>
      <c r="F1041" s="18">
        <v>-4279.486462246424</v>
      </c>
      <c r="G1041" s="18">
        <v>-2.324581146240235e-13</v>
      </c>
      <c r="H1041" s="12">
        <f>E1042</f>
      </c>
      <c r="I1041" s="12">
        <f>F1042</f>
      </c>
      <c r="J1041" s="12">
        <f>G1042</f>
      </c>
      <c r="K1041">
        <f>IF(AND(Pu&gt;=MIN(E1041,H1041),Pu&lt;=MAX(E1041,H1041),E1041&lt;&gt;H1041),1,0)</f>
      </c>
      <c r="L1041">
        <f>IF(K1041=1,(Pu-E1041)/(H1041-E1041),"")</f>
      </c>
      <c r="M1041" s="12">
        <f>IF(K1041=1,F1041+L1041*(I1041-F1041),"")</f>
      </c>
      <c r="N1041" s="12">
        <f>IF(K1041=1,G1041+L1041*(J1041-G1041),"")</f>
      </c>
    </row>
    <row r="1042" spans="2:14" x14ac:dyDescent="0.25">
      <c r="B1042">
        <v>67</v>
      </c>
      <c r="C1042">
        <v>270</v>
      </c>
      <c r="D1042">
        <v>6</v>
      </c>
      <c r="E1042" s="18">
        <v>9137.567173396383</v>
      </c>
      <c r="F1042" s="18">
        <v>-4432.815781922306</v>
      </c>
      <c r="G1042" s="18">
        <v>-6.53788447380066e-13</v>
      </c>
      <c r="H1042" s="12">
        <f>E1043</f>
      </c>
      <c r="I1042" s="12">
        <f>F1043</f>
      </c>
      <c r="J1042" s="12">
        <f>G1043</f>
      </c>
      <c r="K1042">
        <f>IF(AND(Pu&gt;=MIN(E1042,H1042),Pu&lt;=MAX(E1042,H1042),E1042&lt;&gt;H1042),1,0)</f>
      </c>
      <c r="L1042">
        <f>IF(K1042=1,(Pu-E1042)/(H1042-E1042),"")</f>
      </c>
      <c r="M1042" s="12">
        <f>IF(K1042=1,F1042+L1042*(I1042-F1042),"")</f>
      </c>
      <c r="N1042" s="12">
        <f>IF(K1042=1,G1042+L1042*(J1042-G1042),"")</f>
      </c>
    </row>
    <row r="1043" spans="2:14" x14ac:dyDescent="0.25">
      <c r="B1043">
        <v>67</v>
      </c>
      <c r="C1043">
        <v>270</v>
      </c>
      <c r="D1043">
        <v>7</v>
      </c>
      <c r="E1043" s="18">
        <v>8471.548345055582</v>
      </c>
      <c r="F1043" s="18">
        <v>-4837.71179556643</v>
      </c>
      <c r="G1043" s="18">
        <v>-1.0866050918896992e-12</v>
      </c>
      <c r="H1043" s="12">
        <f>E1044</f>
      </c>
      <c r="I1043" s="12">
        <f>F1044</f>
      </c>
      <c r="J1043" s="12">
        <f>G1044</f>
      </c>
      <c r="K1043">
        <f>IF(AND(Pu&gt;=MIN(E1043,H1043),Pu&lt;=MAX(E1043,H1043),E1043&lt;&gt;H1043),1,0)</f>
      </c>
      <c r="L1043">
        <f>IF(K1043=1,(Pu-E1043)/(H1043-E1043),"")</f>
      </c>
      <c r="M1043" s="12">
        <f>IF(K1043=1,F1043+L1043*(I1043-F1043),"")</f>
      </c>
      <c r="N1043" s="12">
        <f>IF(K1043=1,G1043+L1043*(J1043-G1043),"")</f>
      </c>
    </row>
    <row r="1044" spans="2:14" x14ac:dyDescent="0.25">
      <c r="B1044">
        <v>67</v>
      </c>
      <c r="C1044">
        <v>270</v>
      </c>
      <c r="D1044">
        <v>8</v>
      </c>
      <c r="E1044" s="18">
        <v>7946.957395717584</v>
      </c>
      <c r="F1044" s="18">
        <v>-5149.33317113616</v>
      </c>
      <c r="G1044" s="18">
        <v>-1.117649177710215e-12</v>
      </c>
      <c r="H1044" s="12">
        <f>E1045</f>
      </c>
      <c r="I1044" s="12">
        <f>F1045</f>
      </c>
      <c r="J1044" s="12">
        <f>G1045</f>
      </c>
      <c r="K1044">
        <f>IF(AND(Pu&gt;=MIN(E1044,H1044),Pu&lt;=MAX(E1044,H1044),E1044&lt;&gt;H1044),1,0)</f>
      </c>
      <c r="L1044">
        <f>IF(K1044=1,(Pu-E1044)/(H1044-E1044),"")</f>
      </c>
      <c r="M1044" s="12">
        <f>IF(K1044=1,F1044+L1044*(I1044-F1044),"")</f>
      </c>
      <c r="N1044" s="12">
        <f>IF(K1044=1,G1044+L1044*(J1044-G1044),"")</f>
      </c>
    </row>
    <row r="1045" spans="2:14" x14ac:dyDescent="0.25">
      <c r="B1045">
        <v>67</v>
      </c>
      <c r="C1045">
        <v>270</v>
      </c>
      <c r="D1045">
        <v>9</v>
      </c>
      <c r="E1045" s="18">
        <v>7513.284240003964</v>
      </c>
      <c r="F1045" s="18">
        <v>-5409.306186011452</v>
      </c>
      <c r="G1045" s="18">
        <v>-1.0845251381397247e-12</v>
      </c>
      <c r="H1045" s="12">
        <f>E1046</f>
      </c>
      <c r="I1045" s="12">
        <f>F1046</f>
      </c>
      <c r="J1045" s="12">
        <f>G1046</f>
      </c>
      <c r="K1045">
        <f>IF(AND(Pu&gt;=MIN(E1045,H1045),Pu&lt;=MAX(E1045,H1045),E1045&lt;&gt;H1045),1,0)</f>
      </c>
      <c r="L1045">
        <f>IF(K1045=1,(Pu-E1045)/(H1045-E1045),"")</f>
      </c>
      <c r="M1045" s="12">
        <f>IF(K1045=1,F1045+L1045*(I1045-F1045),"")</f>
      </c>
      <c r="N1045" s="12">
        <f>IF(K1045=1,G1045+L1045*(J1045-G1045),"")</f>
      </c>
    </row>
    <row r="1046" spans="2:14" x14ac:dyDescent="0.25">
      <c r="B1046">
        <v>67</v>
      </c>
      <c r="C1046">
        <v>270</v>
      </c>
      <c r="D1046">
        <v>10</v>
      </c>
      <c r="E1046" s="18">
        <v>6690.0008168353415</v>
      </c>
      <c r="F1046" s="18">
        <v>-5227.358557105921</v>
      </c>
      <c r="G1046" s="18">
        <v>-5.185138434171676e-13</v>
      </c>
      <c r="H1046" s="12">
        <f>E1047</f>
      </c>
      <c r="I1046" s="12">
        <f>F1047</f>
      </c>
      <c r="J1046" s="12">
        <f>G1047</f>
      </c>
      <c r="K1046">
        <f>IF(AND(Pu&gt;=MIN(E1046,H1046),Pu&lt;=MAX(E1046,H1046),E1046&lt;&gt;H1046),1,0)</f>
      </c>
      <c r="L1046">
        <f>IF(K1046=1,(Pu-E1046)/(H1046-E1046),"")</f>
      </c>
      <c r="M1046" s="12">
        <f>IF(K1046=1,F1046+L1046*(I1046-F1046),"")</f>
      </c>
      <c r="N1046" s="12">
        <f>IF(K1046=1,G1046+L1046*(J1046-G1046),"")</f>
      </c>
    </row>
    <row r="1047" spans="2:14" x14ac:dyDescent="0.25">
      <c r="B1047">
        <v>67</v>
      </c>
      <c r="C1047">
        <v>270</v>
      </c>
      <c r="D1047">
        <v>11</v>
      </c>
      <c r="E1047" s="18">
        <v>5420.099240749144</v>
      </c>
      <c r="F1047" s="18">
        <v>-4886.879129814068</v>
      </c>
      <c r="G1047" s="18">
        <v>-7.409602403640747e-13</v>
      </c>
      <c r="H1047" s="12">
        <f>E1048</f>
      </c>
      <c r="I1047" s="12">
        <f>F1048</f>
      </c>
      <c r="J1047" s="12">
        <f>G1048</f>
      </c>
      <c r="K1047">
        <f>IF(AND(Pu&gt;=MIN(E1047,H1047),Pu&lt;=MAX(E1047,H1047),E1047&lt;&gt;H1047),1,0)</f>
      </c>
      <c r="L1047">
        <f>IF(K1047=1,(Pu-E1047)/(H1047-E1047),"")</f>
      </c>
      <c r="M1047" s="12">
        <f>IF(K1047=1,F1047+L1047*(I1047-F1047),"")</f>
      </c>
      <c r="N1047" s="12">
        <f>IF(K1047=1,G1047+L1047*(J1047-G1047),"")</f>
      </c>
    </row>
    <row r="1048" spans="2:14" x14ac:dyDescent="0.25">
      <c r="B1048">
        <v>67</v>
      </c>
      <c r="C1048">
        <v>270</v>
      </c>
      <c r="D1048">
        <v>12</v>
      </c>
      <c r="E1048" s="18">
        <v>4398.307300813494</v>
      </c>
      <c r="F1048" s="18">
        <v>-4551.919882185922</v>
      </c>
      <c r="G1048" s="18">
        <v>-9.634066373109819e-13</v>
      </c>
      <c r="H1048" s="12">
        <f>E1049</f>
      </c>
      <c r="I1048" s="12">
        <f>F1049</f>
      </c>
      <c r="J1048" s="12">
        <f>G1049</f>
      </c>
      <c r="K1048">
        <f>IF(AND(Pu&gt;=MIN(E1048,H1048),Pu&lt;=MAX(E1048,H1048),E1048&lt;&gt;H1048),1,0)</f>
      </c>
      <c r="L1048">
        <f>IF(K1048=1,(Pu-E1048)/(H1048-E1048),"")</f>
      </c>
      <c r="M1048" s="12">
        <f>IF(K1048=1,F1048+L1048*(I1048-F1048),"")</f>
      </c>
      <c r="N1048" s="12">
        <f>IF(K1048=1,G1048+L1048*(J1048-G1048),"")</f>
      </c>
    </row>
    <row r="1049" spans="2:14" x14ac:dyDescent="0.25">
      <c r="B1049">
        <v>67</v>
      </c>
      <c r="C1049">
        <v>270</v>
      </c>
      <c r="D1049">
        <v>13</v>
      </c>
      <c r="E1049" s="18">
        <v>2308.7541689183035</v>
      </c>
      <c r="F1049" s="18">
        <v>-3737.5175014467472</v>
      </c>
      <c r="G1049" s="18">
        <v>-9.257395429598583e-13</v>
      </c>
      <c r="H1049" s="12">
        <f>E1050</f>
      </c>
      <c r="I1049" s="12">
        <f>F1050</f>
      </c>
      <c r="J1049" s="12">
        <f>G1050</f>
      </c>
      <c r="K1049">
        <f>IF(AND(Pu&gt;=MIN(E1049,H1049),Pu&lt;=MAX(E1049,H1049),E1049&lt;&gt;H1049),1,0)</f>
      </c>
      <c r="L1049">
        <f>IF(K1049=1,(Pu-E1049)/(H1049-E1049),"")</f>
      </c>
      <c r="M1049" s="12">
        <f>IF(K1049=1,F1049+L1049*(I1049-F1049),"")</f>
      </c>
      <c r="N1049" s="12">
        <f>IF(K1049=1,G1049+L1049*(J1049-G1049),"")</f>
      </c>
    </row>
    <row r="1050" spans="2:14" x14ac:dyDescent="0.25">
      <c r="B1050">
        <v>67</v>
      </c>
      <c r="C1050">
        <v>270</v>
      </c>
      <c r="D1050">
        <v>14</v>
      </c>
      <c r="E1050" s="18">
        <v>1035.2538797972836</v>
      </c>
      <c r="F1050" s="18">
        <v>-3170.1497271545063</v>
      </c>
      <c r="G1050" s="18">
        <v>-1.2412025877582214e-12</v>
      </c>
      <c r="H1050" s="12">
        <f>E1051</f>
      </c>
      <c r="I1050" s="12">
        <f>F1051</f>
      </c>
      <c r="J1050" s="12">
        <f>G1051</f>
      </c>
      <c r="K1050">
        <f>IF(AND(Pu&gt;=MIN(E1050,H1050),Pu&lt;=MAX(E1050,H1050),E1050&lt;&gt;H1050),1,0)</f>
      </c>
      <c r="L1050">
        <f>IF(K1050=1,(Pu-E1050)/(H1050-E1050),"")</f>
      </c>
      <c r="M1050" s="12">
        <f>IF(K1050=1,F1050+L1050*(I1050-F1050),"")</f>
      </c>
      <c r="N1050" s="12">
        <f>IF(K1050=1,G1050+L1050*(J1050-G1050),"")</f>
      </c>
    </row>
    <row r="1051" spans="2:7" x14ac:dyDescent="0.25">
      <c r="B1051">
        <v>67</v>
      </c>
      <c r="C1051">
        <v>270</v>
      </c>
      <c r="D1051">
        <v>15</v>
      </c>
      <c r="E1051" s="18">
        <v>-1386.9705879741575</v>
      </c>
      <c r="F1051" s="18">
        <v>-1934.4394333303612</v>
      </c>
      <c r="G1051" s="18">
        <v>-9.862744211254962e-13</v>
      </c>
    </row>
    <row r="1053" spans="2:14" x14ac:dyDescent="0.25">
      <c r="B1053">
        <v>68</v>
      </c>
      <c r="C1053">
        <v>273.75</v>
      </c>
      <c r="D1053">
        <v>1</v>
      </c>
      <c r="E1053" s="18">
        <v>16261.546585826265</v>
      </c>
      <c r="F1053" s="18">
        <v>-2765.033384337812</v>
      </c>
      <c r="G1053" s="18">
        <v>294.4841957275792</v>
      </c>
      <c r="H1053" s="12">
        <f>E1054</f>
      </c>
      <c r="I1053" s="12">
        <f>F1054</f>
      </c>
      <c r="J1053" s="12">
        <f>G1054</f>
      </c>
      <c r="K1053">
        <f>IF(AND(Pu&gt;=MIN(E1053,H1053),Pu&lt;=MAX(E1053,H1053),E1053&lt;&gt;H1053),1,0)</f>
      </c>
      <c r="L1053">
        <f>IF(K1053=1,(Pu-E1053)/(H1053-E1053),"")</f>
      </c>
      <c r="M1053" s="12">
        <f>IF(K1053=1,F1053+L1053*(I1053-F1053),"")</f>
      </c>
      <c r="N1053" s="12">
        <f>IF(K1053=1,G1053+L1053*(J1053-G1053),"")</f>
      </c>
    </row>
    <row r="1054" spans="2:14" x14ac:dyDescent="0.25">
      <c r="B1054">
        <v>68</v>
      </c>
      <c r="C1054">
        <v>273.75</v>
      </c>
      <c r="D1054">
        <v>2</v>
      </c>
      <c r="E1054" s="18">
        <v>15132.45578785212</v>
      </c>
      <c r="F1054" s="18">
        <v>-3167.8834400093524</v>
      </c>
      <c r="G1054" s="18">
        <v>251.64982696468738</v>
      </c>
      <c r="H1054" s="12">
        <f>E1055</f>
      </c>
      <c r="I1054" s="12">
        <f>F1055</f>
      </c>
      <c r="J1054" s="12">
        <f>G1055</f>
      </c>
      <c r="K1054">
        <f>IF(AND(Pu&gt;=MIN(E1054,H1054),Pu&lt;=MAX(E1054,H1054),E1054&lt;&gt;H1054),1,0)</f>
      </c>
      <c r="L1054">
        <f>IF(K1054=1,(Pu-E1054)/(H1054-E1054),"")</f>
      </c>
      <c r="M1054" s="12">
        <f>IF(K1054=1,F1054+L1054*(I1054-F1054),"")</f>
      </c>
      <c r="N1054" s="12">
        <f>IF(K1054=1,G1054+L1054*(J1054-G1054),"")</f>
      </c>
    </row>
    <row r="1055" spans="2:14" x14ac:dyDescent="0.25">
      <c r="B1055">
        <v>68</v>
      </c>
      <c r="C1055">
        <v>273.75</v>
      </c>
      <c r="D1055">
        <v>3</v>
      </c>
      <c r="E1055" s="18">
        <v>13210.616660302083</v>
      </c>
      <c r="F1055" s="18">
        <v>-3706.92633764179</v>
      </c>
      <c r="G1055" s="18">
        <v>256.8237134715731</v>
      </c>
      <c r="H1055" s="12">
        <f>E1056</f>
      </c>
      <c r="I1055" s="12">
        <f>F1056</f>
      </c>
      <c r="J1055" s="12">
        <f>G1056</f>
      </c>
      <c r="K1055">
        <f>IF(AND(Pu&gt;=MIN(E1055,H1055),Pu&lt;=MAX(E1055,H1055),E1055&lt;&gt;H1055),1,0)</f>
      </c>
      <c r="L1055">
        <f>IF(K1055=1,(Pu-E1055)/(H1055-E1055),"")</f>
      </c>
      <c r="M1055" s="12">
        <f>IF(K1055=1,F1055+L1055*(I1055-F1055),"")</f>
      </c>
      <c r="N1055" s="12">
        <f>IF(K1055=1,G1055+L1055*(J1055-G1055),"")</f>
      </c>
    </row>
    <row r="1056" spans="2:14" x14ac:dyDescent="0.25">
      <c r="B1056">
        <v>68</v>
      </c>
      <c r="C1056">
        <v>273.75</v>
      </c>
      <c r="D1056">
        <v>4</v>
      </c>
      <c r="E1056" s="18">
        <v>11649.575448306825</v>
      </c>
      <c r="F1056" s="18">
        <v>-4026.2133290155207</v>
      </c>
      <c r="G1056" s="18">
        <v>262.0524423508634</v>
      </c>
      <c r="H1056" s="12">
        <f>E1057</f>
      </c>
      <c r="I1056" s="12">
        <f>F1057</f>
      </c>
      <c r="J1056" s="12">
        <f>G1057</f>
      </c>
      <c r="K1056">
        <f>IF(AND(Pu&gt;=MIN(E1056,H1056),Pu&lt;=MAX(E1056,H1056),E1056&lt;&gt;H1056),1,0)</f>
      </c>
      <c r="L1056">
        <f>IF(K1056=1,(Pu-E1056)/(H1056-E1056),"")</f>
      </c>
      <c r="M1056" s="12">
        <f>IF(K1056=1,F1056+L1056*(I1056-F1056),"")</f>
      </c>
      <c r="N1056" s="12">
        <f>IF(K1056=1,G1056+L1056*(J1056-G1056),"")</f>
      </c>
    </row>
    <row r="1057" spans="2:14" x14ac:dyDescent="0.25">
      <c r="B1057">
        <v>68</v>
      </c>
      <c r="C1057">
        <v>273.75</v>
      </c>
      <c r="D1057">
        <v>5</v>
      </c>
      <c r="E1057" s="18">
        <v>10312.261759475557</v>
      </c>
      <c r="F1057" s="18">
        <v>-4232.89278305439</v>
      </c>
      <c r="G1057" s="18">
        <v>291.58801197709647</v>
      </c>
      <c r="H1057" s="12">
        <f>E1058</f>
      </c>
      <c r="I1057" s="12">
        <f>F1058</f>
      </c>
      <c r="J1057" s="12">
        <f>G1058</f>
      </c>
      <c r="K1057">
        <f>IF(AND(Pu&gt;=MIN(E1057,H1057),Pu&lt;=MAX(E1057,H1057),E1057&lt;&gt;H1057),1,0)</f>
      </c>
      <c r="L1057">
        <f>IF(K1057=1,(Pu-E1057)/(H1057-E1057),"")</f>
      </c>
      <c r="M1057" s="12">
        <f>IF(K1057=1,F1057+L1057*(I1057-F1057),"")</f>
      </c>
      <c r="N1057" s="12">
        <f>IF(K1057=1,G1057+L1057*(J1057-G1057),"")</f>
      </c>
    </row>
    <row r="1058" spans="2:14" x14ac:dyDescent="0.25">
      <c r="B1058">
        <v>68</v>
      </c>
      <c r="C1058">
        <v>273.75</v>
      </c>
      <c r="D1058">
        <v>6</v>
      </c>
      <c r="E1058" s="18">
        <v>9128.539522842062</v>
      </c>
      <c r="F1058" s="18">
        <v>-4381.687387932178</v>
      </c>
      <c r="G1058" s="18">
        <v>312.05890555888624</v>
      </c>
      <c r="H1058" s="12">
        <f>E1059</f>
      </c>
      <c r="I1058" s="12">
        <f>F1059</f>
      </c>
      <c r="J1058" s="12">
        <f>G1059</f>
      </c>
      <c r="K1058">
        <f>IF(AND(Pu&gt;=MIN(E1058,H1058),Pu&lt;=MAX(E1058,H1058),E1058&lt;&gt;H1058),1,0)</f>
      </c>
      <c r="L1058">
        <f>IF(K1058=1,(Pu-E1058)/(H1058-E1058),"")</f>
      </c>
      <c r="M1058" s="12">
        <f>IF(K1058=1,F1058+L1058*(I1058-F1058),"")</f>
      </c>
      <c r="N1058" s="12">
        <f>IF(K1058=1,G1058+L1058*(J1058-G1058),"")</f>
      </c>
    </row>
    <row r="1059" spans="2:14" x14ac:dyDescent="0.25">
      <c r="B1059">
        <v>68</v>
      </c>
      <c r="C1059">
        <v>273.75</v>
      </c>
      <c r="D1059">
        <v>7</v>
      </c>
      <c r="E1059" s="18">
        <v>8314.92758043104</v>
      </c>
      <c r="F1059" s="18">
        <v>-4799.2987312431505</v>
      </c>
      <c r="G1059" s="18">
        <v>344.4138457341072</v>
      </c>
      <c r="H1059" s="12">
        <f>E1060</f>
      </c>
      <c r="I1059" s="12">
        <f>F1060</f>
      </c>
      <c r="J1059" s="12">
        <f>G1060</f>
      </c>
      <c r="K1059">
        <f>IF(AND(Pu&gt;=MIN(E1059,H1059),Pu&lt;=MAX(E1059,H1059),E1059&lt;&gt;H1059),1,0)</f>
      </c>
      <c r="L1059">
        <f>IF(K1059=1,(Pu-E1059)/(H1059-E1059),"")</f>
      </c>
      <c r="M1059" s="12">
        <f>IF(K1059=1,F1059+L1059*(I1059-F1059),"")</f>
      </c>
      <c r="N1059" s="12">
        <f>IF(K1059=1,G1059+L1059*(J1059-G1059),"")</f>
      </c>
    </row>
    <row r="1060" spans="2:14" x14ac:dyDescent="0.25">
      <c r="B1060">
        <v>68</v>
      </c>
      <c r="C1060">
        <v>273.75</v>
      </c>
      <c r="D1060">
        <v>8</v>
      </c>
      <c r="E1060" s="18">
        <v>7718.431707239609</v>
      </c>
      <c r="F1060" s="18">
        <v>-5093.712901300796</v>
      </c>
      <c r="G1060" s="18">
        <v>366.2374455727275</v>
      </c>
      <c r="H1060" s="12">
        <f>E1061</f>
      </c>
      <c r="I1060" s="12">
        <f>F1061</f>
      </c>
      <c r="J1060" s="12">
        <f>G1061</f>
      </c>
      <c r="K1060">
        <f>IF(AND(Pu&gt;=MIN(E1060,H1060),Pu&lt;=MAX(E1060,H1060),E1060&lt;&gt;H1060),1,0)</f>
      </c>
      <c r="L1060">
        <f>IF(K1060=1,(Pu-E1060)/(H1060-E1060),"")</f>
      </c>
      <c r="M1060" s="12">
        <f>IF(K1060=1,F1060+L1060*(I1060-F1060),"")</f>
      </c>
      <c r="N1060" s="12">
        <f>IF(K1060=1,G1060+L1060*(J1060-G1060),"")</f>
      </c>
    </row>
    <row r="1061" spans="2:14" x14ac:dyDescent="0.25">
      <c r="B1061">
        <v>68</v>
      </c>
      <c r="C1061">
        <v>273.75</v>
      </c>
      <c r="D1061">
        <v>9</v>
      </c>
      <c r="E1061" s="18">
        <v>7254.093261607335</v>
      </c>
      <c r="F1061" s="18">
        <v>-5330.126315830486</v>
      </c>
      <c r="G1061" s="18">
        <v>393.91951207485454</v>
      </c>
      <c r="H1061" s="12">
        <f>E1062</f>
      </c>
      <c r="I1061" s="12">
        <f>F1062</f>
      </c>
      <c r="J1061" s="12">
        <f>G1062</f>
      </c>
      <c r="K1061">
        <f>IF(AND(Pu&gt;=MIN(E1061,H1061),Pu&lt;=MAX(E1061,H1061),E1061&lt;&gt;H1061),1,0)</f>
      </c>
      <c r="L1061">
        <f>IF(K1061=1,(Pu-E1061)/(H1061-E1061),"")</f>
      </c>
      <c r="M1061" s="12">
        <f>IF(K1061=1,F1061+L1061*(I1061-F1061),"")</f>
      </c>
      <c r="N1061" s="12">
        <f>IF(K1061=1,G1061+L1061*(J1061-G1061),"")</f>
      </c>
    </row>
    <row r="1062" spans="2:14" x14ac:dyDescent="0.25">
      <c r="B1062">
        <v>68</v>
      </c>
      <c r="C1062">
        <v>273.75</v>
      </c>
      <c r="D1062">
        <v>10</v>
      </c>
      <c r="E1062" s="18">
        <v>6356.752784419794</v>
      </c>
      <c r="F1062" s="18">
        <v>-5125.950635688305</v>
      </c>
      <c r="G1062" s="18">
        <v>368.92470583320994</v>
      </c>
      <c r="H1062" s="12">
        <f>E1063</f>
      </c>
      <c r="I1062" s="12">
        <f>F1063</f>
      </c>
      <c r="J1062" s="12">
        <f>G1063</f>
      </c>
      <c r="K1062">
        <f>IF(AND(Pu&gt;=MIN(E1062,H1062),Pu&lt;=MAX(E1062,H1062),E1062&lt;&gt;H1062),1,0)</f>
      </c>
      <c r="L1062">
        <f>IF(K1062=1,(Pu-E1062)/(H1062-E1062),"")</f>
      </c>
      <c r="M1062" s="12">
        <f>IF(K1062=1,F1062+L1062*(I1062-F1062),"")</f>
      </c>
      <c r="N1062" s="12">
        <f>IF(K1062=1,G1062+L1062*(J1062-G1062),"")</f>
      </c>
    </row>
    <row r="1063" spans="2:14" x14ac:dyDescent="0.25">
      <c r="B1063">
        <v>68</v>
      </c>
      <c r="C1063">
        <v>273.75</v>
      </c>
      <c r="D1063">
        <v>11</v>
      </c>
      <c r="E1063" s="18">
        <v>4935.595473764774</v>
      </c>
      <c r="F1063" s="18">
        <v>-4709.876619744563</v>
      </c>
      <c r="G1063" s="18">
        <v>431.86153782096505</v>
      </c>
      <c r="H1063" s="12">
        <f>E1064</f>
      </c>
      <c r="I1063" s="12">
        <f>F1064</f>
      </c>
      <c r="J1063" s="12">
        <f>G1064</f>
      </c>
      <c r="K1063">
        <f>IF(AND(Pu&gt;=MIN(E1063,H1063),Pu&lt;=MAX(E1063,H1063),E1063&lt;&gt;H1063),1,0)</f>
      </c>
      <c r="L1063">
        <f>IF(K1063=1,(Pu-E1063)/(H1063-E1063),"")</f>
      </c>
      <c r="M1063" s="12">
        <f>IF(K1063=1,F1063+L1063*(I1063-F1063),"")</f>
      </c>
      <c r="N1063" s="12">
        <f>IF(K1063=1,G1063+L1063*(J1063-G1063),"")</f>
      </c>
    </row>
    <row r="1064" spans="2:14" x14ac:dyDescent="0.25">
      <c r="B1064">
        <v>68</v>
      </c>
      <c r="C1064">
        <v>273.75</v>
      </c>
      <c r="D1064">
        <v>12</v>
      </c>
      <c r="E1064" s="18">
        <v>3685.297398882592</v>
      </c>
      <c r="F1064" s="18">
        <v>-4264.792069082918</v>
      </c>
      <c r="G1064" s="18">
        <v>442.5448966476739</v>
      </c>
      <c r="H1064" s="12">
        <f>E1065</f>
      </c>
      <c r="I1064" s="12">
        <f>F1065</f>
      </c>
      <c r="J1064" s="12">
        <f>G1065</f>
      </c>
      <c r="K1064">
        <f>IF(AND(Pu&gt;=MIN(E1064,H1064),Pu&lt;=MAX(E1064,H1064),E1064&lt;&gt;H1064),1,0)</f>
      </c>
      <c r="L1064">
        <f>IF(K1064=1,(Pu-E1064)/(H1064-E1064),"")</f>
      </c>
      <c r="M1064" s="12">
        <f>IF(K1064=1,F1064+L1064*(I1064-F1064),"")</f>
      </c>
      <c r="N1064" s="12">
        <f>IF(K1064=1,G1064+L1064*(J1064-G1064),"")</f>
      </c>
    </row>
    <row r="1065" spans="2:14" x14ac:dyDescent="0.25">
      <c r="B1065">
        <v>68</v>
      </c>
      <c r="C1065">
        <v>273.75</v>
      </c>
      <c r="D1065">
        <v>13</v>
      </c>
      <c r="E1065" s="18">
        <v>1289.9805885811822</v>
      </c>
      <c r="F1065" s="18">
        <v>-3251.6176104377396</v>
      </c>
      <c r="G1065" s="18">
        <v>436.0674026134256</v>
      </c>
      <c r="H1065" s="12">
        <f>E1066</f>
      </c>
      <c r="I1065" s="12">
        <f>F1066</f>
      </c>
      <c r="J1065" s="12">
        <f>G1066</f>
      </c>
      <c r="K1065">
        <f>IF(AND(Pu&gt;=MIN(E1065,H1065),Pu&lt;=MAX(E1065,H1065),E1065&lt;&gt;H1065),1,0)</f>
      </c>
      <c r="L1065">
        <f>IF(K1065=1,(Pu-E1065)/(H1065-E1065),"")</f>
      </c>
      <c r="M1065" s="12">
        <f>IF(K1065=1,F1065+L1065*(I1065-F1065),"")</f>
      </c>
      <c r="N1065" s="12">
        <f>IF(K1065=1,G1065+L1065*(J1065-G1065),"")</f>
      </c>
    </row>
    <row r="1066" spans="2:14" x14ac:dyDescent="0.25">
      <c r="B1066">
        <v>68</v>
      </c>
      <c r="C1066">
        <v>273.75</v>
      </c>
      <c r="D1066">
        <v>14</v>
      </c>
      <c r="E1066" s="18">
        <v>-189.40712196077752</v>
      </c>
      <c r="F1066" s="18">
        <v>-2547.736809085006</v>
      </c>
      <c r="G1066" s="18">
        <v>331.2377301848034</v>
      </c>
      <c r="H1066" s="12">
        <f>E1067</f>
      </c>
      <c r="I1066" s="12">
        <f>F1067</f>
      </c>
      <c r="J1066" s="12">
        <f>G1067</f>
      </c>
      <c r="K1066">
        <f>IF(AND(Pu&gt;=MIN(E1066,H1066),Pu&lt;=MAX(E1066,H1066),E1066&lt;&gt;H1066),1,0)</f>
      </c>
      <c r="L1066">
        <f>IF(K1066=1,(Pu-E1066)/(H1066-E1066),"")</f>
      </c>
      <c r="M1066" s="12">
        <f>IF(K1066=1,F1066+L1066*(I1066-F1066),"")</f>
      </c>
      <c r="N1066" s="12">
        <f>IF(K1066=1,G1066+L1066*(J1066-G1066),"")</f>
      </c>
    </row>
    <row r="1067" spans="2:7" x14ac:dyDescent="0.25">
      <c r="B1067">
        <v>68</v>
      </c>
      <c r="C1067">
        <v>273.75</v>
      </c>
      <c r="D1067">
        <v>15</v>
      </c>
      <c r="E1067" s="18">
        <v>-2996.7695780931062</v>
      </c>
      <c r="F1067" s="18">
        <v>-1061.572008248987</v>
      </c>
      <c r="G1067" s="18">
        <v>323.04727759265364</v>
      </c>
    </row>
    <row r="1069" spans="2:14" x14ac:dyDescent="0.25">
      <c r="B1069">
        <v>69</v>
      </c>
      <c r="C1069">
        <v>274.68750000000006</v>
      </c>
      <c r="D1069">
        <v>1</v>
      </c>
      <c r="E1069" s="18">
        <v>16397.597439013833</v>
      </c>
      <c r="F1069" s="18">
        <v>-2705.167246452688</v>
      </c>
      <c r="G1069" s="18">
        <v>373.3624071230014</v>
      </c>
      <c r="H1069" s="12">
        <f>E1070</f>
      </c>
      <c r="I1069" s="12">
        <f>F1070</f>
      </c>
      <c r="J1069" s="12">
        <f>G1070</f>
      </c>
      <c r="K1069">
        <f>IF(AND(Pu&gt;=MIN(E1069,H1069),Pu&lt;=MAX(E1069,H1069),E1069&lt;&gt;H1069),1,0)</f>
      </c>
      <c r="L1069">
        <f>IF(K1069=1,(Pu-E1069)/(H1069-E1069),"")</f>
      </c>
      <c r="M1069" s="12">
        <f>IF(K1069=1,F1069+L1069*(I1069-F1069),"")</f>
      </c>
      <c r="N1069" s="12">
        <f>IF(K1069=1,G1069+L1069*(J1069-G1069),"")</f>
      </c>
    </row>
    <row r="1070" spans="2:14" x14ac:dyDescent="0.25">
      <c r="B1070">
        <v>69</v>
      </c>
      <c r="C1070">
        <v>274.68750000000006</v>
      </c>
      <c r="D1070">
        <v>2</v>
      </c>
      <c r="E1070" s="18">
        <v>15197.14858590032</v>
      </c>
      <c r="F1070" s="18">
        <v>-3141.0216266498155</v>
      </c>
      <c r="G1070" s="18">
        <v>319.22691604995777</v>
      </c>
      <c r="H1070" s="12">
        <f>E1071</f>
      </c>
      <c r="I1070" s="12">
        <f>F1071</f>
      </c>
      <c r="J1070" s="12">
        <f>G1071</f>
      </c>
      <c r="K1070">
        <f>IF(AND(Pu&gt;=MIN(E1070,H1070),Pu&lt;=MAX(E1070,H1070),E1070&lt;&gt;H1070),1,0)</f>
      </c>
      <c r="L1070">
        <f>IF(K1070=1,(Pu-E1070)/(H1070-E1070),"")</f>
      </c>
      <c r="M1070" s="12">
        <f>IF(K1070=1,F1070+L1070*(I1070-F1070),"")</f>
      </c>
      <c r="N1070" s="12">
        <f>IF(K1070=1,G1070+L1070*(J1070-G1070),"")</f>
      </c>
    </row>
    <row r="1071" spans="2:14" x14ac:dyDescent="0.25">
      <c r="B1071">
        <v>69</v>
      </c>
      <c r="C1071">
        <v>274.68750000000006</v>
      </c>
      <c r="D1071">
        <v>3</v>
      </c>
      <c r="E1071" s="18">
        <v>13243.055771047262</v>
      </c>
      <c r="F1071" s="18">
        <v>-3693.1539054471646</v>
      </c>
      <c r="G1071" s="18">
        <v>320.16596955438064</v>
      </c>
      <c r="H1071" s="12">
        <f>E1072</f>
      </c>
      <c r="I1071" s="12">
        <f>F1072</f>
      </c>
      <c r="J1071" s="12">
        <f>G1072</f>
      </c>
      <c r="K1071">
        <f>IF(AND(Pu&gt;=MIN(E1071,H1071),Pu&lt;=MAX(E1071,H1071),E1071&lt;&gt;H1071),1,0)</f>
      </c>
      <c r="L1071">
        <f>IF(K1071=1,(Pu-E1071)/(H1071-E1071),"")</f>
      </c>
      <c r="M1071" s="12">
        <f>IF(K1071=1,F1071+L1071*(I1071-F1071),"")</f>
      </c>
      <c r="N1071" s="12">
        <f>IF(K1071=1,G1071+L1071*(J1071-G1071),"")</f>
      </c>
    </row>
    <row r="1072" spans="2:14" x14ac:dyDescent="0.25">
      <c r="B1072">
        <v>69</v>
      </c>
      <c r="C1072">
        <v>274.68750000000006</v>
      </c>
      <c r="D1072">
        <v>4</v>
      </c>
      <c r="E1072" s="18">
        <v>11663.196318221288</v>
      </c>
      <c r="F1072" s="18">
        <v>-4013.3619777506865</v>
      </c>
      <c r="G1072" s="18">
        <v>331.3956223691029</v>
      </c>
      <c r="H1072" s="12">
        <f>E1073</f>
      </c>
      <c r="I1072" s="12">
        <f>F1073</f>
      </c>
      <c r="J1072" s="12">
        <f>G1073</f>
      </c>
      <c r="K1072">
        <f>IF(AND(Pu&gt;=MIN(E1072,H1072),Pu&lt;=MAX(E1072,H1072),E1072&lt;&gt;H1072),1,0)</f>
      </c>
      <c r="L1072">
        <f>IF(K1072=1,(Pu-E1072)/(H1072-E1072),"")</f>
      </c>
      <c r="M1072" s="12">
        <f>IF(K1072=1,F1072+L1072*(I1072-F1072),"")</f>
      </c>
      <c r="N1072" s="12">
        <f>IF(K1072=1,G1072+L1072*(J1072-G1072),"")</f>
      </c>
    </row>
    <row r="1073" spans="2:14" x14ac:dyDescent="0.25">
      <c r="B1073">
        <v>69</v>
      </c>
      <c r="C1073">
        <v>274.68750000000006</v>
      </c>
      <c r="D1073">
        <v>5</v>
      </c>
      <c r="E1073" s="18">
        <v>10315.131077915305</v>
      </c>
      <c r="F1073" s="18">
        <v>-4219.734815855762</v>
      </c>
      <c r="G1073" s="18">
        <v>363.52206246689866</v>
      </c>
      <c r="H1073" s="12">
        <f>E1074</f>
      </c>
      <c r="I1073" s="12">
        <f>F1074</f>
      </c>
      <c r="J1073" s="12">
        <f>G1074</f>
      </c>
      <c r="K1073">
        <f>IF(AND(Pu&gt;=MIN(E1073,H1073),Pu&lt;=MAX(E1073,H1073),E1073&lt;&gt;H1073),1,0)</f>
      </c>
      <c r="L1073">
        <f>IF(K1073=1,(Pu-E1073)/(H1073-E1073),"")</f>
      </c>
      <c r="M1073" s="12">
        <f>IF(K1073=1,F1073+L1073*(I1073-F1073),"")</f>
      </c>
      <c r="N1073" s="12">
        <f>IF(K1073=1,G1073+L1073*(J1073-G1073),"")</f>
      </c>
    </row>
    <row r="1074" spans="2:14" x14ac:dyDescent="0.25">
      <c r="B1074">
        <v>69</v>
      </c>
      <c r="C1074">
        <v>274.68750000000006</v>
      </c>
      <c r="D1074">
        <v>6</v>
      </c>
      <c r="E1074" s="18">
        <v>9122.84544800167</v>
      </c>
      <c r="F1074" s="18">
        <v>-4366.780244709624</v>
      </c>
      <c r="G1074" s="18">
        <v>386.5838265202503</v>
      </c>
      <c r="H1074" s="12">
        <f>E1075</f>
      </c>
      <c r="I1074" s="12">
        <f>F1075</f>
      </c>
      <c r="J1074" s="12">
        <f>G1075</f>
      </c>
      <c r="K1074">
        <f>IF(AND(Pu&gt;=MIN(E1074,H1074),Pu&lt;=MAX(E1074,H1074),E1074&lt;&gt;H1074),1,0)</f>
      </c>
      <c r="L1074">
        <f>IF(K1074=1,(Pu-E1074)/(H1074-E1074),"")</f>
      </c>
      <c r="M1074" s="12">
        <f>IF(K1074=1,F1074+L1074*(I1074-F1074),"")</f>
      </c>
      <c r="N1074" s="12">
        <f>IF(K1074=1,G1074+L1074*(J1074-G1074),"")</f>
      </c>
    </row>
    <row r="1075" spans="2:14" x14ac:dyDescent="0.25">
      <c r="B1075">
        <v>69</v>
      </c>
      <c r="C1075">
        <v>274.68750000000006</v>
      </c>
      <c r="D1075">
        <v>7</v>
      </c>
      <c r="E1075" s="18">
        <v>8279.539508678576</v>
      </c>
      <c r="F1075" s="18">
        <v>-4787.916619865319</v>
      </c>
      <c r="G1075" s="18">
        <v>430.98216212283836</v>
      </c>
      <c r="H1075" s="12">
        <f>E1076</f>
      </c>
      <c r="I1075" s="12">
        <f>F1076</f>
      </c>
      <c r="J1075" s="12">
        <f>G1076</f>
      </c>
      <c r="K1075">
        <f>IF(AND(Pu&gt;=MIN(E1075,H1075),Pu&lt;=MAX(E1075,H1075),E1075&lt;&gt;H1075),1,0)</f>
      </c>
      <c r="L1075">
        <f>IF(K1075=1,(Pu-E1075)/(H1075-E1075),"")</f>
      </c>
      <c r="M1075" s="12">
        <f>IF(K1075=1,F1075+L1075*(I1075-F1075),"")</f>
      </c>
      <c r="N1075" s="12">
        <f>IF(K1075=1,G1075+L1075*(J1075-G1075),"")</f>
      </c>
    </row>
    <row r="1076" spans="2:14" x14ac:dyDescent="0.25">
      <c r="B1076">
        <v>69</v>
      </c>
      <c r="C1076">
        <v>274.68750000000006</v>
      </c>
      <c r="D1076">
        <v>8</v>
      </c>
      <c r="E1076" s="18">
        <v>7661.70685188358</v>
      </c>
      <c r="F1076" s="18">
        <v>-5077.1984742962</v>
      </c>
      <c r="G1076" s="18">
        <v>455.89477275950463</v>
      </c>
      <c r="H1076" s="12">
        <f>E1077</f>
      </c>
      <c r="I1076" s="12">
        <f>F1077</f>
      </c>
      <c r="J1076" s="12">
        <f>G1077</f>
      </c>
      <c r="K1076">
        <f>IF(AND(Pu&gt;=MIN(E1076,H1076),Pu&lt;=MAX(E1076,H1076),E1076&lt;&gt;H1076),1,0)</f>
      </c>
      <c r="L1076">
        <f>IF(K1076=1,(Pu-E1076)/(H1076-E1076),"")</f>
      </c>
      <c r="M1076" s="12">
        <f>IF(K1076=1,F1076+L1076*(I1076-F1076),"")</f>
      </c>
      <c r="N1076" s="12">
        <f>IF(K1076=1,G1076+L1076*(J1076-G1076),"")</f>
      </c>
    </row>
    <row r="1077" spans="2:14" x14ac:dyDescent="0.25">
      <c r="B1077">
        <v>69</v>
      </c>
      <c r="C1077">
        <v>274.68750000000006</v>
      </c>
      <c r="D1077">
        <v>9</v>
      </c>
      <c r="E1077" s="18">
        <v>7189.872710994789</v>
      </c>
      <c r="F1077" s="18">
        <v>-5305.413398931901</v>
      </c>
      <c r="G1077" s="18">
        <v>489.91110989039726</v>
      </c>
      <c r="H1077" s="12">
        <f>E1078</f>
      </c>
      <c r="I1077" s="12">
        <f>F1078</f>
      </c>
      <c r="J1077" s="12">
        <f>G1078</f>
      </c>
      <c r="K1077">
        <f>IF(AND(Pu&gt;=MIN(E1077,H1077),Pu&lt;=MAX(E1077,H1077),E1077&lt;&gt;H1077),1,0)</f>
      </c>
      <c r="L1077">
        <f>IF(K1077=1,(Pu-E1077)/(H1077-E1077),"")</f>
      </c>
      <c r="M1077" s="12">
        <f>IF(K1077=1,F1077+L1077*(I1077-F1077),"")</f>
      </c>
      <c r="N1077" s="12">
        <f>IF(K1077=1,G1077+L1077*(J1077-G1077),"")</f>
      </c>
    </row>
    <row r="1078" spans="2:14" x14ac:dyDescent="0.25">
      <c r="B1078">
        <v>69</v>
      </c>
      <c r="C1078">
        <v>274.68750000000006</v>
      </c>
      <c r="D1078">
        <v>10</v>
      </c>
      <c r="E1078" s="18">
        <v>6260.001033492227</v>
      </c>
      <c r="F1078" s="18">
        <v>-5092.79133413308</v>
      </c>
      <c r="G1078" s="18">
        <v>466.90479075547523</v>
      </c>
      <c r="H1078" s="12">
        <f>E1079</f>
      </c>
      <c r="I1078" s="12">
        <f>F1079</f>
      </c>
      <c r="J1078" s="12">
        <f>G1079</f>
      </c>
      <c r="K1078">
        <f>IF(AND(Pu&gt;=MIN(E1078,H1078),Pu&lt;=MAX(E1078,H1078),E1078&lt;&gt;H1078),1,0)</f>
      </c>
      <c r="L1078">
        <f>IF(K1078=1,(Pu-E1078)/(H1078-E1078),"")</f>
      </c>
      <c r="M1078" s="12">
        <f>IF(K1078=1,F1078+L1078*(I1078-F1078),"")</f>
      </c>
      <c r="N1078" s="12">
        <f>IF(K1078=1,G1078+L1078*(J1078-G1078),"")</f>
      </c>
    </row>
    <row r="1079" spans="2:14" x14ac:dyDescent="0.25">
      <c r="B1079">
        <v>69</v>
      </c>
      <c r="C1079">
        <v>274.68750000000006</v>
      </c>
      <c r="D1079">
        <v>11</v>
      </c>
      <c r="E1079" s="18">
        <v>4803.969034645224</v>
      </c>
      <c r="F1079" s="18">
        <v>-4652.885759111728</v>
      </c>
      <c r="G1079" s="18">
        <v>536.9196260670083</v>
      </c>
      <c r="H1079" s="12">
        <f>E1080</f>
      </c>
      <c r="I1079" s="12">
        <f>F1080</f>
      </c>
      <c r="J1079" s="12">
        <f>G1080</f>
      </c>
      <c r="K1079">
        <f>IF(AND(Pu&gt;=MIN(E1079,H1079),Pu&lt;=MAX(E1079,H1079),E1079&lt;&gt;H1079),1,0)</f>
      </c>
      <c r="L1079">
        <f>IF(K1079=1,(Pu-E1079)/(H1079-E1079),"")</f>
      </c>
      <c r="M1079" s="12">
        <f>IF(K1079=1,F1079+L1079*(I1079-F1079),"")</f>
      </c>
      <c r="N1079" s="12">
        <f>IF(K1079=1,G1079+L1079*(J1079-G1079),"")</f>
      </c>
    </row>
    <row r="1080" spans="2:14" x14ac:dyDescent="0.25">
      <c r="B1080">
        <v>69</v>
      </c>
      <c r="C1080">
        <v>274.68750000000006</v>
      </c>
      <c r="D1080">
        <v>12</v>
      </c>
      <c r="E1080" s="18">
        <v>3461.8172311677617</v>
      </c>
      <c r="F1080" s="18">
        <v>-4165.308936557877</v>
      </c>
      <c r="G1080" s="18">
        <v>560.7572280486195</v>
      </c>
      <c r="H1080" s="12">
        <f>E1081</f>
      </c>
      <c r="I1080" s="12">
        <f>F1081</f>
      </c>
      <c r="J1080" s="12">
        <f>G1081</f>
      </c>
      <c r="K1080">
        <f>IF(AND(Pu&gt;=MIN(E1080,H1080),Pu&lt;=MAX(E1080,H1080),E1080&lt;&gt;H1080),1,0)</f>
      </c>
      <c r="L1080">
        <f>IF(K1080=1,(Pu-E1080)/(H1080-E1080),"")</f>
      </c>
      <c r="M1080" s="12">
        <f>IF(K1080=1,F1080+L1080*(I1080-F1080),"")</f>
      </c>
      <c r="N1080" s="12">
        <f>IF(K1080=1,G1080+L1080*(J1080-G1080),"")</f>
      </c>
    </row>
    <row r="1081" spans="2:14" x14ac:dyDescent="0.25">
      <c r="B1081">
        <v>69</v>
      </c>
      <c r="C1081">
        <v>274.68750000000006</v>
      </c>
      <c r="D1081">
        <v>13</v>
      </c>
      <c r="E1081" s="18">
        <v>1048.6022614024766</v>
      </c>
      <c r="F1081" s="18">
        <v>-3126.94272375305</v>
      </c>
      <c r="G1081" s="18">
        <v>526.4358484594059</v>
      </c>
      <c r="H1081" s="12">
        <f>E1082</f>
      </c>
      <c r="I1081" s="12">
        <f>F1082</f>
      </c>
      <c r="J1081" s="12">
        <f>G1082</f>
      </c>
      <c r="K1081">
        <f>IF(AND(Pu&gt;=MIN(E1081,H1081),Pu&lt;=MAX(E1081,H1081),E1081&lt;&gt;H1081),1,0)</f>
      </c>
      <c r="L1081">
        <f>IF(K1081=1,(Pu-E1081)/(H1081-E1081),"")</f>
      </c>
      <c r="M1081" s="12">
        <f>IF(K1081=1,F1081+L1081*(I1081-F1081),"")</f>
      </c>
      <c r="N1081" s="12">
        <f>IF(K1081=1,G1081+L1081*(J1081-G1081),"")</f>
      </c>
    </row>
    <row r="1082" spans="2:14" x14ac:dyDescent="0.25">
      <c r="B1082">
        <v>69</v>
      </c>
      <c r="C1082">
        <v>274.68750000000006</v>
      </c>
      <c r="D1082">
        <v>14</v>
      </c>
      <c r="E1082" s="18">
        <v>-455.54775326507183</v>
      </c>
      <c r="F1082" s="18">
        <v>-2407.1800293487563</v>
      </c>
      <c r="G1082" s="18">
        <v>396.9510822478107</v>
      </c>
      <c r="H1082" s="12">
        <f>E1083</f>
      </c>
      <c r="I1082" s="12">
        <f>F1083</f>
      </c>
      <c r="J1082" s="12">
        <f>G1083</f>
      </c>
      <c r="K1082">
        <f>IF(AND(Pu&gt;=MIN(E1082,H1082),Pu&lt;=MAX(E1082,H1082),E1082&lt;&gt;H1082),1,0)</f>
      </c>
      <c r="L1082">
        <f>IF(K1082=1,(Pu-E1082)/(H1082-E1082),"")</f>
      </c>
      <c r="M1082" s="12">
        <f>IF(K1082=1,F1082+L1082*(I1082-F1082),"")</f>
      </c>
      <c r="N1082" s="12">
        <f>IF(K1082=1,G1082+L1082*(J1082-G1082),"")</f>
      </c>
    </row>
    <row r="1083" spans="2:7" x14ac:dyDescent="0.25">
      <c r="B1083">
        <v>69</v>
      </c>
      <c r="C1083">
        <v>274.68750000000006</v>
      </c>
      <c r="D1083">
        <v>15</v>
      </c>
      <c r="E1083" s="18">
        <v>-3338.291348672823</v>
      </c>
      <c r="F1083" s="18">
        <v>-873.1436248668834</v>
      </c>
      <c r="G1083" s="18">
        <v>377.23627292095625</v>
      </c>
    </row>
    <row r="1085" spans="2:14" x14ac:dyDescent="0.25">
      <c r="B1085">
        <v>70</v>
      </c>
      <c r="C1085">
        <v>275.62499999999994</v>
      </c>
      <c r="D1085">
        <v>1</v>
      </c>
      <c r="E1085" s="18">
        <v>16530.011636440337</v>
      </c>
      <c r="F1085" s="18">
        <v>-2645.2521143097374</v>
      </c>
      <c r="G1085" s="18">
        <v>449.0384581804031</v>
      </c>
      <c r="H1085" s="12">
        <f>E1086</f>
      </c>
      <c r="I1085" s="12">
        <f>F1086</f>
      </c>
      <c r="J1085" s="12">
        <f>G1086</f>
      </c>
      <c r="K1085">
        <f>IF(AND(Pu&gt;=MIN(E1085,H1085),Pu&lt;=MAX(E1085,H1085),E1085&lt;&gt;H1085),1,0)</f>
      </c>
      <c r="L1085">
        <f>IF(K1085=1,(Pu-E1085)/(H1085-E1085),"")</f>
      </c>
      <c r="M1085" s="12">
        <f>IF(K1085=1,F1085+L1085*(I1085-F1085),"")</f>
      </c>
      <c r="N1085" s="12">
        <f>IF(K1085=1,G1085+L1085*(J1085-G1085),"")</f>
      </c>
    </row>
    <row r="1086" spans="2:14" x14ac:dyDescent="0.25">
      <c r="B1086">
        <v>70</v>
      </c>
      <c r="C1086">
        <v>275.62499999999994</v>
      </c>
      <c r="D1086">
        <v>2</v>
      </c>
      <c r="E1086" s="18">
        <v>15264.575971189879</v>
      </c>
      <c r="F1086" s="18">
        <v>-3112.1423451986166</v>
      </c>
      <c r="G1086" s="18">
        <v>387.7588049130799</v>
      </c>
      <c r="H1086" s="12">
        <f>E1087</f>
      </c>
      <c r="I1086" s="12">
        <f>F1087</f>
      </c>
      <c r="J1086" s="12">
        <f>G1087</f>
      </c>
      <c r="K1086">
        <f>IF(AND(Pu&gt;=MIN(E1086,H1086),Pu&lt;=MAX(E1086,H1086),E1086&lt;&gt;H1086),1,0)</f>
      </c>
      <c r="L1086">
        <f>IF(K1086=1,(Pu-E1086)/(H1086-E1086),"")</f>
      </c>
      <c r="M1086" s="12">
        <f>IF(K1086=1,F1086+L1086*(I1086-F1086),"")</f>
      </c>
      <c r="N1086" s="12">
        <f>IF(K1086=1,G1086+L1086*(J1086-G1086),"")</f>
      </c>
    </row>
    <row r="1087" spans="2:14" x14ac:dyDescent="0.25">
      <c r="B1087">
        <v>70</v>
      </c>
      <c r="C1087">
        <v>275.62499999999994</v>
      </c>
      <c r="D1087">
        <v>3</v>
      </c>
      <c r="E1087" s="18">
        <v>13274.458688743924</v>
      </c>
      <c r="F1087" s="18">
        <v>-3678.4401540871395</v>
      </c>
      <c r="G1087" s="18">
        <v>383.8251495178357</v>
      </c>
      <c r="H1087" s="12">
        <f>E1088</f>
      </c>
      <c r="I1087" s="12">
        <f>F1088</f>
      </c>
      <c r="J1087" s="12">
        <f>G1088</f>
      </c>
      <c r="K1087">
        <f>IF(AND(Pu&gt;=MIN(E1087,H1087),Pu&lt;=MAX(E1087,H1087),E1087&lt;&gt;H1087),1,0)</f>
      </c>
      <c r="L1087">
        <f>IF(K1087=1,(Pu-E1087)/(H1087-E1087),"")</f>
      </c>
      <c r="M1087" s="12">
        <f>IF(K1087=1,F1087+L1087*(I1087-F1087),"")</f>
      </c>
      <c r="N1087" s="12">
        <f>IF(K1087=1,G1087+L1087*(J1087-G1087),"")</f>
      </c>
    </row>
    <row r="1088" spans="2:14" x14ac:dyDescent="0.25">
      <c r="B1088">
        <v>70</v>
      </c>
      <c r="C1088">
        <v>275.62499999999994</v>
      </c>
      <c r="D1088">
        <v>4</v>
      </c>
      <c r="E1088" s="18">
        <v>11676.6672382088</v>
      </c>
      <c r="F1088" s="18">
        <v>-3999.92015152351</v>
      </c>
      <c r="G1088" s="18">
        <v>400.3536138463949</v>
      </c>
      <c r="H1088" s="12">
        <f>E1089</f>
      </c>
      <c r="I1088" s="12">
        <f>F1089</f>
      </c>
      <c r="J1088" s="12">
        <f>G1089</f>
      </c>
      <c r="K1088">
        <f>IF(AND(Pu&gt;=MIN(E1088,H1088),Pu&lt;=MAX(E1088,H1088),E1088&lt;&gt;H1088),1,0)</f>
      </c>
      <c r="L1088">
        <f>IF(K1088=1,(Pu-E1088)/(H1088-E1088),"")</f>
      </c>
      <c r="M1088" s="12">
        <f>IF(K1088=1,F1088+L1088*(I1088-F1088),"")</f>
      </c>
      <c r="N1088" s="12">
        <f>IF(K1088=1,G1088+L1088*(J1088-G1088),"")</f>
      </c>
    </row>
    <row r="1089" spans="2:14" x14ac:dyDescent="0.25">
      <c r="B1089">
        <v>70</v>
      </c>
      <c r="C1089">
        <v>275.62499999999994</v>
      </c>
      <c r="D1089">
        <v>5</v>
      </c>
      <c r="E1089" s="18">
        <v>10317.799863565453</v>
      </c>
      <c r="F1089" s="18">
        <v>-4206.012806084651</v>
      </c>
      <c r="G1089" s="18">
        <v>435.0114302638434</v>
      </c>
      <c r="H1089" s="12">
        <f>E1090</f>
      </c>
      <c r="I1089" s="12">
        <f>F1090</f>
      </c>
      <c r="J1089" s="12">
        <f>G1090</f>
      </c>
      <c r="K1089">
        <f>IF(AND(Pu&gt;=MIN(E1089,H1089),Pu&lt;=MAX(E1089,H1089),E1089&lt;&gt;H1089),1,0)</f>
      </c>
      <c r="L1089">
        <f>IF(K1089=1,(Pu-E1089)/(H1089-E1089),"")</f>
      </c>
      <c r="M1089" s="12">
        <f>IF(K1089=1,F1089+L1089*(I1089-F1089),"")</f>
      </c>
      <c r="N1089" s="12">
        <f>IF(K1089=1,G1089+L1089*(J1089-G1089),"")</f>
      </c>
    </row>
    <row r="1090" spans="2:14" x14ac:dyDescent="0.25">
      <c r="B1090">
        <v>70</v>
      </c>
      <c r="C1090">
        <v>275.62499999999994</v>
      </c>
      <c r="D1090">
        <v>6</v>
      </c>
      <c r="E1090" s="18">
        <v>9130.236543335088</v>
      </c>
      <c r="F1090" s="18">
        <v>-4352.647343644442</v>
      </c>
      <c r="G1090" s="18">
        <v>451.5398945924022</v>
      </c>
      <c r="H1090" s="12">
        <f>E1091</f>
      </c>
      <c r="I1090" s="12">
        <f>F1091</f>
      </c>
      <c r="J1090" s="12">
        <f>G1091</f>
      </c>
      <c r="K1090">
        <f>IF(AND(Pu&gt;=MIN(E1090,H1090),Pu&lt;=MAX(E1090,H1090),E1090&lt;&gt;H1090),1,0)</f>
      </c>
      <c r="L1090">
        <f>IF(K1090=1,(Pu-E1090)/(H1090-E1090),"")</f>
      </c>
      <c r="M1090" s="12">
        <f>IF(K1090=1,F1090+L1090*(I1090-F1090),"")</f>
      </c>
      <c r="N1090" s="12">
        <f>IF(K1090=1,G1090+L1090*(J1090-G1090),"")</f>
      </c>
    </row>
    <row r="1091" spans="2:14" x14ac:dyDescent="0.25">
      <c r="B1091">
        <v>70</v>
      </c>
      <c r="C1091">
        <v>275.62499999999994</v>
      </c>
      <c r="D1091">
        <v>7</v>
      </c>
      <c r="E1091" s="18">
        <v>8244.144019605781</v>
      </c>
      <c r="F1091" s="18">
        <v>-4775.647462582007</v>
      </c>
      <c r="G1091" s="18">
        <v>516.8935583085424</v>
      </c>
      <c r="H1091" s="12">
        <f>E1092</f>
      </c>
      <c r="I1091" s="12">
        <f>F1092</f>
      </c>
      <c r="J1091" s="12">
        <f>G1092</f>
      </c>
      <c r="K1091">
        <f>IF(AND(Pu&gt;=MIN(E1091,H1091),Pu&lt;=MAX(E1091,H1091),E1091&lt;&gt;H1091),1,0)</f>
      </c>
      <c r="L1091">
        <f>IF(K1091=1,(Pu-E1091)/(H1091-E1091),"")</f>
      </c>
      <c r="M1091" s="12">
        <f>IF(K1091=1,F1091+L1091*(I1091-F1091),"")</f>
      </c>
      <c r="N1091" s="12">
        <f>IF(K1091=1,G1091+L1091*(J1091-G1091),"")</f>
      </c>
    </row>
    <row r="1092" spans="2:14" x14ac:dyDescent="0.25">
      <c r="B1092">
        <v>70</v>
      </c>
      <c r="C1092">
        <v>275.62499999999994</v>
      </c>
      <c r="D1092">
        <v>8</v>
      </c>
      <c r="E1092" s="18">
        <v>7605.928655370988</v>
      </c>
      <c r="F1092" s="18">
        <v>-5059.346900852883</v>
      </c>
      <c r="G1092" s="18">
        <v>545.5343368776532</v>
      </c>
      <c r="H1092" s="12">
        <f>E1093</f>
      </c>
      <c r="I1092" s="12">
        <f>F1093</f>
      </c>
      <c r="J1092" s="12">
        <f>G1093</f>
      </c>
      <c r="K1092">
        <f>IF(AND(Pu&gt;=MIN(E1092,H1092),Pu&lt;=MAX(E1092,H1092),E1092&lt;&gt;H1092),1,0)</f>
      </c>
      <c r="L1092">
        <f>IF(K1092=1,(Pu-E1092)/(H1092-E1092),"")</f>
      </c>
      <c r="M1092" s="12">
        <f>IF(K1092=1,F1092+L1092*(I1092-F1092),"")</f>
      </c>
      <c r="N1092" s="12">
        <f>IF(K1092=1,G1092+L1092*(J1092-G1092),"")</f>
      </c>
    </row>
    <row r="1093" spans="2:14" x14ac:dyDescent="0.25">
      <c r="B1093">
        <v>70</v>
      </c>
      <c r="C1093">
        <v>275.62499999999994</v>
      </c>
      <c r="D1093">
        <v>9</v>
      </c>
      <c r="E1093" s="18">
        <v>7122.6312131243085</v>
      </c>
      <c r="F1093" s="18">
        <v>-5278.5568482373465</v>
      </c>
      <c r="G1093" s="18">
        <v>586.8571565321888</v>
      </c>
      <c r="H1093" s="12">
        <f>E1094</f>
      </c>
      <c r="I1093" s="12">
        <f>F1094</f>
      </c>
      <c r="J1093" s="12">
        <f>G1094</f>
      </c>
      <c r="K1093">
        <f>IF(AND(Pu&gt;=MIN(E1093,H1093),Pu&lt;=MAX(E1093,H1093),E1093&lt;&gt;H1093),1,0)</f>
      </c>
      <c r="L1093">
        <f>IF(K1093=1,(Pu-E1093)/(H1093-E1093),"")</f>
      </c>
      <c r="M1093" s="12">
        <f>IF(K1093=1,F1093+L1093*(I1093-F1093),"")</f>
      </c>
      <c r="N1093" s="12">
        <f>IF(K1093=1,G1093+L1093*(J1093-G1093),"")</f>
      </c>
    </row>
    <row r="1094" spans="2:14" x14ac:dyDescent="0.25">
      <c r="B1094">
        <v>70</v>
      </c>
      <c r="C1094">
        <v>275.62499999999994</v>
      </c>
      <c r="D1094">
        <v>10</v>
      </c>
      <c r="E1094" s="18">
        <v>6169.204079512788</v>
      </c>
      <c r="F1094" s="18">
        <v>-5055.490995102935</v>
      </c>
      <c r="G1094" s="18">
        <v>573.4283907753431</v>
      </c>
      <c r="H1094" s="12">
        <f>E1095</f>
      </c>
      <c r="I1094" s="12">
        <f>F1095</f>
      </c>
      <c r="J1094" s="12">
        <f>G1095</f>
      </c>
      <c r="K1094">
        <f>IF(AND(Pu&gt;=MIN(E1094,H1094),Pu&lt;=MAX(E1094,H1094),E1094&lt;&gt;H1094),1,0)</f>
      </c>
      <c r="L1094">
        <f>IF(K1094=1,(Pu-E1094)/(H1094-E1094),"")</f>
      </c>
      <c r="M1094" s="12">
        <f>IF(K1094=1,F1094+L1094*(I1094-F1094),"")</f>
      </c>
      <c r="N1094" s="12">
        <f>IF(K1094=1,G1094+L1094*(J1094-G1094),"")</f>
      </c>
    </row>
    <row r="1095" spans="2:14" x14ac:dyDescent="0.25">
      <c r="B1095">
        <v>70</v>
      </c>
      <c r="C1095">
        <v>275.62499999999994</v>
      </c>
      <c r="D1095">
        <v>11</v>
      </c>
      <c r="E1095" s="18">
        <v>4646.601434879059</v>
      </c>
      <c r="F1095" s="18">
        <v>-4582.646005325414</v>
      </c>
      <c r="G1095" s="18">
        <v>648.569831151999</v>
      </c>
      <c r="H1095" s="12">
        <f>E1096</f>
      </c>
      <c r="I1095" s="12">
        <f>F1096</f>
      </c>
      <c r="J1095" s="12">
        <f>G1096</f>
      </c>
      <c r="K1095">
        <f>IF(AND(Pu&gt;=MIN(E1095,H1095),Pu&lt;=MAX(E1095,H1095),E1095&lt;&gt;H1095),1,0)</f>
      </c>
      <c r="L1095">
        <f>IF(K1095=1,(Pu-E1095)/(H1095-E1095),"")</f>
      </c>
      <c r="M1095" s="12">
        <f>IF(K1095=1,F1095+L1095*(I1095-F1095),"")</f>
      </c>
      <c r="N1095" s="12">
        <f>IF(K1095=1,G1095+L1095*(J1095-G1095),"")</f>
      </c>
    </row>
    <row r="1096" spans="2:14" x14ac:dyDescent="0.25">
      <c r="B1096">
        <v>70</v>
      </c>
      <c r="C1096">
        <v>275.62499999999994</v>
      </c>
      <c r="D1096">
        <v>12</v>
      </c>
      <c r="E1096" s="18">
        <v>3238.648003353859</v>
      </c>
      <c r="F1096" s="18">
        <v>-4062.948656429882</v>
      </c>
      <c r="G1096" s="18">
        <v>674.630360036668</v>
      </c>
      <c r="H1096" s="12">
        <f>E1097</f>
      </c>
      <c r="I1096" s="12">
        <f>F1097</f>
      </c>
      <c r="J1096" s="12">
        <f>G1097</f>
      </c>
      <c r="K1096">
        <f>IF(AND(Pu&gt;=MIN(E1096,H1096),Pu&lt;=MAX(E1096,H1096),E1096&lt;&gt;H1096),1,0)</f>
      </c>
      <c r="L1096">
        <f>IF(K1096=1,(Pu-E1096)/(H1096-E1096),"")</f>
      </c>
      <c r="M1096" s="12">
        <f>IF(K1096=1,F1096+L1096*(I1096-F1096),"")</f>
      </c>
      <c r="N1096" s="12">
        <f>IF(K1096=1,G1096+L1096*(J1096-G1096),"")</f>
      </c>
    </row>
    <row r="1097" spans="2:14" x14ac:dyDescent="0.25">
      <c r="B1097">
        <v>70</v>
      </c>
      <c r="C1097">
        <v>275.62499999999994</v>
      </c>
      <c r="D1097">
        <v>13</v>
      </c>
      <c r="E1097" s="18">
        <v>814.7999689979183</v>
      </c>
      <c r="F1097" s="18">
        <v>-3003.954594340029</v>
      </c>
      <c r="G1097" s="18">
        <v>613.2755869206906</v>
      </c>
      <c r="H1097" s="12">
        <f>E1098</f>
      </c>
      <c r="I1097" s="12">
        <f>F1098</f>
      </c>
      <c r="J1097" s="12">
        <f>G1098</f>
      </c>
      <c r="K1097">
        <f>IF(AND(Pu&gt;=MIN(E1097,H1097),Pu&lt;=MAX(E1097,H1097),E1097&lt;&gt;H1097),1,0)</f>
      </c>
      <c r="L1097">
        <f>IF(K1097=1,(Pu-E1097)/(H1097-E1097),"")</f>
      </c>
      <c r="M1097" s="12">
        <f>IF(K1097=1,F1097+L1097*(I1097-F1097),"")</f>
      </c>
      <c r="N1097" s="12">
        <f>IF(K1097=1,G1097+L1097*(J1097-G1097),"")</f>
      </c>
    </row>
    <row r="1098" spans="2:14" x14ac:dyDescent="0.25">
      <c r="B1098">
        <v>70</v>
      </c>
      <c r="C1098">
        <v>275.62499999999994</v>
      </c>
      <c r="D1098">
        <v>14</v>
      </c>
      <c r="E1098" s="18">
        <v>-713.5986718636154</v>
      </c>
      <c r="F1098" s="18">
        <v>-2268.821045493257</v>
      </c>
      <c r="G1098" s="18">
        <v>462.75628832693667</v>
      </c>
      <c r="H1098" s="12">
        <f>E1099</f>
      </c>
      <c r="I1098" s="12">
        <f>F1099</f>
      </c>
      <c r="J1098" s="12">
        <f>G1099</f>
      </c>
      <c r="K1098">
        <f>IF(AND(Pu&gt;=MIN(E1098,H1098),Pu&lt;=MAX(E1098,H1098),E1098&lt;&gt;H1098),1,0)</f>
      </c>
      <c r="L1098">
        <f>IF(K1098=1,(Pu-E1098)/(H1098-E1098),"")</f>
      </c>
      <c r="M1098" s="12">
        <f>IF(K1098=1,F1098+L1098*(I1098-F1098),"")</f>
      </c>
      <c r="N1098" s="12">
        <f>IF(K1098=1,G1098+L1098*(J1098-G1098),"")</f>
      </c>
    </row>
    <row r="1099" spans="2:7" x14ac:dyDescent="0.25">
      <c r="B1099">
        <v>70</v>
      </c>
      <c r="C1099">
        <v>275.62499999999994</v>
      </c>
      <c r="D1099">
        <v>15</v>
      </c>
      <c r="E1099" s="18">
        <v>-3556.7191198382416</v>
      </c>
      <c r="F1099" s="18">
        <v>-752.4092790874411</v>
      </c>
      <c r="G1099" s="18">
        <v>384.7446384548392</v>
      </c>
    </row>
    <row r="1101" spans="2:14" x14ac:dyDescent="0.25">
      <c r="B1101">
        <v>71</v>
      </c>
      <c r="C1101">
        <v>277.49999999999994</v>
      </c>
      <c r="D1101">
        <v>1</v>
      </c>
      <c r="E1101" s="18">
        <v>16783.311291715527</v>
      </c>
      <c r="F1101" s="18">
        <v>-2525.9633651554836</v>
      </c>
      <c r="G1101" s="18">
        <v>591.2537739247871</v>
      </c>
      <c r="H1101" s="12">
        <f>E1102</f>
      </c>
      <c r="I1101" s="12">
        <f>F1102</f>
      </c>
      <c r="J1101" s="12">
        <f>G1102</f>
      </c>
      <c r="K1101">
        <f>IF(AND(Pu&gt;=MIN(E1101,H1101),Pu&lt;=MAX(E1101,H1101),E1101&lt;&gt;H1101),1,0)</f>
      </c>
      <c r="L1101">
        <f>IF(K1101=1,(Pu-E1101)/(H1101-E1101),"")</f>
      </c>
      <c r="M1101" s="12">
        <f>IF(K1101=1,F1101+L1101*(I1101-F1101),"")</f>
      </c>
      <c r="N1101" s="12">
        <f>IF(K1101=1,G1101+L1101*(J1101-G1101),"")</f>
      </c>
    </row>
    <row r="1102" spans="2:14" x14ac:dyDescent="0.25">
      <c r="B1102">
        <v>71</v>
      </c>
      <c r="C1102">
        <v>277.49999999999994</v>
      </c>
      <c r="D1102">
        <v>2</v>
      </c>
      <c r="E1102" s="18">
        <v>15397.801277609688</v>
      </c>
      <c r="F1102" s="18">
        <v>-3050.5432161695553</v>
      </c>
      <c r="G1102" s="18">
        <v>520.5570074295808</v>
      </c>
      <c r="H1102" s="12">
        <f>E1103</f>
      </c>
      <c r="I1102" s="12">
        <f>F1103</f>
      </c>
      <c r="J1102" s="12">
        <f>G1103</f>
      </c>
      <c r="K1102">
        <f>IF(AND(Pu&gt;=MIN(E1102,H1102),Pu&lt;=MAX(E1102,H1102),E1102&lt;&gt;H1102),1,0)</f>
      </c>
      <c r="L1102">
        <f>IF(K1102=1,(Pu-E1102)/(H1102-E1102),"")</f>
      </c>
      <c r="M1102" s="12">
        <f>IF(K1102=1,F1102+L1102*(I1102-F1102),"")</f>
      </c>
      <c r="N1102" s="12">
        <f>IF(K1102=1,G1102+L1102*(J1102-G1102),"")</f>
      </c>
    </row>
    <row r="1103" spans="2:14" x14ac:dyDescent="0.25">
      <c r="B1103">
        <v>71</v>
      </c>
      <c r="C1103">
        <v>277.49999999999994</v>
      </c>
      <c r="D1103">
        <v>3</v>
      </c>
      <c r="E1103" s="18">
        <v>13328.930460219382</v>
      </c>
      <c r="F1103" s="18">
        <v>-3644.508858564855</v>
      </c>
      <c r="G1103" s="18">
        <v>515.9050532142464</v>
      </c>
      <c r="H1103" s="12">
        <f>E1104</f>
      </c>
      <c r="I1103" s="12">
        <f>F1104</f>
      </c>
      <c r="J1103" s="12">
        <f>G1104</f>
      </c>
      <c r="K1103">
        <f>IF(AND(Pu&gt;=MIN(E1103,H1103),Pu&lt;=MAX(E1103,H1103),E1103&lt;&gt;H1103),1,0)</f>
      </c>
      <c r="L1103">
        <f>IF(K1103=1,(Pu-E1103)/(H1103-E1103),"")</f>
      </c>
      <c r="M1103" s="12">
        <f>IF(K1103=1,F1103+L1103*(I1103-F1103),"")</f>
      </c>
      <c r="N1103" s="12">
        <f>IF(K1103=1,G1103+L1103*(J1103-G1103),"")</f>
      </c>
    </row>
    <row r="1104" spans="2:14" x14ac:dyDescent="0.25">
      <c r="B1104">
        <v>71</v>
      </c>
      <c r="C1104">
        <v>277.49999999999994</v>
      </c>
      <c r="D1104">
        <v>4</v>
      </c>
      <c r="E1104" s="18">
        <v>11703.210126888845</v>
      </c>
      <c r="F1104" s="18">
        <v>-3971.180389071291</v>
      </c>
      <c r="G1104" s="18">
        <v>537.3309272567006</v>
      </c>
      <c r="H1104" s="12">
        <f>E1105</f>
      </c>
      <c r="I1104" s="12">
        <f>F1105</f>
      </c>
      <c r="J1104" s="12">
        <f>G1105</f>
      </c>
      <c r="K1104">
        <f>IF(AND(Pu&gt;=MIN(E1104,H1104),Pu&lt;=MAX(E1104,H1104),E1104&lt;&gt;H1104),1,0)</f>
      </c>
      <c r="L1104">
        <f>IF(K1104=1,(Pu-E1104)/(H1104-E1104),"")</f>
      </c>
      <c r="M1104" s="12">
        <f>IF(K1104=1,F1104+L1104*(I1104-F1104),"")</f>
      </c>
      <c r="N1104" s="12">
        <f>IF(K1104=1,G1104+L1104*(J1104-G1104),"")</f>
      </c>
    </row>
    <row r="1105" spans="2:14" x14ac:dyDescent="0.25">
      <c r="B1105">
        <v>71</v>
      </c>
      <c r="C1105">
        <v>277.49999999999994</v>
      </c>
      <c r="D1105">
        <v>5</v>
      </c>
      <c r="E1105" s="18">
        <v>10309.235015179509</v>
      </c>
      <c r="F1105" s="18">
        <v>-4178.12146142661</v>
      </c>
      <c r="G1105" s="18">
        <v>567.8214773435999</v>
      </c>
      <c r="H1105" s="12">
        <f>E1106</f>
      </c>
      <c r="I1105" s="12">
        <f>F1106</f>
      </c>
      <c r="J1105" s="12">
        <f>G1106</f>
      </c>
      <c r="K1105">
        <f>IF(AND(Pu&gt;=MIN(E1105,H1105),Pu&lt;=MAX(E1105,H1105),E1105&lt;&gt;H1105),1,0)</f>
      </c>
      <c r="L1105">
        <f>IF(K1105=1,(Pu-E1105)/(H1105-E1105),"")</f>
      </c>
      <c r="M1105" s="12">
        <f>IF(K1105=1,F1105+L1105*(I1105-F1105),"")</f>
      </c>
      <c r="N1105" s="12">
        <f>IF(K1105=1,G1105+L1105*(J1105-G1105),"")</f>
      </c>
    </row>
    <row r="1106" spans="2:14" x14ac:dyDescent="0.25">
      <c r="B1106">
        <v>71</v>
      </c>
      <c r="C1106">
        <v>277.49999999999994</v>
      </c>
      <c r="D1106">
        <v>6</v>
      </c>
      <c r="E1106" s="18">
        <v>9117.635316264068</v>
      </c>
      <c r="F1106" s="18">
        <v>-4319.94339771633</v>
      </c>
      <c r="G1106" s="18">
        <v>598.3120274304987</v>
      </c>
      <c r="H1106" s="12">
        <f>E1107</f>
      </c>
      <c r="I1106" s="12">
        <f>F1107</f>
      </c>
      <c r="J1106" s="12">
        <f>G1107</f>
      </c>
      <c r="K1106">
        <f>IF(AND(Pu&gt;=MIN(E1106,H1106),Pu&lt;=MAX(E1106,H1106),E1106&lt;&gt;H1106),1,0)</f>
      </c>
      <c r="L1106">
        <f>IF(K1106=1,(Pu-E1106)/(H1106-E1106),"")</f>
      </c>
      <c r="M1106" s="12">
        <f>IF(K1106=1,F1106+L1106*(I1106-F1106),"")</f>
      </c>
      <c r="N1106" s="12">
        <f>IF(K1106=1,G1106+L1106*(J1106-G1106),"")</f>
      </c>
    </row>
    <row r="1107" spans="2:14" x14ac:dyDescent="0.25">
      <c r="B1107">
        <v>71</v>
      </c>
      <c r="C1107">
        <v>277.49999999999994</v>
      </c>
      <c r="D1107">
        <v>7</v>
      </c>
      <c r="E1107" s="18">
        <v>8176.761097740376</v>
      </c>
      <c r="F1107" s="18">
        <v>-4747.320934091593</v>
      </c>
      <c r="G1107" s="18">
        <v>684.6436289229003</v>
      </c>
      <c r="H1107" s="12">
        <f>E1108</f>
      </c>
      <c r="I1107" s="12">
        <f>F1108</f>
      </c>
      <c r="J1107" s="12">
        <f>G1108</f>
      </c>
      <c r="K1107">
        <f>IF(AND(Pu&gt;=MIN(E1107,H1107),Pu&lt;=MAX(E1107,H1107),E1107&lt;&gt;H1107),1,0)</f>
      </c>
      <c r="L1107">
        <f>IF(K1107=1,(Pu-E1107)/(H1107-E1107),"")</f>
      </c>
      <c r="M1107" s="12">
        <f>IF(K1107=1,F1107+L1107*(I1107-F1107),"")</f>
      </c>
      <c r="N1107" s="12">
        <f>IF(K1107=1,G1107+L1107*(J1107-G1107),"")</f>
      </c>
    </row>
    <row r="1108" spans="2:14" x14ac:dyDescent="0.25">
      <c r="B1108">
        <v>71</v>
      </c>
      <c r="C1108">
        <v>277.49999999999994</v>
      </c>
      <c r="D1108">
        <v>8</v>
      </c>
      <c r="E1108" s="18">
        <v>7528.714236169152</v>
      </c>
      <c r="F1108" s="18">
        <v>-5019.687538907798</v>
      </c>
      <c r="G1108" s="18">
        <v>724.7287550816851</v>
      </c>
      <c r="H1108" s="12">
        <f>E1109</f>
      </c>
      <c r="I1108" s="12">
        <f>F1109</f>
      </c>
      <c r="J1108" s="12">
        <f>G1109</f>
      </c>
      <c r="K1108">
        <f>IF(AND(Pu&gt;=MIN(E1108,H1108),Pu&lt;=MAX(E1108,H1108),E1108&lt;&gt;H1108),1,0)</f>
      </c>
      <c r="L1108">
        <f>IF(K1108=1,(Pu-E1108)/(H1108-E1108),"")</f>
      </c>
      <c r="M1108" s="12">
        <f>IF(K1108=1,F1108+L1108*(I1108-F1108),"")</f>
      </c>
      <c r="N1108" s="12">
        <f>IF(K1108=1,G1108+L1108*(J1108-G1108),"")</f>
      </c>
    </row>
    <row r="1109" spans="2:14" x14ac:dyDescent="0.25">
      <c r="B1109">
        <v>71</v>
      </c>
      <c r="C1109">
        <v>277.49999999999994</v>
      </c>
      <c r="D1109">
        <v>9</v>
      </c>
      <c r="E1109" s="18">
        <v>6977.856630387723</v>
      </c>
      <c r="F1109" s="18">
        <v>-5217.654827504136</v>
      </c>
      <c r="G1109" s="18">
        <v>784.3705374422461</v>
      </c>
      <c r="H1109" s="12">
        <f>E1110</f>
      </c>
      <c r="I1109" s="12">
        <f>F1110</f>
      </c>
      <c r="J1109" s="12">
        <f>G1110</f>
      </c>
      <c r="K1109">
        <f>IF(AND(Pu&gt;=MIN(E1109,H1109),Pu&lt;=MAX(E1109,H1109),E1109&lt;&gt;H1109),1,0)</f>
      </c>
      <c r="L1109">
        <f>IF(K1109=1,(Pu-E1109)/(H1109-E1109),"")</f>
      </c>
      <c r="M1109" s="12">
        <f>IF(K1109=1,F1109+L1109*(I1109-F1109),"")</f>
      </c>
      <c r="N1109" s="12">
        <f>IF(K1109=1,G1109+L1109*(J1109-G1109),"")</f>
      </c>
    </row>
    <row r="1110" spans="2:14" x14ac:dyDescent="0.25">
      <c r="B1110">
        <v>71</v>
      </c>
      <c r="C1110">
        <v>277.49999999999994</v>
      </c>
      <c r="D1110">
        <v>10</v>
      </c>
      <c r="E1110" s="18">
        <v>5957.352515334316</v>
      </c>
      <c r="F1110" s="18">
        <v>-4961.315671761345</v>
      </c>
      <c r="G1110" s="18">
        <v>797.9597462668169</v>
      </c>
      <c r="H1110" s="12">
        <f>E1111</f>
      </c>
      <c r="I1110" s="12">
        <f>F1111</f>
      </c>
      <c r="J1110" s="12">
        <f>G1111</f>
      </c>
      <c r="K1110">
        <f>IF(AND(Pu&gt;=MIN(E1110,H1110),Pu&lt;=MAX(E1110,H1110),E1110&lt;&gt;H1110),1,0)</f>
      </c>
      <c r="L1110">
        <f>IF(K1110=1,(Pu-E1110)/(H1110-E1110),"")</f>
      </c>
      <c r="M1110" s="12">
        <f>IF(K1110=1,F1110+L1110*(I1110-F1110),"")</f>
      </c>
      <c r="N1110" s="12">
        <f>IF(K1110=1,G1110+L1110*(J1110-G1110),"")</f>
      </c>
    </row>
    <row r="1111" spans="2:14" x14ac:dyDescent="0.25">
      <c r="B1111">
        <v>71</v>
      </c>
      <c r="C1111">
        <v>277.49999999999994</v>
      </c>
      <c r="D1111">
        <v>11</v>
      </c>
      <c r="E1111" s="18">
        <v>4250.7845218580005</v>
      </c>
      <c r="F1111" s="18">
        <v>-4403.665492312939</v>
      </c>
      <c r="G1111" s="18">
        <v>869.4796075638016</v>
      </c>
      <c r="H1111" s="12">
        <f>E1112</f>
      </c>
      <c r="I1111" s="12">
        <f>F1112</f>
      </c>
      <c r="J1111" s="12">
        <f>G1112</f>
      </c>
      <c r="K1111">
        <f>IF(AND(Pu&gt;=MIN(E1111,H1111),Pu&lt;=MAX(E1111,H1111),E1111&lt;&gt;H1111),1,0)</f>
      </c>
      <c r="L1111">
        <f>IF(K1111=1,(Pu-E1111)/(H1111-E1111),"")</f>
      </c>
      <c r="M1111" s="12">
        <f>IF(K1111=1,F1111+L1111*(I1111-F1111),"")</f>
      </c>
      <c r="N1111" s="12">
        <f>IF(K1111=1,G1111+L1111*(J1111-G1111),"")</f>
      </c>
    </row>
    <row r="1112" spans="2:14" x14ac:dyDescent="0.25">
      <c r="B1112">
        <v>71</v>
      </c>
      <c r="C1112">
        <v>277.49999999999994</v>
      </c>
      <c r="D1112">
        <v>12</v>
      </c>
      <c r="E1112" s="18">
        <v>2825.474626251424</v>
      </c>
      <c r="F1112" s="18">
        <v>-3858.2000103963064</v>
      </c>
      <c r="G1112" s="18">
        <v>905.2565630434649</v>
      </c>
      <c r="H1112" s="12">
        <f>E1113</f>
      </c>
      <c r="I1112" s="12">
        <f>F1113</f>
      </c>
      <c r="J1112" s="12">
        <f>G1113</f>
      </c>
      <c r="K1112">
        <f>IF(AND(Pu&gt;=MIN(E1112,H1112),Pu&lt;=MAX(E1112,H1112),E1112&lt;&gt;H1112),1,0)</f>
      </c>
      <c r="L1112">
        <f>IF(K1112=1,(Pu-E1112)/(H1112-E1112),"")</f>
      </c>
      <c r="M1112" s="12">
        <f>IF(K1112=1,F1112+L1112*(I1112-F1112),"")</f>
      </c>
      <c r="N1112" s="12">
        <f>IF(K1112=1,G1112+L1112*(J1112-G1112),"")</f>
      </c>
    </row>
    <row r="1113" spans="2:14" x14ac:dyDescent="0.25">
      <c r="B1113">
        <v>71</v>
      </c>
      <c r="C1113">
        <v>277.49999999999994</v>
      </c>
      <c r="D1113">
        <v>13</v>
      </c>
      <c r="E1113" s="18">
        <v>384.15934340202824</v>
      </c>
      <c r="F1113" s="18">
        <v>-2771.2715721991103</v>
      </c>
      <c r="G1113" s="18">
        <v>769.685503696578</v>
      </c>
      <c r="H1113" s="12">
        <f>E1114</f>
      </c>
      <c r="I1113" s="12">
        <f>F1114</f>
      </c>
      <c r="J1113" s="12">
        <f>G1114</f>
      </c>
      <c r="K1113">
        <f>IF(AND(Pu&gt;=MIN(E1113,H1113),Pu&lt;=MAX(E1113,H1113),E1113&lt;&gt;H1113),1,0)</f>
      </c>
      <c r="L1113">
        <f>IF(K1113=1,(Pu-E1113)/(H1113-E1113),"")</f>
      </c>
      <c r="M1113" s="12">
        <f>IF(K1113=1,F1113+L1113*(I1113-F1113),"")</f>
      </c>
      <c r="N1113" s="12">
        <f>IF(K1113=1,G1113+L1113*(J1113-G1113),"")</f>
      </c>
    </row>
    <row r="1114" spans="2:14" x14ac:dyDescent="0.25">
      <c r="B1114">
        <v>71</v>
      </c>
      <c r="C1114">
        <v>277.49999999999994</v>
      </c>
      <c r="D1114">
        <v>14</v>
      </c>
      <c r="E1114" s="18">
        <v>-1217.3613026629346</v>
      </c>
      <c r="F1114" s="18">
        <v>-1991.481878099166</v>
      </c>
      <c r="G1114" s="18">
        <v>596.4909885497746</v>
      </c>
      <c r="H1114" s="12">
        <f>E1115</f>
      </c>
      <c r="I1114" s="12">
        <f>F1115</f>
      </c>
      <c r="J1114" s="12">
        <f>G1115</f>
      </c>
      <c r="K1114">
        <f>IF(AND(Pu&gt;=MIN(E1114,H1114),Pu&lt;=MAX(E1114,H1114),E1114&lt;&gt;H1114),1,0)</f>
      </c>
      <c r="L1114">
        <f>IF(K1114=1,(Pu-E1114)/(H1114-E1114),"")</f>
      </c>
      <c r="M1114" s="12">
        <f>IF(K1114=1,F1114+L1114*(I1114-F1114),"")</f>
      </c>
      <c r="N1114" s="12">
        <f>IF(K1114=1,G1114+L1114*(J1114-G1114),"")</f>
      </c>
    </row>
    <row r="1115" spans="2:7" x14ac:dyDescent="0.25">
      <c r="B1115">
        <v>71</v>
      </c>
      <c r="C1115">
        <v>277.49999999999994</v>
      </c>
      <c r="D1115">
        <v>15</v>
      </c>
      <c r="E1115" s="18">
        <v>-3835.6086287744947</v>
      </c>
      <c r="F1115" s="18">
        <v>-598.3367558505176</v>
      </c>
      <c r="G1115" s="18">
        <v>369.9999105702504</v>
      </c>
    </row>
    <row r="1117" spans="2:14" x14ac:dyDescent="0.25">
      <c r="B1117">
        <v>72</v>
      </c>
      <c r="C1117">
        <v>281.25</v>
      </c>
      <c r="D1117">
        <v>1</v>
      </c>
      <c r="E1117" s="18">
        <v>17263.170063934107</v>
      </c>
      <c r="F1117" s="18">
        <v>-2285.632203190661</v>
      </c>
      <c r="G1117" s="18">
        <v>835.2411015442754</v>
      </c>
      <c r="H1117" s="12">
        <f>E1118</f>
      </c>
      <c r="I1117" s="12">
        <f>F1118</f>
      </c>
      <c r="J1117" s="12">
        <f>G1118</f>
      </c>
      <c r="K1117">
        <f>IF(AND(Pu&gt;=MIN(E1117,H1117),Pu&lt;=MAX(E1117,H1117),E1117&lt;&gt;H1117),1,0)</f>
      </c>
      <c r="L1117">
        <f>IF(K1117=1,(Pu-E1117)/(H1117-E1117),"")</f>
      </c>
      <c r="M1117" s="12">
        <f>IF(K1117=1,F1117+L1117*(I1117-F1117),"")</f>
      </c>
      <c r="N1117" s="12">
        <f>IF(K1117=1,G1117+L1117*(J1117-G1117),"")</f>
      </c>
    </row>
    <row r="1118" spans="2:14" x14ac:dyDescent="0.25">
      <c r="B1118">
        <v>72</v>
      </c>
      <c r="C1118">
        <v>281.25</v>
      </c>
      <c r="D1118">
        <v>2</v>
      </c>
      <c r="E1118" s="18">
        <v>15691.23978200155</v>
      </c>
      <c r="F1118" s="18">
        <v>-2899.5144748158054</v>
      </c>
      <c r="G1118" s="18">
        <v>787.6934675639872</v>
      </c>
      <c r="H1118" s="12">
        <f>E1119</f>
      </c>
      <c r="I1118" s="12">
        <f>F1119</f>
      </c>
      <c r="J1118" s="12">
        <f>G1119</f>
      </c>
      <c r="K1118">
        <f>IF(AND(Pu&gt;=MIN(E1118,H1118),Pu&lt;=MAX(E1118,H1118),E1118&lt;&gt;H1118),1,0)</f>
      </c>
      <c r="L1118">
        <f>IF(K1118=1,(Pu-E1118)/(H1118-E1118),"")</f>
      </c>
      <c r="M1118" s="12">
        <f>IF(K1118=1,F1118+L1118*(I1118-F1118),"")</f>
      </c>
      <c r="N1118" s="12">
        <f>IF(K1118=1,G1118+L1118*(J1118-G1118),"")</f>
      </c>
    </row>
    <row r="1119" spans="2:14" x14ac:dyDescent="0.25">
      <c r="B1119">
        <v>72</v>
      </c>
      <c r="C1119">
        <v>281.25</v>
      </c>
      <c r="D1119">
        <v>3</v>
      </c>
      <c r="E1119" s="18">
        <v>13439.476393900133</v>
      </c>
      <c r="F1119" s="18">
        <v>-3569.795362399792</v>
      </c>
      <c r="G1119" s="18">
        <v>761.2159744450391</v>
      </c>
      <c r="H1119" s="12">
        <f>E1120</f>
      </c>
      <c r="I1119" s="12">
        <f>F1120</f>
      </c>
      <c r="J1119" s="12">
        <f>G1120</f>
      </c>
      <c r="K1119">
        <f>IF(AND(Pu&gt;=MIN(E1119,H1119),Pu&lt;=MAX(E1119,H1119),E1119&lt;&gt;H1119),1,0)</f>
      </c>
      <c r="L1119">
        <f>IF(K1119=1,(Pu-E1119)/(H1119-E1119),"")</f>
      </c>
      <c r="M1119" s="12">
        <f>IF(K1119=1,F1119+L1119*(I1119-F1119),"")</f>
      </c>
      <c r="N1119" s="12">
        <f>IF(K1119=1,G1119+L1119*(J1119-G1119),"")</f>
      </c>
    </row>
    <row r="1120" spans="2:14" x14ac:dyDescent="0.25">
      <c r="B1120">
        <v>72</v>
      </c>
      <c r="C1120">
        <v>281.25</v>
      </c>
      <c r="D1120">
        <v>4</v>
      </c>
      <c r="E1120" s="18">
        <v>11755.029611653848</v>
      </c>
      <c r="F1120" s="18">
        <v>-3905.615962511759</v>
      </c>
      <c r="G1120" s="18">
        <v>808.979970512102</v>
      </c>
      <c r="H1120" s="12">
        <f>E1121</f>
      </c>
      <c r="I1120" s="12">
        <f>F1121</f>
      </c>
      <c r="J1120" s="12">
        <f>G1121</f>
      </c>
      <c r="K1120">
        <f>IF(AND(Pu&gt;=MIN(E1120,H1120),Pu&lt;=MAX(E1120,H1120),E1120&lt;&gt;H1120),1,0)</f>
      </c>
      <c r="L1120">
        <f>IF(K1120=1,(Pu-E1120)/(H1120-E1120),"")</f>
      </c>
      <c r="M1120" s="12">
        <f>IF(K1120=1,F1120+L1120*(I1120-F1120),"")</f>
      </c>
      <c r="N1120" s="12">
        <f>IF(K1120=1,G1120+L1120*(J1120-G1120),"")</f>
      </c>
    </row>
    <row r="1121" spans="2:14" x14ac:dyDescent="0.25">
      <c r="B1121">
        <v>72</v>
      </c>
      <c r="C1121">
        <v>281.25</v>
      </c>
      <c r="D1121">
        <v>5</v>
      </c>
      <c r="E1121" s="18">
        <v>10329.979940297488</v>
      </c>
      <c r="F1121" s="18">
        <v>-4113.203580616373</v>
      </c>
      <c r="G1121" s="18">
        <v>839.620677298578</v>
      </c>
      <c r="H1121" s="12">
        <f>E1122</f>
      </c>
      <c r="I1121" s="12">
        <f>F1122</f>
      </c>
      <c r="J1121" s="12">
        <f>G1122</f>
      </c>
      <c r="K1121">
        <f>IF(AND(Pu&gt;=MIN(E1121,H1121),Pu&lt;=MAX(E1121,H1121),E1121&lt;&gt;H1121),1,0)</f>
      </c>
      <c r="L1121">
        <f>IF(K1121=1,(Pu-E1121)/(H1121-E1121),"")</f>
      </c>
      <c r="M1121" s="12">
        <f>IF(K1121=1,F1121+L1121*(I1121-F1121),"")</f>
      </c>
      <c r="N1121" s="12">
        <f>IF(K1121=1,G1121+L1121*(J1121-G1121),"")</f>
      </c>
    </row>
    <row r="1122" spans="2:14" x14ac:dyDescent="0.25">
      <c r="B1122">
        <v>72</v>
      </c>
      <c r="C1122">
        <v>281.25</v>
      </c>
      <c r="D1122">
        <v>6</v>
      </c>
      <c r="E1122" s="18">
        <v>9089.590677847846</v>
      </c>
      <c r="F1122" s="18">
        <v>-4246.716281637672</v>
      </c>
      <c r="G1122" s="18">
        <v>888.3907361739435</v>
      </c>
      <c r="H1122" s="12">
        <f>E1123</f>
      </c>
      <c r="I1122" s="12">
        <f>F1123</f>
      </c>
      <c r="J1122" s="12">
        <f>G1123</f>
      </c>
      <c r="K1122">
        <f>IF(AND(Pu&gt;=MIN(E1122,H1122),Pu&lt;=MAX(E1122,H1122),E1122&lt;&gt;H1122),1,0)</f>
      </c>
      <c r="L1122">
        <f>IF(K1122=1,(Pu-E1122)/(H1122-E1122),"")</f>
      </c>
      <c r="M1122" s="12">
        <f>IF(K1122=1,F1122+L1122*(I1122-F1122),"")</f>
      </c>
      <c r="N1122" s="12">
        <f>IF(K1122=1,G1122+L1122*(J1122-G1122),"")</f>
      </c>
    </row>
    <row r="1123" spans="2:14" x14ac:dyDescent="0.25">
      <c r="B1123">
        <v>72</v>
      </c>
      <c r="C1123">
        <v>281.25</v>
      </c>
      <c r="D1123">
        <v>7</v>
      </c>
      <c r="E1123" s="18">
        <v>8049.685383363472</v>
      </c>
      <c r="F1123" s="18">
        <v>-4676.49857435678</v>
      </c>
      <c r="G1123" s="18">
        <v>1009.3898121511656</v>
      </c>
      <c r="H1123" s="12">
        <f>E1124</f>
      </c>
      <c r="I1123" s="12">
        <f>F1124</f>
      </c>
      <c r="J1123" s="12">
        <f>G1124</f>
      </c>
      <c r="K1123">
        <f>IF(AND(Pu&gt;=MIN(E1123,H1123),Pu&lt;=MAX(E1123,H1123),E1123&lt;&gt;H1123),1,0)</f>
      </c>
      <c r="L1123">
        <f>IF(K1123=1,(Pu-E1123)/(H1123-E1123),"")</f>
      </c>
      <c r="M1123" s="12">
        <f>IF(K1123=1,F1123+L1123*(I1123-F1123),"")</f>
      </c>
      <c r="N1123" s="12">
        <f>IF(K1123=1,G1123+L1123*(J1123-G1123),"")</f>
      </c>
    </row>
    <row r="1124" spans="2:14" x14ac:dyDescent="0.25">
      <c r="B1124">
        <v>72</v>
      </c>
      <c r="C1124">
        <v>281.25</v>
      </c>
      <c r="D1124">
        <v>8</v>
      </c>
      <c r="E1124" s="18">
        <v>7291.740698268393</v>
      </c>
      <c r="F1124" s="18">
        <v>-4902.144820824776</v>
      </c>
      <c r="G1124" s="18">
        <v>1102.8539547935834</v>
      </c>
      <c r="H1124" s="12">
        <f>E1125</f>
      </c>
      <c r="I1124" s="12">
        <f>F1125</f>
      </c>
      <c r="J1124" s="12">
        <f>G1125</f>
      </c>
      <c r="K1124">
        <f>IF(AND(Pu&gt;=MIN(E1124,H1124),Pu&lt;=MAX(E1124,H1124),E1124&lt;&gt;H1124),1,0)</f>
      </c>
      <c r="L1124">
        <f>IF(K1124=1,(Pu-E1124)/(H1124-E1124),"")</f>
      </c>
      <c r="M1124" s="12">
        <f>IF(K1124=1,F1124+L1124*(I1124-F1124),"")</f>
      </c>
      <c r="N1124" s="12">
        <f>IF(K1124=1,G1124+L1124*(J1124-G1124),"")</f>
      </c>
    </row>
    <row r="1125" spans="2:14" x14ac:dyDescent="0.25">
      <c r="B1125">
        <v>72</v>
      </c>
      <c r="C1125">
        <v>281.25</v>
      </c>
      <c r="D1125">
        <v>9</v>
      </c>
      <c r="E1125" s="18">
        <v>6601.301168973166</v>
      </c>
      <c r="F1125" s="18">
        <v>-5039.434939117217</v>
      </c>
      <c r="G1125" s="18">
        <v>1204.4775586545468</v>
      </c>
      <c r="H1125" s="12">
        <f>E1126</f>
      </c>
      <c r="I1125" s="12">
        <f>F1126</f>
      </c>
      <c r="J1125" s="12">
        <f>G1126</f>
      </c>
      <c r="K1125">
        <f>IF(AND(Pu&gt;=MIN(E1125,H1125),Pu&lt;=MAX(E1125,H1125),E1125&lt;&gt;H1125),1,0)</f>
      </c>
      <c r="L1125">
        <f>IF(K1125=1,(Pu-E1125)/(H1125-E1125),"")</f>
      </c>
      <c r="M1125" s="12">
        <f>IF(K1125=1,F1125+L1125*(I1125-F1125),"")</f>
      </c>
      <c r="N1125" s="12">
        <f>IF(K1125=1,G1125+L1125*(J1125-G1125),"")</f>
      </c>
    </row>
    <row r="1126" spans="2:14" x14ac:dyDescent="0.25">
      <c r="B1126">
        <v>72</v>
      </c>
      <c r="C1126">
        <v>281.25</v>
      </c>
      <c r="D1126">
        <v>10</v>
      </c>
      <c r="E1126" s="18">
        <v>5457.99537692932</v>
      </c>
      <c r="F1126" s="18">
        <v>-4720.921647443065</v>
      </c>
      <c r="G1126" s="18">
        <v>1243.7390714569824</v>
      </c>
      <c r="H1126" s="12">
        <f>E1127</f>
      </c>
      <c r="I1126" s="12">
        <f>F1127</f>
      </c>
      <c r="J1126" s="12">
        <f>G1127</f>
      </c>
      <c r="K1126">
        <f>IF(AND(Pu&gt;=MIN(E1126,H1126),Pu&lt;=MAX(E1126,H1126),E1126&lt;&gt;H1126),1,0)</f>
      </c>
      <c r="L1126">
        <f>IF(K1126=1,(Pu-E1126)/(H1126-E1126),"")</f>
      </c>
      <c r="M1126" s="12">
        <f>IF(K1126=1,F1126+L1126*(I1126-F1126),"")</f>
      </c>
      <c r="N1126" s="12">
        <f>IF(K1126=1,G1126+L1126*(J1126-G1126),"")</f>
      </c>
    </row>
    <row r="1127" spans="2:14" x14ac:dyDescent="0.25">
      <c r="B1127">
        <v>72</v>
      </c>
      <c r="C1127">
        <v>281.25</v>
      </c>
      <c r="D1127">
        <v>11</v>
      </c>
      <c r="E1127" s="18">
        <v>3507.4823657365655</v>
      </c>
      <c r="F1127" s="18">
        <v>-4037.842469879894</v>
      </c>
      <c r="G1127" s="18">
        <v>1290.040641068092</v>
      </c>
      <c r="H1127" s="12">
        <f>E1128</f>
      </c>
      <c r="I1127" s="12">
        <f>F1128</f>
      </c>
      <c r="J1127" s="12">
        <f>G1128</f>
      </c>
      <c r="K1127">
        <f>IF(AND(Pu&gt;=MIN(E1127,H1127),Pu&lt;=MAX(E1127,H1127),E1127&lt;&gt;H1127),1,0)</f>
      </c>
      <c r="L1127">
        <f>IF(K1127=1,(Pu-E1127)/(H1127-E1127),"")</f>
      </c>
      <c r="M1127" s="12">
        <f>IF(K1127=1,F1127+L1127*(I1127-F1127),"")</f>
      </c>
      <c r="N1127" s="12">
        <f>IF(K1127=1,G1127+L1127*(J1127-G1127),"")</f>
      </c>
    </row>
    <row r="1128" spans="2:14" x14ac:dyDescent="0.25">
      <c r="B1128">
        <v>72</v>
      </c>
      <c r="C1128">
        <v>281.25</v>
      </c>
      <c r="D1128">
        <v>12</v>
      </c>
      <c r="E1128" s="18">
        <v>2073.723622839605</v>
      </c>
      <c r="F1128" s="18">
        <v>-3457.454749512867</v>
      </c>
      <c r="G1128" s="18">
        <v>1299.4496533099991</v>
      </c>
      <c r="H1128" s="12">
        <f>E1129</f>
      </c>
      <c r="I1128" s="12">
        <f>F1129</f>
      </c>
      <c r="J1128" s="12">
        <f>G1129</f>
      </c>
      <c r="K1128">
        <f>IF(AND(Pu&gt;=MIN(E1128,H1128),Pu&lt;=MAX(E1128,H1128),E1128&lt;&gt;H1128),1,0)</f>
      </c>
      <c r="L1128">
        <f>IF(K1128=1,(Pu-E1128)/(H1128-E1128),"")</f>
      </c>
      <c r="M1128" s="12">
        <f>IF(K1128=1,F1128+L1128*(I1128-F1128),"")</f>
      </c>
      <c r="N1128" s="12">
        <f>IF(K1128=1,G1128+L1128*(J1128-G1128),"")</f>
      </c>
    </row>
    <row r="1129" spans="2:14" x14ac:dyDescent="0.25">
      <c r="B1129">
        <v>72</v>
      </c>
      <c r="C1129">
        <v>281.25</v>
      </c>
      <c r="D1129">
        <v>13</v>
      </c>
      <c r="E1129" s="18">
        <v>-397.955836479474</v>
      </c>
      <c r="F1129" s="18">
        <v>-2329.957649509257</v>
      </c>
      <c r="G1129" s="18">
        <v>1034.3904202099643</v>
      </c>
      <c r="H1129" s="12">
        <f>E1130</f>
      </c>
      <c r="I1129" s="12">
        <f>F1130</f>
      </c>
      <c r="J1129" s="12">
        <f>G1130</f>
      </c>
      <c r="K1129">
        <f>IF(AND(Pu&gt;=MIN(E1129,H1129),Pu&lt;=MAX(E1129,H1129),E1129&lt;&gt;H1129),1,0)</f>
      </c>
      <c r="L1129">
        <f>IF(K1129=1,(Pu-E1129)/(H1129-E1129),"")</f>
      </c>
      <c r="M1129" s="12">
        <f>IF(K1129=1,F1129+L1129*(I1129-F1129),"")</f>
      </c>
      <c r="N1129" s="12">
        <f>IF(K1129=1,G1129+L1129*(J1129-G1129),"")</f>
      </c>
    </row>
    <row r="1130" spans="2:14" x14ac:dyDescent="0.25">
      <c r="B1130">
        <v>72</v>
      </c>
      <c r="C1130">
        <v>281.25</v>
      </c>
      <c r="D1130">
        <v>14</v>
      </c>
      <c r="E1130" s="18">
        <v>-1918.7335103116372</v>
      </c>
      <c r="F1130" s="18">
        <v>-1589.2239476015422</v>
      </c>
      <c r="G1130" s="18">
        <v>773.7009017067859</v>
      </c>
      <c r="H1130" s="12">
        <f>E1131</f>
      </c>
      <c r="I1130" s="12">
        <f>F1131</f>
      </c>
      <c r="J1130" s="12">
        <f>G1131</f>
      </c>
      <c r="K1130">
        <f>IF(AND(Pu&gt;=MIN(E1130,H1130),Pu&lt;=MAX(E1130,H1130),E1130&lt;&gt;H1130),1,0)</f>
      </c>
      <c r="L1130">
        <f>IF(K1130=1,(Pu-E1130)/(H1130-E1130),"")</f>
      </c>
      <c r="M1130" s="12">
        <f>IF(K1130=1,F1130+L1130*(I1130-F1130),"")</f>
      </c>
      <c r="N1130" s="12">
        <f>IF(K1130=1,G1130+L1130*(J1130-G1130),"")</f>
      </c>
    </row>
    <row r="1131" spans="2:7" x14ac:dyDescent="0.25">
      <c r="B1131">
        <v>72</v>
      </c>
      <c r="C1131">
        <v>281.25</v>
      </c>
      <c r="D1131">
        <v>15</v>
      </c>
      <c r="E1131" s="18">
        <v>-4107.687660175251</v>
      </c>
      <c r="F1131" s="18">
        <v>-447.65414438770415</v>
      </c>
      <c r="G1131" s="18">
        <v>327.55155612565807</v>
      </c>
    </row>
    <row r="1133" spans="2:14" x14ac:dyDescent="0.25">
      <c r="B1133">
        <v>73</v>
      </c>
      <c r="C1133">
        <v>285</v>
      </c>
      <c r="D1133">
        <v>1</v>
      </c>
      <c r="E1133" s="18">
        <v>17663.408309871455</v>
      </c>
      <c r="F1133" s="18">
        <v>-2056.156417550967</v>
      </c>
      <c r="G1133" s="18">
        <v>1055.1978129984727</v>
      </c>
      <c r="H1133" s="12">
        <f>E1134</f>
      </c>
      <c r="I1133" s="12">
        <f>F1134</f>
      </c>
      <c r="J1133" s="12">
        <f>G1134</f>
      </c>
      <c r="K1133">
        <f>IF(AND(Pu&gt;=MIN(E1133,H1133),Pu&lt;=MAX(E1133,H1133),E1133&lt;&gt;H1133),1,0)</f>
      </c>
      <c r="L1133">
        <f>IF(K1133=1,(Pu-E1133)/(H1133-E1133),"")</f>
      </c>
      <c r="M1133" s="12">
        <f>IF(K1133=1,F1133+L1133*(I1133-F1133),"")</f>
      </c>
      <c r="N1133" s="12">
        <f>IF(K1133=1,G1133+L1133*(J1133-G1133),"")</f>
      </c>
    </row>
    <row r="1134" spans="2:14" x14ac:dyDescent="0.25">
      <c r="B1134">
        <v>73</v>
      </c>
      <c r="C1134">
        <v>285</v>
      </c>
      <c r="D1134">
        <v>2</v>
      </c>
      <c r="E1134" s="18">
        <v>16018.371759561898</v>
      </c>
      <c r="F1134" s="18">
        <v>-2713.9903618427843</v>
      </c>
      <c r="G1134" s="18">
        <v>1056.525650299794</v>
      </c>
      <c r="H1134" s="12">
        <f>E1135</f>
      </c>
      <c r="I1134" s="12">
        <f>F1135</f>
      </c>
      <c r="J1134" s="12">
        <f>G1135</f>
      </c>
      <c r="K1134">
        <f>IF(AND(Pu&gt;=MIN(E1134,H1134),Pu&lt;=MAX(E1134,H1134),E1134&lt;&gt;H1134),1,0)</f>
      </c>
      <c r="L1134">
        <f>IF(K1134=1,(Pu-E1134)/(H1134-E1134),"")</f>
      </c>
      <c r="M1134" s="12">
        <f>IF(K1134=1,F1134+L1134*(I1134-F1134),"")</f>
      </c>
      <c r="N1134" s="12">
        <f>IF(K1134=1,G1134+L1134*(J1134-G1134),"")</f>
      </c>
    </row>
    <row r="1135" spans="2:14" x14ac:dyDescent="0.25">
      <c r="B1135">
        <v>73</v>
      </c>
      <c r="C1135">
        <v>285</v>
      </c>
      <c r="D1135">
        <v>3</v>
      </c>
      <c r="E1135" s="18">
        <v>13568.048277372505</v>
      </c>
      <c r="F1135" s="18">
        <v>-3472.017636103775</v>
      </c>
      <c r="G1135" s="18">
        <v>1033.3938432807438</v>
      </c>
      <c r="H1135" s="12">
        <f>E1136</f>
      </c>
      <c r="I1135" s="12">
        <f>F1136</f>
      </c>
      <c r="J1135" s="12">
        <f>G1136</f>
      </c>
      <c r="K1135">
        <f>IF(AND(Pu&gt;=MIN(E1135,H1135),Pu&lt;=MAX(E1135,H1135),E1135&lt;&gt;H1135),1,0)</f>
      </c>
      <c r="L1135">
        <f>IF(K1135=1,(Pu-E1135)/(H1135-E1135),"")</f>
      </c>
      <c r="M1135" s="12">
        <f>IF(K1135=1,F1135+L1135*(I1135-F1135),"")</f>
      </c>
      <c r="N1135" s="12">
        <f>IF(K1135=1,G1135+L1135*(J1135-G1135),"")</f>
      </c>
    </row>
    <row r="1136" spans="2:14" x14ac:dyDescent="0.25">
      <c r="B1136">
        <v>73</v>
      </c>
      <c r="C1136">
        <v>285</v>
      </c>
      <c r="D1136">
        <v>4</v>
      </c>
      <c r="E1136" s="18">
        <v>11805.735141735511</v>
      </c>
      <c r="F1136" s="18">
        <v>-3827.794453457008</v>
      </c>
      <c r="G1136" s="18">
        <v>1080.1988296870027</v>
      </c>
      <c r="H1136" s="12">
        <f>E1137</f>
      </c>
      <c r="I1136" s="12">
        <f>F1137</f>
      </c>
      <c r="J1136" s="12">
        <f>G1137</f>
      </c>
      <c r="K1136">
        <f>IF(AND(Pu&gt;=MIN(E1136,H1136),Pu&lt;=MAX(E1136,H1136),E1136&lt;&gt;H1136),1,0)</f>
      </c>
      <c r="L1136">
        <f>IF(K1136=1,(Pu-E1136)/(H1136-E1136),"")</f>
      </c>
      <c r="M1136" s="12">
        <f>IF(K1136=1,F1136+L1136*(I1136-F1136),"")</f>
      </c>
      <c r="N1136" s="12">
        <f>IF(K1136=1,G1136+L1136*(J1136-G1136),"")</f>
      </c>
    </row>
    <row r="1137" spans="2:14" x14ac:dyDescent="0.25">
      <c r="B1137">
        <v>73</v>
      </c>
      <c r="C1137">
        <v>285</v>
      </c>
      <c r="D1137">
        <v>5</v>
      </c>
      <c r="E1137" s="18">
        <v>10334.81863956615</v>
      </c>
      <c r="F1137" s="18">
        <v>-4035.044633502739</v>
      </c>
      <c r="G1137" s="18">
        <v>1119.4132893610906</v>
      </c>
      <c r="H1137" s="12">
        <f>E1138</f>
      </c>
      <c r="I1137" s="12">
        <f>F1138</f>
      </c>
      <c r="J1137" s="12">
        <f>G1138</f>
      </c>
      <c r="K1137">
        <f>IF(AND(Pu&gt;=MIN(E1137,H1137),Pu&lt;=MAX(E1137,H1137),E1137&lt;&gt;H1137),1,0)</f>
      </c>
      <c r="L1137">
        <f>IF(K1137=1,(Pu-E1137)/(H1137-E1137),"")</f>
      </c>
      <c r="M1137" s="12">
        <f>IF(K1137=1,F1137+L1137*(I1137-F1137),"")</f>
      </c>
      <c r="N1137" s="12">
        <f>IF(K1137=1,G1137+L1137*(J1137-G1137),"")</f>
      </c>
    </row>
    <row r="1138" spans="2:14" x14ac:dyDescent="0.25">
      <c r="B1138">
        <v>73</v>
      </c>
      <c r="C1138">
        <v>285</v>
      </c>
      <c r="D1138">
        <v>6</v>
      </c>
      <c r="E1138" s="18">
        <v>9044.414289894843</v>
      </c>
      <c r="F1138" s="18">
        <v>-4162.797357567723</v>
      </c>
      <c r="G1138" s="18">
        <v>1167.6924250796235</v>
      </c>
      <c r="H1138" s="12">
        <f>E1139</f>
      </c>
      <c r="I1138" s="12">
        <f>F1139</f>
      </c>
      <c r="J1138" s="12">
        <f>G1139</f>
      </c>
      <c r="K1138">
        <f>IF(AND(Pu&gt;=MIN(E1138,H1138),Pu&lt;=MAX(E1138,H1138),E1138&lt;&gt;H1138),1,0)</f>
      </c>
      <c r="L1138">
        <f>IF(K1138=1,(Pu-E1138)/(H1138-E1138),"")</f>
      </c>
      <c r="M1138" s="12">
        <f>IF(K1138=1,F1138+L1138*(I1138-F1138),"")</f>
      </c>
      <c r="N1138" s="12">
        <f>IF(K1138=1,G1138+L1138*(J1138-G1138),"")</f>
      </c>
    </row>
    <row r="1139" spans="2:14" x14ac:dyDescent="0.25">
      <c r="B1139">
        <v>73</v>
      </c>
      <c r="C1139">
        <v>285</v>
      </c>
      <c r="D1139">
        <v>7</v>
      </c>
      <c r="E1139" s="18">
        <v>7900.926956347101</v>
      </c>
      <c r="F1139" s="18">
        <v>-4579.01517641749</v>
      </c>
      <c r="G1139" s="18">
        <v>1323.5720693498256</v>
      </c>
      <c r="H1139" s="12">
        <f>E1140</f>
      </c>
      <c r="I1139" s="12">
        <f>F1140</f>
      </c>
      <c r="J1139" s="12">
        <f>G1140</f>
      </c>
      <c r="K1139">
        <f>IF(AND(Pu&gt;=MIN(E1139,H1139),Pu&lt;=MAX(E1139,H1139),E1139&lt;&gt;H1139),1,0)</f>
      </c>
      <c r="L1139">
        <f>IF(K1139=1,(Pu-E1139)/(H1139-E1139),"")</f>
      </c>
      <c r="M1139" s="12">
        <f>IF(K1139=1,F1139+L1139*(I1139-F1139),"")</f>
      </c>
      <c r="N1139" s="12">
        <f>IF(K1139=1,G1139+L1139*(J1139-G1139),"")</f>
      </c>
    </row>
    <row r="1140" spans="2:14" x14ac:dyDescent="0.25">
      <c r="B1140">
        <v>73</v>
      </c>
      <c r="C1140">
        <v>285</v>
      </c>
      <c r="D1140">
        <v>8</v>
      </c>
      <c r="E1140" s="18">
        <v>7024.472214754455</v>
      </c>
      <c r="F1140" s="18">
        <v>-4738.891699856123</v>
      </c>
      <c r="G1140" s="18">
        <v>1495.3665003615856</v>
      </c>
      <c r="H1140" s="12">
        <f>E1141</f>
      </c>
      <c r="I1140" s="12">
        <f>F1141</f>
      </c>
      <c r="J1140" s="12">
        <f>G1141</f>
      </c>
      <c r="K1140">
        <f>IF(AND(Pu&gt;=MIN(E1140,H1140),Pu&lt;=MAX(E1140,H1140),E1140&lt;&gt;H1140),1,0)</f>
      </c>
      <c r="L1140">
        <f>IF(K1140=1,(Pu-E1140)/(H1140-E1140),"")</f>
      </c>
      <c r="M1140" s="12">
        <f>IF(K1140=1,F1140+L1140*(I1140-F1140),"")</f>
      </c>
      <c r="N1140" s="12">
        <f>IF(K1140=1,G1140+L1140*(J1140-G1140),"")</f>
      </c>
    </row>
    <row r="1141" spans="2:14" x14ac:dyDescent="0.25">
      <c r="B1141">
        <v>73</v>
      </c>
      <c r="C1141">
        <v>285</v>
      </c>
      <c r="D1141">
        <v>9</v>
      </c>
      <c r="E1141" s="18">
        <v>6192.823512197102</v>
      </c>
      <c r="F1141" s="18">
        <v>-4816.122040964442</v>
      </c>
      <c r="G1141" s="18">
        <v>1620.852746372297</v>
      </c>
      <c r="H1141" s="12">
        <f>E1142</f>
      </c>
      <c r="I1141" s="12">
        <f>F1142</f>
      </c>
      <c r="J1141" s="12">
        <f>G1142</f>
      </c>
      <c r="K1141">
        <f>IF(AND(Pu&gt;=MIN(E1141,H1141),Pu&lt;=MAX(E1141,H1141),E1141&lt;&gt;H1141),1,0)</f>
      </c>
      <c r="L1141">
        <f>IF(K1141=1,(Pu-E1141)/(H1141-E1141),"")</f>
      </c>
      <c r="M1141" s="12">
        <f>IF(K1141=1,F1141+L1141*(I1141-F1141),"")</f>
      </c>
      <c r="N1141" s="12">
        <f>IF(K1141=1,G1141+L1141*(J1141-G1141),"")</f>
      </c>
    </row>
    <row r="1142" spans="2:14" x14ac:dyDescent="0.25">
      <c r="B1142">
        <v>73</v>
      </c>
      <c r="C1142">
        <v>285</v>
      </c>
      <c r="D1142">
        <v>10</v>
      </c>
      <c r="E1142" s="18">
        <v>4865.596984903792</v>
      </c>
      <c r="F1142" s="18">
        <v>-4406.705064794095</v>
      </c>
      <c r="G1142" s="18">
        <v>1666.4128844382672</v>
      </c>
      <c r="H1142" s="12">
        <f>E1143</f>
      </c>
      <c r="I1142" s="12">
        <f>F1143</f>
      </c>
      <c r="J1142" s="12">
        <f>G1143</f>
      </c>
      <c r="K1142">
        <f>IF(AND(Pu&gt;=MIN(E1142,H1142),Pu&lt;=MAX(E1142,H1142),E1142&lt;&gt;H1142),1,0)</f>
      </c>
      <c r="L1142">
        <f>IF(K1142=1,(Pu-E1142)/(H1142-E1142),"")</f>
      </c>
      <c r="M1142" s="12">
        <f>IF(K1142=1,F1142+L1142*(I1142-F1142),"")</f>
      </c>
      <c r="N1142" s="12">
        <f>IF(K1142=1,G1142+L1142*(J1142-G1142),"")</f>
      </c>
    </row>
    <row r="1143" spans="2:14" x14ac:dyDescent="0.25">
      <c r="B1143">
        <v>73</v>
      </c>
      <c r="C1143">
        <v>285</v>
      </c>
      <c r="D1143">
        <v>11</v>
      </c>
      <c r="E1143" s="18">
        <v>2844.410870090878</v>
      </c>
      <c r="F1143" s="18">
        <v>-3684.2701042343706</v>
      </c>
      <c r="G1143" s="18">
        <v>1652.5424880271291</v>
      </c>
      <c r="H1143" s="12">
        <f>E1144</f>
      </c>
      <c r="I1143" s="12">
        <f>F1144</f>
      </c>
      <c r="J1143" s="12">
        <f>G1144</f>
      </c>
      <c r="K1143">
        <f>IF(AND(Pu&gt;=MIN(E1143,H1143),Pu&lt;=MAX(E1143,H1143),E1143&lt;&gt;H1143),1,0)</f>
      </c>
      <c r="L1143">
        <f>IF(K1143=1,(Pu-E1143)/(H1143-E1143),"")</f>
      </c>
      <c r="M1143" s="12">
        <f>IF(K1143=1,F1143+L1143*(I1143-F1143),"")</f>
      </c>
      <c r="N1143" s="12">
        <f>IF(K1143=1,G1143+L1143*(J1143-G1143),"")</f>
      </c>
    </row>
    <row r="1144" spans="2:14" x14ac:dyDescent="0.25">
      <c r="B1144">
        <v>73</v>
      </c>
      <c r="C1144">
        <v>285</v>
      </c>
      <c r="D1144">
        <v>12</v>
      </c>
      <c r="E1144" s="18">
        <v>1445.0824686621902</v>
      </c>
      <c r="F1144" s="18">
        <v>-3088.821791028522</v>
      </c>
      <c r="G1144" s="18">
        <v>1582.745669843004</v>
      </c>
      <c r="H1144" s="12">
        <f>E1145</f>
      </c>
      <c r="I1144" s="12">
        <f>F1145</f>
      </c>
      <c r="J1144" s="12">
        <f>G1145</f>
      </c>
      <c r="K1144">
        <f>IF(AND(Pu&gt;=MIN(E1144,H1144),Pu&lt;=MAX(E1144,H1144),E1144&lt;&gt;H1144),1,0)</f>
      </c>
      <c r="L1144">
        <f>IF(K1144=1,(Pu-E1144)/(H1144-E1144),"")</f>
      </c>
      <c r="M1144" s="12">
        <f>IF(K1144=1,F1144+L1144*(I1144-F1144),"")</f>
      </c>
      <c r="N1144" s="12">
        <f>IF(K1144=1,G1144+L1144*(J1144-G1144),"")</f>
      </c>
    </row>
    <row r="1145" spans="2:14" x14ac:dyDescent="0.25">
      <c r="B1145">
        <v>73</v>
      </c>
      <c r="C1145">
        <v>285</v>
      </c>
      <c r="D1145">
        <v>13</v>
      </c>
      <c r="E1145" s="18">
        <v>-890.1954490091834</v>
      </c>
      <c r="F1145" s="18">
        <v>-2041.4683012538237</v>
      </c>
      <c r="G1145" s="18">
        <v>1182.6306354101982</v>
      </c>
      <c r="H1145" s="12">
        <f>E1146</f>
      </c>
      <c r="I1145" s="12">
        <f>F1146</f>
      </c>
      <c r="J1145" s="12">
        <f>G1146</f>
      </c>
      <c r="K1145">
        <f>IF(AND(Pu&gt;=MIN(E1145,H1145),Pu&lt;=MAX(E1145,H1145),E1145&lt;&gt;H1145),1,0)</f>
      </c>
      <c r="L1145">
        <f>IF(K1145=1,(Pu-E1145)/(H1145-E1145),"")</f>
      </c>
      <c r="M1145" s="12">
        <f>IF(K1145=1,F1145+L1145*(I1145-F1145),"")</f>
      </c>
      <c r="N1145" s="12">
        <f>IF(K1145=1,G1145+L1145*(J1145-G1145),"")</f>
      </c>
    </row>
    <row r="1146" spans="2:14" x14ac:dyDescent="0.25">
      <c r="B1146">
        <v>73</v>
      </c>
      <c r="C1146">
        <v>285</v>
      </c>
      <c r="D1146">
        <v>14</v>
      </c>
      <c r="E1146" s="18">
        <v>-2322.243621166513</v>
      </c>
      <c r="F1146" s="18">
        <v>-1349.8052466429351</v>
      </c>
      <c r="G1146" s="18">
        <v>887.052097335411</v>
      </c>
      <c r="H1146" s="12">
        <f>E1147</f>
      </c>
      <c r="I1146" s="12">
        <f>F1147</f>
      </c>
      <c r="J1146" s="12">
        <f>G1147</f>
      </c>
      <c r="K1146">
        <f>IF(AND(Pu&gt;=MIN(E1146,H1146),Pu&lt;=MAX(E1146,H1146),E1146&lt;&gt;H1146),1,0)</f>
      </c>
      <c r="L1146">
        <f>IF(K1146=1,(Pu-E1146)/(H1146-E1146),"")</f>
      </c>
      <c r="M1146" s="12">
        <f>IF(K1146=1,F1146+L1146*(I1146-F1146),"")</f>
      </c>
      <c r="N1146" s="12">
        <f>IF(K1146=1,G1146+L1146*(J1146-G1146),"")</f>
      </c>
    </row>
    <row r="1147" spans="2:7" x14ac:dyDescent="0.25">
      <c r="B1147">
        <v>73</v>
      </c>
      <c r="C1147">
        <v>285</v>
      </c>
      <c r="D1147">
        <v>15</v>
      </c>
      <c r="E1147" s="18">
        <v>-4250.483916974663</v>
      </c>
      <c r="F1147" s="18">
        <v>-368.3279028727854</v>
      </c>
      <c r="G1147" s="18">
        <v>296.58467325706516</v>
      </c>
    </row>
    <row r="1149" spans="2:14" x14ac:dyDescent="0.25">
      <c r="B1149">
        <v>74</v>
      </c>
      <c r="C1149">
        <v>288.75</v>
      </c>
      <c r="D1149">
        <v>1</v>
      </c>
      <c r="E1149" s="18">
        <v>16311.820785690332</v>
      </c>
      <c r="F1149" s="18">
        <v>-2528.2141346217645</v>
      </c>
      <c r="G1149" s="18">
        <v>1301.902520272381</v>
      </c>
      <c r="H1149" s="12">
        <f>E1150</f>
      </c>
      <c r="I1149" s="12">
        <f>F1150</f>
      </c>
      <c r="J1149" s="12">
        <f>G1150</f>
      </c>
      <c r="K1149">
        <f>IF(AND(Pu&gt;=MIN(E1149,H1149),Pu&lt;=MAX(E1149,H1149),E1149&lt;&gt;H1149),1,0)</f>
      </c>
      <c r="L1149">
        <f>IF(K1149=1,(Pu-E1149)/(H1149-E1149),"")</f>
      </c>
      <c r="M1149" s="12">
        <f>IF(K1149=1,F1149+L1149*(I1149-F1149),"")</f>
      </c>
      <c r="N1149" s="12">
        <f>IF(K1149=1,G1149+L1149*(J1149-G1149),"")</f>
      </c>
    </row>
    <row r="1150" spans="2:14" x14ac:dyDescent="0.25">
      <c r="B1150">
        <v>74</v>
      </c>
      <c r="C1150">
        <v>288.75</v>
      </c>
      <c r="D1150">
        <v>2</v>
      </c>
      <c r="E1150" s="18">
        <v>13684.019488538936</v>
      </c>
      <c r="F1150" s="18">
        <v>-3362.3014840012447</v>
      </c>
      <c r="G1150" s="18">
        <v>1292.756421261282</v>
      </c>
      <c r="H1150" s="12">
        <f>E1151</f>
      </c>
      <c r="I1150" s="12">
        <f>F1151</f>
      </c>
      <c r="J1150" s="12">
        <f>G1151</f>
      </c>
      <c r="K1150">
        <f>IF(AND(Pu&gt;=MIN(E1150,H1150),Pu&lt;=MAX(E1150,H1150),E1150&lt;&gt;H1150),1,0)</f>
      </c>
      <c r="L1150">
        <f>IF(K1150=1,(Pu-E1150)/(H1150-E1150),"")</f>
      </c>
      <c r="M1150" s="12">
        <f>IF(K1150=1,F1150+L1150*(I1150-F1150),"")</f>
      </c>
      <c r="N1150" s="12">
        <f>IF(K1150=1,G1150+L1150*(J1150-G1150),"")</f>
      </c>
    </row>
    <row r="1151" spans="2:14" x14ac:dyDescent="0.25">
      <c r="B1151">
        <v>74</v>
      </c>
      <c r="C1151">
        <v>288.75</v>
      </c>
      <c r="D1151">
        <v>3</v>
      </c>
      <c r="E1151" s="18">
        <v>11855.962084893185</v>
      </c>
      <c r="F1151" s="18">
        <v>-3740.847484428114</v>
      </c>
      <c r="G1151" s="18">
        <v>1335.9649835756288</v>
      </c>
      <c r="H1151" s="12">
        <f>E1152</f>
      </c>
      <c r="I1151" s="12">
        <f>F1152</f>
      </c>
      <c r="J1151" s="12">
        <f>G1152</f>
      </c>
      <c r="K1151">
        <f>IF(AND(Pu&gt;=MIN(E1151,H1151),Pu&lt;=MAX(E1151,H1151),E1151&lt;&gt;H1151),1,0)</f>
      </c>
      <c r="L1151">
        <f>IF(K1151=1,(Pu-E1151)/(H1151-E1151),"")</f>
      </c>
      <c r="M1151" s="12">
        <f>IF(K1151=1,F1151+L1151*(I1151-F1151),"")</f>
      </c>
      <c r="N1151" s="12">
        <f>IF(K1151=1,G1151+L1151*(J1151-G1151),"")</f>
      </c>
    </row>
    <row r="1152" spans="2:14" x14ac:dyDescent="0.25">
      <c r="B1152">
        <v>74</v>
      </c>
      <c r="C1152">
        <v>288.75</v>
      </c>
      <c r="D1152">
        <v>4</v>
      </c>
      <c r="E1152" s="18">
        <v>10337.27245023117</v>
      </c>
      <c r="F1152" s="18">
        <v>-3942.7576372194053</v>
      </c>
      <c r="G1152" s="18">
        <v>1401.3727892310164</v>
      </c>
      <c r="H1152" s="12">
        <f>E1153</f>
      </c>
      <c r="I1152" s="12">
        <f>F1153</f>
      </c>
      <c r="J1152" s="12">
        <f>G1153</f>
      </c>
      <c r="K1152">
        <f>IF(AND(Pu&gt;=MIN(E1152,H1152),Pu&lt;=MAX(E1152,H1152),E1152&lt;&gt;H1152),1,0)</f>
      </c>
      <c r="L1152">
        <f>IF(K1152=1,(Pu-E1152)/(H1152-E1152),"")</f>
      </c>
      <c r="M1152" s="12">
        <f>IF(K1152=1,F1152+L1152*(I1152-F1152),"")</f>
      </c>
      <c r="N1152" s="12">
        <f>IF(K1152=1,G1152+L1152*(J1152-G1152),"")</f>
      </c>
    </row>
    <row r="1153" spans="2:14" x14ac:dyDescent="0.25">
      <c r="B1153">
        <v>74</v>
      </c>
      <c r="C1153">
        <v>288.75</v>
      </c>
      <c r="D1153">
        <v>5</v>
      </c>
      <c r="E1153" s="18">
        <v>8994.790214855873</v>
      </c>
      <c r="F1153" s="18">
        <v>-4055.863243592079</v>
      </c>
      <c r="G1153" s="18">
        <v>1463.241993984668</v>
      </c>
      <c r="H1153" s="12">
        <f>E1154</f>
      </c>
      <c r="I1153" s="12">
        <f>F1154</f>
      </c>
      <c r="J1153" s="12">
        <f>G1154</f>
      </c>
      <c r="K1153">
        <f>IF(AND(Pu&gt;=MIN(E1153,H1153),Pu&lt;=MAX(E1153,H1153),E1153&lt;&gt;H1153),1,0)</f>
      </c>
      <c r="L1153">
        <f>IF(K1153=1,(Pu-E1153)/(H1153-E1153),"")</f>
      </c>
      <c r="M1153" s="12">
        <f>IF(K1153=1,F1153+L1153*(I1153-F1153),"")</f>
      </c>
      <c r="N1153" s="12">
        <f>IF(K1153=1,G1153+L1153*(J1153-G1153),"")</f>
      </c>
    </row>
    <row r="1154" spans="2:14" x14ac:dyDescent="0.25">
      <c r="B1154">
        <v>74</v>
      </c>
      <c r="C1154">
        <v>288.75</v>
      </c>
      <c r="D1154">
        <v>6</v>
      </c>
      <c r="E1154" s="18">
        <v>7716.259574673528</v>
      </c>
      <c r="F1154" s="18">
        <v>-4431.855303533372</v>
      </c>
      <c r="G1154" s="18">
        <v>1670.1930832106589</v>
      </c>
      <c r="H1154" s="12">
        <f>E1155</f>
      </c>
      <c r="I1154" s="12">
        <f>F1155</f>
      </c>
      <c r="J1154" s="12">
        <f>G1155</f>
      </c>
      <c r="K1154">
        <f>IF(AND(Pu&gt;=MIN(E1154,H1154),Pu&lt;=MAX(E1154,H1154),E1154&lt;&gt;H1154),1,0)</f>
      </c>
      <c r="L1154">
        <f>IF(K1154=1,(Pu-E1154)/(H1154-E1154),"")</f>
      </c>
      <c r="M1154" s="12">
        <f>IF(K1154=1,F1154+L1154*(I1154-F1154),"")</f>
      </c>
      <c r="N1154" s="12">
        <f>IF(K1154=1,G1154+L1154*(J1154-G1154),"")</f>
      </c>
    </row>
    <row r="1155" spans="2:14" x14ac:dyDescent="0.25">
      <c r="B1155">
        <v>74</v>
      </c>
      <c r="C1155">
        <v>288.75</v>
      </c>
      <c r="D1155">
        <v>7</v>
      </c>
      <c r="E1155" s="18">
        <v>6767.386812944162</v>
      </c>
      <c r="F1155" s="18">
        <v>-4558.41178164441</v>
      </c>
      <c r="G1155" s="18">
        <v>1858.0767274892282</v>
      </c>
      <c r="H1155" s="12">
        <f>E1156</f>
      </c>
      <c r="I1155" s="12">
        <f>F1156</f>
      </c>
      <c r="J1155" s="12">
        <f>G1156</f>
      </c>
      <c r="K1155">
        <f>IF(AND(Pu&gt;=MIN(E1155,H1155),Pu&lt;=MAX(E1155,H1155),E1155&lt;&gt;H1155),1,0)</f>
      </c>
      <c r="L1155">
        <f>IF(K1155=1,(Pu-E1155)/(H1155-E1155),"")</f>
      </c>
      <c r="M1155" s="12">
        <f>IF(K1155=1,F1155+L1155*(I1155-F1155),"")</f>
      </c>
      <c r="N1155" s="12">
        <f>IF(K1155=1,G1155+L1155*(J1155-G1155),"")</f>
      </c>
    </row>
    <row r="1156" spans="2:14" x14ac:dyDescent="0.25">
      <c r="B1156">
        <v>74</v>
      </c>
      <c r="C1156">
        <v>288.75</v>
      </c>
      <c r="D1156">
        <v>8</v>
      </c>
      <c r="E1156" s="18">
        <v>5673.498046806427</v>
      </c>
      <c r="F1156" s="18">
        <v>-4513.889072161681</v>
      </c>
      <c r="G1156" s="18">
        <v>2049.3921726076464</v>
      </c>
      <c r="H1156" s="12">
        <f>E1157</f>
      </c>
      <c r="I1156" s="12">
        <f>F1157</f>
      </c>
      <c r="J1156" s="12">
        <f>G1157</f>
      </c>
      <c r="K1156">
        <f>IF(AND(Pu&gt;=MIN(E1156,H1156),Pu&lt;=MAX(E1156,H1156),E1156&lt;&gt;H1156),1,0)</f>
      </c>
      <c r="L1156">
        <f>IF(K1156=1,(Pu-E1156)/(H1156-E1156),"")</f>
      </c>
      <c r="M1156" s="12">
        <f>IF(K1156=1,F1156+L1156*(I1156-F1156),"")</f>
      </c>
      <c r="N1156" s="12">
        <f>IF(K1156=1,G1156+L1156*(J1156-G1156),"")</f>
      </c>
    </row>
    <row r="1157" spans="2:14" x14ac:dyDescent="0.25">
      <c r="B1157">
        <v>74</v>
      </c>
      <c r="C1157">
        <v>288.75</v>
      </c>
      <c r="D1157">
        <v>9</v>
      </c>
      <c r="E1157" s="18">
        <v>4314.484214683448</v>
      </c>
      <c r="F1157" s="18">
        <v>-4085.916456227188</v>
      </c>
      <c r="G1157" s="18">
        <v>2047.309647661114</v>
      </c>
      <c r="H1157" s="12">
        <f>E1158</f>
      </c>
      <c r="I1157" s="12">
        <f>F1158</f>
      </c>
      <c r="J1157" s="12">
        <f>G1158</f>
      </c>
      <c r="K1157">
        <f>IF(AND(Pu&gt;=MIN(E1157,H1157),Pu&lt;=MAX(E1157,H1157),E1157&lt;&gt;H1157),1,0)</f>
      </c>
      <c r="L1157">
        <f>IF(K1157=1,(Pu-E1157)/(H1157-E1157),"")</f>
      </c>
      <c r="M1157" s="12">
        <f>IF(K1157=1,F1157+L1157*(I1157-F1157),"")</f>
      </c>
      <c r="N1157" s="12">
        <f>IF(K1157=1,G1157+L1157*(J1157-G1157),"")</f>
      </c>
    </row>
    <row r="1158" spans="2:14" x14ac:dyDescent="0.25">
      <c r="B1158">
        <v>74</v>
      </c>
      <c r="C1158">
        <v>288.75</v>
      </c>
      <c r="D1158">
        <v>10</v>
      </c>
      <c r="E1158" s="18">
        <v>2301.9319894323885</v>
      </c>
      <c r="F1158" s="18">
        <v>-3346.003097453999</v>
      </c>
      <c r="G1158" s="18">
        <v>1959.1813067014116</v>
      </c>
      <c r="H1158" s="12">
        <f>E1159</f>
      </c>
      <c r="I1158" s="12">
        <f>F1159</f>
      </c>
      <c r="J1158" s="12">
        <f>G1159</f>
      </c>
      <c r="K1158">
        <f>IF(AND(Pu&gt;=MIN(E1158,H1158),Pu&lt;=MAX(E1158,H1158),E1158&lt;&gt;H1158),1,0)</f>
      </c>
      <c r="L1158">
        <f>IF(K1158=1,(Pu-E1158)/(H1158-E1158),"")</f>
      </c>
      <c r="M1158" s="12">
        <f>IF(K1158=1,F1158+L1158*(I1158-F1158),"")</f>
      </c>
      <c r="N1158" s="12">
        <f>IF(K1158=1,G1158+L1158*(J1158-G1158),"")</f>
      </c>
    </row>
    <row r="1159" spans="2:14" x14ac:dyDescent="0.25">
      <c r="B1159">
        <v>74</v>
      </c>
      <c r="C1159">
        <v>288.75</v>
      </c>
      <c r="D1159">
        <v>11</v>
      </c>
      <c r="E1159" s="18">
        <v>1030.8674797097487</v>
      </c>
      <c r="F1159" s="18">
        <v>-2823.4905666269387</v>
      </c>
      <c r="G1159" s="18">
        <v>1781.1259018739938</v>
      </c>
      <c r="H1159" s="12">
        <f>E1160</f>
      </c>
      <c r="I1159" s="12">
        <f>F1160</f>
      </c>
      <c r="J1159" s="12">
        <f>G1160</f>
      </c>
      <c r="K1159">
        <f>IF(AND(Pu&gt;=MIN(E1159,H1159),Pu&lt;=MAX(E1159,H1159),E1159&lt;&gt;H1159),1,0)</f>
      </c>
      <c r="L1159">
        <f>IF(K1159=1,(Pu-E1159)/(H1159-E1159),"")</f>
      </c>
      <c r="M1159" s="12">
        <f>IF(K1159=1,F1159+L1159*(I1159-F1159),"")</f>
      </c>
      <c r="N1159" s="12">
        <f>IF(K1159=1,G1159+L1159*(J1159-G1159),"")</f>
      </c>
    </row>
    <row r="1160" spans="2:14" x14ac:dyDescent="0.25">
      <c r="B1160">
        <v>74</v>
      </c>
      <c r="C1160">
        <v>288.75</v>
      </c>
      <c r="D1160">
        <v>12</v>
      </c>
      <c r="E1160" s="18">
        <v>-1237.018574544867</v>
      </c>
      <c r="F1160" s="18">
        <v>-1831.0726795101752</v>
      </c>
      <c r="G1160" s="18">
        <v>1293.7661052842473</v>
      </c>
      <c r="H1160" s="12">
        <f>E1161</f>
      </c>
      <c r="I1160" s="12">
        <f>F1161</f>
      </c>
      <c r="J1160" s="12">
        <f>G1161</f>
      </c>
      <c r="K1160">
        <f>IF(AND(Pu&gt;=MIN(E1160,H1160),Pu&lt;=MAX(E1160,H1160),E1160&lt;&gt;H1160),1,0)</f>
      </c>
      <c r="L1160">
        <f>IF(K1160=1,(Pu-E1160)/(H1160-E1160),"")</f>
      </c>
      <c r="M1160" s="12">
        <f>IF(K1160=1,F1160+L1160*(I1160-F1160),"")</f>
      </c>
      <c r="N1160" s="12">
        <f>IF(K1160=1,G1160+L1160*(J1160-G1160),"")</f>
      </c>
    </row>
    <row r="1161" spans="2:14" x14ac:dyDescent="0.25">
      <c r="B1161">
        <v>74</v>
      </c>
      <c r="C1161">
        <v>288.75</v>
      </c>
      <c r="D1161">
        <v>13</v>
      </c>
      <c r="E1161" s="18">
        <v>-2539.9052022943356</v>
      </c>
      <c r="F1161" s="18">
        <v>-1210.5523402057313</v>
      </c>
      <c r="G1161" s="18">
        <v>951.399153474725</v>
      </c>
      <c r="H1161" s="12">
        <f>E1162</f>
      </c>
      <c r="I1161" s="12">
        <f>F1162</f>
      </c>
      <c r="J1161" s="12">
        <f>G1162</f>
      </c>
      <c r="K1161">
        <f>IF(AND(Pu&gt;=MIN(E1161,H1161),Pu&lt;=MAX(E1161,H1161),E1161&lt;&gt;H1161),1,0)</f>
      </c>
      <c r="L1161">
        <f>IF(K1161=1,(Pu-E1161)/(H1161-E1161),"")</f>
      </c>
      <c r="M1161" s="12">
        <f>IF(K1161=1,F1161+L1161*(I1161-F1161),"")</f>
      </c>
      <c r="N1161" s="12">
        <f>IF(K1161=1,G1161+L1161*(J1161-G1161),"")</f>
      </c>
    </row>
    <row r="1162" spans="2:7" x14ac:dyDescent="0.25">
      <c r="B1162">
        <v>74</v>
      </c>
      <c r="C1162">
        <v>288.75</v>
      </c>
      <c r="D1162">
        <v>14</v>
      </c>
      <c r="E1162" s="18">
        <v>-4311.15905697642</v>
      </c>
      <c r="F1162" s="18">
        <v>-333.33770281416963</v>
      </c>
      <c r="G1162" s="18">
        <v>285.1693600629736</v>
      </c>
    </row>
    <row r="1164" spans="2:14" x14ac:dyDescent="0.25">
      <c r="B1164">
        <v>75</v>
      </c>
      <c r="C1164">
        <v>292.50000000000006</v>
      </c>
      <c r="D1164">
        <v>1</v>
      </c>
      <c r="E1164" s="18">
        <v>16557.40846121927</v>
      </c>
      <c r="F1164" s="18">
        <v>-2351.7378381701533</v>
      </c>
      <c r="G1164" s="18">
        <v>1521.487541928973</v>
      </c>
      <c r="H1164" s="12">
        <f>E1165</f>
      </c>
      <c r="I1164" s="12">
        <f>F1165</f>
      </c>
      <c r="J1164" s="12">
        <f>G1165</f>
      </c>
      <c r="K1164">
        <f>IF(AND(Pu&gt;=MIN(E1164,H1164),Pu&lt;=MAX(E1164,H1164),E1164&lt;&gt;H1164),1,0)</f>
      </c>
      <c r="L1164">
        <f>IF(K1164=1,(Pu-E1164)/(H1164-E1164),"")</f>
      </c>
      <c r="M1164" s="12">
        <f>IF(K1164=1,F1164+L1164*(I1164-F1164),"")</f>
      </c>
      <c r="N1164" s="12">
        <f>IF(K1164=1,G1164+L1164*(J1164-G1164),"")</f>
      </c>
    </row>
    <row r="1165" spans="2:14" x14ac:dyDescent="0.25">
      <c r="B1165">
        <v>75</v>
      </c>
      <c r="C1165">
        <v>292.50000000000006</v>
      </c>
      <c r="D1165">
        <v>2</v>
      </c>
      <c r="E1165" s="18">
        <v>13787.35459402717</v>
      </c>
      <c r="F1165" s="18">
        <v>-3243.9505830445078</v>
      </c>
      <c r="G1165" s="18">
        <v>1540.8172447784093</v>
      </c>
      <c r="H1165" s="12">
        <f>E1166</f>
      </c>
      <c r="I1165" s="12">
        <f>F1166</f>
      </c>
      <c r="J1165" s="12">
        <f>G1166</f>
      </c>
      <c r="K1165">
        <f>IF(AND(Pu&gt;=MIN(E1165,H1165),Pu&lt;=MAX(E1165,H1165),E1165&lt;&gt;H1165),1,0)</f>
      </c>
      <c r="L1165">
        <f>IF(K1165=1,(Pu-E1165)/(H1165-E1165),"")</f>
      </c>
      <c r="M1165" s="12">
        <f>IF(K1165=1,F1165+L1165*(I1165-F1165),"")</f>
      </c>
      <c r="N1165" s="12">
        <f>IF(K1165=1,G1165+L1165*(J1165-G1165),"")</f>
      </c>
    </row>
    <row r="1166" spans="2:14" x14ac:dyDescent="0.25">
      <c r="B1166">
        <v>75</v>
      </c>
      <c r="C1166">
        <v>292.50000000000006</v>
      </c>
      <c r="D1166">
        <v>3</v>
      </c>
      <c r="E1166" s="18">
        <v>11906.581702234136</v>
      </c>
      <c r="F1166" s="18">
        <v>-3628.8315220228706</v>
      </c>
      <c r="G1166" s="18">
        <v>1615.6790353202666</v>
      </c>
      <c r="H1166" s="12">
        <f>E1167</f>
      </c>
      <c r="I1166" s="12">
        <f>F1167</f>
      </c>
      <c r="J1166" s="12">
        <f>G1167</f>
      </c>
      <c r="K1166">
        <f>IF(AND(Pu&gt;=MIN(E1166,H1166),Pu&lt;=MAX(E1166,H1166),E1166&lt;&gt;H1166),1,0)</f>
      </c>
      <c r="L1166">
        <f>IF(K1166=1,(Pu-E1166)/(H1166-E1166),"")</f>
      </c>
      <c r="M1166" s="12">
        <f>IF(K1166=1,F1166+L1166*(I1166-F1166),"")</f>
      </c>
      <c r="N1166" s="12">
        <f>IF(K1166=1,G1166+L1166*(J1166-G1166),"")</f>
      </c>
    </row>
    <row r="1167" spans="2:14" x14ac:dyDescent="0.25">
      <c r="B1167">
        <v>75</v>
      </c>
      <c r="C1167">
        <v>292.50000000000006</v>
      </c>
      <c r="D1167">
        <v>4</v>
      </c>
      <c r="E1167" s="18">
        <v>10320.665762980429</v>
      </c>
      <c r="F1167" s="18">
        <v>-3824.6039501815044</v>
      </c>
      <c r="G1167" s="18">
        <v>1695.4875761629114</v>
      </c>
      <c r="H1167" s="12">
        <f>E1168</f>
      </c>
      <c r="I1167" s="12">
        <f>F1168</f>
      </c>
      <c r="J1167" s="12">
        <f>G1168</f>
      </c>
      <c r="K1167">
        <f>IF(AND(Pu&gt;=MIN(E1167,H1167),Pu&lt;=MAX(E1167,H1167),E1167&lt;&gt;H1167),1,0)</f>
      </c>
      <c r="L1167">
        <f>IF(K1167=1,(Pu-E1167)/(H1167-E1167),"")</f>
      </c>
      <c r="M1167" s="12">
        <f>IF(K1167=1,F1167+L1167*(I1167-F1167),"")</f>
      </c>
      <c r="N1167" s="12">
        <f>IF(K1167=1,G1167+L1167*(J1167-G1167),"")</f>
      </c>
    </row>
    <row r="1168" spans="2:14" x14ac:dyDescent="0.25">
      <c r="B1168">
        <v>75</v>
      </c>
      <c r="C1168">
        <v>292.50000000000006</v>
      </c>
      <c r="D1168">
        <v>5</v>
      </c>
      <c r="E1168" s="18">
        <v>8946.634448049082</v>
      </c>
      <c r="F1168" s="18">
        <v>-3931.575802754913</v>
      </c>
      <c r="G1168" s="18">
        <v>1757.2968406061752</v>
      </c>
      <c r="H1168" s="12">
        <f>E1169</f>
      </c>
      <c r="I1168" s="12">
        <f>F1169</f>
      </c>
      <c r="J1168" s="12">
        <f>G1169</f>
      </c>
      <c r="K1168">
        <f>IF(AND(Pu&gt;=MIN(E1168,H1168),Pu&lt;=MAX(E1168,H1168),E1168&lt;&gt;H1168),1,0)</f>
      </c>
      <c r="L1168">
        <f>IF(K1168=1,(Pu-E1168)/(H1168-E1168),"")</f>
      </c>
      <c r="M1168" s="12">
        <f>IF(K1168=1,F1168+L1168*(I1168-F1168),"")</f>
      </c>
      <c r="N1168" s="12">
        <f>IF(K1168=1,G1168+L1168*(J1168-G1168),"")</f>
      </c>
    </row>
    <row r="1169" spans="2:14" x14ac:dyDescent="0.25">
      <c r="B1169">
        <v>75</v>
      </c>
      <c r="C1169">
        <v>292.50000000000006</v>
      </c>
      <c r="D1169">
        <v>6</v>
      </c>
      <c r="E1169" s="18">
        <v>7542.151300443808</v>
      </c>
      <c r="F1169" s="18">
        <v>-4266.790598582744</v>
      </c>
      <c r="G1169" s="18">
        <v>2005.1431113744995</v>
      </c>
      <c r="H1169" s="12">
        <f>E1170</f>
      </c>
      <c r="I1169" s="12">
        <f>F1170</f>
      </c>
      <c r="J1169" s="12">
        <f>G1170</f>
      </c>
      <c r="K1169">
        <f>IF(AND(Pu&gt;=MIN(E1169,H1169),Pu&lt;=MAX(E1169,H1169),E1169&lt;&gt;H1169),1,0)</f>
      </c>
      <c r="L1169">
        <f>IF(K1169=1,(Pu-E1169)/(H1169-E1169),"")</f>
      </c>
      <c r="M1169" s="12">
        <f>IF(K1169=1,F1169+L1169*(I1169-F1169),"")</f>
      </c>
      <c r="N1169" s="12">
        <f>IF(K1169=1,G1169+L1169*(J1169-G1169),"")</f>
      </c>
    </row>
    <row r="1170" spans="2:14" x14ac:dyDescent="0.25">
      <c r="B1170">
        <v>75</v>
      </c>
      <c r="C1170">
        <v>292.50000000000006</v>
      </c>
      <c r="D1170">
        <v>7</v>
      </c>
      <c r="E1170" s="18">
        <v>6421.265972082092</v>
      </c>
      <c r="F1170" s="18">
        <v>-4326.605658612296</v>
      </c>
      <c r="G1170" s="18">
        <v>2217.3118868752467</v>
      </c>
      <c r="H1170" s="12">
        <f>E1171</f>
      </c>
      <c r="I1170" s="12">
        <f>F1171</f>
      </c>
      <c r="J1170" s="12">
        <f>G1171</f>
      </c>
      <c r="K1170">
        <f>IF(AND(Pu&gt;=MIN(E1170,H1170),Pu&lt;=MAX(E1170,H1170),E1170&lt;&gt;H1170),1,0)</f>
      </c>
      <c r="L1170">
        <f>IF(K1170=1,(Pu-E1170)/(H1170-E1170),"")</f>
      </c>
      <c r="M1170" s="12">
        <f>IF(K1170=1,F1170+L1170*(I1170-F1170),"")</f>
      </c>
      <c r="N1170" s="12">
        <f>IF(K1170=1,G1170+L1170*(J1170-G1170),"")</f>
      </c>
    </row>
    <row r="1171" spans="2:14" x14ac:dyDescent="0.25">
      <c r="B1171">
        <v>75</v>
      </c>
      <c r="C1171">
        <v>292.50000000000006</v>
      </c>
      <c r="D1171">
        <v>8</v>
      </c>
      <c r="E1171" s="18">
        <v>5208.752604383591</v>
      </c>
      <c r="F1171" s="18">
        <v>-4200.24350893134</v>
      </c>
      <c r="G1171" s="18">
        <v>2446.1374143572157</v>
      </c>
      <c r="H1171" s="12">
        <f>E1172</f>
      </c>
      <c r="I1171" s="12">
        <f>F1172</f>
      </c>
      <c r="J1171" s="12">
        <f>G1172</f>
      </c>
      <c r="K1171">
        <f>IF(AND(Pu&gt;=MIN(E1171,H1171),Pu&lt;=MAX(E1171,H1171),E1171&lt;&gt;H1171),1,0)</f>
      </c>
      <c r="L1171">
        <f>IF(K1171=1,(Pu-E1171)/(H1171-E1171),"")</f>
      </c>
      <c r="M1171" s="12">
        <f>IF(K1171=1,F1171+L1171*(I1171-F1171),"")</f>
      </c>
      <c r="N1171" s="12">
        <f>IF(K1171=1,G1171+L1171*(J1171-G1171),"")</f>
      </c>
    </row>
    <row r="1172" spans="2:14" x14ac:dyDescent="0.25">
      <c r="B1172">
        <v>75</v>
      </c>
      <c r="C1172">
        <v>292.50000000000006</v>
      </c>
      <c r="D1172">
        <v>9</v>
      </c>
      <c r="E1172" s="18">
        <v>3853.461613735973</v>
      </c>
      <c r="F1172" s="18">
        <v>-3774.2177268784767</v>
      </c>
      <c r="G1172" s="18">
        <v>2396.317854298047</v>
      </c>
      <c r="H1172" s="12">
        <f>E1173</f>
      </c>
      <c r="I1172" s="12">
        <f>F1173</f>
      </c>
      <c r="J1172" s="12">
        <f>G1173</f>
      </c>
      <c r="K1172">
        <f>IF(AND(Pu&gt;=MIN(E1172,H1172),Pu&lt;=MAX(E1172,H1172),E1172&lt;&gt;H1172),1,0)</f>
      </c>
      <c r="L1172">
        <f>IF(K1172=1,(Pu-E1172)/(H1172-E1172),"")</f>
      </c>
      <c r="M1172" s="12">
        <f>IF(K1172=1,F1172+L1172*(I1172-F1172),"")</f>
      </c>
      <c r="N1172" s="12">
        <f>IF(K1172=1,G1172+L1172*(J1172-G1172),"")</f>
      </c>
    </row>
    <row r="1173" spans="2:14" x14ac:dyDescent="0.25">
      <c r="B1173">
        <v>75</v>
      </c>
      <c r="C1173">
        <v>292.50000000000006</v>
      </c>
      <c r="D1173">
        <v>10</v>
      </c>
      <c r="E1173" s="18">
        <v>1988.644452666032</v>
      </c>
      <c r="F1173" s="18">
        <v>-3106.5914674201927</v>
      </c>
      <c r="G1173" s="18">
        <v>2176.477724734926</v>
      </c>
      <c r="H1173" s="12">
        <f>E1174</f>
      </c>
      <c r="I1173" s="12">
        <f>F1174</f>
      </c>
      <c r="J1173" s="12">
        <f>G1174</f>
      </c>
      <c r="K1173">
        <f>IF(AND(Pu&gt;=MIN(E1173,H1173),Pu&lt;=MAX(E1173,H1173),E1173&lt;&gt;H1173),1,0)</f>
      </c>
      <c r="L1173">
        <f>IF(K1173=1,(Pu-E1173)/(H1173-E1173),"")</f>
      </c>
      <c r="M1173" s="12">
        <f>IF(K1173=1,F1173+L1173*(I1173-F1173),"")</f>
      </c>
      <c r="N1173" s="12">
        <f>IF(K1173=1,G1173+L1173*(J1173-G1173),"")</f>
      </c>
    </row>
    <row r="1174" spans="2:14" x14ac:dyDescent="0.25">
      <c r="B1174">
        <v>75</v>
      </c>
      <c r="C1174">
        <v>292.50000000000006</v>
      </c>
      <c r="D1174">
        <v>11</v>
      </c>
      <c r="E1174" s="18">
        <v>740.7199496883727</v>
      </c>
      <c r="F1174" s="18">
        <v>-2622.592887282201</v>
      </c>
      <c r="G1174" s="18">
        <v>1931.018976673475</v>
      </c>
      <c r="H1174" s="12">
        <f>E1175</f>
      </c>
      <c r="I1174" s="12">
        <f>F1175</f>
      </c>
      <c r="J1174" s="12">
        <f>G1175</f>
      </c>
      <c r="K1174">
        <f>IF(AND(Pu&gt;=MIN(E1174,H1174),Pu&lt;=MAX(E1174,H1174),E1174&lt;&gt;H1174),1,0)</f>
      </c>
      <c r="L1174">
        <f>IF(K1174=1,(Pu-E1174)/(H1174-E1174),"")</f>
      </c>
      <c r="M1174" s="12">
        <f>IF(K1174=1,F1174+L1174*(I1174-F1174),"")</f>
      </c>
      <c r="N1174" s="12">
        <f>IF(K1174=1,G1174+L1174*(J1174-G1174),"")</f>
      </c>
    </row>
    <row r="1175" spans="2:14" x14ac:dyDescent="0.25">
      <c r="B1175">
        <v>75</v>
      </c>
      <c r="C1175">
        <v>292.50000000000006</v>
      </c>
      <c r="D1175">
        <v>12</v>
      </c>
      <c r="E1175" s="18">
        <v>-1459.5891334705111</v>
      </c>
      <c r="F1175" s="18">
        <v>-1685.9605431913328</v>
      </c>
      <c r="G1175" s="18">
        <v>1382.2249101827133</v>
      </c>
      <c r="H1175" s="12">
        <f>E1176</f>
      </c>
      <c r="I1175" s="12">
        <f>F1176</f>
      </c>
      <c r="J1175" s="12">
        <f>G1176</f>
      </c>
      <c r="K1175">
        <f>IF(AND(Pu&gt;=MIN(E1175,H1175),Pu&lt;=MAX(E1175,H1175),E1175&lt;&gt;H1175),1,0)</f>
      </c>
      <c r="L1175">
        <f>IF(K1175=1,(Pu-E1175)/(H1175-E1175),"")</f>
      </c>
      <c r="M1175" s="12">
        <f>IF(K1175=1,F1175+L1175*(I1175-F1175),"")</f>
      </c>
      <c r="N1175" s="12">
        <f>IF(K1175=1,G1175+L1175*(J1175-G1175),"")</f>
      </c>
    </row>
    <row r="1176" spans="2:14" x14ac:dyDescent="0.25">
      <c r="B1176">
        <v>75</v>
      </c>
      <c r="C1176">
        <v>292.50000000000006</v>
      </c>
      <c r="D1176">
        <v>13</v>
      </c>
      <c r="E1176" s="18">
        <v>-2630.1514750161855</v>
      </c>
      <c r="F1176" s="18">
        <v>-1139.073781616524</v>
      </c>
      <c r="G1176" s="18">
        <v>1003.5065037734462</v>
      </c>
      <c r="H1176" s="12">
        <f>E1177</f>
      </c>
      <c r="I1176" s="12">
        <f>F1177</f>
      </c>
      <c r="J1176" s="12">
        <f>G1177</f>
      </c>
      <c r="K1176">
        <f>IF(AND(Pu&gt;=MIN(E1176,H1176),Pu&lt;=MAX(E1176,H1176),E1176&lt;&gt;H1176),1,0)</f>
      </c>
      <c r="L1176">
        <f>IF(K1176=1,(Pu-E1176)/(H1176-E1176),"")</f>
      </c>
      <c r="M1176" s="12">
        <f>IF(K1176=1,F1176+L1176*(I1176-F1176),"")</f>
      </c>
      <c r="N1176" s="12">
        <f>IF(K1176=1,G1176+L1176*(J1176-G1176),"")</f>
      </c>
    </row>
    <row r="1177" spans="2:7" x14ac:dyDescent="0.25">
      <c r="B1177">
        <v>75</v>
      </c>
      <c r="C1177">
        <v>292.50000000000006</v>
      </c>
      <c r="D1177">
        <v>14</v>
      </c>
      <c r="E1177" s="18">
        <v>-4325.435467284807</v>
      </c>
      <c r="F1177" s="18">
        <v>-322.78377363677714</v>
      </c>
      <c r="G1177" s="18">
        <v>287.99318423696184</v>
      </c>
    </row>
    <row r="1179" spans="2:14" x14ac:dyDescent="0.25">
      <c r="B1179">
        <v>76</v>
      </c>
      <c r="C1179">
        <v>296.25000000000006</v>
      </c>
      <c r="D1179">
        <v>1</v>
      </c>
      <c r="E1179" s="18">
        <v>16744.100793970072</v>
      </c>
      <c r="F1179" s="18">
        <v>-2201.879485270092</v>
      </c>
      <c r="G1179" s="18">
        <v>1696.14552168296</v>
      </c>
      <c r="H1179" s="12">
        <f>E1180</f>
      </c>
      <c r="I1179" s="12">
        <f>F1180</f>
      </c>
      <c r="J1179" s="12">
        <f>G1180</f>
      </c>
      <c r="K1179">
        <f>IF(AND(Pu&gt;=MIN(E1179,H1179),Pu&lt;=MAX(E1179,H1179),E1179&lt;&gt;H1179),1,0)</f>
      </c>
      <c r="L1179">
        <f>IF(K1179=1,(Pu-E1179)/(H1179-E1179),"")</f>
      </c>
      <c r="M1179" s="12">
        <f>IF(K1179=1,F1179+L1179*(I1179-F1179),"")</f>
      </c>
      <c r="N1179" s="12">
        <f>IF(K1179=1,G1179+L1179*(J1179-G1179),"")</f>
      </c>
    </row>
    <row r="1180" spans="2:14" x14ac:dyDescent="0.25">
      <c r="B1180">
        <v>76</v>
      </c>
      <c r="C1180">
        <v>296.25000000000006</v>
      </c>
      <c r="D1180">
        <v>2</v>
      </c>
      <c r="E1180" s="18">
        <v>13912.338945812035</v>
      </c>
      <c r="F1180" s="18">
        <v>-3102.3309472937185</v>
      </c>
      <c r="G1180" s="18">
        <v>1793.7583710510705</v>
      </c>
      <c r="H1180" s="12">
        <f>E1181</f>
      </c>
      <c r="I1180" s="12">
        <f>F1181</f>
      </c>
      <c r="J1180" s="12">
        <f>G1181</f>
      </c>
      <c r="K1180">
        <f>IF(AND(Pu&gt;=MIN(E1180,H1180),Pu&lt;=MAX(E1180,H1180),E1180&lt;&gt;H1180),1,0)</f>
      </c>
      <c r="L1180">
        <f>IF(K1180=1,(Pu-E1180)/(H1180-E1180),"")</f>
      </c>
      <c r="M1180" s="12">
        <f>IF(K1180=1,F1180+L1180*(I1180-F1180),"")</f>
      </c>
      <c r="N1180" s="12">
        <f>IF(K1180=1,G1180+L1180*(J1180-G1180),"")</f>
      </c>
    </row>
    <row r="1181" spans="2:14" x14ac:dyDescent="0.25">
      <c r="B1181">
        <v>76</v>
      </c>
      <c r="C1181">
        <v>296.25000000000006</v>
      </c>
      <c r="D1181">
        <v>3</v>
      </c>
      <c r="E1181" s="18">
        <v>11929.77969596678</v>
      </c>
      <c r="F1181" s="18">
        <v>-3494.1701732296015</v>
      </c>
      <c r="G1181" s="18">
        <v>1895.405203995337</v>
      </c>
      <c r="H1181" s="12">
        <f>E1182</f>
      </c>
      <c r="I1181" s="12">
        <f>F1182</f>
      </c>
      <c r="J1181" s="12">
        <f>G1182</f>
      </c>
      <c r="K1181">
        <f>IF(AND(Pu&gt;=MIN(E1181,H1181),Pu&lt;=MAX(E1181,H1181),E1181&lt;&gt;H1181),1,0)</f>
      </c>
      <c r="L1181">
        <f>IF(K1181=1,(Pu-E1181)/(H1181-E1181),"")</f>
      </c>
      <c r="M1181" s="12">
        <f>IF(K1181=1,F1181+L1181*(I1181-F1181),"")</f>
      </c>
      <c r="N1181" s="12">
        <f>IF(K1181=1,G1181+L1181*(J1181-G1181),"")</f>
      </c>
    </row>
    <row r="1182" spans="2:14" x14ac:dyDescent="0.25">
      <c r="B1182">
        <v>76</v>
      </c>
      <c r="C1182">
        <v>296.25000000000006</v>
      </c>
      <c r="D1182">
        <v>4</v>
      </c>
      <c r="E1182" s="18">
        <v>10299.95806316187</v>
      </c>
      <c r="F1182" s="18">
        <v>-3692.7863231788656</v>
      </c>
      <c r="G1182" s="18">
        <v>1980.7029489475801</v>
      </c>
      <c r="H1182" s="12">
        <f>E1183</f>
      </c>
      <c r="I1182" s="12">
        <f>F1183</f>
      </c>
      <c r="J1182" s="12">
        <f>G1183</f>
      </c>
      <c r="K1182">
        <f>IF(AND(Pu&gt;=MIN(E1182,H1182),Pu&lt;=MAX(E1182,H1182),E1182&lt;&gt;H1182),1,0)</f>
      </c>
      <c r="L1182">
        <f>IF(K1182=1,(Pu-E1182)/(H1182-E1182),"")</f>
      </c>
      <c r="M1182" s="12">
        <f>IF(K1182=1,F1182+L1182*(I1182-F1182),"")</f>
      </c>
      <c r="N1182" s="12">
        <f>IF(K1182=1,G1182+L1182*(J1182-G1182),"")</f>
      </c>
    </row>
    <row r="1183" spans="2:14" x14ac:dyDescent="0.25">
      <c r="B1183">
        <v>76</v>
      </c>
      <c r="C1183">
        <v>296.25000000000006</v>
      </c>
      <c r="D1183">
        <v>5</v>
      </c>
      <c r="E1183" s="18">
        <v>8868.93489281223</v>
      </c>
      <c r="F1183" s="18">
        <v>-3777.2764500360486</v>
      </c>
      <c r="G1183" s="18">
        <v>2069.1813411103685</v>
      </c>
      <c r="H1183" s="12">
        <f>E1184</f>
      </c>
      <c r="I1183" s="12">
        <f>F1184</f>
      </c>
      <c r="J1183" s="12">
        <f>G1184</f>
      </c>
      <c r="K1183">
        <f>IF(AND(Pu&gt;=MIN(E1183,H1183),Pu&lt;=MAX(E1183,H1183),E1183&lt;&gt;H1183),1,0)</f>
      </c>
      <c r="L1183">
        <f>IF(K1183=1,(Pu-E1183)/(H1183-E1183),"")</f>
      </c>
      <c r="M1183" s="12">
        <f>IF(K1183=1,F1183+L1183*(I1183-F1183),"")</f>
      </c>
      <c r="N1183" s="12">
        <f>IF(K1183=1,G1183+L1183*(J1183-G1183),"")</f>
      </c>
    </row>
    <row r="1184" spans="2:14" x14ac:dyDescent="0.25">
      <c r="B1184">
        <v>76</v>
      </c>
      <c r="C1184">
        <v>296.25000000000006</v>
      </c>
      <c r="D1184">
        <v>6</v>
      </c>
      <c r="E1184" s="18">
        <v>7371.238635732024</v>
      </c>
      <c r="F1184" s="18">
        <v>-4081.7244011154066</v>
      </c>
      <c r="G1184" s="18">
        <v>2320.912706667916</v>
      </c>
      <c r="H1184" s="12">
        <f>E1185</f>
      </c>
      <c r="I1184" s="12">
        <f>F1185</f>
      </c>
      <c r="J1184" s="12">
        <f>G1185</f>
      </c>
      <c r="K1184">
        <f>IF(AND(Pu&gt;=MIN(E1184,H1184),Pu&lt;=MAX(E1184,H1184),E1184&lt;&gt;H1184),1,0)</f>
      </c>
      <c r="L1184">
        <f>IF(K1184=1,(Pu-E1184)/(H1184-E1184),"")</f>
      </c>
      <c r="M1184" s="12">
        <f>IF(K1184=1,F1184+L1184*(I1184-F1184),"")</f>
      </c>
      <c r="N1184" s="12">
        <f>IF(K1184=1,G1184+L1184*(J1184-G1184),"")</f>
      </c>
    </row>
    <row r="1185" spans="2:14" x14ac:dyDescent="0.25">
      <c r="B1185">
        <v>76</v>
      </c>
      <c r="C1185">
        <v>296.25000000000006</v>
      </c>
      <c r="D1185">
        <v>7</v>
      </c>
      <c r="E1185" s="18">
        <v>6015.224838528364</v>
      </c>
      <c r="F1185" s="18">
        <v>-4052.642210645822</v>
      </c>
      <c r="G1185" s="18">
        <v>2579.0273319655334</v>
      </c>
      <c r="H1185" s="12">
        <f>E1186</f>
      </c>
      <c r="I1185" s="12">
        <f>F1186</f>
      </c>
      <c r="J1185" s="12">
        <f>G1186</f>
      </c>
      <c r="K1185">
        <f>IF(AND(Pu&gt;=MIN(E1185,H1185),Pu&lt;=MAX(E1185,H1185),E1185&lt;&gt;H1185),1,0)</f>
      </c>
      <c r="L1185">
        <f>IF(K1185=1,(Pu-E1185)/(H1185-E1185),"")</f>
      </c>
      <c r="M1185" s="12">
        <f>IF(K1185=1,F1185+L1185*(I1185-F1185),"")</f>
      </c>
      <c r="N1185" s="12">
        <f>IF(K1185=1,G1185+L1185*(J1185-G1185),"")</f>
      </c>
    </row>
    <row r="1186" spans="2:14" x14ac:dyDescent="0.25">
      <c r="B1186">
        <v>76</v>
      </c>
      <c r="C1186">
        <v>296.25000000000006</v>
      </c>
      <c r="D1186">
        <v>8</v>
      </c>
      <c r="E1186" s="18">
        <v>4814.8752328357705</v>
      </c>
      <c r="F1186" s="18">
        <v>-3900.655714254082</v>
      </c>
      <c r="G1186" s="18">
        <v>2789.012963954556</v>
      </c>
      <c r="H1186" s="12">
        <f>E1187</f>
      </c>
      <c r="I1186" s="12">
        <f>F1187</f>
      </c>
      <c r="J1186" s="12">
        <f>G1187</f>
      </c>
      <c r="K1186">
        <f>IF(AND(Pu&gt;=MIN(E1186,H1186),Pu&lt;=MAX(E1186,H1186),E1186&lt;&gt;H1186),1,0)</f>
      </c>
      <c r="L1186">
        <f>IF(K1186=1,(Pu-E1186)/(H1186-E1186),"")</f>
      </c>
      <c r="M1186" s="12">
        <f>IF(K1186=1,F1186+L1186*(I1186-F1186),"")</f>
      </c>
      <c r="N1186" s="12">
        <f>IF(K1186=1,G1186+L1186*(J1186-G1186),"")</f>
      </c>
    </row>
    <row r="1187" spans="2:14" x14ac:dyDescent="0.25">
      <c r="B1187">
        <v>76</v>
      </c>
      <c r="C1187">
        <v>296.25000000000006</v>
      </c>
      <c r="D1187">
        <v>9</v>
      </c>
      <c r="E1187" s="18">
        <v>3503.3921746783467</v>
      </c>
      <c r="F1187" s="18">
        <v>-3496.613535106827</v>
      </c>
      <c r="G1187" s="18">
        <v>2685.2975128827698</v>
      </c>
      <c r="H1187" s="12">
        <f>E1188</f>
      </c>
      <c r="I1187" s="12">
        <f>F1188</f>
      </c>
      <c r="J1187" s="12">
        <f>G1188</f>
      </c>
      <c r="K1187">
        <f>IF(AND(Pu&gt;=MIN(E1187,H1187),Pu&lt;=MAX(E1187,H1187),E1187&lt;&gt;H1187),1,0)</f>
      </c>
      <c r="L1187">
        <f>IF(K1187=1,(Pu-E1187)/(H1187-E1187),"")</f>
      </c>
      <c r="M1187" s="12">
        <f>IF(K1187=1,F1187+L1187*(I1187-F1187),"")</f>
      </c>
      <c r="N1187" s="12">
        <f>IF(K1187=1,G1187+L1187*(J1187-G1187),"")</f>
      </c>
    </row>
    <row r="1188" spans="2:14" x14ac:dyDescent="0.25">
      <c r="B1188">
        <v>76</v>
      </c>
      <c r="C1188">
        <v>296.25000000000006</v>
      </c>
      <c r="D1188">
        <v>10</v>
      </c>
      <c r="E1188" s="18">
        <v>1774.7340375181627</v>
      </c>
      <c r="F1188" s="18">
        <v>-2915.17126022362</v>
      </c>
      <c r="G1188" s="18">
        <v>2357.93876562033</v>
      </c>
      <c r="H1188" s="12">
        <f>E1189</f>
      </c>
      <c r="I1188" s="12">
        <f>F1189</f>
      </c>
      <c r="J1188" s="12">
        <f>G1189</f>
      </c>
      <c r="K1188">
        <f>IF(AND(Pu&gt;=MIN(E1188,H1188),Pu&lt;=MAX(E1188,H1188),E1188&lt;&gt;H1188),1,0)</f>
      </c>
      <c r="L1188">
        <f>IF(K1188=1,(Pu-E1188)/(H1188-E1188),"")</f>
      </c>
      <c r="M1188" s="12">
        <f>IF(K1188=1,F1188+L1188*(I1188-F1188),"")</f>
      </c>
      <c r="N1188" s="12">
        <f>IF(K1188=1,G1188+L1188*(J1188-G1188),"")</f>
      </c>
    </row>
    <row r="1189" spans="2:14" x14ac:dyDescent="0.25">
      <c r="B1189">
        <v>76</v>
      </c>
      <c r="C1189">
        <v>296.25000000000006</v>
      </c>
      <c r="D1189">
        <v>11</v>
      </c>
      <c r="E1189" s="18">
        <v>554.5550593624505</v>
      </c>
      <c r="F1189" s="18">
        <v>-2473.5040373396787</v>
      </c>
      <c r="G1189" s="18">
        <v>2063.122282156467</v>
      </c>
      <c r="H1189" s="12">
        <f>E1190</f>
      </c>
      <c r="I1189" s="12">
        <f>F1190</f>
      </c>
      <c r="J1189" s="12">
        <f>G1190</f>
      </c>
      <c r="K1189">
        <f>IF(AND(Pu&gt;=MIN(E1189,H1189),Pu&lt;=MAX(E1189,H1189),E1189&lt;&gt;H1189),1,0)</f>
      </c>
      <c r="L1189">
        <f>IF(K1189=1,(Pu-E1189)/(H1189-E1189),"")</f>
      </c>
      <c r="M1189" s="12">
        <f>IF(K1189=1,F1189+L1189*(I1189-F1189),"")</f>
      </c>
      <c r="N1189" s="12">
        <f>IF(K1189=1,G1189+L1189*(J1189-G1189),"")</f>
      </c>
    </row>
    <row r="1190" spans="2:14" x14ac:dyDescent="0.25">
      <c r="B1190">
        <v>76</v>
      </c>
      <c r="C1190">
        <v>296.25000000000006</v>
      </c>
      <c r="D1190">
        <v>12</v>
      </c>
      <c r="E1190" s="18">
        <v>-1522.262186455268</v>
      </c>
      <c r="F1190" s="18">
        <v>-1605.7875193960738</v>
      </c>
      <c r="G1190" s="18">
        <v>1485.1897222643936</v>
      </c>
      <c r="H1190" s="12">
        <f>E1191</f>
      </c>
      <c r="I1190" s="12">
        <f>F1191</f>
      </c>
      <c r="J1190" s="12">
        <f>G1191</f>
      </c>
      <c r="K1190">
        <f>IF(AND(Pu&gt;=MIN(E1190,H1190),Pu&lt;=MAX(E1190,H1190),E1190&lt;&gt;H1190),1,0)</f>
      </c>
      <c r="L1190">
        <f>IF(K1190=1,(Pu-E1190)/(H1190-E1190),"")</f>
      </c>
      <c r="M1190" s="12">
        <f>IF(K1190=1,F1190+L1190*(I1190-F1190),"")</f>
      </c>
      <c r="N1190" s="12">
        <f>IF(K1190=1,G1190+L1190*(J1190-G1190),"")</f>
      </c>
    </row>
    <row r="1191" spans="2:14" x14ac:dyDescent="0.25">
      <c r="B1191">
        <v>76</v>
      </c>
      <c r="C1191">
        <v>296.25000000000006</v>
      </c>
      <c r="D1191">
        <v>13</v>
      </c>
      <c r="E1191" s="18">
        <v>-2675.1561546053426</v>
      </c>
      <c r="F1191" s="18">
        <v>-1090.8576657339906</v>
      </c>
      <c r="G1191" s="18">
        <v>1057.8465017152137</v>
      </c>
      <c r="H1191" s="12">
        <f>E1192</f>
      </c>
      <c r="I1191" s="12">
        <f>F1192</f>
      </c>
      <c r="J1191" s="12">
        <f>G1192</f>
      </c>
      <c r="K1191">
        <f>IF(AND(Pu&gt;=MIN(E1191,H1191),Pu&lt;=MAX(E1191,H1191),E1191&lt;&gt;H1191),1,0)</f>
      </c>
      <c r="L1191">
        <f>IF(K1191=1,(Pu-E1191)/(H1191-E1191),"")</f>
      </c>
      <c r="M1191" s="12">
        <f>IF(K1191=1,F1191+L1191*(I1191-F1191),"")</f>
      </c>
      <c r="N1191" s="12">
        <f>IF(K1191=1,G1191+L1191*(J1191-G1191),"")</f>
      </c>
    </row>
    <row r="1192" spans="2:7" x14ac:dyDescent="0.25">
      <c r="B1192">
        <v>76</v>
      </c>
      <c r="C1192">
        <v>296.25000000000006</v>
      </c>
      <c r="D1192">
        <v>14</v>
      </c>
      <c r="E1192" s="18">
        <v>-4318.740988835909</v>
      </c>
      <c r="F1192" s="18">
        <v>-322.1572569433637</v>
      </c>
      <c r="G1192" s="18">
        <v>302.3432411801936</v>
      </c>
    </row>
    <row r="1194" spans="2:14" x14ac:dyDescent="0.25">
      <c r="B1194">
        <v>77</v>
      </c>
      <c r="C1194">
        <v>300.00000000000006</v>
      </c>
      <c r="D1194">
        <v>1</v>
      </c>
      <c r="E1194" s="18">
        <v>16822.911304027486</v>
      </c>
      <c r="F1194" s="18">
        <v>-2091.0772565373013</v>
      </c>
      <c r="G1194" s="18">
        <v>1846.3121376499741</v>
      </c>
      <c r="H1194" s="12">
        <f>E1195</f>
      </c>
      <c r="I1194" s="12">
        <f>F1195</f>
      </c>
      <c r="J1194" s="12">
        <f>G1195</f>
      </c>
      <c r="K1194">
        <f>IF(AND(Pu&gt;=MIN(E1194,H1194),Pu&lt;=MAX(E1194,H1194),E1194&lt;&gt;H1194),1,0)</f>
      </c>
      <c r="L1194">
        <f>IF(K1194=1,(Pu-E1194)/(H1194-E1194),"")</f>
      </c>
      <c r="M1194" s="12">
        <f>IF(K1194=1,F1194+L1194*(I1194-F1194),"")</f>
      </c>
      <c r="N1194" s="12">
        <f>IF(K1194=1,G1194+L1194*(J1194-G1194),"")</f>
      </c>
    </row>
    <row r="1195" spans="2:14" x14ac:dyDescent="0.25">
      <c r="B1195">
        <v>77</v>
      </c>
      <c r="C1195">
        <v>300.00000000000006</v>
      </c>
      <c r="D1195">
        <v>2</v>
      </c>
      <c r="E1195" s="18">
        <v>14070.917898113932</v>
      </c>
      <c r="F1195" s="18">
        <v>-2928.034801895529</v>
      </c>
      <c r="G1195" s="18">
        <v>2047.833298988298</v>
      </c>
      <c r="H1195" s="12">
        <f>E1196</f>
      </c>
      <c r="I1195" s="12">
        <f>F1196</f>
      </c>
      <c r="J1195" s="12">
        <f>G1196</f>
      </c>
      <c r="K1195">
        <f>IF(AND(Pu&gt;=MIN(E1195,H1195),Pu&lt;=MAX(E1195,H1195),E1195&lt;&gt;H1195),1,0)</f>
      </c>
      <c r="L1195">
        <f>IF(K1195=1,(Pu-E1195)/(H1195-E1195),"")</f>
      </c>
      <c r="M1195" s="12">
        <f>IF(K1195=1,F1195+L1195*(I1195-F1195),"")</f>
      </c>
      <c r="N1195" s="12">
        <f>IF(K1195=1,G1195+L1195*(J1195-G1195),"")</f>
      </c>
    </row>
    <row r="1196" spans="2:14" x14ac:dyDescent="0.25">
      <c r="B1196">
        <v>77</v>
      </c>
      <c r="C1196">
        <v>300.00000000000006</v>
      </c>
      <c r="D1196">
        <v>3</v>
      </c>
      <c r="E1196" s="18">
        <v>11935.566040529277</v>
      </c>
      <c r="F1196" s="18">
        <v>-3346.4962168695943</v>
      </c>
      <c r="G1196" s="18">
        <v>2169.907487776096</v>
      </c>
      <c r="H1196" s="12">
        <f>E1197</f>
      </c>
      <c r="I1196" s="12">
        <f>F1197</f>
      </c>
      <c r="J1196" s="12">
        <f>G1197</f>
      </c>
      <c r="K1196">
        <f>IF(AND(Pu&gt;=MIN(E1196,H1196),Pu&lt;=MAX(E1196,H1196),E1196&lt;&gt;H1196),1,0)</f>
      </c>
      <c r="L1196">
        <f>IF(K1196=1,(Pu-E1196)/(H1196-E1196),"")</f>
      </c>
      <c r="M1196" s="12">
        <f>IF(K1196=1,F1196+L1196*(I1196-F1196),"")</f>
      </c>
      <c r="N1196" s="12">
        <f>IF(K1196=1,G1196+L1196*(J1196-G1196),"")</f>
      </c>
    </row>
    <row r="1197" spans="2:14" x14ac:dyDescent="0.25">
      <c r="B1197">
        <v>77</v>
      </c>
      <c r="C1197">
        <v>300.00000000000006</v>
      </c>
      <c r="D1197">
        <v>4</v>
      </c>
      <c r="E1197" s="18">
        <v>10256.541858725835</v>
      </c>
      <c r="F1197" s="18">
        <v>-3525.165508161799</v>
      </c>
      <c r="G1197" s="18">
        <v>2285.878670822102</v>
      </c>
      <c r="H1197" s="12">
        <f>E1198</f>
      </c>
      <c r="I1197" s="12">
        <f>F1198</f>
      </c>
      <c r="J1197" s="12">
        <f>G1198</f>
      </c>
      <c r="K1197">
        <f>IF(AND(Pu&gt;=MIN(E1197,H1197),Pu&lt;=MAX(E1197,H1197),E1197&lt;&gt;H1197),1,0)</f>
      </c>
      <c r="L1197">
        <f>IF(K1197=1,(Pu-E1197)/(H1197-E1197),"")</f>
      </c>
      <c r="M1197" s="12">
        <f>IF(K1197=1,F1197+L1197*(I1197-F1197),"")</f>
      </c>
      <c r="N1197" s="12">
        <f>IF(K1197=1,G1197+L1197*(J1197-G1197),"")</f>
      </c>
    </row>
    <row r="1198" spans="2:14" x14ac:dyDescent="0.25">
      <c r="B1198">
        <v>77</v>
      </c>
      <c r="C1198">
        <v>300.00000000000006</v>
      </c>
      <c r="D1198">
        <v>5</v>
      </c>
      <c r="E1198" s="18">
        <v>8792.157526062832</v>
      </c>
      <c r="F1198" s="18">
        <v>-3613.031047492514</v>
      </c>
      <c r="G1198" s="18">
        <v>2365.2959646508234</v>
      </c>
      <c r="H1198" s="12">
        <f>E1199</f>
      </c>
      <c r="I1198" s="12">
        <f>F1199</f>
      </c>
      <c r="J1198" s="12">
        <f>G1199</f>
      </c>
      <c r="K1198">
        <f>IF(AND(Pu&gt;=MIN(E1198,H1198),Pu&lt;=MAX(E1198,H1198),E1198&lt;&gt;H1198),1,0)</f>
      </c>
      <c r="L1198">
        <f>IF(K1198=1,(Pu-E1198)/(H1198-E1198),"")</f>
      </c>
      <c r="M1198" s="12">
        <f>IF(K1198=1,F1198+L1198*(I1198-F1198),"")</f>
      </c>
      <c r="N1198" s="12">
        <f>IF(K1198=1,G1198+L1198*(J1198-G1198),"")</f>
      </c>
    </row>
    <row r="1199" spans="2:14" x14ac:dyDescent="0.25">
      <c r="B1199">
        <v>77</v>
      </c>
      <c r="C1199">
        <v>300.00000000000006</v>
      </c>
      <c r="D1199">
        <v>6</v>
      </c>
      <c r="E1199" s="18">
        <v>7180.8257416748775</v>
      </c>
      <c r="F1199" s="18">
        <v>-3862.7924438875834</v>
      </c>
      <c r="G1199" s="18">
        <v>2652.8074218618526</v>
      </c>
      <c r="H1199" s="12">
        <f>E1200</f>
      </c>
      <c r="I1199" s="12">
        <f>F1200</f>
      </c>
      <c r="J1199" s="12">
        <f>G1200</f>
      </c>
      <c r="K1199">
        <f>IF(AND(Pu&gt;=MIN(E1199,H1199),Pu&lt;=MAX(E1199,H1199),E1199&lt;&gt;H1199),1,0)</f>
      </c>
      <c r="L1199">
        <f>IF(K1199=1,(Pu-E1199)/(H1199-E1199),"")</f>
      </c>
      <c r="M1199" s="12">
        <f>IF(K1199=1,F1199+L1199*(I1199-F1199),"")</f>
      </c>
      <c r="N1199" s="12">
        <f>IF(K1199=1,G1199+L1199*(J1199-G1199),"")</f>
      </c>
    </row>
    <row r="1200" spans="2:14" x14ac:dyDescent="0.25">
      <c r="B1200">
        <v>77</v>
      </c>
      <c r="C1200">
        <v>300.00000000000006</v>
      </c>
      <c r="D1200">
        <v>7</v>
      </c>
      <c r="E1200" s="18">
        <v>5652.587608389081</v>
      </c>
      <c r="F1200" s="18">
        <v>-3777.7941585667736</v>
      </c>
      <c r="G1200" s="18">
        <v>2915.9941830047414</v>
      </c>
      <c r="H1200" s="12">
        <f>E1201</f>
      </c>
      <c r="I1200" s="12">
        <f>F1201</f>
      </c>
      <c r="J1200" s="12">
        <f>G1201</f>
      </c>
      <c r="K1200">
        <f>IF(AND(Pu&gt;=MIN(E1200,H1200),Pu&lt;=MAX(E1200,H1200),E1200&lt;&gt;H1200),1,0)</f>
      </c>
      <c r="L1200">
        <f>IF(K1200=1,(Pu-E1200)/(H1200-E1200),"")</f>
      </c>
      <c r="M1200" s="12">
        <f>IF(K1200=1,F1200+L1200*(I1200-F1200),"")</f>
      </c>
      <c r="N1200" s="12">
        <f>IF(K1200=1,G1200+L1200*(J1200-G1200),"")</f>
      </c>
    </row>
    <row r="1201" spans="2:14" x14ac:dyDescent="0.25">
      <c r="B1201">
        <v>77</v>
      </c>
      <c r="C1201">
        <v>300.00000000000006</v>
      </c>
      <c r="D1201">
        <v>8</v>
      </c>
      <c r="E1201" s="18">
        <v>4514.101072206959</v>
      </c>
      <c r="F1201" s="18">
        <v>-3636.5992311156742</v>
      </c>
      <c r="G1201" s="18">
        <v>3075.5587008274288</v>
      </c>
      <c r="H1201" s="12">
        <f>E1202</f>
      </c>
      <c r="I1201" s="12">
        <f>F1202</f>
      </c>
      <c r="J1201" s="12">
        <f>G1202</f>
      </c>
      <c r="K1201">
        <f>IF(AND(Pu&gt;=MIN(E1201,H1201),Pu&lt;=MAX(E1201,H1201),E1201&lt;&gt;H1201),1,0)</f>
      </c>
      <c r="L1201">
        <f>IF(K1201=1,(Pu-E1201)/(H1201-E1201),"")</f>
      </c>
      <c r="M1201" s="12">
        <f>IF(K1201=1,F1201+L1201*(I1201-F1201),"")</f>
      </c>
      <c r="N1201" s="12">
        <f>IF(K1201=1,G1201+L1201*(J1201-G1201),"")</f>
      </c>
    </row>
    <row r="1202" spans="2:14" x14ac:dyDescent="0.25">
      <c r="B1202">
        <v>77</v>
      </c>
      <c r="C1202">
        <v>300.00000000000006</v>
      </c>
      <c r="D1202">
        <v>9</v>
      </c>
      <c r="E1202" s="18">
        <v>3331.7857653191286</v>
      </c>
      <c r="F1202" s="18">
        <v>-3288.9994358440285</v>
      </c>
      <c r="G1202" s="18">
        <v>2907.662440757469</v>
      </c>
      <c r="H1202" s="12">
        <f>E1203</f>
      </c>
      <c r="I1202" s="12">
        <f>F1203</f>
      </c>
      <c r="J1202" s="12">
        <f>G1203</f>
      </c>
      <c r="K1202">
        <f>IF(AND(Pu&gt;=MIN(E1202,H1202),Pu&lt;=MAX(E1202,H1202),E1202&lt;&gt;H1202),1,0)</f>
      </c>
      <c r="L1202">
        <f>IF(K1202=1,(Pu-E1202)/(H1202-E1202),"")</f>
      </c>
      <c r="M1202" s="12">
        <f>IF(K1202=1,F1202+L1202*(I1202-F1202),"")</f>
      </c>
      <c r="N1202" s="12">
        <f>IF(K1202=1,G1202+L1202*(J1202-G1202),"")</f>
      </c>
    </row>
    <row r="1203" spans="2:14" x14ac:dyDescent="0.25">
      <c r="B1203">
        <v>77</v>
      </c>
      <c r="C1203">
        <v>300.00000000000006</v>
      </c>
      <c r="D1203">
        <v>10</v>
      </c>
      <c r="E1203" s="18">
        <v>1637.589209114315</v>
      </c>
      <c r="F1203" s="18">
        <v>-2758.9611942195706</v>
      </c>
      <c r="G1203" s="18">
        <v>2523.6827426699097</v>
      </c>
      <c r="H1203" s="12">
        <f>E1204</f>
      </c>
      <c r="I1203" s="12">
        <f>F1204</f>
      </c>
      <c r="J1203" s="12">
        <f>G1204</f>
      </c>
      <c r="K1203">
        <f>IF(AND(Pu&gt;=MIN(E1203,H1203),Pu&lt;=MAX(E1203,H1203),E1203&lt;&gt;H1203),1,0)</f>
      </c>
      <c r="L1203">
        <f>IF(K1203=1,(Pu-E1203)/(H1203-E1203),"")</f>
      </c>
      <c r="M1203" s="12">
        <f>IF(K1203=1,F1203+L1203*(I1203-F1203),"")</f>
      </c>
      <c r="N1203" s="12">
        <f>IF(K1203=1,G1203+L1203*(J1203-G1203),"")</f>
      </c>
    </row>
    <row r="1204" spans="2:14" x14ac:dyDescent="0.25">
      <c r="B1204">
        <v>77</v>
      </c>
      <c r="C1204">
        <v>300.00000000000006</v>
      </c>
      <c r="D1204">
        <v>11</v>
      </c>
      <c r="E1204" s="18">
        <v>454.51459456183653</v>
      </c>
      <c r="F1204" s="18">
        <v>-2337.694081553412</v>
      </c>
      <c r="G1204" s="18">
        <v>2221.0316363110896</v>
      </c>
      <c r="H1204" s="12">
        <f>E1205</f>
      </c>
      <c r="I1204" s="12">
        <f>F1205</f>
      </c>
      <c r="J1204" s="12">
        <f>G1205</f>
      </c>
      <c r="K1204">
        <f>IF(AND(Pu&gt;=MIN(E1204,H1204),Pu&lt;=MAX(E1204,H1204),E1204&lt;&gt;H1204),1,0)</f>
      </c>
      <c r="L1204">
        <f>IF(K1204=1,(Pu-E1204)/(H1204-E1204),"")</f>
      </c>
      <c r="M1204" s="12">
        <f>IF(K1204=1,F1204+L1204*(I1204-F1204),"")</f>
      </c>
      <c r="N1204" s="12">
        <f>IF(K1204=1,G1204+L1204*(J1204-G1204),"")</f>
      </c>
    </row>
    <row r="1205" spans="2:14" x14ac:dyDescent="0.25">
      <c r="B1205">
        <v>77</v>
      </c>
      <c r="C1205">
        <v>300.00000000000006</v>
      </c>
      <c r="D1205">
        <v>12</v>
      </c>
      <c r="E1205" s="18">
        <v>-1552.0973922406904</v>
      </c>
      <c r="F1205" s="18">
        <v>-1541.7400435552493</v>
      </c>
      <c r="G1205" s="18">
        <v>1576.765002478731</v>
      </c>
      <c r="H1205" s="12">
        <f>E1206</f>
      </c>
      <c r="I1205" s="12">
        <f>F1206</f>
      </c>
      <c r="J1205" s="12">
        <f>G1206</f>
      </c>
      <c r="K1205">
        <f>IF(AND(Pu&gt;=MIN(E1205,H1205),Pu&lt;=MAX(E1205,H1205),E1205&lt;&gt;H1205),1,0)</f>
      </c>
      <c r="L1205">
        <f>IF(K1205=1,(Pu-E1205)/(H1205-E1205),"")</f>
      </c>
      <c r="M1205" s="12">
        <f>IF(K1205=1,F1205+L1205*(I1205-F1205),"")</f>
      </c>
      <c r="N1205" s="12">
        <f>IF(K1205=1,G1205+L1205*(J1205-G1205),"")</f>
      </c>
    </row>
    <row r="1206" spans="2:14" x14ac:dyDescent="0.25">
      <c r="B1206">
        <v>77</v>
      </c>
      <c r="C1206">
        <v>300.00000000000006</v>
      </c>
      <c r="D1206">
        <v>13</v>
      </c>
      <c r="E1206" s="18">
        <v>-2685.9307749147333</v>
      </c>
      <c r="F1206" s="18">
        <v>-1059.2867167057907</v>
      </c>
      <c r="G1206" s="18">
        <v>1117.6191978244199</v>
      </c>
      <c r="H1206" s="12">
        <f>E1207</f>
      </c>
      <c r="I1206" s="12">
        <f>F1207</f>
      </c>
      <c r="J1206" s="12">
        <f>G1207</f>
      </c>
      <c r="K1206">
        <f>IF(AND(Pu&gt;=MIN(E1206,H1206),Pu&lt;=MAX(E1206,H1206),E1206&lt;&gt;H1206),1,0)</f>
      </c>
      <c r="L1206">
        <f>IF(K1206=1,(Pu-E1206)/(H1206-E1206),"")</f>
      </c>
      <c r="M1206" s="12">
        <f>IF(K1206=1,F1206+L1206*(I1206-F1206),"")</f>
      </c>
      <c r="N1206" s="12">
        <f>IF(K1206=1,G1206+L1206*(J1206-G1206),"")</f>
      </c>
    </row>
    <row r="1207" spans="2:7" x14ac:dyDescent="0.25">
      <c r="B1207">
        <v>77</v>
      </c>
      <c r="C1207">
        <v>300.00000000000006</v>
      </c>
      <c r="D1207">
        <v>14</v>
      </c>
      <c r="E1207" s="18">
        <v>-4292.711667858743</v>
      </c>
      <c r="F1207" s="18">
        <v>-329.75830878065005</v>
      </c>
      <c r="G1207" s="18">
        <v>328.58245107037845</v>
      </c>
    </row>
    <row r="1209" spans="2:14" x14ac:dyDescent="0.25">
      <c r="B1209">
        <v>78</v>
      </c>
      <c r="C1209">
        <v>307.5</v>
      </c>
      <c r="D1209">
        <v>1</v>
      </c>
      <c r="E1209" s="18">
        <v>16842.67711210919</v>
      </c>
      <c r="F1209" s="18">
        <v>-1894.3681078044701</v>
      </c>
      <c r="G1209" s="18">
        <v>2132.3232681189397</v>
      </c>
      <c r="H1209" s="12">
        <f>E1210</f>
      </c>
      <c r="I1209" s="12">
        <f>F1210</f>
      </c>
      <c r="J1209" s="12">
        <f>G1210</f>
      </c>
      <c r="K1209">
        <f>IF(AND(Pu&gt;=MIN(E1209,H1209),Pu&lt;=MAX(E1209,H1209),E1209&lt;&gt;H1209),1,0)</f>
      </c>
      <c r="L1209">
        <f>IF(K1209=1,(Pu-E1209)/(H1209-E1209),"")</f>
      </c>
      <c r="M1209" s="12">
        <f>IF(K1209=1,F1209+L1209*(I1209-F1209),"")</f>
      </c>
      <c r="N1209" s="12">
        <f>IF(K1209=1,G1209+L1209*(J1209-G1209),"")</f>
      </c>
    </row>
    <row r="1210" spans="2:14" x14ac:dyDescent="0.25">
      <c r="B1210">
        <v>78</v>
      </c>
      <c r="C1210">
        <v>307.5</v>
      </c>
      <c r="D1210">
        <v>2</v>
      </c>
      <c r="E1210" s="18">
        <v>14299.91824302254</v>
      </c>
      <c r="F1210" s="18">
        <v>-2541.9033393331706</v>
      </c>
      <c r="G1210" s="18">
        <v>2548.802237761253</v>
      </c>
      <c r="H1210" s="12">
        <f>E1211</f>
      </c>
      <c r="I1210" s="12">
        <f>F1211</f>
      </c>
      <c r="J1210" s="12">
        <f>G1211</f>
      </c>
      <c r="K1210">
        <f>IF(AND(Pu&gt;=MIN(E1210,H1210),Pu&lt;=MAX(E1210,H1210),E1210&lt;&gt;H1210),1,0)</f>
      </c>
      <c r="L1210">
        <f>IF(K1210=1,(Pu-E1210)/(H1210-E1210),"")</f>
      </c>
      <c r="M1210" s="12">
        <f>IF(K1210=1,F1210+L1210*(I1210-F1210),"")</f>
      </c>
      <c r="N1210" s="12">
        <f>IF(K1210=1,G1210+L1210*(J1210-G1210),"")</f>
      </c>
    </row>
    <row r="1211" spans="2:14" x14ac:dyDescent="0.25">
      <c r="B1211">
        <v>78</v>
      </c>
      <c r="C1211">
        <v>307.5</v>
      </c>
      <c r="D1211">
        <v>3</v>
      </c>
      <c r="E1211" s="18">
        <v>11924.520528232559</v>
      </c>
      <c r="F1211" s="18">
        <v>-2987.593985977993</v>
      </c>
      <c r="G1211" s="18">
        <v>2714.608935228755</v>
      </c>
      <c r="H1211" s="12">
        <f>E1212</f>
      </c>
      <c r="I1211" s="12">
        <f>F1212</f>
      </c>
      <c r="J1211" s="12">
        <f>G1212</f>
      </c>
      <c r="K1211">
        <f>IF(AND(Pu&gt;=MIN(E1211,H1211),Pu&lt;=MAX(E1211,H1211),E1211&lt;&gt;H1211),1,0)</f>
      </c>
      <c r="L1211">
        <f>IF(K1211=1,(Pu-E1211)/(H1211-E1211),"")</f>
      </c>
      <c r="M1211" s="12">
        <f>IF(K1211=1,F1211+L1211*(I1211-F1211),"")</f>
      </c>
      <c r="N1211" s="12">
        <f>IF(K1211=1,G1211+L1211*(J1211-G1211),"")</f>
      </c>
    </row>
    <row r="1212" spans="2:14" x14ac:dyDescent="0.25">
      <c r="B1212">
        <v>78</v>
      </c>
      <c r="C1212">
        <v>307.5</v>
      </c>
      <c r="D1212">
        <v>4</v>
      </c>
      <c r="E1212" s="18">
        <v>10166.988759695369</v>
      </c>
      <c r="F1212" s="18">
        <v>-3164.3227615278715</v>
      </c>
      <c r="G1212" s="18">
        <v>2839.3699828540634</v>
      </c>
      <c r="H1212" s="12">
        <f>E1213</f>
      </c>
      <c r="I1212" s="12">
        <f>F1213</f>
      </c>
      <c r="J1212" s="12">
        <f>G1213</f>
      </c>
      <c r="K1212">
        <f>IF(AND(Pu&gt;=MIN(E1212,H1212),Pu&lt;=MAX(E1212,H1212),E1212&lt;&gt;H1212),1,0)</f>
      </c>
      <c r="L1212">
        <f>IF(K1212=1,(Pu-E1212)/(H1212-E1212),"")</f>
      </c>
      <c r="M1212" s="12">
        <f>IF(K1212=1,F1212+L1212*(I1212-F1212),"")</f>
      </c>
      <c r="N1212" s="12">
        <f>IF(K1212=1,G1212+L1212*(J1212-G1212),"")</f>
      </c>
    </row>
    <row r="1213" spans="2:14" x14ac:dyDescent="0.25">
      <c r="B1213">
        <v>78</v>
      </c>
      <c r="C1213">
        <v>307.5</v>
      </c>
      <c r="D1213">
        <v>5</v>
      </c>
      <c r="E1213" s="18">
        <v>8651.51273171782</v>
      </c>
      <c r="F1213" s="18">
        <v>-3224.928797479178</v>
      </c>
      <c r="G1213" s="18">
        <v>2941.668142453313</v>
      </c>
      <c r="H1213" s="12">
        <f>E1214</f>
      </c>
      <c r="I1213" s="12">
        <f>F1214</f>
      </c>
      <c r="J1213" s="12">
        <f>G1214</f>
      </c>
      <c r="K1213">
        <f>IF(AND(Pu&gt;=MIN(E1213,H1213),Pu&lt;=MAX(E1213,H1213),E1213&lt;&gt;H1213),1,0)</f>
      </c>
      <c r="L1213">
        <f>IF(K1213=1,(Pu-E1213)/(H1213-E1213),"")</f>
      </c>
      <c r="M1213" s="12">
        <f>IF(K1213=1,F1213+L1213*(I1213-F1213),"")</f>
      </c>
      <c r="N1213" s="12">
        <f>IF(K1213=1,G1213+L1213*(J1213-G1213),"")</f>
      </c>
    </row>
    <row r="1214" spans="2:14" x14ac:dyDescent="0.25">
      <c r="B1214">
        <v>78</v>
      </c>
      <c r="C1214">
        <v>307.5</v>
      </c>
      <c r="D1214">
        <v>6</v>
      </c>
      <c r="E1214" s="18">
        <v>6762.551774205143</v>
      </c>
      <c r="F1214" s="18">
        <v>-3332.336409900022</v>
      </c>
      <c r="G1214" s="18">
        <v>3298.960155902321</v>
      </c>
      <c r="H1214" s="12">
        <f>E1215</f>
      </c>
      <c r="I1214" s="12">
        <f>F1215</f>
      </c>
      <c r="J1214" s="12">
        <f>G1215</f>
      </c>
      <c r="K1214">
        <f>IF(AND(Pu&gt;=MIN(E1214,H1214),Pu&lt;=MAX(E1214,H1214),E1214&lt;&gt;H1214),1,0)</f>
      </c>
      <c r="L1214">
        <f>IF(K1214=1,(Pu-E1214)/(H1214-E1214),"")</f>
      </c>
      <c r="M1214" s="12">
        <f>IF(K1214=1,F1214+L1214*(I1214-F1214),"")</f>
      </c>
      <c r="N1214" s="12">
        <f>IF(K1214=1,G1214+L1214*(J1214-G1214),"")</f>
      </c>
    </row>
    <row r="1215" spans="2:14" x14ac:dyDescent="0.25">
      <c r="B1215">
        <v>78</v>
      </c>
      <c r="C1215">
        <v>307.5</v>
      </c>
      <c r="D1215">
        <v>7</v>
      </c>
      <c r="E1215" s="18">
        <v>5249.535709554336</v>
      </c>
      <c r="F1215" s="18">
        <v>-3276.040333705805</v>
      </c>
      <c r="G1215" s="18">
        <v>3464.3160325741574</v>
      </c>
      <c r="H1215" s="12">
        <f>E1216</f>
      </c>
      <c r="I1215" s="12">
        <f>F1216</f>
      </c>
      <c r="J1215" s="12">
        <f>G1216</f>
      </c>
      <c r="K1215">
        <f>IF(AND(Pu&gt;=MIN(E1215,H1215),Pu&lt;=MAX(E1215,H1215),E1215&lt;&gt;H1215),1,0)</f>
      </c>
      <c r="L1215">
        <f>IF(K1215=1,(Pu-E1215)/(H1215-E1215),"")</f>
      </c>
      <c r="M1215" s="12">
        <f>IF(K1215=1,F1215+L1215*(I1215-F1215),"")</f>
      </c>
      <c r="N1215" s="12">
        <f>IF(K1215=1,G1215+L1215*(J1215-G1215),"")</f>
      </c>
    </row>
    <row r="1216" spans="2:14" x14ac:dyDescent="0.25">
      <c r="B1216">
        <v>78</v>
      </c>
      <c r="C1216">
        <v>307.5</v>
      </c>
      <c r="D1216">
        <v>8</v>
      </c>
      <c r="E1216" s="18">
        <v>4222.559198399392</v>
      </c>
      <c r="F1216" s="18">
        <v>-3218.53470800943</v>
      </c>
      <c r="G1216" s="18">
        <v>3539.8630594330994</v>
      </c>
      <c r="H1216" s="12">
        <f>E1217</f>
      </c>
      <c r="I1216" s="12">
        <f>F1217</f>
      </c>
      <c r="J1216" s="12">
        <f>G1217</f>
      </c>
      <c r="K1216">
        <f>IF(AND(Pu&gt;=MIN(E1216,H1216),Pu&lt;=MAX(E1216,H1216),E1216&lt;&gt;H1216),1,0)</f>
      </c>
      <c r="L1216">
        <f>IF(K1216=1,(Pu-E1216)/(H1216-E1216),"")</f>
      </c>
      <c r="M1216" s="12">
        <f>IF(K1216=1,F1216+L1216*(I1216-F1216),"")</f>
      </c>
      <c r="N1216" s="12">
        <f>IF(K1216=1,G1216+L1216*(J1216-G1216),"")</f>
      </c>
    </row>
    <row r="1217" spans="2:14" x14ac:dyDescent="0.25">
      <c r="B1217">
        <v>78</v>
      </c>
      <c r="C1217">
        <v>307.5</v>
      </c>
      <c r="D1217">
        <v>9</v>
      </c>
      <c r="E1217" s="18">
        <v>3156.6023179219615</v>
      </c>
      <c r="F1217" s="18">
        <v>-2931.7185167318157</v>
      </c>
      <c r="G1217" s="18">
        <v>3299.559311664396</v>
      </c>
      <c r="H1217" s="12">
        <f>E1218</f>
      </c>
      <c r="I1217" s="12">
        <f>F1218</f>
      </c>
      <c r="J1217" s="12">
        <f>G1218</f>
      </c>
      <c r="K1217">
        <f>IF(AND(Pu&gt;=MIN(E1217,H1217),Pu&lt;=MAX(E1217,H1217),E1217&lt;&gt;H1217),1,0)</f>
      </c>
      <c r="L1217">
        <f>IF(K1217=1,(Pu-E1217)/(H1217-E1217),"")</f>
      </c>
      <c r="M1217" s="12">
        <f>IF(K1217=1,F1217+L1217*(I1217-F1217),"")</f>
      </c>
      <c r="N1217" s="12">
        <f>IF(K1217=1,G1217+L1217*(J1217-G1217),"")</f>
      </c>
    </row>
    <row r="1218" spans="2:14" x14ac:dyDescent="0.25">
      <c r="B1218">
        <v>78</v>
      </c>
      <c r="C1218">
        <v>307.5</v>
      </c>
      <c r="D1218">
        <v>10</v>
      </c>
      <c r="E1218" s="18">
        <v>1566.1174287565239</v>
      </c>
      <c r="F1218" s="18">
        <v>-2491.968688063844</v>
      </c>
      <c r="G1218" s="18">
        <v>2869.7473509416423</v>
      </c>
      <c r="H1218" s="12">
        <f>E1219</f>
      </c>
      <c r="I1218" s="12">
        <f>F1219</f>
      </c>
      <c r="J1218" s="12">
        <f>G1219</f>
      </c>
      <c r="K1218">
        <f>IF(AND(Pu&gt;=MIN(E1218,H1218),Pu&lt;=MAX(E1218,H1218),E1218&lt;&gt;H1218),1,0)</f>
      </c>
      <c r="L1218">
        <f>IF(K1218=1,(Pu-E1218)/(H1218-E1218),"")</f>
      </c>
      <c r="M1218" s="12">
        <f>IF(K1218=1,F1218+L1218*(I1218-F1218),"")</f>
      </c>
      <c r="N1218" s="12">
        <f>IF(K1218=1,G1218+L1218*(J1218-G1218),"")</f>
      </c>
    </row>
    <row r="1219" spans="2:14" x14ac:dyDescent="0.25">
      <c r="B1219">
        <v>78</v>
      </c>
      <c r="C1219">
        <v>307.5</v>
      </c>
      <c r="D1219">
        <v>11</v>
      </c>
      <c r="E1219" s="18">
        <v>425.4091359643752</v>
      </c>
      <c r="F1219" s="18">
        <v>-2141.1443005364195</v>
      </c>
      <c r="G1219" s="18">
        <v>2518.704716021321</v>
      </c>
      <c r="H1219" s="12">
        <f>E1220</f>
      </c>
      <c r="I1219" s="12">
        <f>F1220</f>
      </c>
      <c r="J1219" s="12">
        <f>G1220</f>
      </c>
      <c r="K1219">
        <f>IF(AND(Pu&gt;=MIN(E1219,H1219),Pu&lt;=MAX(E1219,H1219),E1219&lt;&gt;H1219),1,0)</f>
      </c>
      <c r="L1219">
        <f>IF(K1219=1,(Pu-E1219)/(H1219-E1219),"")</f>
      </c>
      <c r="M1219" s="12">
        <f>IF(K1219=1,F1219+L1219*(I1219-F1219),"")</f>
      </c>
      <c r="N1219" s="12">
        <f>IF(K1219=1,G1219+L1219*(J1219-G1219),"")</f>
      </c>
    </row>
    <row r="1220" spans="2:14" x14ac:dyDescent="0.25">
      <c r="B1220">
        <v>78</v>
      </c>
      <c r="C1220">
        <v>307.5</v>
      </c>
      <c r="D1220">
        <v>12</v>
      </c>
      <c r="E1220" s="18">
        <v>-1431.5304623280285</v>
      </c>
      <c r="F1220" s="18">
        <v>-1490.7455114746253</v>
      </c>
      <c r="G1220" s="18">
        <v>1788.1377109710847</v>
      </c>
      <c r="H1220" s="12">
        <f>E1221</f>
      </c>
      <c r="I1220" s="12">
        <f>F1221</f>
      </c>
      <c r="J1220" s="12">
        <f>G1221</f>
      </c>
      <c r="K1220">
        <f>IF(AND(Pu&gt;=MIN(E1220,H1220),Pu&lt;=MAX(E1220,H1220),E1220&lt;&gt;H1220),1,0)</f>
      </c>
      <c r="L1220">
        <f>IF(K1220=1,(Pu-E1220)/(H1220-E1220),"")</f>
      </c>
      <c r="M1220" s="12">
        <f>IF(K1220=1,F1220+L1220*(I1220-F1220),"")</f>
      </c>
      <c r="N1220" s="12">
        <f>IF(K1220=1,G1220+L1220*(J1220-G1220),"")</f>
      </c>
    </row>
    <row r="1221" spans="2:14" x14ac:dyDescent="0.25">
      <c r="B1221">
        <v>78</v>
      </c>
      <c r="C1221">
        <v>307.5</v>
      </c>
      <c r="D1221">
        <v>13</v>
      </c>
      <c r="E1221" s="18">
        <v>-2545.970734871875</v>
      </c>
      <c r="F1221" s="18">
        <v>-1061.2908909024177</v>
      </c>
      <c r="G1221" s="18">
        <v>1270.6468792602875</v>
      </c>
      <c r="H1221" s="12">
        <f>E1222</f>
      </c>
      <c r="I1221" s="12">
        <f>F1222</f>
      </c>
      <c r="J1221" s="12">
        <f>G1222</f>
      </c>
      <c r="K1221">
        <f>IF(AND(Pu&gt;=MIN(E1221,H1221),Pu&lt;=MAX(E1221,H1221),E1221&lt;&gt;H1221),1,0)</f>
      </c>
      <c r="L1221">
        <f>IF(K1221=1,(Pu-E1221)/(H1221-E1221),"")</f>
      </c>
      <c r="M1221" s="12">
        <f>IF(K1221=1,F1221+L1221*(I1221-F1221),"")</f>
      </c>
      <c r="N1221" s="12">
        <f>IF(K1221=1,G1221+L1221*(J1221-G1221),"")</f>
      </c>
    </row>
    <row r="1222" spans="2:7" x14ac:dyDescent="0.25">
      <c r="B1222">
        <v>78</v>
      </c>
      <c r="C1222">
        <v>307.5</v>
      </c>
      <c r="D1222">
        <v>14</v>
      </c>
      <c r="E1222" s="18">
        <v>-4128.017111968448</v>
      </c>
      <c r="F1222" s="18">
        <v>-380.3352721946858</v>
      </c>
      <c r="G1222" s="18">
        <v>454.46535249605944</v>
      </c>
    </row>
    <row r="1224" spans="2:14" x14ac:dyDescent="0.25">
      <c r="B1224">
        <v>79</v>
      </c>
      <c r="C1224">
        <v>314.99999999999994</v>
      </c>
      <c r="D1224">
        <v>1</v>
      </c>
      <c r="E1224" s="18">
        <v>17061.13540817806</v>
      </c>
      <c r="F1224" s="18">
        <v>-1637.0202295416113</v>
      </c>
      <c r="G1224" s="18">
        <v>2303.7080788774197</v>
      </c>
      <c r="H1224" s="12">
        <f>E1225</f>
      </c>
      <c r="I1224" s="12">
        <f>F1225</f>
      </c>
      <c r="J1224" s="12">
        <f>G1225</f>
      </c>
      <c r="K1224">
        <f>IF(AND(Pu&gt;=MIN(E1224,H1224),Pu&lt;=MAX(E1224,H1224),E1224&lt;&gt;H1224),1,0)</f>
      </c>
      <c r="L1224">
        <f>IF(K1224=1,(Pu-E1224)/(H1224-E1224),"")</f>
      </c>
      <c r="M1224" s="12">
        <f>IF(K1224=1,F1224+L1224*(I1224-F1224),"")</f>
      </c>
      <c r="N1224" s="12">
        <f>IF(K1224=1,G1224+L1224*(J1224-G1224),"")</f>
      </c>
    </row>
    <row r="1225" spans="2:14" x14ac:dyDescent="0.25">
      <c r="B1225">
        <v>79</v>
      </c>
      <c r="C1225">
        <v>314.99999999999994</v>
      </c>
      <c r="D1225">
        <v>2</v>
      </c>
      <c r="E1225" s="18">
        <v>14734.149067661087</v>
      </c>
      <c r="F1225" s="18">
        <v>-2085.702674064279</v>
      </c>
      <c r="G1225" s="18">
        <v>2914.3994503629065</v>
      </c>
      <c r="H1225" s="12">
        <f>E1226</f>
      </c>
      <c r="I1225" s="12">
        <f>F1226</f>
      </c>
      <c r="J1225" s="12">
        <f>G1226</f>
      </c>
      <c r="K1225">
        <f>IF(AND(Pu&gt;=MIN(E1225,H1225),Pu&lt;=MAX(E1225,H1225),E1225&lt;&gt;H1225),1,0)</f>
      </c>
      <c r="L1225">
        <f>IF(K1225=1,(Pu-E1225)/(H1225-E1225),"")</f>
      </c>
      <c r="M1225" s="12">
        <f>IF(K1225=1,F1225+L1225*(I1225-F1225),"")</f>
      </c>
      <c r="N1225" s="12">
        <f>IF(K1225=1,G1225+L1225*(J1225-G1225),"")</f>
      </c>
    </row>
    <row r="1226" spans="2:14" x14ac:dyDescent="0.25">
      <c r="B1226">
        <v>79</v>
      </c>
      <c r="C1226">
        <v>314.99999999999994</v>
      </c>
      <c r="D1226">
        <v>3</v>
      </c>
      <c r="E1226" s="18">
        <v>12386.265615091015</v>
      </c>
      <c r="F1226" s="18">
        <v>-2510.299703562495</v>
      </c>
      <c r="G1226" s="18">
        <v>3176.061813582953</v>
      </c>
      <c r="H1226" s="12">
        <f>E1227</f>
      </c>
      <c r="I1226" s="12">
        <f>F1227</f>
      </c>
      <c r="J1226" s="12">
        <f>G1227</f>
      </c>
      <c r="K1226">
        <f>IF(AND(Pu&gt;=MIN(E1226,H1226),Pu&lt;=MAX(E1226,H1226),E1226&lt;&gt;H1226),1,0)</f>
      </c>
      <c r="L1226">
        <f>IF(K1226=1,(Pu-E1226)/(H1226-E1226),"")</f>
      </c>
      <c r="M1226" s="12">
        <f>IF(K1226=1,F1226+L1226*(I1226-F1226),"")</f>
      </c>
      <c r="N1226" s="12">
        <f>IF(K1226=1,G1226+L1226*(J1226-G1226),"")</f>
      </c>
    </row>
    <row r="1227" spans="2:14" x14ac:dyDescent="0.25">
      <c r="B1227">
        <v>79</v>
      </c>
      <c r="C1227">
        <v>314.99999999999994</v>
      </c>
      <c r="D1227">
        <v>4</v>
      </c>
      <c r="E1227" s="18">
        <v>10459.652677413573</v>
      </c>
      <c r="F1227" s="18">
        <v>-2727.041082510713</v>
      </c>
      <c r="G1227" s="18">
        <v>3314.6852291010664</v>
      </c>
      <c r="H1227" s="12">
        <f>E1228</f>
      </c>
      <c r="I1227" s="12">
        <f>F1228</f>
      </c>
      <c r="J1227" s="12">
        <f>G1228</f>
      </c>
      <c r="K1227">
        <f>IF(AND(Pu&gt;=MIN(E1227,H1227),Pu&lt;=MAX(E1227,H1227),E1227&lt;&gt;H1227),1,0)</f>
      </c>
      <c r="L1227">
        <f>IF(K1227=1,(Pu-E1227)/(H1227-E1227),"")</f>
      </c>
      <c r="M1227" s="12">
        <f>IF(K1227=1,F1227+L1227*(I1227-F1227),"")</f>
      </c>
      <c r="N1227" s="12">
        <f>IF(K1227=1,G1227+L1227*(J1227-G1227),"")</f>
      </c>
    </row>
    <row r="1228" spans="2:14" x14ac:dyDescent="0.25">
      <c r="B1228">
        <v>79</v>
      </c>
      <c r="C1228">
        <v>314.99999999999994</v>
      </c>
      <c r="D1228">
        <v>5</v>
      </c>
      <c r="E1228" s="18">
        <v>8791.494961409317</v>
      </c>
      <c r="F1228" s="18">
        <v>-2768.3183182157063</v>
      </c>
      <c r="G1228" s="18">
        <v>3447.0487624537054</v>
      </c>
      <c r="H1228" s="12">
        <f>E1229</f>
      </c>
      <c r="I1228" s="12">
        <f>F1229</f>
      </c>
      <c r="J1228" s="12">
        <f>G1229</f>
      </c>
      <c r="K1228">
        <f>IF(AND(Pu&gt;=MIN(E1228,H1228),Pu&lt;=MAX(E1228,H1228),E1228&lt;&gt;H1228),1,0)</f>
      </c>
      <c r="L1228">
        <f>IF(K1228=1,(Pu-E1228)/(H1228-E1228),"")</f>
      </c>
      <c r="M1228" s="12">
        <f>IF(K1228=1,F1228+L1228*(I1228-F1228),"")</f>
      </c>
      <c r="N1228" s="12">
        <f>IF(K1228=1,G1228+L1228*(J1228-G1228),"")</f>
      </c>
    </row>
    <row r="1229" spans="2:14" x14ac:dyDescent="0.25">
      <c r="B1229">
        <v>79</v>
      </c>
      <c r="C1229">
        <v>314.99999999999994</v>
      </c>
      <c r="D1229">
        <v>6</v>
      </c>
      <c r="E1229" s="18">
        <v>6850.467355868668</v>
      </c>
      <c r="F1229" s="18">
        <v>-2839.4660906273707</v>
      </c>
      <c r="G1229" s="18">
        <v>3858.558625137915</v>
      </c>
      <c r="H1229" s="12">
        <f>E1230</f>
      </c>
      <c r="I1229" s="12">
        <f>F1230</f>
      </c>
      <c r="J1229" s="12">
        <f>G1230</f>
      </c>
      <c r="K1229">
        <f>IF(AND(Pu&gt;=MIN(E1229,H1229),Pu&lt;=MAX(E1229,H1229),E1229&lt;&gt;H1229),1,0)</f>
      </c>
      <c r="L1229">
        <f>IF(K1229=1,(Pu-E1229)/(H1229-E1229),"")</f>
      </c>
      <c r="M1229" s="12">
        <f>IF(K1229=1,F1229+L1229*(I1229-F1229),"")</f>
      </c>
      <c r="N1229" s="12">
        <f>IF(K1229=1,G1229+L1229*(J1229-G1229),"")</f>
      </c>
    </row>
    <row r="1230" spans="2:14" x14ac:dyDescent="0.25">
      <c r="B1230">
        <v>79</v>
      </c>
      <c r="C1230">
        <v>314.99999999999994</v>
      </c>
      <c r="D1230">
        <v>7</v>
      </c>
      <c r="E1230" s="18">
        <v>5443.491859239997</v>
      </c>
      <c r="F1230" s="18">
        <v>-2861.2870042124696</v>
      </c>
      <c r="G1230" s="18">
        <v>4004.8376538577268</v>
      </c>
      <c r="H1230" s="12">
        <f>E1231</f>
      </c>
      <c r="I1230" s="12">
        <f>F1231</f>
      </c>
      <c r="J1230" s="12">
        <f>G1231</f>
      </c>
      <c r="K1230">
        <f>IF(AND(Pu&gt;=MIN(E1230,H1230),Pu&lt;=MAX(E1230,H1230),E1230&lt;&gt;H1230),1,0)</f>
      </c>
      <c r="L1230">
        <f>IF(K1230=1,(Pu-E1230)/(H1230-E1230),"")</f>
      </c>
      <c r="M1230" s="12">
        <f>IF(K1230=1,F1230+L1230*(I1230-F1230),"")</f>
      </c>
      <c r="N1230" s="12">
        <f>IF(K1230=1,G1230+L1230*(J1230-G1230),"")</f>
      </c>
    </row>
    <row r="1231" spans="2:14" x14ac:dyDescent="0.25">
      <c r="B1231">
        <v>79</v>
      </c>
      <c r="C1231">
        <v>314.99999999999994</v>
      </c>
      <c r="D1231">
        <v>8</v>
      </c>
      <c r="E1231" s="18">
        <v>4456.324876830606</v>
      </c>
      <c r="F1231" s="18">
        <v>-2880.4086417883004</v>
      </c>
      <c r="G1231" s="18">
        <v>4029.9062304683584</v>
      </c>
      <c r="H1231" s="12">
        <f>E1232</f>
      </c>
      <c r="I1231" s="12">
        <f>F1232</f>
      </c>
      <c r="J1231" s="12">
        <f>G1232</f>
      </c>
      <c r="K1231">
        <f>IF(AND(Pu&gt;=MIN(E1231,H1231),Pu&lt;=MAX(E1231,H1231),E1231&lt;&gt;H1231),1,0)</f>
      </c>
      <c r="L1231">
        <f>IF(K1231=1,(Pu-E1231)/(H1231-E1231),"")</f>
      </c>
      <c r="M1231" s="12">
        <f>IF(K1231=1,F1231+L1231*(I1231-F1231),"")</f>
      </c>
      <c r="N1231" s="12">
        <f>IF(K1231=1,G1231+L1231*(J1231-G1231),"")</f>
      </c>
    </row>
    <row r="1232" spans="2:14" x14ac:dyDescent="0.25">
      <c r="B1232">
        <v>79</v>
      </c>
      <c r="C1232">
        <v>314.99999999999994</v>
      </c>
      <c r="D1232">
        <v>9</v>
      </c>
      <c r="E1232" s="18">
        <v>3393.471370356631</v>
      </c>
      <c r="F1232" s="18">
        <v>-2676.519962461805</v>
      </c>
      <c r="G1232" s="18">
        <v>3745.6293819413727</v>
      </c>
      <c r="H1232" s="12">
        <f>E1233</f>
      </c>
      <c r="I1232" s="12">
        <f>F1233</f>
      </c>
      <c r="J1232" s="12">
        <f>G1233</f>
      </c>
      <c r="K1232">
        <f>IF(AND(Pu&gt;=MIN(E1232,H1232),Pu&lt;=MAX(E1232,H1232),E1232&lt;&gt;H1232),1,0)</f>
      </c>
      <c r="L1232">
        <f>IF(K1232=1,(Pu-E1232)/(H1232-E1232),"")</f>
      </c>
      <c r="M1232" s="12">
        <f>IF(K1232=1,F1232+L1232*(I1232-F1232),"")</f>
      </c>
      <c r="N1232" s="12">
        <f>IF(K1232=1,G1232+L1232*(J1232-G1232),"")</f>
      </c>
    </row>
    <row r="1233" spans="2:14" x14ac:dyDescent="0.25">
      <c r="B1233">
        <v>79</v>
      </c>
      <c r="C1233">
        <v>314.99999999999994</v>
      </c>
      <c r="D1233">
        <v>10</v>
      </c>
      <c r="E1233" s="18">
        <v>1849.68849141786</v>
      </c>
      <c r="F1233" s="18">
        <v>-2288.1704738120307</v>
      </c>
      <c r="G1233" s="18">
        <v>3305.6278475200966</v>
      </c>
      <c r="H1233" s="12">
        <f>E1234</f>
      </c>
      <c r="I1233" s="12">
        <f>F1234</f>
      </c>
      <c r="J1233" s="12">
        <f>G1234</f>
      </c>
      <c r="K1233">
        <f>IF(AND(Pu&gt;=MIN(E1233,H1233),Pu&lt;=MAX(E1233,H1233),E1233&lt;&gt;H1233),1,0)</f>
      </c>
      <c r="L1233">
        <f>IF(K1233=1,(Pu-E1233)/(H1233-E1233),"")</f>
      </c>
      <c r="M1233" s="12">
        <f>IF(K1233=1,F1233+L1233*(I1233-F1233),"")</f>
      </c>
      <c r="N1233" s="12">
        <f>IF(K1233=1,G1233+L1233*(J1233-G1233),"")</f>
      </c>
    </row>
    <row r="1234" spans="2:14" x14ac:dyDescent="0.25">
      <c r="B1234">
        <v>79</v>
      </c>
      <c r="C1234">
        <v>314.99999999999994</v>
      </c>
      <c r="D1234">
        <v>11</v>
      </c>
      <c r="E1234" s="18">
        <v>732.5153291585735</v>
      </c>
      <c r="F1234" s="18">
        <v>-2013.3938192672579</v>
      </c>
      <c r="G1234" s="18">
        <v>2890.1677520461026</v>
      </c>
      <c r="H1234" s="12">
        <f>E1235</f>
      </c>
      <c r="I1234" s="12">
        <f>F1235</f>
      </c>
      <c r="J1234" s="12">
        <f>G1235</f>
      </c>
      <c r="K1234">
        <f>IF(AND(Pu&gt;=MIN(E1234,H1234),Pu&lt;=MAX(E1234,H1234),E1234&lt;&gt;H1234),1,0)</f>
      </c>
      <c r="L1234">
        <f>IF(K1234=1,(Pu-E1234)/(H1234-E1234),"")</f>
      </c>
      <c r="M1234" s="12">
        <f>IF(K1234=1,F1234+L1234*(I1234-F1234),"")</f>
      </c>
      <c r="N1234" s="12">
        <f>IF(K1234=1,G1234+L1234*(J1234-G1234),"")</f>
      </c>
    </row>
    <row r="1235" spans="2:14" x14ac:dyDescent="0.25">
      <c r="B1235">
        <v>79</v>
      </c>
      <c r="C1235">
        <v>314.99999999999994</v>
      </c>
      <c r="D1235">
        <v>12</v>
      </c>
      <c r="E1235" s="18">
        <v>-1050.388818971109</v>
      </c>
      <c r="F1235" s="18">
        <v>-1501.002020559884</v>
      </c>
      <c r="G1235" s="18">
        <v>2121.201153795864</v>
      </c>
      <c r="H1235" s="12">
        <f>E1236</f>
      </c>
      <c r="I1235" s="12">
        <f>F1236</f>
      </c>
      <c r="J1235" s="12">
        <f>G1236</f>
      </c>
      <c r="K1235">
        <f>IF(AND(Pu&gt;=MIN(E1235,H1235),Pu&lt;=MAX(E1235,H1235),E1235&lt;&gt;H1235),1,0)</f>
      </c>
      <c r="L1235">
        <f>IF(K1235=1,(Pu-E1235)/(H1235-E1235),"")</f>
      </c>
      <c r="M1235" s="12">
        <f>IF(K1235=1,F1235+L1235*(I1235-F1235),"")</f>
      </c>
      <c r="N1235" s="12">
        <f>IF(K1235=1,G1235+L1235*(J1235-G1235),"")</f>
      </c>
    </row>
    <row r="1236" spans="2:14" x14ac:dyDescent="0.25">
      <c r="B1236">
        <v>79</v>
      </c>
      <c r="C1236">
        <v>314.99999999999994</v>
      </c>
      <c r="D1236">
        <v>13</v>
      </c>
      <c r="E1236" s="18">
        <v>-2145.7278507444917</v>
      </c>
      <c r="F1236" s="18">
        <v>-1129.3800446978903</v>
      </c>
      <c r="G1236" s="18">
        <v>1571.4430724252613</v>
      </c>
      <c r="H1236" s="12">
        <f>E1237</f>
      </c>
      <c r="I1236" s="12">
        <f>F1237</f>
      </c>
      <c r="J1236" s="12">
        <f>G1237</f>
      </c>
      <c r="K1236">
        <f>IF(AND(Pu&gt;=MIN(E1236,H1236),Pu&lt;=MAX(E1236,H1236),E1236&lt;&gt;H1236),1,0)</f>
      </c>
      <c r="L1236">
        <f>IF(K1236=1,(Pu-E1236)/(H1236-E1236),"")</f>
      </c>
      <c r="M1236" s="12">
        <f>IF(K1236=1,F1236+L1236*(I1236-F1236),"")</f>
      </c>
      <c r="N1236" s="12">
        <f>IF(K1236=1,G1236+L1236*(J1236-G1236),"")</f>
      </c>
    </row>
    <row r="1237" spans="2:7" x14ac:dyDescent="0.25">
      <c r="B1237">
        <v>79</v>
      </c>
      <c r="C1237">
        <v>314.99999999999994</v>
      </c>
      <c r="D1237">
        <v>14</v>
      </c>
      <c r="E1237" s="18">
        <v>-3810.9518268016063</v>
      </c>
      <c r="F1237" s="18">
        <v>-482.3005375926701</v>
      </c>
      <c r="G1237" s="18">
        <v>675.2617340453232</v>
      </c>
    </row>
    <row r="1239" spans="2:14" x14ac:dyDescent="0.25">
      <c r="B1239">
        <v>80</v>
      </c>
      <c r="C1239">
        <v>322.5</v>
      </c>
      <c r="D1239">
        <v>1</v>
      </c>
      <c r="E1239" s="18">
        <v>17108.712410985077</v>
      </c>
      <c r="F1239" s="18">
        <v>-1389.6699058235295</v>
      </c>
      <c r="G1239" s="18">
        <v>2484.035664288285</v>
      </c>
      <c r="H1239" s="12">
        <f>E1240</f>
      </c>
      <c r="I1239" s="12">
        <f>F1240</f>
      </c>
      <c r="J1239" s="12">
        <f>G1240</f>
      </c>
      <c r="K1239">
        <f>IF(AND(Pu&gt;=MIN(E1239,H1239),Pu&lt;=MAX(E1239,H1239),E1239&lt;&gt;H1239),1,0)</f>
      </c>
      <c r="L1239">
        <f>IF(K1239=1,(Pu-E1239)/(H1239-E1239),"")</f>
      </c>
      <c r="M1239" s="12">
        <f>IF(K1239=1,F1239+L1239*(I1239-F1239),"")</f>
      </c>
      <c r="N1239" s="12">
        <f>IF(K1239=1,G1239+L1239*(J1239-G1239),"")</f>
      </c>
    </row>
    <row r="1240" spans="2:14" x14ac:dyDescent="0.25">
      <c r="B1240">
        <v>80</v>
      </c>
      <c r="C1240">
        <v>322.5</v>
      </c>
      <c r="D1240">
        <v>2</v>
      </c>
      <c r="E1240" s="18">
        <v>14923.42171423658</v>
      </c>
      <c r="F1240" s="18">
        <v>-1692.5837570022015</v>
      </c>
      <c r="G1240" s="18">
        <v>3187.249505757264</v>
      </c>
      <c r="H1240" s="12">
        <f>E1241</f>
      </c>
      <c r="I1240" s="12">
        <f>F1241</f>
      </c>
      <c r="J1240" s="12">
        <f>G1241</f>
      </c>
      <c r="K1240">
        <f>IF(AND(Pu&gt;=MIN(E1240,H1240),Pu&lt;=MAX(E1240,H1240),E1240&lt;&gt;H1240),1,0)</f>
      </c>
      <c r="L1240">
        <f>IF(K1240=1,(Pu-E1240)/(H1240-E1240),"")</f>
      </c>
      <c r="M1240" s="12">
        <f>IF(K1240=1,F1240+L1240*(I1240-F1240),"")</f>
      </c>
      <c r="N1240" s="12">
        <f>IF(K1240=1,G1240+L1240*(J1240-G1240),"")</f>
      </c>
    </row>
    <row r="1241" spans="2:14" x14ac:dyDescent="0.25">
      <c r="B1241">
        <v>80</v>
      </c>
      <c r="C1241">
        <v>322.5</v>
      </c>
      <c r="D1241">
        <v>3</v>
      </c>
      <c r="E1241" s="18">
        <v>12739.596416437678</v>
      </c>
      <c r="F1241" s="18">
        <v>-2020.2904486827929</v>
      </c>
      <c r="G1241" s="18">
        <v>3536.32028562342</v>
      </c>
      <c r="H1241" s="12">
        <f>E1242</f>
      </c>
      <c r="I1241" s="12">
        <f>F1242</f>
      </c>
      <c r="J1241" s="12">
        <f>G1242</f>
      </c>
      <c r="K1241">
        <f>IF(AND(Pu&gt;=MIN(E1241,H1241),Pu&lt;=MAX(E1241,H1241),E1241&lt;&gt;H1241),1,0)</f>
      </c>
      <c r="L1241">
        <f>IF(K1241=1,(Pu-E1241)/(H1241-E1241),"")</f>
      </c>
      <c r="M1241" s="12">
        <f>IF(K1241=1,F1241+L1241*(I1241-F1241),"")</f>
      </c>
      <c r="N1241" s="12">
        <f>IF(K1241=1,G1241+L1241*(J1241-G1241),"")</f>
      </c>
    </row>
    <row r="1242" spans="2:14" x14ac:dyDescent="0.25">
      <c r="B1242">
        <v>80</v>
      </c>
      <c r="C1242">
        <v>322.5</v>
      </c>
      <c r="D1242">
        <v>4</v>
      </c>
      <c r="E1242" s="18">
        <v>10562.039066695268</v>
      </c>
      <c r="F1242" s="18">
        <v>-2230.183834195959</v>
      </c>
      <c r="G1242" s="18">
        <v>3725.3005716450575</v>
      </c>
      <c r="H1242" s="12">
        <f>E1243</f>
      </c>
      <c r="I1242" s="12">
        <f>F1243</f>
      </c>
      <c r="J1242" s="12">
        <f>G1243</f>
      </c>
      <c r="K1242">
        <f>IF(AND(Pu&gt;=MIN(E1242,H1242),Pu&lt;=MAX(E1242,H1242),E1242&lt;&gt;H1242),1,0)</f>
      </c>
      <c r="L1242">
        <f>IF(K1242=1,(Pu-E1242)/(H1242-E1242),"")</f>
      </c>
      <c r="M1242" s="12">
        <f>IF(K1242=1,F1242+L1242*(I1242-F1242),"")</f>
      </c>
      <c r="N1242" s="12">
        <f>IF(K1242=1,G1242+L1242*(J1242-G1242),"")</f>
      </c>
    </row>
    <row r="1243" spans="2:14" x14ac:dyDescent="0.25">
      <c r="B1243">
        <v>80</v>
      </c>
      <c r="C1243">
        <v>322.5</v>
      </c>
      <c r="D1243">
        <v>5</v>
      </c>
      <c r="E1243" s="18">
        <v>8773.07022351979</v>
      </c>
      <c r="F1243" s="18">
        <v>-2278.433139024345</v>
      </c>
      <c r="G1243" s="18">
        <v>3851.6695754617936</v>
      </c>
      <c r="H1243" s="12">
        <f>E1244</f>
      </c>
      <c r="I1243" s="12">
        <f>F1244</f>
      </c>
      <c r="J1243" s="12">
        <f>G1244</f>
      </c>
      <c r="K1243">
        <f>IF(AND(Pu&gt;=MIN(E1243,H1243),Pu&lt;=MAX(E1243,H1243),E1243&lt;&gt;H1243),1,0)</f>
      </c>
      <c r="L1243">
        <f>IF(K1243=1,(Pu-E1243)/(H1243-E1243),"")</f>
      </c>
      <c r="M1243" s="12">
        <f>IF(K1243=1,F1243+L1243*(I1243-F1243),"")</f>
      </c>
      <c r="N1243" s="12">
        <f>IF(K1243=1,G1243+L1243*(J1243-G1243),"")</f>
      </c>
    </row>
    <row r="1244" spans="2:14" x14ac:dyDescent="0.25">
      <c r="B1244">
        <v>80</v>
      </c>
      <c r="C1244">
        <v>322.5</v>
      </c>
      <c r="D1244">
        <v>6</v>
      </c>
      <c r="E1244" s="18">
        <v>6697.512934626374</v>
      </c>
      <c r="F1244" s="18">
        <v>-2330.9087338249055</v>
      </c>
      <c r="G1244" s="18">
        <v>4262.3821693825885</v>
      </c>
      <c r="H1244" s="12">
        <f>E1245</f>
      </c>
      <c r="I1244" s="12">
        <f>F1245</f>
      </c>
      <c r="J1244" s="12">
        <f>G1245</f>
      </c>
      <c r="K1244">
        <f>IF(AND(Pu&gt;=MIN(E1244,H1244),Pu&lt;=MAX(E1244,H1244),E1244&lt;&gt;H1244),1,0)</f>
      </c>
      <c r="L1244">
        <f>IF(K1244=1,(Pu-E1244)/(H1244-E1244),"")</f>
      </c>
      <c r="M1244" s="12">
        <f>IF(K1244=1,F1244+L1244*(I1244-F1244),"")</f>
      </c>
      <c r="N1244" s="12">
        <f>IF(K1244=1,G1244+L1244*(J1244-G1244),"")</f>
      </c>
    </row>
    <row r="1245" spans="2:14" x14ac:dyDescent="0.25">
      <c r="B1245">
        <v>80</v>
      </c>
      <c r="C1245">
        <v>322.5</v>
      </c>
      <c r="D1245">
        <v>7</v>
      </c>
      <c r="E1245" s="18">
        <v>5442.032341993212</v>
      </c>
      <c r="F1245" s="18">
        <v>-2350.8874838756374</v>
      </c>
      <c r="G1245" s="18">
        <v>4421.992730133067</v>
      </c>
      <c r="H1245" s="12">
        <f>E1246</f>
      </c>
      <c r="I1245" s="12">
        <f>F1246</f>
      </c>
      <c r="J1245" s="12">
        <f>G1246</f>
      </c>
      <c r="K1245">
        <f>IF(AND(Pu&gt;=MIN(E1245,H1245),Pu&lt;=MAX(E1245,H1245),E1245&lt;&gt;H1245),1,0)</f>
      </c>
      <c r="L1245">
        <f>IF(K1245=1,(Pu-E1245)/(H1245-E1245),"")</f>
      </c>
      <c r="M1245" s="12">
        <f>IF(K1245=1,F1245+L1245*(I1245-F1245),"")</f>
      </c>
      <c r="N1245" s="12">
        <f>IF(K1245=1,G1245+L1245*(J1245-G1245),"")</f>
      </c>
    </row>
    <row r="1246" spans="2:14" x14ac:dyDescent="0.25">
      <c r="B1246">
        <v>80</v>
      </c>
      <c r="C1246">
        <v>322.5</v>
      </c>
      <c r="D1246">
        <v>8</v>
      </c>
      <c r="E1246" s="18">
        <v>4515.240129831891</v>
      </c>
      <c r="F1246" s="18">
        <v>-2428.727812315333</v>
      </c>
      <c r="G1246" s="18">
        <v>4453.186024962649</v>
      </c>
      <c r="H1246" s="12">
        <f>E1247</f>
      </c>
      <c r="I1246" s="12">
        <f>F1247</f>
      </c>
      <c r="J1246" s="12">
        <f>G1247</f>
      </c>
      <c r="K1246">
        <f>IF(AND(Pu&gt;=MIN(E1246,H1246),Pu&lt;=MAX(E1246,H1246),E1246&lt;&gt;H1246),1,0)</f>
      </c>
      <c r="L1246">
        <f>IF(K1246=1,(Pu-E1246)/(H1246-E1246),"")</f>
      </c>
      <c r="M1246" s="12">
        <f>IF(K1246=1,F1246+L1246*(I1246-F1246),"")</f>
      </c>
      <c r="N1246" s="12">
        <f>IF(K1246=1,G1246+L1246*(J1246-G1246),"")</f>
      </c>
    </row>
    <row r="1247" spans="2:14" x14ac:dyDescent="0.25">
      <c r="B1247">
        <v>80</v>
      </c>
      <c r="C1247">
        <v>322.5</v>
      </c>
      <c r="D1247">
        <v>9</v>
      </c>
      <c r="E1247" s="18">
        <v>3413.5615569855504</v>
      </c>
      <c r="F1247" s="18">
        <v>-2283.4141883496864</v>
      </c>
      <c r="G1247" s="18">
        <v>4125.82719229398</v>
      </c>
      <c r="H1247" s="12">
        <f>E1248</f>
      </c>
      <c r="I1247" s="12">
        <f>F1248</f>
      </c>
      <c r="J1247" s="12">
        <f>G1248</f>
      </c>
      <c r="K1247">
        <f>IF(AND(Pu&gt;=MIN(E1247,H1247),Pu&lt;=MAX(E1247,H1247),E1247&lt;&gt;H1247),1,0)</f>
      </c>
      <c r="L1247">
        <f>IF(K1247=1,(Pu-E1247)/(H1247-E1247),"")</f>
      </c>
      <c r="M1247" s="12">
        <f>IF(K1247=1,F1247+L1247*(I1247-F1247),"")</f>
      </c>
      <c r="N1247" s="12">
        <f>IF(K1247=1,G1247+L1247*(J1247-G1247),"")</f>
      </c>
    </row>
    <row r="1248" spans="2:14" x14ac:dyDescent="0.25">
      <c r="B1248">
        <v>80</v>
      </c>
      <c r="C1248">
        <v>322.5</v>
      </c>
      <c r="D1248">
        <v>10</v>
      </c>
      <c r="E1248" s="18">
        <v>1843.7864076233052</v>
      </c>
      <c r="F1248" s="18">
        <v>-2004.5108793603397</v>
      </c>
      <c r="G1248" s="18">
        <v>3566.327203786546</v>
      </c>
      <c r="H1248" s="12">
        <f>E1249</f>
      </c>
      <c r="I1248" s="12">
        <f>F1249</f>
      </c>
      <c r="J1248" s="12">
        <f>G1249</f>
      </c>
      <c r="K1248">
        <f>IF(AND(Pu&gt;=MIN(E1248,H1248),Pu&lt;=MAX(E1248,H1248),E1248&lt;&gt;H1248),1,0)</f>
      </c>
      <c r="L1248">
        <f>IF(K1248=1,(Pu-E1248)/(H1248-E1248),"")</f>
      </c>
      <c r="M1248" s="12">
        <f>IF(K1248=1,F1248+L1248*(I1248-F1248),"")</f>
      </c>
      <c r="N1248" s="12">
        <f>IF(K1248=1,G1248+L1248*(J1248-G1248),"")</f>
      </c>
    </row>
    <row r="1249" spans="2:14" x14ac:dyDescent="0.25">
      <c r="B1249">
        <v>80</v>
      </c>
      <c r="C1249">
        <v>322.5</v>
      </c>
      <c r="D1249">
        <v>11</v>
      </c>
      <c r="E1249" s="18">
        <v>754.8276751562526</v>
      </c>
      <c r="F1249" s="18">
        <v>-1769.223305816373</v>
      </c>
      <c r="G1249" s="18">
        <v>3109.8068147023114</v>
      </c>
      <c r="H1249" s="12">
        <f>E1250</f>
      </c>
      <c r="I1249" s="12">
        <f>F1250</f>
      </c>
      <c r="J1249" s="12">
        <f>G1250</f>
      </c>
      <c r="K1249">
        <f>IF(AND(Pu&gt;=MIN(E1249,H1249),Pu&lt;=MAX(E1249,H1249),E1249&lt;&gt;H1249),1,0)</f>
      </c>
      <c r="L1249">
        <f>IF(K1249=1,(Pu-E1249)/(H1249-E1249),"")</f>
      </c>
      <c r="M1249" s="12">
        <f>IF(K1249=1,F1249+L1249*(I1249-F1249),"")</f>
      </c>
      <c r="N1249" s="12">
        <f>IF(K1249=1,G1249+L1249*(J1249-G1249),"")</f>
      </c>
    </row>
    <row r="1250" spans="2:14" x14ac:dyDescent="0.25">
      <c r="B1250">
        <v>80</v>
      </c>
      <c r="C1250">
        <v>322.5</v>
      </c>
      <c r="D1250">
        <v>12</v>
      </c>
      <c r="E1250" s="18">
        <v>-1106.4344891201183</v>
      </c>
      <c r="F1250" s="18">
        <v>-1337.468843230493</v>
      </c>
      <c r="G1250" s="18">
        <v>2207.1877210265384</v>
      </c>
      <c r="H1250" s="12">
        <f>E1251</f>
      </c>
      <c r="I1250" s="12">
        <f>F1251</f>
      </c>
      <c r="J1250" s="12">
        <f>G1251</f>
      </c>
      <c r="K1250">
        <f>IF(AND(Pu&gt;=MIN(E1250,H1250),Pu&lt;=MAX(E1250,H1250),E1250&lt;&gt;H1250),1,0)</f>
      </c>
      <c r="L1250">
        <f>IF(K1250=1,(Pu-E1250)/(H1250-E1250),"")</f>
      </c>
      <c r="M1250" s="12">
        <f>IF(K1250=1,F1250+L1250*(I1250-F1250),"")</f>
      </c>
      <c r="N1250" s="12">
        <f>IF(K1250=1,G1250+L1250*(J1250-G1250),"")</f>
      </c>
    </row>
    <row r="1251" spans="2:14" x14ac:dyDescent="0.25">
      <c r="B1251">
        <v>80</v>
      </c>
      <c r="C1251">
        <v>322.5</v>
      </c>
      <c r="D1251">
        <v>13</v>
      </c>
      <c r="E1251" s="18">
        <v>-2327.6010073568686</v>
      </c>
      <c r="F1251" s="18">
        <v>-976.0132893894735</v>
      </c>
      <c r="G1251" s="18">
        <v>1562.393589008903</v>
      </c>
      <c r="H1251" s="12">
        <f>E1252</f>
      </c>
      <c r="I1251" s="12">
        <f>F1252</f>
      </c>
      <c r="J1251" s="12">
        <f>G1252</f>
      </c>
      <c r="K1251">
        <f>IF(AND(Pu&gt;=MIN(E1251,H1251),Pu&lt;=MAX(E1251,H1251),E1251&lt;&gt;H1251),1,0)</f>
      </c>
      <c r="L1251">
        <f>IF(K1251=1,(Pu-E1251)/(H1251-E1251),"")</f>
      </c>
      <c r="M1251" s="12">
        <f>IF(K1251=1,F1251+L1251*(I1251-F1251),"")</f>
      </c>
      <c r="N1251" s="12">
        <f>IF(K1251=1,G1251+L1251*(J1251-G1251),"")</f>
      </c>
    </row>
    <row r="1252" spans="2:7" x14ac:dyDescent="0.25">
      <c r="B1252">
        <v>80</v>
      </c>
      <c r="C1252">
        <v>322.5</v>
      </c>
      <c r="D1252">
        <v>14</v>
      </c>
      <c r="E1252" s="18">
        <v>-4016.738628684818</v>
      </c>
      <c r="F1252" s="18">
        <v>-361.75800729527737</v>
      </c>
      <c r="G1252" s="18">
        <v>591.8186988631572</v>
      </c>
    </row>
    <row r="1254" spans="2:14" x14ac:dyDescent="0.25">
      <c r="B1254">
        <v>81</v>
      </c>
      <c r="C1254">
        <v>330.00000000000006</v>
      </c>
      <c r="D1254">
        <v>1</v>
      </c>
      <c r="E1254" s="18">
        <v>16998.00933741025</v>
      </c>
      <c r="F1254" s="18">
        <v>-1133.6483233342233</v>
      </c>
      <c r="G1254" s="18">
        <v>2709.87265529652</v>
      </c>
      <c r="H1254" s="12">
        <f>E1255</f>
      </c>
      <c r="I1254" s="12">
        <f>F1255</f>
      </c>
      <c r="J1254" s="12">
        <f>G1255</f>
      </c>
      <c r="K1254">
        <f>IF(AND(Pu&gt;=MIN(E1254,H1254),Pu&lt;=MAX(E1254,H1254),E1254&lt;&gt;H1254),1,0)</f>
      </c>
      <c r="L1254">
        <f>IF(K1254=1,(Pu-E1254)/(H1254-E1254),"")</f>
      </c>
      <c r="M1254" s="12">
        <f>IF(K1254=1,F1254+L1254*(I1254-F1254),"")</f>
      </c>
      <c r="N1254" s="12">
        <f>IF(K1254=1,G1254+L1254*(J1254-G1254),"")</f>
      </c>
    </row>
    <row r="1255" spans="2:14" x14ac:dyDescent="0.25">
      <c r="B1255">
        <v>81</v>
      </c>
      <c r="C1255">
        <v>330.00000000000006</v>
      </c>
      <c r="D1255">
        <v>2</v>
      </c>
      <c r="E1255" s="18">
        <v>15021.685687512982</v>
      </c>
      <c r="F1255" s="18">
        <v>-1322.310291153405</v>
      </c>
      <c r="G1255" s="18">
        <v>3396.369321909574</v>
      </c>
      <c r="H1255" s="12">
        <f>E1256</f>
      </c>
      <c r="I1255" s="12">
        <f>F1256</f>
      </c>
      <c r="J1255" s="12">
        <f>G1256</f>
      </c>
      <c r="K1255">
        <f>IF(AND(Pu&gt;=MIN(E1255,H1255),Pu&lt;=MAX(E1255,H1255),E1255&lt;&gt;H1255),1,0)</f>
      </c>
      <c r="L1255">
        <f>IF(K1255=1,(Pu-E1255)/(H1255-E1255),"")</f>
      </c>
      <c r="M1255" s="12">
        <f>IF(K1255=1,F1255+L1255*(I1255-F1255),"")</f>
      </c>
      <c r="N1255" s="12">
        <f>IF(K1255=1,G1255+L1255*(J1255-G1255),"")</f>
      </c>
    </row>
    <row r="1256" spans="2:14" x14ac:dyDescent="0.25">
      <c r="B1256">
        <v>81</v>
      </c>
      <c r="C1256">
        <v>330.00000000000006</v>
      </c>
      <c r="D1256">
        <v>3</v>
      </c>
      <c r="E1256" s="18">
        <v>12917.19116261671</v>
      </c>
      <c r="F1256" s="18">
        <v>-1568.6732710273882</v>
      </c>
      <c r="G1256" s="18">
        <v>3801.681556680439</v>
      </c>
      <c r="H1256" s="12">
        <f>E1257</f>
      </c>
      <c r="I1256" s="12">
        <f>F1257</f>
      </c>
      <c r="J1256" s="12">
        <f>G1257</f>
      </c>
      <c r="K1256">
        <f>IF(AND(Pu&gt;=MIN(E1256,H1256),Pu&lt;=MAX(E1256,H1256),E1256&lt;&gt;H1256),1,0)</f>
      </c>
      <c r="L1256">
        <f>IF(K1256=1,(Pu-E1256)/(H1256-E1256),"")</f>
      </c>
      <c r="M1256" s="12">
        <f>IF(K1256=1,F1256+L1256*(I1256-F1256),"")</f>
      </c>
      <c r="N1256" s="12">
        <f>IF(K1256=1,G1256+L1256*(J1256-G1256),"")</f>
      </c>
    </row>
    <row r="1257" spans="2:14" x14ac:dyDescent="0.25">
      <c r="B1257">
        <v>81</v>
      </c>
      <c r="C1257">
        <v>330.00000000000006</v>
      </c>
      <c r="D1257">
        <v>4</v>
      </c>
      <c r="E1257" s="18">
        <v>10727.012526339864</v>
      </c>
      <c r="F1257" s="18">
        <v>-1769.94783935614</v>
      </c>
      <c r="G1257" s="18">
        <v>4024.5058086536555</v>
      </c>
      <c r="H1257" s="12">
        <f>E1258</f>
      </c>
      <c r="I1257" s="12">
        <f>F1258</f>
      </c>
      <c r="J1257" s="12">
        <f>G1258</f>
      </c>
      <c r="K1257">
        <f>IF(AND(Pu&gt;=MIN(E1257,H1257),Pu&lt;=MAX(E1257,H1257),E1257&lt;&gt;H1257),1,0)</f>
      </c>
      <c r="L1257">
        <f>IF(K1257=1,(Pu-E1257)/(H1257-E1257),"")</f>
      </c>
      <c r="M1257" s="12">
        <f>IF(K1257=1,F1257+L1257*(I1257-F1257),"")</f>
      </c>
      <c r="N1257" s="12">
        <f>IF(K1257=1,G1257+L1257*(J1257-G1257),"")</f>
      </c>
    </row>
    <row r="1258" spans="2:14" x14ac:dyDescent="0.25">
      <c r="B1258">
        <v>81</v>
      </c>
      <c r="C1258">
        <v>330.00000000000006</v>
      </c>
      <c r="D1258">
        <v>5</v>
      </c>
      <c r="E1258" s="18">
        <v>8691.318748508633</v>
      </c>
      <c r="F1258" s="18">
        <v>-1787.0400065559866</v>
      </c>
      <c r="G1258" s="18">
        <v>4169.332745253191</v>
      </c>
      <c r="H1258" s="12">
        <f>E1259</f>
      </c>
      <c r="I1258" s="12">
        <f>F1259</f>
      </c>
      <c r="J1258" s="12">
        <f>G1259</f>
      </c>
      <c r="K1258">
        <f>IF(AND(Pu&gt;=MIN(E1258,H1258),Pu&lt;=MAX(E1258,H1258),E1258&lt;&gt;H1258),1,0)</f>
      </c>
      <c r="L1258">
        <f>IF(K1258=1,(Pu-E1258)/(H1258-E1258),"")</f>
      </c>
      <c r="M1258" s="12">
        <f>IF(K1258=1,F1258+L1258*(I1258-F1258),"")</f>
      </c>
      <c r="N1258" s="12">
        <f>IF(K1258=1,G1258+L1258*(J1258-G1258),"")</f>
      </c>
    </row>
    <row r="1259" spans="2:14" x14ac:dyDescent="0.25">
      <c r="B1259">
        <v>81</v>
      </c>
      <c r="C1259">
        <v>330.00000000000006</v>
      </c>
      <c r="D1259">
        <v>6</v>
      </c>
      <c r="E1259" s="18">
        <v>6664.820375148372</v>
      </c>
      <c r="F1259" s="18">
        <v>-1823.3477417543481</v>
      </c>
      <c r="G1259" s="18">
        <v>4579.515799713042</v>
      </c>
      <c r="H1259" s="12">
        <f>E1260</f>
      </c>
      <c r="I1259" s="12">
        <f>F1260</f>
      </c>
      <c r="J1259" s="12">
        <f>G1260</f>
      </c>
      <c r="K1259">
        <f>IF(AND(Pu&gt;=MIN(E1259,H1259),Pu&lt;=MAX(E1259,H1259),E1259&lt;&gt;H1259),1,0)</f>
      </c>
      <c r="L1259">
        <f>IF(K1259=1,(Pu-E1259)/(H1259-E1259),"")</f>
      </c>
      <c r="M1259" s="12">
        <f>IF(K1259=1,F1259+L1259*(I1259-F1259),"")</f>
      </c>
      <c r="N1259" s="12">
        <f>IF(K1259=1,G1259+L1259*(J1259-G1259),"")</f>
      </c>
    </row>
    <row r="1260" spans="2:14" x14ac:dyDescent="0.25">
      <c r="B1260">
        <v>81</v>
      </c>
      <c r="C1260">
        <v>330.00000000000006</v>
      </c>
      <c r="D1260">
        <v>7</v>
      </c>
      <c r="E1260" s="18">
        <v>5523.81332356501</v>
      </c>
      <c r="F1260" s="18">
        <v>-1876.9741645261395</v>
      </c>
      <c r="G1260" s="18">
        <v>4748.332897726923</v>
      </c>
      <c r="H1260" s="12">
        <f>E1261</f>
      </c>
      <c r="I1260" s="12">
        <f>F1261</f>
      </c>
      <c r="J1260" s="12">
        <f>G1261</f>
      </c>
      <c r="K1260">
        <f>IF(AND(Pu&gt;=MIN(E1260,H1260),Pu&lt;=MAX(E1260,H1260),E1260&lt;&gt;H1260),1,0)</f>
      </c>
      <c r="L1260">
        <f>IF(K1260=1,(Pu-E1260)/(H1260-E1260),"")</f>
      </c>
      <c r="M1260" s="12">
        <f>IF(K1260=1,F1260+L1260*(I1260-F1260),"")</f>
      </c>
      <c r="N1260" s="12">
        <f>IF(K1260=1,G1260+L1260*(J1260-G1260),"")</f>
      </c>
    </row>
    <row r="1261" spans="2:14" x14ac:dyDescent="0.25">
      <c r="B1261">
        <v>81</v>
      </c>
      <c r="C1261">
        <v>330.00000000000006</v>
      </c>
      <c r="D1261">
        <v>8</v>
      </c>
      <c r="E1261" s="18">
        <v>4712.473903860889</v>
      </c>
      <c r="F1261" s="18">
        <v>-1932.0039260876292</v>
      </c>
      <c r="G1261" s="18">
        <v>4863.8136962066765</v>
      </c>
      <c r="H1261" s="12">
        <f>E1262</f>
      </c>
      <c r="I1261" s="12">
        <f>F1262</f>
      </c>
      <c r="J1261" s="12">
        <f>G1262</f>
      </c>
      <c r="K1261">
        <f>IF(AND(Pu&gt;=MIN(E1261,H1261),Pu&lt;=MAX(E1261,H1261),E1261&lt;&gt;H1261),1,0)</f>
      </c>
      <c r="L1261">
        <f>IF(K1261=1,(Pu-E1261)/(H1261-E1261),"")</f>
      </c>
      <c r="M1261" s="12">
        <f>IF(K1261=1,F1261+L1261*(I1261-F1261),"")</f>
      </c>
      <c r="N1261" s="12">
        <f>IF(K1261=1,G1261+L1261*(J1261-G1261),"")</f>
      </c>
    </row>
    <row r="1262" spans="2:14" x14ac:dyDescent="0.25">
      <c r="B1262">
        <v>81</v>
      </c>
      <c r="C1262">
        <v>330.00000000000006</v>
      </c>
      <c r="D1262">
        <v>9</v>
      </c>
      <c r="E1262" s="18">
        <v>3655.589028488316</v>
      </c>
      <c r="F1262" s="18">
        <v>-1848.0920579585477</v>
      </c>
      <c r="G1262" s="18">
        <v>4552.941779706579</v>
      </c>
      <c r="H1262" s="12">
        <f>E1263</f>
      </c>
      <c r="I1262" s="12">
        <f>F1263</f>
      </c>
      <c r="J1262" s="12">
        <f>G1263</f>
      </c>
      <c r="K1262">
        <f>IF(AND(Pu&gt;=MIN(E1262,H1262),Pu&lt;=MAX(E1262,H1262),E1262&lt;&gt;H1262),1,0)</f>
      </c>
      <c r="L1262">
        <f>IF(K1262=1,(Pu-E1262)/(H1262-E1262),"")</f>
      </c>
      <c r="M1262" s="12">
        <f>IF(K1262=1,F1262+L1262*(I1262-F1262),"")</f>
      </c>
      <c r="N1262" s="12">
        <f>IF(K1262=1,G1262+L1262*(J1262-G1262),"")</f>
      </c>
    </row>
    <row r="1263" spans="2:14" x14ac:dyDescent="0.25">
      <c r="B1263">
        <v>81</v>
      </c>
      <c r="C1263">
        <v>330.00000000000006</v>
      </c>
      <c r="D1263">
        <v>10</v>
      </c>
      <c r="E1263" s="18">
        <v>2045.697222416557</v>
      </c>
      <c r="F1263" s="18">
        <v>-1711.8493171399896</v>
      </c>
      <c r="G1263" s="18">
        <v>3907.482836324861</v>
      </c>
      <c r="H1263" s="12">
        <f>E1264</f>
      </c>
      <c r="I1263" s="12">
        <f>F1264</f>
      </c>
      <c r="J1263" s="12">
        <f>G1264</f>
      </c>
      <c r="K1263">
        <f>IF(AND(Pu&gt;=MIN(E1263,H1263),Pu&lt;=MAX(E1263,H1263),E1263&lt;&gt;H1263),1,0)</f>
      </c>
      <c r="L1263">
        <f>IF(K1263=1,(Pu-E1263)/(H1263-E1263),"")</f>
      </c>
      <c r="M1263" s="12">
        <f>IF(K1263=1,F1263+L1263*(I1263-F1263),"")</f>
      </c>
      <c r="N1263" s="12">
        <f>IF(K1263=1,G1263+L1263*(J1263-G1263),"")</f>
      </c>
    </row>
    <row r="1264" spans="2:14" x14ac:dyDescent="0.25">
      <c r="B1264">
        <v>81</v>
      </c>
      <c r="C1264">
        <v>330.00000000000006</v>
      </c>
      <c r="D1264">
        <v>11</v>
      </c>
      <c r="E1264" s="18">
        <v>909.6960597465946</v>
      </c>
      <c r="F1264" s="18">
        <v>-1537.2891152390177</v>
      </c>
      <c r="G1264" s="18">
        <v>3370.67790254965</v>
      </c>
      <c r="H1264" s="12">
        <f>E1265</f>
      </c>
      <c r="I1264" s="12">
        <f>F1265</f>
      </c>
      <c r="J1264" s="12">
        <f>G1265</f>
      </c>
      <c r="K1264">
        <f>IF(AND(Pu&gt;=MIN(E1264,H1264),Pu&lt;=MAX(E1264,H1264),E1264&lt;&gt;H1264),1,0)</f>
      </c>
      <c r="L1264">
        <f>IF(K1264=1,(Pu-E1264)/(H1264-E1264),"")</f>
      </c>
      <c r="M1264" s="12">
        <f>IF(K1264=1,F1264+L1264*(I1264-F1264),"")</f>
      </c>
      <c r="N1264" s="12">
        <f>IF(K1264=1,G1264+L1264*(J1264-G1264),"")</f>
      </c>
    </row>
    <row r="1265" spans="2:14" x14ac:dyDescent="0.25">
      <c r="B1265">
        <v>81</v>
      </c>
      <c r="C1265">
        <v>330.00000000000006</v>
      </c>
      <c r="D1265">
        <v>12</v>
      </c>
      <c r="E1265" s="18">
        <v>-1001.6965113812616</v>
      </c>
      <c r="F1265" s="18">
        <v>-1175.5242872224323</v>
      </c>
      <c r="G1265" s="18">
        <v>2376.213534492663</v>
      </c>
      <c r="H1265" s="12">
        <f>E1266</f>
      </c>
      <c r="I1265" s="12">
        <f>F1266</f>
      </c>
      <c r="J1265" s="12">
        <f>G1266</f>
      </c>
      <c r="K1265">
        <f>IF(AND(Pu&gt;=MIN(E1265,H1265),Pu&lt;=MAX(E1265,H1265),E1265&lt;&gt;H1265),1,0)</f>
      </c>
      <c r="L1265">
        <f>IF(K1265=1,(Pu-E1265)/(H1265-E1265),"")</f>
      </c>
      <c r="M1265" s="12">
        <f>IF(K1265=1,F1265+L1265*(I1265-F1265),"")</f>
      </c>
      <c r="N1265" s="12">
        <f>IF(K1265=1,G1265+L1265*(J1265-G1265),"")</f>
      </c>
    </row>
    <row r="1266" spans="2:14" x14ac:dyDescent="0.25">
      <c r="B1266">
        <v>81</v>
      </c>
      <c r="C1266">
        <v>330.00000000000006</v>
      </c>
      <c r="D1266">
        <v>13</v>
      </c>
      <c r="E1266" s="18">
        <v>-2257.327155870937</v>
      </c>
      <c r="F1266" s="18">
        <v>-876.3487677854175</v>
      </c>
      <c r="G1266" s="18">
        <v>1667.2597478327239</v>
      </c>
      <c r="H1266" s="12">
        <f>E1267</f>
      </c>
      <c r="I1266" s="12">
        <f>F1267</f>
      </c>
      <c r="J1266" s="12">
        <f>G1267</f>
      </c>
      <c r="K1266">
        <f>IF(AND(Pu&gt;=MIN(E1266,H1266),Pu&lt;=MAX(E1266,H1266),E1266&lt;&gt;H1266),1,0)</f>
      </c>
      <c r="L1266">
        <f>IF(K1266=1,(Pu-E1266)/(H1266-E1266),"")</f>
      </c>
      <c r="M1266" s="12">
        <f>IF(K1266=1,F1266+L1266*(I1266-F1266),"")</f>
      </c>
      <c r="N1266" s="12">
        <f>IF(K1266=1,G1266+L1266*(J1266-G1266),"")</f>
      </c>
    </row>
    <row r="1267" spans="2:7" x14ac:dyDescent="0.25">
      <c r="B1267">
        <v>81</v>
      </c>
      <c r="C1267">
        <v>330.00000000000006</v>
      </c>
      <c r="D1267">
        <v>14</v>
      </c>
      <c r="E1267" s="18">
        <v>-4073.363030721495</v>
      </c>
      <c r="F1267" s="18">
        <v>-317.1119100570371</v>
      </c>
      <c r="G1267" s="18">
        <v>570.0336548953592</v>
      </c>
    </row>
    <row r="1269" spans="2:14" x14ac:dyDescent="0.25">
      <c r="B1269">
        <v>82</v>
      </c>
      <c r="C1269">
        <v>337.49999999999994</v>
      </c>
      <c r="D1269">
        <v>1</v>
      </c>
      <c r="E1269" s="18">
        <v>16802.191009544775</v>
      </c>
      <c r="F1269" s="18">
        <v>-865.2030510494862</v>
      </c>
      <c r="G1269" s="18">
        <v>2942.0661834077173</v>
      </c>
      <c r="H1269" s="12">
        <f>E1270</f>
      </c>
      <c r="I1269" s="12">
        <f>F1270</f>
      </c>
      <c r="J1269" s="12">
        <f>G1270</f>
      </c>
      <c r="K1269">
        <f>IF(AND(Pu&gt;=MIN(E1269,H1269),Pu&lt;=MAX(E1269,H1269),E1269&lt;&gt;H1269),1,0)</f>
      </c>
      <c r="L1269">
        <f>IF(K1269=1,(Pu-E1269)/(H1269-E1269),"")</f>
      </c>
      <c r="M1269" s="12">
        <f>IF(K1269=1,F1269+L1269*(I1269-F1269),"")</f>
      </c>
      <c r="N1269" s="12">
        <f>IF(K1269=1,G1269+L1269*(J1269-G1269),"")</f>
      </c>
    </row>
    <row r="1270" spans="2:14" x14ac:dyDescent="0.25">
      <c r="B1270">
        <v>82</v>
      </c>
      <c r="C1270">
        <v>337.49999999999994</v>
      </c>
      <c r="D1270">
        <v>2</v>
      </c>
      <c r="E1270" s="18">
        <v>15007.292481696344</v>
      </c>
      <c r="F1270" s="18">
        <v>-962.5521155460343</v>
      </c>
      <c r="G1270" s="18">
        <v>3579.484973932545</v>
      </c>
      <c r="H1270" s="12">
        <f>E1271</f>
      </c>
      <c r="I1270" s="12">
        <f>F1271</f>
      </c>
      <c r="J1270" s="12">
        <f>G1271</f>
      </c>
      <c r="K1270">
        <f>IF(AND(Pu&gt;=MIN(E1270,H1270),Pu&lt;=MAX(E1270,H1270),E1270&lt;&gt;H1270),1,0)</f>
      </c>
      <c r="L1270">
        <f>IF(K1270=1,(Pu-E1270)/(H1270-E1270),"")</f>
      </c>
      <c r="M1270" s="12">
        <f>IF(K1270=1,F1270+L1270*(I1270-F1270),"")</f>
      </c>
      <c r="N1270" s="12">
        <f>IF(K1270=1,G1270+L1270*(J1270-G1270),"")</f>
      </c>
    </row>
    <row r="1271" spans="2:14" x14ac:dyDescent="0.25">
      <c r="B1271">
        <v>82</v>
      </c>
      <c r="C1271">
        <v>337.49999999999994</v>
      </c>
      <c r="D1271">
        <v>3</v>
      </c>
      <c r="E1271" s="18">
        <v>13075.220891441473</v>
      </c>
      <c r="F1271" s="18">
        <v>-1162.7810816266576</v>
      </c>
      <c r="G1271" s="18">
        <v>3982.9577831902766</v>
      </c>
      <c r="H1271" s="12">
        <f>E1272</f>
      </c>
      <c r="I1271" s="12">
        <f>F1272</f>
      </c>
      <c r="J1271" s="12">
        <f>G1272</f>
      </c>
      <c r="K1271">
        <f>IF(AND(Pu&gt;=MIN(E1271,H1271),Pu&lt;=MAX(E1271,H1271),E1271&lt;&gt;H1271),1,0)</f>
      </c>
      <c r="L1271">
        <f>IF(K1271=1,(Pu-E1271)/(H1271-E1271),"")</f>
      </c>
      <c r="M1271" s="12">
        <f>IF(K1271=1,F1271+L1271*(I1271-F1271),"")</f>
      </c>
      <c r="N1271" s="12">
        <f>IF(K1271=1,G1271+L1271*(J1271-G1271),"")</f>
      </c>
    </row>
    <row r="1272" spans="2:14" x14ac:dyDescent="0.25">
      <c r="B1272">
        <v>82</v>
      </c>
      <c r="C1272">
        <v>337.49999999999994</v>
      </c>
      <c r="D1272">
        <v>4</v>
      </c>
      <c r="E1272" s="18">
        <v>10833.43959895388</v>
      </c>
      <c r="F1272" s="18">
        <v>-1311.7332308944576</v>
      </c>
      <c r="G1272" s="18">
        <v>4247.617279107655</v>
      </c>
      <c r="H1272" s="12">
        <f>E1273</f>
      </c>
      <c r="I1272" s="12">
        <f>F1273</f>
      </c>
      <c r="J1272" s="12">
        <f>G1273</f>
      </c>
      <c r="K1272">
        <f>IF(AND(Pu&gt;=MIN(E1272,H1272),Pu&lt;=MAX(E1272,H1272),E1272&lt;&gt;H1272),1,0)</f>
      </c>
      <c r="L1272">
        <f>IF(K1272=1,(Pu-E1272)/(H1272-E1272),"")</f>
      </c>
      <c r="M1272" s="12">
        <f>IF(K1272=1,F1272+L1272*(I1272-F1272),"")</f>
      </c>
      <c r="N1272" s="12">
        <f>IF(K1272=1,G1272+L1272*(J1272-G1272),"")</f>
      </c>
    </row>
    <row r="1273" spans="2:14" x14ac:dyDescent="0.25">
      <c r="B1273">
        <v>82</v>
      </c>
      <c r="C1273">
        <v>337.49999999999994</v>
      </c>
      <c r="D1273">
        <v>5</v>
      </c>
      <c r="E1273" s="18">
        <v>8660.155100207086</v>
      </c>
      <c r="F1273" s="18">
        <v>-1343.5847581048533</v>
      </c>
      <c r="G1273" s="18">
        <v>4388.265007291905</v>
      </c>
      <c r="H1273" s="12">
        <f>E1274</f>
      </c>
      <c r="I1273" s="12">
        <f>F1274</f>
      </c>
      <c r="J1273" s="12">
        <f>G1274</f>
      </c>
      <c r="K1273">
        <f>IF(AND(Pu&gt;=MIN(E1273,H1273),Pu&lt;=MAX(E1273,H1273),E1273&lt;&gt;H1273),1,0)</f>
      </c>
      <c r="L1273">
        <f>IF(K1273=1,(Pu-E1273)/(H1273-E1273),"")</f>
      </c>
      <c r="M1273" s="12">
        <f>IF(K1273=1,F1273+L1273*(I1273-F1273),"")</f>
      </c>
      <c r="N1273" s="12">
        <f>IF(K1273=1,G1273+L1273*(J1273-G1273),"")</f>
      </c>
    </row>
    <row r="1274" spans="2:14" x14ac:dyDescent="0.25">
      <c r="B1274">
        <v>82</v>
      </c>
      <c r="C1274">
        <v>337.49999999999994</v>
      </c>
      <c r="D1274">
        <v>6</v>
      </c>
      <c r="E1274" s="18">
        <v>6691.307545745311</v>
      </c>
      <c r="F1274" s="18">
        <v>-1333.617526522953</v>
      </c>
      <c r="G1274" s="18">
        <v>4822.637017948086</v>
      </c>
      <c r="H1274" s="12">
        <f>E1275</f>
      </c>
      <c r="I1274" s="12">
        <f>F1275</f>
      </c>
      <c r="J1274" s="12">
        <f>G1275</f>
      </c>
      <c r="K1274">
        <f>IF(AND(Pu&gt;=MIN(E1274,H1274),Pu&lt;=MAX(E1274,H1274),E1274&lt;&gt;H1274),1,0)</f>
      </c>
      <c r="L1274">
        <f>IF(K1274=1,(Pu-E1274)/(H1274-E1274),"")</f>
      </c>
      <c r="M1274" s="12">
        <f>IF(K1274=1,F1274+L1274*(I1274-F1274),"")</f>
      </c>
      <c r="N1274" s="12">
        <f>IF(K1274=1,G1274+L1274*(J1274-G1274),"")</f>
      </c>
    </row>
    <row r="1275" spans="2:14" x14ac:dyDescent="0.25">
      <c r="B1275">
        <v>82</v>
      </c>
      <c r="C1275">
        <v>337.49999999999994</v>
      </c>
      <c r="D1275">
        <v>7</v>
      </c>
      <c r="E1275" s="18">
        <v>5677.31619025745</v>
      </c>
      <c r="F1275" s="18">
        <v>-1382.9185662743087</v>
      </c>
      <c r="G1275" s="18">
        <v>5035.454405287943</v>
      </c>
      <c r="H1275" s="12">
        <f>E1276</f>
      </c>
      <c r="I1275" s="12">
        <f>F1276</f>
      </c>
      <c r="J1275" s="12">
        <f>G1276</f>
      </c>
      <c r="K1275">
        <f>IF(AND(Pu&gt;=MIN(E1275,H1275),Pu&lt;=MAX(E1275,H1275),E1275&lt;&gt;H1275),1,0)</f>
      </c>
      <c r="L1275">
        <f>IF(K1275=1,(Pu-E1275)/(H1275-E1275),"")</f>
      </c>
      <c r="M1275" s="12">
        <f>IF(K1275=1,F1275+L1275*(I1275-F1275),"")</f>
      </c>
      <c r="N1275" s="12">
        <f>IF(K1275=1,G1275+L1275*(J1275-G1275),"")</f>
      </c>
    </row>
    <row r="1276" spans="2:14" x14ac:dyDescent="0.25">
      <c r="B1276">
        <v>82</v>
      </c>
      <c r="C1276">
        <v>337.49999999999994</v>
      </c>
      <c r="D1276">
        <v>8</v>
      </c>
      <c r="E1276" s="18">
        <v>4891.244997979236</v>
      </c>
      <c r="F1276" s="18">
        <v>-1435.971119883019</v>
      </c>
      <c r="G1276" s="18">
        <v>5198.528634661523</v>
      </c>
      <c r="H1276" s="12">
        <f>E1277</f>
      </c>
      <c r="I1276" s="12">
        <f>F1277</f>
      </c>
      <c r="J1276" s="12">
        <f>G1277</f>
      </c>
      <c r="K1276">
        <f>IF(AND(Pu&gt;=MIN(E1276,H1276),Pu&lt;=MAX(E1276,H1276),E1276&lt;&gt;H1276),1,0)</f>
      </c>
      <c r="L1276">
        <f>IF(K1276=1,(Pu-E1276)/(H1276-E1276),"")</f>
      </c>
      <c r="M1276" s="12">
        <f>IF(K1276=1,F1276+L1276*(I1276-F1276),"")</f>
      </c>
      <c r="N1276" s="12">
        <f>IF(K1276=1,G1276+L1276*(J1276-G1276),"")</f>
      </c>
    </row>
    <row r="1277" spans="2:14" x14ac:dyDescent="0.25">
      <c r="B1277">
        <v>82</v>
      </c>
      <c r="C1277">
        <v>337.49999999999994</v>
      </c>
      <c r="D1277">
        <v>9</v>
      </c>
      <c r="E1277" s="18">
        <v>3991.779615016954</v>
      </c>
      <c r="F1277" s="18">
        <v>-1406.2039563092992</v>
      </c>
      <c r="G1277" s="18">
        <v>4918.988182740223</v>
      </c>
      <c r="H1277" s="12">
        <f>E1278</f>
      </c>
      <c r="I1277" s="12">
        <f>F1278</f>
      </c>
      <c r="J1277" s="12">
        <f>G1278</f>
      </c>
      <c r="K1277">
        <f>IF(AND(Pu&gt;=MIN(E1277,H1277),Pu&lt;=MAX(E1277,H1277),E1277&lt;&gt;H1277),1,0)</f>
      </c>
      <c r="L1277">
        <f>IF(K1277=1,(Pu-E1277)/(H1277-E1277),"")</f>
      </c>
      <c r="M1277" s="12">
        <f>IF(K1277=1,F1277+L1277*(I1277-F1277),"")</f>
      </c>
      <c r="N1277" s="12">
        <f>IF(K1277=1,G1277+L1277*(J1277-G1277),"")</f>
      </c>
    </row>
    <row r="1278" spans="2:14" x14ac:dyDescent="0.25">
      <c r="B1278">
        <v>82</v>
      </c>
      <c r="C1278">
        <v>337.49999999999994</v>
      </c>
      <c r="D1278">
        <v>10</v>
      </c>
      <c r="E1278" s="18">
        <v>2526.0523915179087</v>
      </c>
      <c r="F1278" s="18">
        <v>-1340.3330785459232</v>
      </c>
      <c r="G1278" s="18">
        <v>4345.226610139155</v>
      </c>
      <c r="H1278" s="12">
        <f>E1279</f>
      </c>
      <c r="I1278" s="12">
        <f>F1279</f>
      </c>
      <c r="J1278" s="12">
        <f>G1279</f>
      </c>
      <c r="K1278">
        <f>IF(AND(Pu&gt;=MIN(E1278,H1278),Pu&lt;=MAX(E1278,H1278),E1278&lt;&gt;H1278),1,0)</f>
      </c>
      <c r="L1278">
        <f>IF(K1278=1,(Pu-E1278)/(H1278-E1278),"")</f>
      </c>
      <c r="M1278" s="12">
        <f>IF(K1278=1,F1278+L1278*(I1278-F1278),"")</f>
      </c>
      <c r="N1278" s="12">
        <f>IF(K1278=1,G1278+L1278*(J1278-G1278),"")</f>
      </c>
    </row>
    <row r="1279" spans="2:14" x14ac:dyDescent="0.25">
      <c r="B1279">
        <v>82</v>
      </c>
      <c r="C1279">
        <v>337.49999999999994</v>
      </c>
      <c r="D1279">
        <v>11</v>
      </c>
      <c r="E1279" s="18">
        <v>1320.7295542762904</v>
      </c>
      <c r="F1279" s="18">
        <v>-1256.6016201215323</v>
      </c>
      <c r="G1279" s="18">
        <v>3775.763656352867</v>
      </c>
      <c r="H1279" s="12">
        <f>E1280</f>
      </c>
      <c r="I1279" s="12">
        <f>F1280</f>
      </c>
      <c r="J1279" s="12">
        <f>G1280</f>
      </c>
      <c r="K1279">
        <f>IF(AND(Pu&gt;=MIN(E1279,H1279),Pu&lt;=MAX(E1279,H1279),E1279&lt;&gt;H1279),1,0)</f>
      </c>
      <c r="L1279">
        <f>IF(K1279=1,(Pu-E1279)/(H1279-E1279),"")</f>
      </c>
      <c r="M1279" s="12">
        <f>IF(K1279=1,F1279+L1279*(I1279-F1279),"")</f>
      </c>
      <c r="N1279" s="12">
        <f>IF(K1279=1,G1279+L1279*(J1279-G1279),"")</f>
      </c>
    </row>
    <row r="1280" spans="2:14" x14ac:dyDescent="0.25">
      <c r="B1280">
        <v>82</v>
      </c>
      <c r="C1280">
        <v>337.49999999999994</v>
      </c>
      <c r="D1280">
        <v>12</v>
      </c>
      <c r="E1280" s="18">
        <v>-718.2537779196899</v>
      </c>
      <c r="F1280" s="18">
        <v>-990.5468081860539</v>
      </c>
      <c r="G1280" s="18">
        <v>2658.1585911899992</v>
      </c>
      <c r="H1280" s="12">
        <f>E1281</f>
      </c>
      <c r="I1280" s="12">
        <f>F1281</f>
      </c>
      <c r="J1280" s="12">
        <f>G1281</f>
      </c>
      <c r="K1280">
        <f>IF(AND(Pu&gt;=MIN(E1280,H1280),Pu&lt;=MAX(E1280,H1280),E1280&lt;&gt;H1280),1,0)</f>
      </c>
      <c r="L1280">
        <f>IF(K1280=1,(Pu-E1280)/(H1280-E1280),"")</f>
      </c>
      <c r="M1280" s="12">
        <f>IF(K1280=1,F1280+L1280*(I1280-F1280),"")</f>
      </c>
      <c r="N1280" s="12">
        <f>IF(K1280=1,G1280+L1280*(J1280-G1280),"")</f>
      </c>
    </row>
    <row r="1281" spans="2:14" x14ac:dyDescent="0.25">
      <c r="B1281">
        <v>82</v>
      </c>
      <c r="C1281">
        <v>337.49999999999994</v>
      </c>
      <c r="D1281">
        <v>13</v>
      </c>
      <c r="E1281" s="18">
        <v>-2043.8499721972469</v>
      </c>
      <c r="F1281" s="18">
        <v>-768.3953206580607</v>
      </c>
      <c r="G1281" s="18">
        <v>1860.830974136151</v>
      </c>
      <c r="H1281" s="12">
        <f>E1282</f>
      </c>
      <c r="I1281" s="12">
        <f>F1282</f>
      </c>
      <c r="J1281" s="12">
        <f>G1282</f>
      </c>
      <c r="K1281">
        <f>IF(AND(Pu&gt;=MIN(E1281,H1281),Pu&lt;=MAX(E1281,H1281),E1281&lt;&gt;H1281),1,0)</f>
      </c>
      <c r="L1281">
        <f>IF(K1281=1,(Pu-E1281)/(H1281-E1281),"")</f>
      </c>
      <c r="M1281" s="12">
        <f>IF(K1281=1,F1281+L1281*(I1281-F1281),"")</f>
      </c>
      <c r="N1281" s="12">
        <f>IF(K1281=1,G1281+L1281*(J1281-G1281),"")</f>
      </c>
    </row>
    <row r="1282" spans="2:7" x14ac:dyDescent="0.25">
      <c r="B1282">
        <v>82</v>
      </c>
      <c r="C1282">
        <v>337.49999999999994</v>
      </c>
      <c r="D1282">
        <v>14</v>
      </c>
      <c r="E1282" s="18">
        <v>-4033.7443968083653</v>
      </c>
      <c r="F1282" s="18">
        <v>-292.2579811280834</v>
      </c>
      <c r="G1282" s="18">
        <v>609.0838507623977</v>
      </c>
    </row>
    <row r="1284" spans="2:14" x14ac:dyDescent="0.25">
      <c r="B1284">
        <v>83</v>
      </c>
      <c r="C1284">
        <v>341.25</v>
      </c>
      <c r="D1284">
        <v>1</v>
      </c>
      <c r="E1284" s="18">
        <v>17595.35023414</v>
      </c>
      <c r="F1284" s="18">
        <v>-713.5694762875684</v>
      </c>
      <c r="G1284" s="18">
        <v>2620.360414908034</v>
      </c>
      <c r="H1284" s="12">
        <f>E1285</f>
      </c>
      <c r="I1284" s="12">
        <f>F1285</f>
      </c>
      <c r="J1284" s="12">
        <f>G1285</f>
      </c>
      <c r="K1284">
        <f>IF(AND(Pu&gt;=MIN(E1284,H1284),Pu&lt;=MAX(E1284,H1284),E1284&lt;&gt;H1284),1,0)</f>
      </c>
      <c r="L1284">
        <f>IF(K1284=1,(Pu-E1284)/(H1284-E1284),"")</f>
      </c>
      <c r="M1284" s="12">
        <f>IF(K1284=1,F1284+L1284*(I1284-F1284),"")</f>
      </c>
      <c r="N1284" s="12">
        <f>IF(K1284=1,G1284+L1284*(J1284-G1284),"")</f>
      </c>
    </row>
    <row r="1285" spans="2:14" x14ac:dyDescent="0.25">
      <c r="B1285">
        <v>83</v>
      </c>
      <c r="C1285">
        <v>341.25</v>
      </c>
      <c r="D1285">
        <v>2</v>
      </c>
      <c r="E1285" s="18">
        <v>16717.056801764666</v>
      </c>
      <c r="F1285" s="18">
        <v>-723.1575758834134</v>
      </c>
      <c r="G1285" s="18">
        <v>3038.5833040015978</v>
      </c>
      <c r="H1285" s="12">
        <f>E1286</f>
      </c>
      <c r="I1285" s="12">
        <f>F1286</f>
      </c>
      <c r="J1285" s="12">
        <f>G1286</f>
      </c>
      <c r="K1285">
        <f>IF(AND(Pu&gt;=MIN(E1285,H1285),Pu&lt;=MAX(E1285,H1285),E1285&lt;&gt;H1285),1,0)</f>
      </c>
      <c r="L1285">
        <f>IF(K1285=1,(Pu-E1285)/(H1285-E1285),"")</f>
      </c>
      <c r="M1285" s="12">
        <f>IF(K1285=1,F1285+L1285*(I1285-F1285),"")</f>
      </c>
      <c r="N1285" s="12">
        <f>IF(K1285=1,G1285+L1285*(J1285-G1285),"")</f>
      </c>
    </row>
    <row r="1286" spans="2:14" x14ac:dyDescent="0.25">
      <c r="B1286">
        <v>83</v>
      </c>
      <c r="C1286">
        <v>341.25</v>
      </c>
      <c r="D1286">
        <v>3</v>
      </c>
      <c r="E1286" s="18">
        <v>14992.086879493487</v>
      </c>
      <c r="F1286" s="18">
        <v>-787.1716353099503</v>
      </c>
      <c r="G1286" s="18">
        <v>3655.20853916453</v>
      </c>
      <c r="H1286" s="12">
        <f>E1287</f>
      </c>
      <c r="I1286" s="12">
        <f>F1287</f>
      </c>
      <c r="J1286" s="12">
        <f>G1287</f>
      </c>
      <c r="K1286">
        <f>IF(AND(Pu&gt;=MIN(E1286,H1286),Pu&lt;=MAX(E1286,H1286),E1286&lt;&gt;H1286),1,0)</f>
      </c>
      <c r="L1286">
        <f>IF(K1286=1,(Pu-E1286)/(H1286-E1286),"")</f>
      </c>
      <c r="M1286" s="12">
        <f>IF(K1286=1,F1286+L1286*(I1286-F1286),"")</f>
      </c>
      <c r="N1286" s="12">
        <f>IF(K1286=1,G1286+L1286*(J1286-G1286),"")</f>
      </c>
    </row>
    <row r="1287" spans="2:14" x14ac:dyDescent="0.25">
      <c r="B1287">
        <v>83</v>
      </c>
      <c r="C1287">
        <v>341.25</v>
      </c>
      <c r="D1287">
        <v>4</v>
      </c>
      <c r="E1287" s="18">
        <v>13139.928457218397</v>
      </c>
      <c r="F1287" s="18">
        <v>-969.2618977882413</v>
      </c>
      <c r="G1287" s="18">
        <v>4053.1678360255446</v>
      </c>
      <c r="H1287" s="12">
        <f>E1288</f>
      </c>
      <c r="I1287" s="12">
        <f>F1288</f>
      </c>
      <c r="J1287" s="12">
        <f>G1288</f>
      </c>
      <c r="K1287">
        <f>IF(AND(Pu&gt;=MIN(E1287,H1287),Pu&lt;=MAX(E1287,H1287),E1287&lt;&gt;H1287),1,0)</f>
      </c>
      <c r="L1287">
        <f>IF(K1287=1,(Pu-E1287)/(H1287-E1287),"")</f>
      </c>
      <c r="M1287" s="12">
        <f>IF(K1287=1,F1287+L1287*(I1287-F1287),"")</f>
      </c>
      <c r="N1287" s="12">
        <f>IF(K1287=1,G1287+L1287*(J1287-G1287),"")</f>
      </c>
    </row>
    <row r="1288" spans="2:14" x14ac:dyDescent="0.25">
      <c r="B1288">
        <v>83</v>
      </c>
      <c r="C1288">
        <v>341.25</v>
      </c>
      <c r="D1288">
        <v>5</v>
      </c>
      <c r="E1288" s="18">
        <v>10845.789418349847</v>
      </c>
      <c r="F1288" s="18">
        <v>-1080.21239618838</v>
      </c>
      <c r="G1288" s="18">
        <v>4338.9050391011015</v>
      </c>
      <c r="H1288" s="12">
        <f>E1289</f>
      </c>
      <c r="I1288" s="12">
        <f>F1289</f>
      </c>
      <c r="J1288" s="12">
        <f>G1289</f>
      </c>
      <c r="K1288">
        <f>IF(AND(Pu&gt;=MIN(E1288,H1288),Pu&lt;=MAX(E1288,H1288),E1288&lt;&gt;H1288),1,0)</f>
      </c>
      <c r="L1288">
        <f>IF(K1288=1,(Pu-E1288)/(H1288-E1288),"")</f>
      </c>
      <c r="M1288" s="12">
        <f>IF(K1288=1,F1288+L1288*(I1288-F1288),"")</f>
      </c>
      <c r="N1288" s="12">
        <f>IF(K1288=1,G1288+L1288*(J1288-G1288),"")</f>
      </c>
    </row>
    <row r="1289" spans="2:14" x14ac:dyDescent="0.25">
      <c r="B1289">
        <v>83</v>
      </c>
      <c r="C1289">
        <v>341.25</v>
      </c>
      <c r="D1289">
        <v>6</v>
      </c>
      <c r="E1289" s="18">
        <v>8688.78989375458</v>
      </c>
      <c r="F1289" s="18">
        <v>-1116.7829140414344</v>
      </c>
      <c r="G1289" s="18">
        <v>4481.197285218684</v>
      </c>
      <c r="H1289" s="12">
        <f>E1290</f>
      </c>
      <c r="I1289" s="12">
        <f>F1290</f>
      </c>
      <c r="J1289" s="12">
        <f>G1290</f>
      </c>
      <c r="K1289">
        <f>IF(AND(Pu&gt;=MIN(E1289,H1289),Pu&lt;=MAX(E1289,H1289),E1289&lt;&gt;H1289),1,0)</f>
      </c>
      <c r="L1289">
        <f>IF(K1289=1,(Pu-E1289)/(H1289-E1289),"")</f>
      </c>
      <c r="M1289" s="12">
        <f>IF(K1289=1,F1289+L1289*(I1289-F1289),"")</f>
      </c>
      <c r="N1289" s="12">
        <f>IF(K1289=1,G1289+L1289*(J1289-G1289),"")</f>
      </c>
    </row>
    <row r="1290" spans="2:14" x14ac:dyDescent="0.25">
      <c r="B1290">
        <v>83</v>
      </c>
      <c r="C1290">
        <v>341.25</v>
      </c>
      <c r="D1290">
        <v>7</v>
      </c>
      <c r="E1290" s="18">
        <v>6700.069746421679</v>
      </c>
      <c r="F1290" s="18">
        <v>-1125.9038324199773</v>
      </c>
      <c r="G1290" s="18">
        <v>4894.814414058232</v>
      </c>
      <c r="H1290" s="12">
        <f>E1291</f>
      </c>
      <c r="I1290" s="12">
        <f>F1291</f>
      </c>
      <c r="J1290" s="12">
        <f>G1291</f>
      </c>
      <c r="K1290">
        <f>IF(AND(Pu&gt;=MIN(E1290,H1290),Pu&lt;=MAX(E1290,H1290),E1290&lt;&gt;H1290),1,0)</f>
      </c>
      <c r="L1290">
        <f>IF(K1290=1,(Pu-E1290)/(H1290-E1290),"")</f>
      </c>
      <c r="M1290" s="12">
        <f>IF(K1290=1,F1290+L1290*(I1290-F1290),"")</f>
      </c>
      <c r="N1290" s="12">
        <f>IF(K1290=1,G1290+L1290*(J1290-G1290),"")</f>
      </c>
    </row>
    <row r="1291" spans="2:14" x14ac:dyDescent="0.25">
      <c r="B1291">
        <v>83</v>
      </c>
      <c r="C1291">
        <v>341.25</v>
      </c>
      <c r="D1291">
        <v>8</v>
      </c>
      <c r="E1291" s="18">
        <v>5750.745338105922</v>
      </c>
      <c r="F1291" s="18">
        <v>-1136.8258599608723</v>
      </c>
      <c r="G1291" s="18">
        <v>5153.44451238551</v>
      </c>
      <c r="H1291" s="12">
        <f>E1292</f>
      </c>
      <c r="I1291" s="12">
        <f>F1292</f>
      </c>
      <c r="J1291" s="12">
        <f>G1292</f>
      </c>
      <c r="K1291">
        <f>IF(AND(Pu&gt;=MIN(E1291,H1291),Pu&lt;=MAX(E1291,H1291),E1291&lt;&gt;H1291),1,0)</f>
      </c>
      <c r="L1291">
        <f>IF(K1291=1,(Pu-E1291)/(H1291-E1291),"")</f>
      </c>
      <c r="M1291" s="12">
        <f>IF(K1291=1,F1291+L1291*(I1291-F1291),"")</f>
      </c>
      <c r="N1291" s="12">
        <f>IF(K1291=1,G1291+L1291*(J1291-G1291),"")</f>
      </c>
    </row>
    <row r="1292" spans="2:14" x14ac:dyDescent="0.25">
      <c r="B1292">
        <v>83</v>
      </c>
      <c r="C1292">
        <v>341.25</v>
      </c>
      <c r="D1292">
        <v>9</v>
      </c>
      <c r="E1292" s="18">
        <v>5019.642534826676</v>
      </c>
      <c r="F1292" s="18">
        <v>-1190.8203974242188</v>
      </c>
      <c r="G1292" s="18">
        <v>5338.795816749516</v>
      </c>
      <c r="H1292" s="12">
        <f>E1293</f>
      </c>
      <c r="I1292" s="12">
        <f>F1293</f>
      </c>
      <c r="J1292" s="12">
        <f>G1293</f>
      </c>
      <c r="K1292">
        <f>IF(AND(Pu&gt;=MIN(E1292,H1292),Pu&lt;=MAX(E1292,H1292),E1292&lt;&gt;H1292),1,0)</f>
      </c>
      <c r="L1292">
        <f>IF(K1292=1,(Pu-E1292)/(H1292-E1292),"")</f>
      </c>
      <c r="M1292" s="12">
        <f>IF(K1292=1,F1292+L1292*(I1292-F1292),"")</f>
      </c>
      <c r="N1292" s="12">
        <f>IF(K1292=1,G1292+L1292*(J1292-G1292),"")</f>
      </c>
    </row>
    <row r="1293" spans="2:14" x14ac:dyDescent="0.25">
      <c r="B1293">
        <v>83</v>
      </c>
      <c r="C1293">
        <v>341.25</v>
      </c>
      <c r="D1293">
        <v>10</v>
      </c>
      <c r="E1293" s="18">
        <v>4150.946841896681</v>
      </c>
      <c r="F1293" s="18">
        <v>-1170.1641839847512</v>
      </c>
      <c r="G1293" s="18">
        <v>5077.994823094117</v>
      </c>
      <c r="H1293" s="12">
        <f>E1294</f>
      </c>
      <c r="I1293" s="12">
        <f>F1294</f>
      </c>
      <c r="J1293" s="12">
        <f>G1294</f>
      </c>
      <c r="K1293">
        <f>IF(AND(Pu&gt;=MIN(E1293,H1293),Pu&lt;=MAX(E1293,H1293),E1293&lt;&gt;H1293),1,0)</f>
      </c>
      <c r="L1293">
        <f>IF(K1293=1,(Pu-E1293)/(H1293-E1293),"")</f>
      </c>
      <c r="M1293" s="12">
        <f>IF(K1293=1,F1293+L1293*(I1293-F1293),"")</f>
      </c>
      <c r="N1293" s="12">
        <f>IF(K1293=1,G1293+L1293*(J1293-G1293),"")</f>
      </c>
    </row>
    <row r="1294" spans="2:14" x14ac:dyDescent="0.25">
      <c r="B1294">
        <v>83</v>
      </c>
      <c r="C1294">
        <v>341.25</v>
      </c>
      <c r="D1294">
        <v>11</v>
      </c>
      <c r="E1294" s="18">
        <v>2779.8050660110594</v>
      </c>
      <c r="F1294" s="18">
        <v>-1128.773714197928</v>
      </c>
      <c r="G1294" s="18">
        <v>4555.258927925309</v>
      </c>
      <c r="H1294" s="12">
        <f>E1295</f>
      </c>
      <c r="I1294" s="12">
        <f>F1295</f>
      </c>
      <c r="J1294" s="12">
        <f>G1295</f>
      </c>
      <c r="K1294">
        <f>IF(AND(Pu&gt;=MIN(E1294,H1294),Pu&lt;=MAX(E1294,H1294),E1294&lt;&gt;H1294),1,0)</f>
      </c>
      <c r="L1294">
        <f>IF(K1294=1,(Pu-E1294)/(H1294-E1294),"")</f>
      </c>
      <c r="M1294" s="12">
        <f>IF(K1294=1,F1294+L1294*(I1294-F1294),"")</f>
      </c>
      <c r="N1294" s="12">
        <f>IF(K1294=1,G1294+L1294*(J1294-G1294),"")</f>
      </c>
    </row>
    <row r="1295" spans="2:14" x14ac:dyDescent="0.25">
      <c r="B1295">
        <v>83</v>
      </c>
      <c r="C1295">
        <v>341.25</v>
      </c>
      <c r="D1295">
        <v>12</v>
      </c>
      <c r="E1295" s="18">
        <v>1614.4409700347283</v>
      </c>
      <c r="F1295" s="18">
        <v>-1102.310974451383</v>
      </c>
      <c r="G1295" s="18">
        <v>4008.5794639041524</v>
      </c>
      <c r="H1295" s="12">
        <f>E1296</f>
      </c>
      <c r="I1295" s="12">
        <f>F1296</f>
      </c>
      <c r="J1295" s="12">
        <f>G1296</f>
      </c>
      <c r="K1295">
        <f>IF(AND(Pu&gt;=MIN(E1295,H1295),Pu&lt;=MAX(E1295,H1295),E1295&lt;&gt;H1295),1,0)</f>
      </c>
      <c r="L1295">
        <f>IF(K1295=1,(Pu-E1295)/(H1295-E1295),"")</f>
      </c>
      <c r="M1295" s="12">
        <f>IF(K1295=1,F1295+L1295*(I1295-F1295),"")</f>
      </c>
      <c r="N1295" s="12">
        <f>IF(K1295=1,G1295+L1295*(J1295-G1295),"")</f>
      </c>
    </row>
    <row r="1296" spans="2:14" x14ac:dyDescent="0.25">
      <c r="B1296">
        <v>83</v>
      </c>
      <c r="C1296">
        <v>341.25</v>
      </c>
      <c r="D1296">
        <v>13</v>
      </c>
      <c r="E1296" s="18">
        <v>-464.650560987854</v>
      </c>
      <c r="F1296" s="18">
        <v>-901.616169266673</v>
      </c>
      <c r="G1296" s="18">
        <v>2855.7273281325033</v>
      </c>
      <c r="H1296" s="12">
        <f>E1297</f>
      </c>
      <c r="I1296" s="12">
        <f>F1297</f>
      </c>
      <c r="J1296" s="12">
        <f>G1297</f>
      </c>
      <c r="K1296">
        <f>IF(AND(Pu&gt;=MIN(E1296,H1296),Pu&lt;=MAX(E1296,H1296),E1296&lt;&gt;H1296),1,0)</f>
      </c>
      <c r="L1296">
        <f>IF(K1296=1,(Pu-E1296)/(H1296-E1296),"")</f>
      </c>
      <c r="M1296" s="12">
        <f>IF(K1296=1,F1296+L1296*(I1296-F1296),"")</f>
      </c>
      <c r="N1296" s="12">
        <f>IF(K1296=1,G1296+L1296*(J1296-G1296),"")</f>
      </c>
    </row>
    <row r="1297" spans="2:14" x14ac:dyDescent="0.25">
      <c r="B1297">
        <v>83</v>
      </c>
      <c r="C1297">
        <v>341.25</v>
      </c>
      <c r="D1297">
        <v>14</v>
      </c>
      <c r="E1297" s="18">
        <v>-1817.862223665811</v>
      </c>
      <c r="F1297" s="18">
        <v>-698.3638953331852</v>
      </c>
      <c r="G1297" s="18">
        <v>2037.191902670088</v>
      </c>
      <c r="H1297" s="12">
        <f>E1298</f>
      </c>
      <c r="I1297" s="12">
        <f>F1298</f>
      </c>
      <c r="J1297" s="12">
        <f>G1298</f>
      </c>
      <c r="K1297">
        <f>IF(AND(Pu&gt;=MIN(E1297,H1297),Pu&lt;=MAX(E1297,H1297),E1297&lt;&gt;H1297),1,0)</f>
      </c>
      <c r="L1297">
        <f>IF(K1297=1,(Pu-E1297)/(H1297-E1297),"")</f>
      </c>
      <c r="M1297" s="12">
        <f>IF(K1297=1,F1297+L1297*(I1297-F1297),"")</f>
      </c>
      <c r="N1297" s="12">
        <f>IF(K1297=1,G1297+L1297*(J1297-G1297),"")</f>
      </c>
    </row>
    <row r="1298" spans="2:7" x14ac:dyDescent="0.25">
      <c r="B1298">
        <v>83</v>
      </c>
      <c r="C1298">
        <v>341.25</v>
      </c>
      <c r="D1298">
        <v>15</v>
      </c>
      <c r="E1298" s="18">
        <v>-3952.1157063605883</v>
      </c>
      <c r="F1298" s="18">
        <v>-293.7587097145546</v>
      </c>
      <c r="G1298" s="18">
        <v>668.857979326865</v>
      </c>
    </row>
    <row r="1300" spans="2:14" x14ac:dyDescent="0.25">
      <c r="B1300">
        <v>84</v>
      </c>
      <c r="C1300">
        <v>344.99999999999994</v>
      </c>
      <c r="D1300">
        <v>1</v>
      </c>
      <c r="E1300" s="18">
        <v>17396.106570752956</v>
      </c>
      <c r="F1300" s="18">
        <v>-579.4296736754619</v>
      </c>
      <c r="G1300" s="18">
        <v>2763.877879608642</v>
      </c>
      <c r="H1300" s="12">
        <f>E1301</f>
      </c>
      <c r="I1300" s="12">
        <f>F1301</f>
      </c>
      <c r="J1300" s="12">
        <f>G1301</f>
      </c>
      <c r="K1300">
        <f>IF(AND(Pu&gt;=MIN(E1300,H1300),Pu&lt;=MAX(E1300,H1300),E1300&lt;&gt;H1300),1,0)</f>
      </c>
      <c r="L1300">
        <f>IF(K1300=1,(Pu-E1300)/(H1300-E1300),"")</f>
      </c>
      <c r="M1300" s="12">
        <f>IF(K1300=1,F1300+L1300*(I1300-F1300),"")</f>
      </c>
      <c r="N1300" s="12">
        <f>IF(K1300=1,G1300+L1300*(J1300-G1300),"")</f>
      </c>
    </row>
    <row r="1301" spans="2:14" x14ac:dyDescent="0.25">
      <c r="B1301">
        <v>84</v>
      </c>
      <c r="C1301">
        <v>344.99999999999994</v>
      </c>
      <c r="D1301">
        <v>2</v>
      </c>
      <c r="E1301" s="18">
        <v>16626.939329909957</v>
      </c>
      <c r="F1301" s="18">
        <v>-582.0306216671518</v>
      </c>
      <c r="G1301" s="18">
        <v>3122.6554071992723</v>
      </c>
      <c r="H1301" s="12">
        <f>E1302</f>
      </c>
      <c r="I1301" s="12">
        <f>F1302</f>
      </c>
      <c r="J1301" s="12">
        <f>G1302</f>
      </c>
      <c r="K1301">
        <f>IF(AND(Pu&gt;=MIN(E1301,H1301),Pu&lt;=MAX(E1301,H1301),E1301&lt;&gt;H1301),1,0)</f>
      </c>
      <c r="L1301">
        <f>IF(K1301=1,(Pu-E1301)/(H1301-E1301),"")</f>
      </c>
      <c r="M1301" s="12">
        <f>IF(K1301=1,F1301+L1301*(I1301-F1301),"")</f>
      </c>
      <c r="N1301" s="12">
        <f>IF(K1301=1,G1301+L1301*(J1301-G1301),"")</f>
      </c>
    </row>
    <row r="1302" spans="2:14" x14ac:dyDescent="0.25">
      <c r="B1302">
        <v>84</v>
      </c>
      <c r="C1302">
        <v>344.99999999999994</v>
      </c>
      <c r="D1302">
        <v>3</v>
      </c>
      <c r="E1302" s="18">
        <v>14973.985384972373</v>
      </c>
      <c r="F1302" s="18">
        <v>-618.1362181597391</v>
      </c>
      <c r="G1302" s="18">
        <v>3719.8783408915415</v>
      </c>
      <c r="H1302" s="12">
        <f>E1303</f>
      </c>
      <c r="I1302" s="12">
        <f>F1303</f>
      </c>
      <c r="J1302" s="12">
        <f>G1303</f>
      </c>
      <c r="K1302">
        <f>IF(AND(Pu&gt;=MIN(E1302,H1302),Pu&lt;=MAX(E1302,H1302),E1302&lt;&gt;H1302),1,0)</f>
      </c>
      <c r="L1302">
        <f>IF(K1302=1,(Pu-E1302)/(H1302-E1302),"")</f>
      </c>
      <c r="M1302" s="12">
        <f>IF(K1302=1,F1302+L1302*(I1302-F1302),"")</f>
      </c>
      <c r="N1302" s="12">
        <f>IF(K1302=1,G1302+L1302*(J1302-G1302),"")</f>
      </c>
    </row>
    <row r="1303" spans="2:14" x14ac:dyDescent="0.25">
      <c r="B1303">
        <v>84</v>
      </c>
      <c r="C1303">
        <v>344.99999999999994</v>
      </c>
      <c r="D1303">
        <v>4</v>
      </c>
      <c r="E1303" s="18">
        <v>13193.626987880902</v>
      </c>
      <c r="F1303" s="18">
        <v>-777.8633120621818</v>
      </c>
      <c r="G1303" s="18">
        <v>4110.4882146513755</v>
      </c>
      <c r="H1303" s="12">
        <f>E1304</f>
      </c>
      <c r="I1303" s="12">
        <f>F1304</f>
      </c>
      <c r="J1303" s="12">
        <f>G1304</f>
      </c>
      <c r="K1303">
        <f>IF(AND(Pu&gt;=MIN(E1303,H1303),Pu&lt;=MAX(E1303,H1303),E1303&lt;&gt;H1303),1,0)</f>
      </c>
      <c r="L1303">
        <f>IF(K1303=1,(Pu-E1303)/(H1303-E1303),"")</f>
      </c>
      <c r="M1303" s="12">
        <f>IF(K1303=1,F1303+L1303*(I1303-F1303),"")</f>
      </c>
      <c r="N1303" s="12">
        <f>IF(K1303=1,G1303+L1303*(J1303-G1303),"")</f>
      </c>
    </row>
    <row r="1304" spans="2:14" x14ac:dyDescent="0.25">
      <c r="B1304">
        <v>84</v>
      </c>
      <c r="C1304">
        <v>344.99999999999994</v>
      </c>
      <c r="D1304">
        <v>5</v>
      </c>
      <c r="E1304" s="18">
        <v>10869.609998374528</v>
      </c>
      <c r="F1304" s="18">
        <v>-862.4058025434102</v>
      </c>
      <c r="G1304" s="18">
        <v>4412.655517154713</v>
      </c>
      <c r="H1304" s="12">
        <f>E1305</f>
      </c>
      <c r="I1304" s="12">
        <f>F1305</f>
      </c>
      <c r="J1304" s="12">
        <f>G1305</f>
      </c>
      <c r="K1304">
        <f>IF(AND(Pu&gt;=MIN(E1304,H1304),Pu&lt;=MAX(E1304,H1304),E1304&lt;&gt;H1304),1,0)</f>
      </c>
      <c r="L1304">
        <f>IF(K1304=1,(Pu-E1304)/(H1304-E1304),"")</f>
      </c>
      <c r="M1304" s="12">
        <f>IF(K1304=1,F1304+L1304*(I1304-F1304),"")</f>
      </c>
      <c r="N1304" s="12">
        <f>IF(K1304=1,G1304+L1304*(J1304-G1304),"")</f>
      </c>
    </row>
    <row r="1305" spans="2:14" x14ac:dyDescent="0.25">
      <c r="B1305">
        <v>84</v>
      </c>
      <c r="C1305">
        <v>344.99999999999994</v>
      </c>
      <c r="D1305">
        <v>6</v>
      </c>
      <c r="E1305" s="18">
        <v>8734.688734939804</v>
      </c>
      <c r="F1305" s="18">
        <v>-893.860620608045</v>
      </c>
      <c r="G1305" s="18">
        <v>4561.8758497332865</v>
      </c>
      <c r="H1305" s="12">
        <f>E1306</f>
      </c>
      <c r="I1305" s="12">
        <f>F1306</f>
      </c>
      <c r="J1305" s="12">
        <f>G1306</f>
      </c>
      <c r="K1305">
        <f>IF(AND(Pu&gt;=MIN(E1305,H1305),Pu&lt;=MAX(E1305,H1305),E1305&lt;&gt;H1305),1,0)</f>
      </c>
      <c r="L1305">
        <f>IF(K1305=1,(Pu-E1305)/(H1305-E1305),"")</f>
      </c>
      <c r="M1305" s="12">
        <f>IF(K1305=1,F1305+L1305*(I1305-F1305),"")</f>
      </c>
      <c r="N1305" s="12">
        <f>IF(K1305=1,G1305+L1305*(J1305-G1305),"")</f>
      </c>
    </row>
    <row r="1306" spans="2:14" x14ac:dyDescent="0.25">
      <c r="B1306">
        <v>84</v>
      </c>
      <c r="C1306">
        <v>344.99999999999994</v>
      </c>
      <c r="D1306">
        <v>7</v>
      </c>
      <c r="E1306" s="18">
        <v>6706.847717516592</v>
      </c>
      <c r="F1306" s="18">
        <v>-908.9184833632934</v>
      </c>
      <c r="G1306" s="18">
        <v>4958.246326976183</v>
      </c>
      <c r="H1306" s="12">
        <f>E1307</f>
      </c>
      <c r="I1306" s="12">
        <f>F1307</f>
      </c>
      <c r="J1306" s="12">
        <f>G1307</f>
      </c>
      <c r="K1306">
        <f>IF(AND(Pu&gt;=MIN(E1306,H1306),Pu&lt;=MAX(E1306,H1306),E1306&lt;&gt;H1306),1,0)</f>
      </c>
      <c r="L1306">
        <f>IF(K1306=1,(Pu-E1306)/(H1306-E1306),"")</f>
      </c>
      <c r="M1306" s="12">
        <f>IF(K1306=1,F1306+L1306*(I1306-F1306),"")</f>
      </c>
      <c r="N1306" s="12">
        <f>IF(K1306=1,G1306+L1306*(J1306-G1306),"")</f>
      </c>
    </row>
    <row r="1307" spans="2:14" x14ac:dyDescent="0.25">
      <c r="B1307">
        <v>84</v>
      </c>
      <c r="C1307">
        <v>344.99999999999994</v>
      </c>
      <c r="D1307">
        <v>8</v>
      </c>
      <c r="E1307" s="18">
        <v>5800.6184137981845</v>
      </c>
      <c r="F1307" s="18">
        <v>-899.5876857644452</v>
      </c>
      <c r="G1307" s="18">
        <v>5242.972515638741</v>
      </c>
      <c r="H1307" s="12">
        <f>E1308</f>
      </c>
      <c r="I1307" s="12">
        <f>F1308</f>
      </c>
      <c r="J1307" s="12">
        <f>G1308</f>
      </c>
      <c r="K1307">
        <f>IF(AND(Pu&gt;=MIN(E1307,H1307),Pu&lt;=MAX(E1307,H1307),E1307&lt;&gt;H1307),1,0)</f>
      </c>
      <c r="L1307">
        <f>IF(K1307=1,(Pu-E1307)/(H1307-E1307),"")</f>
      </c>
      <c r="M1307" s="12">
        <f>IF(K1307=1,F1307+L1307*(I1307-F1307),"")</f>
      </c>
      <c r="N1307" s="12">
        <f>IF(K1307=1,G1307+L1307*(J1307-G1307),"")</f>
      </c>
    </row>
    <row r="1308" spans="2:14" x14ac:dyDescent="0.25">
      <c r="B1308">
        <v>84</v>
      </c>
      <c r="C1308">
        <v>344.99999999999994</v>
      </c>
      <c r="D1308">
        <v>9</v>
      </c>
      <c r="E1308" s="18">
        <v>5190.5943348698065</v>
      </c>
      <c r="F1308" s="18">
        <v>-941.4781320015738</v>
      </c>
      <c r="G1308" s="18">
        <v>5467.883620355339</v>
      </c>
      <c r="H1308" s="12">
        <f>E1309</f>
      </c>
      <c r="I1308" s="12">
        <f>F1309</f>
      </c>
      <c r="J1308" s="12">
        <f>G1309</f>
      </c>
      <c r="K1308">
        <f>IF(AND(Pu&gt;=MIN(E1308,H1308),Pu&lt;=MAX(E1308,H1308),E1308&lt;&gt;H1308),1,0)</f>
      </c>
      <c r="L1308">
        <f>IF(K1308=1,(Pu-E1308)/(H1308-E1308),"")</f>
      </c>
      <c r="M1308" s="12">
        <f>IF(K1308=1,F1308+L1308*(I1308-F1308),"")</f>
      </c>
      <c r="N1308" s="12">
        <f>IF(K1308=1,G1308+L1308*(J1308-G1308),"")</f>
      </c>
    </row>
    <row r="1309" spans="2:14" x14ac:dyDescent="0.25">
      <c r="B1309">
        <v>84</v>
      </c>
      <c r="C1309">
        <v>344.99999999999994</v>
      </c>
      <c r="D1309">
        <v>10</v>
      </c>
      <c r="E1309" s="18">
        <v>4312.180659173066</v>
      </c>
      <c r="F1309" s="18">
        <v>-921.8829902930287</v>
      </c>
      <c r="G1309" s="18">
        <v>5225.148871858851</v>
      </c>
      <c r="H1309" s="12">
        <f>E1310</f>
      </c>
      <c r="I1309" s="12">
        <f>F1310</f>
      </c>
      <c r="J1309" s="12">
        <f>G1310</f>
      </c>
      <c r="K1309">
        <f>IF(AND(Pu&gt;=MIN(E1309,H1309),Pu&lt;=MAX(E1309,H1309),E1309&lt;&gt;H1309),1,0)</f>
      </c>
      <c r="L1309">
        <f>IF(K1309=1,(Pu-E1309)/(H1309-E1309),"")</f>
      </c>
      <c r="M1309" s="12">
        <f>IF(K1309=1,F1309+L1309*(I1309-F1309),"")</f>
      </c>
      <c r="N1309" s="12">
        <f>IF(K1309=1,G1309+L1309*(J1309-G1309),"")</f>
      </c>
    </row>
    <row r="1310" spans="2:14" x14ac:dyDescent="0.25">
      <c r="B1310">
        <v>84</v>
      </c>
      <c r="C1310">
        <v>344.99999999999994</v>
      </c>
      <c r="D1310">
        <v>11</v>
      </c>
      <c r="E1310" s="18">
        <v>3015.2867777491024</v>
      </c>
      <c r="F1310" s="18">
        <v>-909.4053524504579</v>
      </c>
      <c r="G1310" s="18">
        <v>4745.210553116551</v>
      </c>
      <c r="H1310" s="12">
        <f>E1311</f>
      </c>
      <c r="I1310" s="12">
        <f>F1311</f>
      </c>
      <c r="J1310" s="12">
        <f>G1311</f>
      </c>
      <c r="K1310">
        <f>IF(AND(Pu&gt;=MIN(E1310,H1310),Pu&lt;=MAX(E1310,H1310),E1310&lt;&gt;H1310),1,0)</f>
      </c>
      <c r="L1310">
        <f>IF(K1310=1,(Pu-E1310)/(H1310-E1310),"")</f>
      </c>
      <c r="M1310" s="12">
        <f>IF(K1310=1,F1310+L1310*(I1310-F1310),"")</f>
      </c>
      <c r="N1310" s="12">
        <f>IF(K1310=1,G1310+L1310*(J1310-G1310),"")</f>
      </c>
    </row>
    <row r="1311" spans="2:14" x14ac:dyDescent="0.25">
      <c r="B1311">
        <v>84</v>
      </c>
      <c r="C1311">
        <v>344.99999999999994</v>
      </c>
      <c r="D1311">
        <v>12</v>
      </c>
      <c r="E1311" s="18">
        <v>1978.2368931134768</v>
      </c>
      <c r="F1311" s="18">
        <v>-900.486040550064</v>
      </c>
      <c r="G1311" s="18">
        <v>4264.198673383864</v>
      </c>
      <c r="H1311" s="12">
        <f>E1312</f>
      </c>
      <c r="I1311" s="12">
        <f>F1312</f>
      </c>
      <c r="J1311" s="12">
        <f>G1312</f>
      </c>
      <c r="K1311">
        <f>IF(AND(Pu&gt;=MIN(E1311,H1311),Pu&lt;=MAX(E1311,H1311),E1311&lt;&gt;H1311),1,0)</f>
      </c>
      <c r="L1311">
        <f>IF(K1311=1,(Pu-E1311)/(H1311-E1311),"")</f>
      </c>
      <c r="M1311" s="12">
        <f>IF(K1311=1,F1311+L1311*(I1311-F1311),"")</f>
      </c>
      <c r="N1311" s="12">
        <f>IF(K1311=1,G1311+L1311*(J1311-G1311),"")</f>
      </c>
    </row>
    <row r="1312" spans="2:14" x14ac:dyDescent="0.25">
      <c r="B1312">
        <v>84</v>
      </c>
      <c r="C1312">
        <v>344.99999999999994</v>
      </c>
      <c r="D1312">
        <v>13</v>
      </c>
      <c r="E1312" s="18">
        <v>-80.09316185951269</v>
      </c>
      <c r="F1312" s="18">
        <v>-777.3311116508295</v>
      </c>
      <c r="G1312" s="18">
        <v>3138.8072754622976</v>
      </c>
      <c r="H1312" s="12">
        <f>E1313</f>
      </c>
      <c r="I1312" s="12">
        <f>F1313</f>
      </c>
      <c r="J1312" s="12">
        <f>G1313</f>
      </c>
      <c r="K1312">
        <f>IF(AND(Pu&gt;=MIN(E1312,H1312),Pu&lt;=MAX(E1312,H1312),E1312&lt;&gt;H1312),1,0)</f>
      </c>
      <c r="L1312">
        <f>IF(K1312=1,(Pu-E1312)/(H1312-E1312),"")</f>
      </c>
      <c r="M1312" s="12">
        <f>IF(K1312=1,F1312+L1312*(I1312-F1312),"")</f>
      </c>
      <c r="N1312" s="12">
        <f>IF(K1312=1,G1312+L1312*(J1312-G1312),"")</f>
      </c>
    </row>
    <row r="1313" spans="2:14" x14ac:dyDescent="0.25">
      <c r="B1313">
        <v>84</v>
      </c>
      <c r="C1313">
        <v>344.99999999999994</v>
      </c>
      <c r="D1313">
        <v>14</v>
      </c>
      <c r="E1313" s="18">
        <v>-1514.3820201479869</v>
      </c>
      <c r="F1313" s="18">
        <v>-615.3395957419041</v>
      </c>
      <c r="G1313" s="18">
        <v>2266.3062395565503</v>
      </c>
      <c r="H1313" s="12">
        <f>E1314</f>
      </c>
      <c r="I1313" s="12">
        <f>F1314</f>
      </c>
      <c r="J1313" s="12">
        <f>G1314</f>
      </c>
      <c r="K1313">
        <f>IF(AND(Pu&gt;=MIN(E1313,H1313),Pu&lt;=MAX(E1313,H1313),E1313&lt;&gt;H1313),1,0)</f>
      </c>
      <c r="L1313">
        <f>IF(K1313=1,(Pu-E1313)/(H1313-E1313),"")</f>
      </c>
      <c r="M1313" s="12">
        <f>IF(K1313=1,F1313+L1313*(I1313-F1313),"")</f>
      </c>
      <c r="N1313" s="12">
        <f>IF(K1313=1,G1313+L1313*(J1313-G1313),"")</f>
      </c>
    </row>
    <row r="1314" spans="2:7" x14ac:dyDescent="0.25">
      <c r="B1314">
        <v>84</v>
      </c>
      <c r="C1314">
        <v>344.99999999999994</v>
      </c>
      <c r="D1314">
        <v>15</v>
      </c>
      <c r="E1314" s="18">
        <v>-3857.426617095662</v>
      </c>
      <c r="F1314" s="18">
        <v>-296.4630531108413</v>
      </c>
      <c r="G1314" s="18">
        <v>737.3919092917499</v>
      </c>
    </row>
    <row r="1316" spans="2:14" x14ac:dyDescent="0.25">
      <c r="B1316">
        <v>85</v>
      </c>
      <c r="C1316">
        <v>348.7499999999999</v>
      </c>
      <c r="D1316">
        <v>1</v>
      </c>
      <c r="E1316" s="18">
        <v>17212.131651709296</v>
      </c>
      <c r="F1316" s="18">
        <v>-437.2921604065504</v>
      </c>
      <c r="G1316" s="18">
        <v>2891.0599009281746</v>
      </c>
      <c r="H1316" s="12">
        <f>E1317</f>
      </c>
      <c r="I1316" s="12">
        <f>F1317</f>
      </c>
      <c r="J1316" s="12">
        <f>G1317</f>
      </c>
      <c r="K1316">
        <f>IF(AND(Pu&gt;=MIN(E1316,H1316),Pu&lt;=MAX(E1316,H1316),E1316&lt;&gt;H1316),1,0)</f>
      </c>
      <c r="L1316">
        <f>IF(K1316=1,(Pu-E1316)/(H1316-E1316),"")</f>
      </c>
      <c r="M1316" s="12">
        <f>IF(K1316=1,F1316+L1316*(I1316-F1316),"")</f>
      </c>
      <c r="N1316" s="12">
        <f>IF(K1316=1,G1316+L1316*(J1316-G1316),"")</f>
      </c>
    </row>
    <row r="1317" spans="2:14" x14ac:dyDescent="0.25">
      <c r="B1317">
        <v>85</v>
      </c>
      <c r="C1317">
        <v>348.7499999999999</v>
      </c>
      <c r="D1317">
        <v>2</v>
      </c>
      <c r="E1317" s="18">
        <v>16519.460124918154</v>
      </c>
      <c r="F1317" s="18">
        <v>-431.2521662463538</v>
      </c>
      <c r="G1317" s="18">
        <v>3206.550360963227</v>
      </c>
      <c r="H1317" s="12">
        <f>E1318</f>
      </c>
      <c r="I1317" s="12">
        <f>F1318</f>
      </c>
      <c r="J1317" s="12">
        <f>G1318</f>
      </c>
      <c r="K1317">
        <f>IF(AND(Pu&gt;=MIN(E1317,H1317),Pu&lt;=MAX(E1317,H1317),E1317&lt;&gt;H1317),1,0)</f>
      </c>
      <c r="L1317">
        <f>IF(K1317=1,(Pu-E1317)/(H1317-E1317),"")</f>
      </c>
      <c r="M1317" s="12">
        <f>IF(K1317=1,F1317+L1317*(I1317-F1317),"")</f>
      </c>
      <c r="N1317" s="12">
        <f>IF(K1317=1,G1317+L1317*(J1317-G1317),"")</f>
      </c>
    </row>
    <row r="1318" spans="2:14" x14ac:dyDescent="0.25">
      <c r="B1318">
        <v>85</v>
      </c>
      <c r="C1318">
        <v>348.7499999999999</v>
      </c>
      <c r="D1318">
        <v>3</v>
      </c>
      <c r="E1318" s="18">
        <v>14965.487713727658</v>
      </c>
      <c r="F1318" s="18">
        <v>-461.07080165811504</v>
      </c>
      <c r="G1318" s="18">
        <v>3769.9120292637886</v>
      </c>
      <c r="H1318" s="12">
        <f>E1319</f>
      </c>
      <c r="I1318" s="12">
        <f>F1319</f>
      </c>
      <c r="J1318" s="12">
        <f>G1319</f>
      </c>
      <c r="K1318">
        <f>IF(AND(Pu&gt;=MIN(E1318,H1318),Pu&lt;=MAX(E1318,H1318),E1318&lt;&gt;H1318),1,0)</f>
      </c>
      <c r="L1318">
        <f>IF(K1318=1,(Pu-E1318)/(H1318-E1318),"")</f>
      </c>
      <c r="M1318" s="12">
        <f>IF(K1318=1,F1318+L1318*(I1318-F1318),"")</f>
      </c>
      <c r="N1318" s="12">
        <f>IF(K1318=1,G1318+L1318*(J1318-G1318),"")</f>
      </c>
    </row>
    <row r="1319" spans="2:14" x14ac:dyDescent="0.25">
      <c r="B1319">
        <v>85</v>
      </c>
      <c r="C1319">
        <v>348.7499999999999</v>
      </c>
      <c r="D1319">
        <v>4</v>
      </c>
      <c r="E1319" s="18">
        <v>13216.621640242707</v>
      </c>
      <c r="F1319" s="18">
        <v>-592.1743745601631</v>
      </c>
      <c r="G1319" s="18">
        <v>4160.790971154463</v>
      </c>
      <c r="H1319" s="12">
        <f>E1320</f>
      </c>
      <c r="I1319" s="12">
        <f>F1320</f>
      </c>
      <c r="J1319" s="12">
        <f>G1320</f>
      </c>
      <c r="K1319">
        <f>IF(AND(Pu&gt;=MIN(E1319,H1319),Pu&lt;=MAX(E1319,H1319),E1319&lt;&gt;H1319),1,0)</f>
      </c>
      <c r="L1319">
        <f>IF(K1319=1,(Pu-E1319)/(H1319-E1319),"")</f>
      </c>
      <c r="M1319" s="12">
        <f>IF(K1319=1,F1319+L1319*(I1319-F1319),"")</f>
      </c>
      <c r="N1319" s="12">
        <f>IF(K1319=1,G1319+L1319*(J1319-G1319),"")</f>
      </c>
    </row>
    <row r="1320" spans="2:14" x14ac:dyDescent="0.25">
      <c r="B1320">
        <v>85</v>
      </c>
      <c r="C1320">
        <v>348.7499999999999</v>
      </c>
      <c r="D1320">
        <v>5</v>
      </c>
      <c r="E1320" s="18">
        <v>10879.081737460101</v>
      </c>
      <c r="F1320" s="18">
        <v>-642.0154648317207</v>
      </c>
      <c r="G1320" s="18">
        <v>4476.36284188677</v>
      </c>
      <c r="H1320" s="12">
        <f>E1321</f>
      </c>
      <c r="I1320" s="12">
        <f>F1321</f>
      </c>
      <c r="J1320" s="12">
        <f>G1321</f>
      </c>
      <c r="K1320">
        <f>IF(AND(Pu&gt;=MIN(E1320,H1320),Pu&lt;=MAX(E1320,H1320),E1320&lt;&gt;H1320),1,0)</f>
      </c>
      <c r="L1320">
        <f>IF(K1320=1,(Pu-E1320)/(H1320-E1320),"")</f>
      </c>
      <c r="M1320" s="12">
        <f>IF(K1320=1,F1320+L1320*(I1320-F1320),"")</f>
      </c>
      <c r="N1320" s="12">
        <f>IF(K1320=1,G1320+L1320*(J1320-G1320),"")</f>
      </c>
    </row>
    <row r="1321" spans="2:14" x14ac:dyDescent="0.25">
      <c r="B1321">
        <v>85</v>
      </c>
      <c r="C1321">
        <v>348.7499999999999</v>
      </c>
      <c r="D1321">
        <v>6</v>
      </c>
      <c r="E1321" s="18">
        <v>8792.875148562773</v>
      </c>
      <c r="F1321" s="18">
        <v>-667.6772366798085</v>
      </c>
      <c r="G1321" s="18">
        <v>4632.4639983855695</v>
      </c>
      <c r="H1321" s="12">
        <f>E1322</f>
      </c>
      <c r="I1321" s="12">
        <f>F1322</f>
      </c>
      <c r="J1321" s="12">
        <f>G1322</f>
      </c>
      <c r="K1321">
        <f>IF(AND(Pu&gt;=MIN(E1321,H1321),Pu&lt;=MAX(E1321,H1321),E1321&lt;&gt;H1321),1,0)</f>
      </c>
      <c r="L1321">
        <f>IF(K1321=1,(Pu-E1321)/(H1321-E1321),"")</f>
      </c>
      <c r="M1321" s="12">
        <f>IF(K1321=1,F1321+L1321*(I1321-F1321),"")</f>
      </c>
      <c r="N1321" s="12">
        <f>IF(K1321=1,G1321+L1321*(J1321-G1321),"")</f>
      </c>
    </row>
    <row r="1322" spans="2:14" x14ac:dyDescent="0.25">
      <c r="B1322">
        <v>85</v>
      </c>
      <c r="C1322">
        <v>348.7499999999999</v>
      </c>
      <c r="D1322">
        <v>7</v>
      </c>
      <c r="E1322" s="18">
        <v>6713.679864579505</v>
      </c>
      <c r="F1322" s="18">
        <v>-695.2520996857857</v>
      </c>
      <c r="G1322" s="18">
        <v>5010.392681245932</v>
      </c>
      <c r="H1322" s="12">
        <f>E1323</f>
      </c>
      <c r="I1322" s="12">
        <f>F1323</f>
      </c>
      <c r="J1322" s="12">
        <f>G1323</f>
      </c>
      <c r="K1322">
        <f>IF(AND(Pu&gt;=MIN(E1322,H1322),Pu&lt;=MAX(E1322,H1322),E1322&lt;&gt;H1322),1,0)</f>
      </c>
      <c r="L1322">
        <f>IF(K1322=1,(Pu-E1322)/(H1322-E1322),"")</f>
      </c>
      <c r="M1322" s="12">
        <f>IF(K1322=1,F1322+L1322*(I1322-F1322),"")</f>
      </c>
      <c r="N1322" s="12">
        <f>IF(K1322=1,G1322+L1322*(J1322-G1322),"")</f>
      </c>
    </row>
    <row r="1323" spans="2:14" x14ac:dyDescent="0.25">
      <c r="B1323">
        <v>85</v>
      </c>
      <c r="C1323">
        <v>348.7499999999999</v>
      </c>
      <c r="D1323">
        <v>8</v>
      </c>
      <c r="E1323" s="18">
        <v>5831.1579664741985</v>
      </c>
      <c r="F1323" s="18">
        <v>-675.2968230060648</v>
      </c>
      <c r="G1323" s="18">
        <v>5309.470114081757</v>
      </c>
      <c r="H1323" s="12">
        <f>E1324</f>
      </c>
      <c r="I1323" s="12">
        <f>F1324</f>
      </c>
      <c r="J1323" s="12">
        <f>G1324</f>
      </c>
      <c r="K1323">
        <f>IF(AND(Pu&gt;=MIN(E1323,H1323),Pu&lt;=MAX(E1323,H1323),E1323&lt;&gt;H1323),1,0)</f>
      </c>
      <c r="L1323">
        <f>IF(K1323=1,(Pu-E1323)/(H1323-E1323),"")</f>
      </c>
      <c r="M1323" s="12">
        <f>IF(K1323=1,F1323+L1323*(I1323-F1323),"")</f>
      </c>
      <c r="N1323" s="12">
        <f>IF(K1323=1,G1323+L1323*(J1323-G1323),"")</f>
      </c>
    </row>
    <row r="1324" spans="2:14" x14ac:dyDescent="0.25">
      <c r="B1324">
        <v>85</v>
      </c>
      <c r="C1324">
        <v>348.7499999999999</v>
      </c>
      <c r="D1324">
        <v>9</v>
      </c>
      <c r="E1324" s="18">
        <v>5306.270338386777</v>
      </c>
      <c r="F1324" s="18">
        <v>-699.94326783538</v>
      </c>
      <c r="G1324" s="18">
        <v>5556.215332623592</v>
      </c>
      <c r="H1324" s="12">
        <f>E1325</f>
      </c>
      <c r="I1324" s="12">
        <f>F1325</f>
      </c>
      <c r="J1324" s="12">
        <f>G1325</f>
      </c>
      <c r="K1324">
        <f>IF(AND(Pu&gt;=MIN(E1324,H1324),Pu&lt;=MAX(E1324,H1324),E1324&lt;&gt;H1324),1,0)</f>
      </c>
      <c r="L1324">
        <f>IF(K1324=1,(Pu-E1324)/(H1324-E1324),"")</f>
      </c>
      <c r="M1324" s="12">
        <f>IF(K1324=1,F1324+L1324*(I1324-F1324),"")</f>
      </c>
      <c r="N1324" s="12">
        <f>IF(K1324=1,G1324+L1324*(J1324-G1324),"")</f>
      </c>
    </row>
    <row r="1325" spans="2:14" x14ac:dyDescent="0.25">
      <c r="B1325">
        <v>85</v>
      </c>
      <c r="C1325">
        <v>348.7499999999999</v>
      </c>
      <c r="D1325">
        <v>10</v>
      </c>
      <c r="E1325" s="18">
        <v>4486.787837789107</v>
      </c>
      <c r="F1325" s="18">
        <v>-682.488925946807</v>
      </c>
      <c r="G1325" s="18">
        <v>5348.582468973012</v>
      </c>
      <c r="H1325" s="12">
        <f>E1326</f>
      </c>
      <c r="I1325" s="12">
        <f>F1326</f>
      </c>
      <c r="J1325" s="12">
        <f>G1326</f>
      </c>
      <c r="K1325">
        <f>IF(AND(Pu&gt;=MIN(E1325,H1325),Pu&lt;=MAX(E1325,H1325),E1325&lt;&gt;H1325),1,0)</f>
      </c>
      <c r="L1325">
        <f>IF(K1325=1,(Pu-E1325)/(H1325-E1325),"")</f>
      </c>
      <c r="M1325" s="12">
        <f>IF(K1325=1,F1325+L1325*(I1325-F1325),"")</f>
      </c>
      <c r="N1325" s="12">
        <f>IF(K1325=1,G1325+L1325*(J1325-G1325),"")</f>
      </c>
    </row>
    <row r="1326" spans="2:14" x14ac:dyDescent="0.25">
      <c r="B1326">
        <v>85</v>
      </c>
      <c r="C1326">
        <v>348.7499999999999</v>
      </c>
      <c r="D1326">
        <v>11</v>
      </c>
      <c r="E1326" s="18">
        <v>3213.4159085909328</v>
      </c>
      <c r="F1326" s="18">
        <v>-685.7499813084331</v>
      </c>
      <c r="G1326" s="18">
        <v>4903.049244396631</v>
      </c>
      <c r="H1326" s="12">
        <f>E1327</f>
      </c>
      <c r="I1326" s="12">
        <f>F1327</f>
      </c>
      <c r="J1326" s="12">
        <f>G1327</f>
      </c>
      <c r="K1326">
        <f>IF(AND(Pu&gt;=MIN(E1326,H1326),Pu&lt;=MAX(E1326,H1326),E1326&lt;&gt;H1326),1,0)</f>
      </c>
      <c r="L1326">
        <f>IF(K1326=1,(Pu-E1326)/(H1326-E1326),"")</f>
      </c>
      <c r="M1326" s="12">
        <f>IF(K1326=1,F1326+L1326*(I1326-F1326),"")</f>
      </c>
      <c r="N1326" s="12">
        <f>IF(K1326=1,G1326+L1326*(J1326-G1326),"")</f>
      </c>
    </row>
    <row r="1327" spans="2:14" x14ac:dyDescent="0.25">
      <c r="B1327">
        <v>85</v>
      </c>
      <c r="C1327">
        <v>348.7499999999999</v>
      </c>
      <c r="D1327">
        <v>12</v>
      </c>
      <c r="E1327" s="18">
        <v>2349.0271176060546</v>
      </c>
      <c r="F1327" s="18">
        <v>-689.3683325730734</v>
      </c>
      <c r="G1327" s="18">
        <v>4509.293644184409</v>
      </c>
      <c r="H1327" s="12">
        <f>E1328</f>
      </c>
      <c r="I1327" s="12">
        <f>F1328</f>
      </c>
      <c r="J1327" s="12">
        <f>G1328</f>
      </c>
      <c r="K1327">
        <f>IF(AND(Pu&gt;=MIN(E1327,H1327),Pu&lt;=MAX(E1327,H1327),E1327&lt;&gt;H1327),1,0)</f>
      </c>
      <c r="L1327">
        <f>IF(K1327=1,(Pu-E1327)/(H1327-E1327),"")</f>
      </c>
      <c r="M1327" s="12">
        <f>IF(K1327=1,F1327+L1327*(I1327-F1327),"")</f>
      </c>
      <c r="N1327" s="12">
        <f>IF(K1327=1,G1327+L1327*(J1327-G1327),"")</f>
      </c>
    </row>
    <row r="1328" spans="2:14" x14ac:dyDescent="0.25">
      <c r="B1328">
        <v>85</v>
      </c>
      <c r="C1328">
        <v>348.7499999999999</v>
      </c>
      <c r="D1328">
        <v>13</v>
      </c>
      <c r="E1328" s="18">
        <v>344.2283341995676</v>
      </c>
      <c r="F1328" s="18">
        <v>-634.7169232778448</v>
      </c>
      <c r="G1328" s="18">
        <v>3438.9743917361984</v>
      </c>
      <c r="H1328" s="12">
        <f>E1329</f>
      </c>
      <c r="I1328" s="12">
        <f>F1329</f>
      </c>
      <c r="J1328" s="12">
        <f>G1329</f>
      </c>
      <c r="K1328">
        <f>IF(AND(Pu&gt;=MIN(E1328,H1328),Pu&lt;=MAX(E1328,H1328),E1328&lt;&gt;H1328),1,0)</f>
      </c>
      <c r="L1328">
        <f>IF(K1328=1,(Pu-E1328)/(H1328-E1328),"")</f>
      </c>
      <c r="M1328" s="12">
        <f>IF(K1328=1,F1328+L1328*(I1328-F1328),"")</f>
      </c>
      <c r="N1328" s="12">
        <f>IF(K1328=1,G1328+L1328*(J1328-G1328),"")</f>
      </c>
    </row>
    <row r="1329" spans="2:14" x14ac:dyDescent="0.25">
      <c r="B1329">
        <v>85</v>
      </c>
      <c r="C1329">
        <v>348.7499999999999</v>
      </c>
      <c r="D1329">
        <v>14</v>
      </c>
      <c r="E1329" s="18">
        <v>-1093.5867277694663</v>
      </c>
      <c r="F1329" s="18">
        <v>-493.68337837191865</v>
      </c>
      <c r="G1329" s="18">
        <v>2575.6755978051688</v>
      </c>
      <c r="H1329" s="12">
        <f>E1330</f>
      </c>
      <c r="I1329" s="12">
        <f>F1330</f>
      </c>
      <c r="J1329" s="12">
        <f>G1330</f>
      </c>
      <c r="K1329">
        <f>IF(AND(Pu&gt;=MIN(E1329,H1329),Pu&lt;=MAX(E1329,H1329),E1329&lt;&gt;H1329),1,0)</f>
      </c>
      <c r="L1329">
        <f>IF(K1329=1,(Pu-E1329)/(H1329-E1329),"")</f>
      </c>
      <c r="M1329" s="12">
        <f>IF(K1329=1,F1329+L1329*(I1329-F1329),"")</f>
      </c>
      <c r="N1329" s="12">
        <f>IF(K1329=1,G1329+L1329*(J1329-G1329),"")</f>
      </c>
    </row>
    <row r="1330" spans="2:7" x14ac:dyDescent="0.25">
      <c r="B1330">
        <v>85</v>
      </c>
      <c r="C1330">
        <v>348.7499999999999</v>
      </c>
      <c r="D1330">
        <v>15</v>
      </c>
      <c r="E1330" s="18">
        <v>-3610.5740196729666</v>
      </c>
      <c r="F1330" s="18">
        <v>-299.4289314905263</v>
      </c>
      <c r="G1330" s="18">
        <v>910.562100029775</v>
      </c>
    </row>
    <row r="1332" spans="2:14" x14ac:dyDescent="0.25">
      <c r="B1332">
        <v>86</v>
      </c>
      <c r="C1332">
        <v>350.6249999999999</v>
      </c>
      <c r="D1332">
        <v>1</v>
      </c>
      <c r="E1332" s="18">
        <v>17121.551614686727</v>
      </c>
      <c r="F1332" s="18">
        <v>-372.99523555020596</v>
      </c>
      <c r="G1332" s="18">
        <v>2948.836890151124</v>
      </c>
      <c r="H1332" s="12">
        <f>E1333</f>
      </c>
      <c r="I1332" s="12">
        <f>F1333</f>
      </c>
      <c r="J1332" s="12">
        <f>G1333</f>
      </c>
      <c r="K1332">
        <f>IF(AND(Pu&gt;=MIN(E1332,H1332),Pu&lt;=MAX(E1332,H1332),E1332&lt;&gt;H1332),1,0)</f>
      </c>
      <c r="L1332">
        <f>IF(K1332=1,(Pu-E1332)/(H1332-E1332),"")</f>
      </c>
      <c r="M1332" s="12">
        <f>IF(K1332=1,F1332+L1332*(I1332-F1332),"")</f>
      </c>
      <c r="N1332" s="12">
        <f>IF(K1332=1,G1332+L1332*(J1332-G1332),"")</f>
      </c>
    </row>
    <row r="1333" spans="2:14" x14ac:dyDescent="0.25">
      <c r="B1333">
        <v>86</v>
      </c>
      <c r="C1333">
        <v>350.6249999999999</v>
      </c>
      <c r="D1333">
        <v>2</v>
      </c>
      <c r="E1333" s="18">
        <v>16465.444980204782</v>
      </c>
      <c r="F1333" s="18">
        <v>-354.61124124745635</v>
      </c>
      <c r="G1333" s="18">
        <v>3245.454262047359</v>
      </c>
      <c r="H1333" s="12">
        <f>E1334</f>
      </c>
      <c r="I1333" s="12">
        <f>F1334</f>
      </c>
      <c r="J1333" s="12">
        <f>G1334</f>
      </c>
      <c r="K1333">
        <f>IF(AND(Pu&gt;=MIN(E1333,H1333),Pu&lt;=MAX(E1333,H1333),E1333&lt;&gt;H1333),1,0)</f>
      </c>
      <c r="L1333">
        <f>IF(K1333=1,(Pu-E1333)/(H1333-E1333),"")</f>
      </c>
      <c r="M1333" s="12">
        <f>IF(K1333=1,F1333+L1333*(I1333-F1333),"")</f>
      </c>
      <c r="N1333" s="12">
        <f>IF(K1333=1,G1333+L1333*(J1333-G1333),"")</f>
      </c>
    </row>
    <row r="1334" spans="2:14" x14ac:dyDescent="0.25">
      <c r="B1334">
        <v>86</v>
      </c>
      <c r="C1334">
        <v>350.6249999999999</v>
      </c>
      <c r="D1334">
        <v>3</v>
      </c>
      <c r="E1334" s="18">
        <v>14947.423013202531</v>
      </c>
      <c r="F1334" s="18">
        <v>-383.34108624297016</v>
      </c>
      <c r="G1334" s="18">
        <v>3792.3596270177604</v>
      </c>
      <c r="H1334" s="12">
        <f>E1335</f>
      </c>
      <c r="I1334" s="12">
        <f>F1335</f>
      </c>
      <c r="J1334" s="12">
        <f>G1335</f>
      </c>
      <c r="K1334">
        <f>IF(AND(Pu&gt;=MIN(E1334,H1334),Pu&lt;=MAX(E1334,H1334),E1334&lt;&gt;H1334),1,0)</f>
      </c>
      <c r="L1334">
        <f>IF(K1334=1,(Pu-E1334)/(H1334-E1334),"")</f>
      </c>
      <c r="M1334" s="12">
        <f>IF(K1334=1,F1334+L1334*(I1334-F1334),"")</f>
      </c>
      <c r="N1334" s="12">
        <f>IF(K1334=1,G1334+L1334*(J1334-G1334),"")</f>
      </c>
    </row>
    <row r="1335" spans="2:14" x14ac:dyDescent="0.25">
      <c r="B1335">
        <v>86</v>
      </c>
      <c r="C1335">
        <v>350.6249999999999</v>
      </c>
      <c r="D1335">
        <v>4</v>
      </c>
      <c r="E1335" s="18">
        <v>13227.019337593123</v>
      </c>
      <c r="F1335" s="18">
        <v>-494.49448424052287</v>
      </c>
      <c r="G1335" s="18">
        <v>4183.752792410159</v>
      </c>
      <c r="H1335" s="12">
        <f>E1336</f>
      </c>
      <c r="I1335" s="12">
        <f>F1336</f>
      </c>
      <c r="J1335" s="12">
        <f>G1336</f>
      </c>
      <c r="K1335">
        <f>IF(AND(Pu&gt;=MIN(E1335,H1335),Pu&lt;=MAX(E1335,H1335),E1335&lt;&gt;H1335),1,0)</f>
      </c>
      <c r="L1335">
        <f>IF(K1335=1,(Pu-E1335)/(H1335-E1335),"")</f>
      </c>
      <c r="M1335" s="12">
        <f>IF(K1335=1,F1335+L1335*(I1335-F1335),"")</f>
      </c>
      <c r="N1335" s="12">
        <f>IF(K1335=1,G1335+L1335*(J1335-G1335),"")</f>
      </c>
    </row>
    <row r="1336" spans="2:14" x14ac:dyDescent="0.25">
      <c r="B1336">
        <v>86</v>
      </c>
      <c r="C1336">
        <v>350.6249999999999</v>
      </c>
      <c r="D1336">
        <v>5</v>
      </c>
      <c r="E1336" s="18">
        <v>10883.466836920874</v>
      </c>
      <c r="F1336" s="18">
        <v>-532.8076414481397</v>
      </c>
      <c r="G1336" s="18">
        <v>4503.997933224705</v>
      </c>
      <c r="H1336" s="12">
        <f>E1337</f>
      </c>
      <c r="I1336" s="12">
        <f>F1337</f>
      </c>
      <c r="J1336" s="12">
        <f>G1337</f>
      </c>
      <c r="K1336">
        <f>IF(AND(Pu&gt;=MIN(E1336,H1336),Pu&lt;=MAX(E1336,H1336),E1336&lt;&gt;H1336),1,0)</f>
      </c>
      <c r="L1336">
        <f>IF(K1336=1,(Pu-E1336)/(H1336-E1336),"")</f>
      </c>
      <c r="M1336" s="12">
        <f>IF(K1336=1,F1336+L1336*(I1336-F1336),"")</f>
      </c>
      <c r="N1336" s="12">
        <f>IF(K1336=1,G1336+L1336*(J1336-G1336),"")</f>
      </c>
    </row>
    <row r="1337" spans="2:14" x14ac:dyDescent="0.25">
      <c r="B1337">
        <v>86</v>
      </c>
      <c r="C1337">
        <v>350.6249999999999</v>
      </c>
      <c r="D1337">
        <v>6</v>
      </c>
      <c r="E1337" s="18">
        <v>8821.092466351001</v>
      </c>
      <c r="F1337" s="18">
        <v>-555.5000320709203</v>
      </c>
      <c r="G1337" s="18">
        <v>4663.4473624449365</v>
      </c>
      <c r="H1337" s="12">
        <f>E1338</f>
      </c>
      <c r="I1337" s="12">
        <f>F1338</f>
      </c>
      <c r="J1337" s="12">
        <f>G1338</f>
      </c>
      <c r="K1337">
        <f>IF(AND(Pu&gt;=MIN(E1337,H1337),Pu&lt;=MAX(E1337,H1337),E1337&lt;&gt;H1337),1,0)</f>
      </c>
      <c r="L1337">
        <f>IF(K1337=1,(Pu-E1337)/(H1337-E1337),"")</f>
      </c>
      <c r="M1337" s="12">
        <f>IF(K1337=1,F1337+L1337*(I1337-F1337),"")</f>
      </c>
      <c r="N1337" s="12">
        <f>IF(K1337=1,G1337+L1337*(J1337-G1337),"")</f>
      </c>
    </row>
    <row r="1338" spans="2:14" x14ac:dyDescent="0.25">
      <c r="B1338">
        <v>86</v>
      </c>
      <c r="C1338">
        <v>350.6249999999999</v>
      </c>
      <c r="D1338">
        <v>7</v>
      </c>
      <c r="E1338" s="18">
        <v>6715.568829273755</v>
      </c>
      <c r="F1338" s="18">
        <v>-585.7050546982857</v>
      </c>
      <c r="G1338" s="18">
        <v>5031.6444206998085</v>
      </c>
      <c r="H1338" s="12">
        <f>E1339</f>
      </c>
      <c r="I1338" s="12">
        <f>F1339</f>
      </c>
      <c r="J1338" s="12">
        <f>G1339</f>
      </c>
      <c r="K1338">
        <f>IF(AND(Pu&gt;=MIN(E1338,H1338),Pu&lt;=MAX(E1338,H1338),E1338&lt;&gt;H1338),1,0)</f>
      </c>
      <c r="L1338">
        <f>IF(K1338=1,(Pu-E1338)/(H1338-E1338),"")</f>
      </c>
      <c r="M1338" s="12">
        <f>IF(K1338=1,F1338+L1338*(I1338-F1338),"")</f>
      </c>
      <c r="N1338" s="12">
        <f>IF(K1338=1,G1338+L1338*(J1338-G1338),"")</f>
      </c>
    </row>
    <row r="1339" spans="2:14" x14ac:dyDescent="0.25">
      <c r="B1339">
        <v>86</v>
      </c>
      <c r="C1339">
        <v>350.6249999999999</v>
      </c>
      <c r="D1339">
        <v>8</v>
      </c>
      <c r="E1339" s="18">
        <v>5865.764549419644</v>
      </c>
      <c r="F1339" s="18">
        <v>-557.8791417082294</v>
      </c>
      <c r="G1339" s="18">
        <v>5339.006487355408</v>
      </c>
      <c r="H1339" s="12">
        <f>E1340</f>
      </c>
      <c r="I1339" s="12">
        <f>F1340</f>
      </c>
      <c r="J1339" s="12">
        <f>G1340</f>
      </c>
      <c r="K1339">
        <f>IF(AND(Pu&gt;=MIN(E1339,H1339),Pu&lt;=MAX(E1339,H1339),E1339&lt;&gt;H1339),1,0)</f>
      </c>
      <c r="L1339">
        <f>IF(K1339=1,(Pu-E1339)/(H1339-E1339),"")</f>
      </c>
      <c r="M1339" s="12">
        <f>IF(K1339=1,F1339+L1339*(I1339-F1339),"")</f>
      </c>
      <c r="N1339" s="12">
        <f>IF(K1339=1,G1339+L1339*(J1339-G1339),"")</f>
      </c>
    </row>
    <row r="1340" spans="2:14" x14ac:dyDescent="0.25">
      <c r="B1340">
        <v>86</v>
      </c>
      <c r="C1340">
        <v>350.6249999999999</v>
      </c>
      <c r="D1340">
        <v>9</v>
      </c>
      <c r="E1340" s="18">
        <v>5362.548656505964</v>
      </c>
      <c r="F1340" s="18">
        <v>-580.4167113972454</v>
      </c>
      <c r="G1340" s="18">
        <v>5594.769163088006</v>
      </c>
      <c r="H1340" s="12">
        <f>E1341</f>
      </c>
      <c r="I1340" s="12">
        <f>F1341</f>
      </c>
      <c r="J1340" s="12">
        <f>G1341</f>
      </c>
      <c r="K1340">
        <f>IF(AND(Pu&gt;=MIN(E1340,H1340),Pu&lt;=MAX(E1340,H1340),E1340&lt;&gt;H1340),1,0)</f>
      </c>
      <c r="L1340">
        <f>IF(K1340=1,(Pu-E1340)/(H1340-E1340),"")</f>
      </c>
      <c r="M1340" s="12">
        <f>IF(K1340=1,F1340+L1340*(I1340-F1340),"")</f>
      </c>
      <c r="N1340" s="12">
        <f>IF(K1340=1,G1340+L1340*(J1340-G1340),"")</f>
      </c>
    </row>
    <row r="1341" spans="2:14" x14ac:dyDescent="0.25">
      <c r="B1341">
        <v>86</v>
      </c>
      <c r="C1341">
        <v>350.6249999999999</v>
      </c>
      <c r="D1341">
        <v>10</v>
      </c>
      <c r="E1341" s="18">
        <v>4553.105339698417</v>
      </c>
      <c r="F1341" s="18">
        <v>-572.3958139006226</v>
      </c>
      <c r="G1341" s="18">
        <v>5391.300411491212</v>
      </c>
      <c r="H1341" s="12">
        <f>E1342</f>
      </c>
      <c r="I1341" s="12">
        <f>F1342</f>
      </c>
      <c r="J1341" s="12">
        <f>G1342</f>
      </c>
      <c r="K1341">
        <f>IF(AND(Pu&gt;=MIN(E1341,H1341),Pu&lt;=MAX(E1341,H1341),E1341&lt;&gt;H1341),1,0)</f>
      </c>
      <c r="L1341">
        <f>IF(K1341=1,(Pu-E1341)/(H1341-E1341),"")</f>
      </c>
      <c r="M1341" s="12">
        <f>IF(K1341=1,F1341+L1341*(I1341-F1341),"")</f>
      </c>
      <c r="N1341" s="12">
        <f>IF(K1341=1,G1341+L1341*(J1341-G1341),"")</f>
      </c>
    </row>
    <row r="1342" spans="2:14" x14ac:dyDescent="0.25">
      <c r="B1342">
        <v>86</v>
      </c>
      <c r="C1342">
        <v>350.6249999999999</v>
      </c>
      <c r="D1342">
        <v>11</v>
      </c>
      <c r="E1342" s="18">
        <v>3334.895640779905</v>
      </c>
      <c r="F1342" s="18">
        <v>-558.8592770540271</v>
      </c>
      <c r="G1342" s="18">
        <v>4980.310621129447</v>
      </c>
      <c r="H1342" s="12">
        <f>E1343</f>
      </c>
      <c r="I1342" s="12">
        <f>F1343</f>
      </c>
      <c r="J1342" s="12">
        <f>G1343</f>
      </c>
      <c r="K1342">
        <f>IF(AND(Pu&gt;=MIN(E1342,H1342),Pu&lt;=MAX(E1342,H1342),E1342&lt;&gt;H1342),1,0)</f>
      </c>
      <c r="L1342">
        <f>IF(K1342=1,(Pu-E1342)/(H1342-E1342),"")</f>
      </c>
      <c r="M1342" s="12">
        <f>IF(K1342=1,F1342+L1342*(I1342-F1342),"")</f>
      </c>
      <c r="N1342" s="12">
        <f>IF(K1342=1,G1342+L1342*(J1342-G1342),"")</f>
      </c>
    </row>
    <row r="1343" spans="2:14" x14ac:dyDescent="0.25">
      <c r="B1343">
        <v>86</v>
      </c>
      <c r="C1343">
        <v>350.6249999999999</v>
      </c>
      <c r="D1343">
        <v>12</v>
      </c>
      <c r="E1343" s="18">
        <v>2512.8950118458747</v>
      </c>
      <c r="F1343" s="18">
        <v>-574.5227064705779</v>
      </c>
      <c r="G1343" s="18">
        <v>4617.127075088245</v>
      </c>
      <c r="H1343" s="12">
        <f>E1344</f>
      </c>
      <c r="I1343" s="12">
        <f>F1344</f>
      </c>
      <c r="J1343" s="12">
        <f>G1344</f>
      </c>
      <c r="K1343">
        <f>IF(AND(Pu&gt;=MIN(E1343,H1343),Pu&lt;=MAX(E1343,H1343),E1343&lt;&gt;H1343),1,0)</f>
      </c>
      <c r="L1343">
        <f>IF(K1343=1,(Pu-E1343)/(H1343-E1343),"")</f>
      </c>
      <c r="M1343" s="12">
        <f>IF(K1343=1,F1343+L1343*(I1343-F1343),"")</f>
      </c>
      <c r="N1343" s="12">
        <f>IF(K1343=1,G1343+L1343*(J1343-G1343),"")</f>
      </c>
    </row>
    <row r="1344" spans="2:14" x14ac:dyDescent="0.25">
      <c r="B1344">
        <v>86</v>
      </c>
      <c r="C1344">
        <v>350.6249999999999</v>
      </c>
      <c r="D1344">
        <v>13</v>
      </c>
      <c r="E1344" s="18">
        <v>580.2816539296922</v>
      </c>
      <c r="F1344" s="18">
        <v>-553.5769118302965</v>
      </c>
      <c r="G1344" s="18">
        <v>3600.144985162883</v>
      </c>
      <c r="H1344" s="12">
        <f>E1345</f>
      </c>
      <c r="I1344" s="12">
        <f>F1345</f>
      </c>
      <c r="J1344" s="12">
        <f>G1345</f>
      </c>
      <c r="K1344">
        <f>IF(AND(Pu&gt;=MIN(E1344,H1344),Pu&lt;=MAX(E1344,H1344),E1344&lt;&gt;H1344),1,0)</f>
      </c>
      <c r="L1344">
        <f>IF(K1344=1,(Pu-E1344)/(H1344-E1344),"")</f>
      </c>
      <c r="M1344" s="12">
        <f>IF(K1344=1,F1344+L1344*(I1344-F1344),"")</f>
      </c>
      <c r="N1344" s="12">
        <f>IF(K1344=1,G1344+L1344*(J1344-G1344),"")</f>
      </c>
    </row>
    <row r="1345" spans="2:14" x14ac:dyDescent="0.25">
      <c r="B1345">
        <v>86</v>
      </c>
      <c r="C1345">
        <v>350.6249999999999</v>
      </c>
      <c r="D1345">
        <v>14</v>
      </c>
      <c r="E1345" s="18">
        <v>-844.0031307759543</v>
      </c>
      <c r="F1345" s="18">
        <v>-420.11326203871755</v>
      </c>
      <c r="G1345" s="18">
        <v>2754.040919489766</v>
      </c>
      <c r="H1345" s="12">
        <f>E1346</f>
      </c>
      <c r="I1345" s="12">
        <f>F1346</f>
      </c>
      <c r="J1345" s="12">
        <f>G1346</f>
      </c>
      <c r="K1345">
        <f>IF(AND(Pu&gt;=MIN(E1345,H1345),Pu&lt;=MAX(E1345,H1345),E1345&lt;&gt;H1345),1,0)</f>
      </c>
      <c r="L1345">
        <f>IF(K1345=1,(Pu-E1345)/(H1345-E1345),"")</f>
      </c>
      <c r="M1345" s="12">
        <f>IF(K1345=1,F1345+L1345*(I1345-F1345),"")</f>
      </c>
      <c r="N1345" s="12">
        <f>IF(K1345=1,G1345+L1345*(J1345-G1345),"")</f>
      </c>
    </row>
    <row r="1346" spans="2:7" x14ac:dyDescent="0.25">
      <c r="B1346">
        <v>86</v>
      </c>
      <c r="C1346">
        <v>350.6249999999999</v>
      </c>
      <c r="D1346">
        <v>15</v>
      </c>
      <c r="E1346" s="18">
        <v>-3427.082308179604</v>
      </c>
      <c r="F1346" s="18">
        <v>-293.95183007095875</v>
      </c>
      <c r="G1346" s="18">
        <v>1039.14595044586</v>
      </c>
    </row>
    <row r="1348" spans="2:14" x14ac:dyDescent="0.25">
      <c r="B1348">
        <v>87</v>
      </c>
      <c r="C1348">
        <v>352.49999999999994</v>
      </c>
      <c r="D1348">
        <v>1</v>
      </c>
      <c r="E1348" s="18">
        <v>17041.119271250744</v>
      </c>
      <c r="F1348" s="18">
        <v>-298.0481382390454</v>
      </c>
      <c r="G1348" s="18">
        <v>3000.9233066719016</v>
      </c>
      <c r="H1348" s="12">
        <f>E1349</f>
      </c>
      <c r="I1348" s="12">
        <f>F1349</f>
      </c>
      <c r="J1348" s="12">
        <f>G1349</f>
      </c>
      <c r="K1348">
        <f>IF(AND(Pu&gt;=MIN(E1348,H1348),Pu&lt;=MAX(E1348,H1348),E1348&lt;&gt;H1348),1,0)</f>
      </c>
      <c r="L1348">
        <f>IF(K1348=1,(Pu-E1348)/(H1348-E1348),"")</f>
      </c>
      <c r="M1348" s="12">
        <f>IF(K1348=1,F1348+L1348*(I1348-F1348),"")</f>
      </c>
      <c r="N1348" s="12">
        <f>IF(K1348=1,G1348+L1348*(J1348-G1348),"")</f>
      </c>
    </row>
    <row r="1349" spans="2:14" x14ac:dyDescent="0.25">
      <c r="B1349">
        <v>87</v>
      </c>
      <c r="C1349">
        <v>352.49999999999994</v>
      </c>
      <c r="D1349">
        <v>2</v>
      </c>
      <c r="E1349" s="18">
        <v>16416.290551901624</v>
      </c>
      <c r="F1349" s="18">
        <v>-279.9750754380929</v>
      </c>
      <c r="G1349" s="18">
        <v>3279.766682804768</v>
      </c>
      <c r="H1349" s="12">
        <f>E1350</f>
      </c>
      <c r="I1349" s="12">
        <f>F1350</f>
      </c>
      <c r="J1349" s="12">
        <f>G1350</f>
      </c>
      <c r="K1349">
        <f>IF(AND(Pu&gt;=MIN(E1349,H1349),Pu&lt;=MAX(E1349,H1349),E1349&lt;&gt;H1349),1,0)</f>
      </c>
      <c r="L1349">
        <f>IF(K1349=1,(Pu-E1349)/(H1349-E1349),"")</f>
      </c>
      <c r="M1349" s="12">
        <f>IF(K1349=1,F1349+L1349*(I1349-F1349),"")</f>
      </c>
      <c r="N1349" s="12">
        <f>IF(K1349=1,G1349+L1349*(J1349-G1349),"")</f>
      </c>
    </row>
    <row r="1350" spans="2:14" x14ac:dyDescent="0.25">
      <c r="B1350">
        <v>87</v>
      </c>
      <c r="C1350">
        <v>352.49999999999994</v>
      </c>
      <c r="D1350">
        <v>3</v>
      </c>
      <c r="E1350" s="18">
        <v>14925.043922627354</v>
      </c>
      <c r="F1350" s="18">
        <v>-304.6144306364129</v>
      </c>
      <c r="G1350" s="18">
        <v>3812.3993015871097</v>
      </c>
      <c r="H1350" s="12">
        <f>E1351</f>
      </c>
      <c r="I1350" s="12">
        <f>F1351</f>
      </c>
      <c r="J1350" s="12">
        <f>G1351</f>
      </c>
      <c r="K1350">
        <f>IF(AND(Pu&gt;=MIN(E1350,H1350),Pu&lt;=MAX(E1350,H1350),E1350&lt;&gt;H1350),1,0)</f>
      </c>
      <c r="L1350">
        <f>IF(K1350=1,(Pu-E1350)/(H1350-E1350),"")</f>
      </c>
      <c r="M1350" s="12">
        <f>IF(K1350=1,F1350+L1350*(I1350-F1350),"")</f>
      </c>
      <c r="N1350" s="12">
        <f>IF(K1350=1,G1350+L1350*(J1350-G1350),"")</f>
      </c>
    </row>
    <row r="1351" spans="2:14" x14ac:dyDescent="0.25">
      <c r="B1351">
        <v>87</v>
      </c>
      <c r="C1351">
        <v>352.49999999999994</v>
      </c>
      <c r="D1351">
        <v>4</v>
      </c>
      <c r="E1351" s="18">
        <v>13232.01303161076</v>
      </c>
      <c r="F1351" s="18">
        <v>-395.82677398972834</v>
      </c>
      <c r="G1351" s="18">
        <v>4205.31345827388</v>
      </c>
      <c r="H1351" s="12">
        <f>E1352</f>
      </c>
      <c r="I1351" s="12">
        <f>F1352</f>
      </c>
      <c r="J1351" s="12">
        <f>G1352</f>
      </c>
      <c r="K1351">
        <f>IF(AND(Pu&gt;=MIN(E1351,H1351),Pu&lt;=MAX(E1351,H1351),E1351&lt;&gt;H1351),1,0)</f>
      </c>
      <c r="L1351">
        <f>IF(K1351=1,(Pu-E1351)/(H1351-E1351),"")</f>
      </c>
      <c r="M1351" s="12">
        <f>IF(K1351=1,F1351+L1351*(I1351-F1351),"")</f>
      </c>
      <c r="N1351" s="12">
        <f>IF(K1351=1,G1351+L1351*(J1351-G1351),"")</f>
      </c>
    </row>
    <row r="1352" spans="2:14" x14ac:dyDescent="0.25">
      <c r="B1352">
        <v>87</v>
      </c>
      <c r="C1352">
        <v>352.49999999999994</v>
      </c>
      <c r="D1352">
        <v>5</v>
      </c>
      <c r="E1352" s="18">
        <v>10887.630298095914</v>
      </c>
      <c r="F1352" s="18">
        <v>-423.90173024574153</v>
      </c>
      <c r="G1352" s="18">
        <v>4529.05263243267</v>
      </c>
      <c r="H1352" s="12">
        <f>E1353</f>
      </c>
      <c r="I1352" s="12">
        <f>F1353</f>
      </c>
      <c r="J1352" s="12">
        <f>G1353</f>
      </c>
      <c r="K1352">
        <f>IF(AND(Pu&gt;=MIN(E1352,H1352),Pu&lt;=MAX(E1352,H1352),E1352&lt;&gt;H1352),1,0)</f>
      </c>
      <c r="L1352">
        <f>IF(K1352=1,(Pu-E1352)/(H1352-E1352),"")</f>
      </c>
      <c r="M1352" s="12">
        <f>IF(K1352=1,F1352+L1352*(I1352-F1352),"")</f>
      </c>
      <c r="N1352" s="12">
        <f>IF(K1352=1,G1352+L1352*(J1352-G1352),"")</f>
      </c>
    </row>
    <row r="1353" spans="2:14" x14ac:dyDescent="0.25">
      <c r="B1353">
        <v>87</v>
      </c>
      <c r="C1353">
        <v>352.49999999999994</v>
      </c>
      <c r="D1353">
        <v>6</v>
      </c>
      <c r="E1353" s="18">
        <v>8848.813736068712</v>
      </c>
      <c r="F1353" s="18">
        <v>-443.5658065348905</v>
      </c>
      <c r="G1353" s="18">
        <v>4691.802793414546</v>
      </c>
      <c r="H1353" s="12">
        <f>E1354</f>
      </c>
      <c r="I1353" s="12">
        <f>F1354</f>
      </c>
      <c r="J1353" s="12">
        <f>G1354</f>
      </c>
      <c r="K1353">
        <f>IF(AND(Pu&gt;=MIN(E1353,H1353),Pu&lt;=MAX(E1353,H1353),E1353&lt;&gt;H1353),1,0)</f>
      </c>
      <c r="L1353">
        <f>IF(K1353=1,(Pu-E1353)/(H1353-E1353),"")</f>
      </c>
      <c r="M1353" s="12">
        <f>IF(K1353=1,F1353+L1353*(I1353-F1353),"")</f>
      </c>
      <c r="N1353" s="12">
        <f>IF(K1353=1,G1353+L1353*(J1353-G1353),"")</f>
      </c>
    </row>
    <row r="1354" spans="2:14" x14ac:dyDescent="0.25">
      <c r="B1354">
        <v>87</v>
      </c>
      <c r="C1354">
        <v>352.49999999999994</v>
      </c>
      <c r="D1354">
        <v>7</v>
      </c>
      <c r="E1354" s="18">
        <v>6727.140198317344</v>
      </c>
      <c r="F1354" s="18">
        <v>-471.8944422036166</v>
      </c>
      <c r="G1354" s="18">
        <v>5050.272377644573</v>
      </c>
      <c r="H1354" s="12">
        <f>E1355</f>
      </c>
      <c r="I1354" s="12">
        <f>F1355</f>
      </c>
      <c r="J1354" s="12">
        <f>G1355</f>
      </c>
      <c r="K1354">
        <f>IF(AND(Pu&gt;=MIN(E1354,H1354),Pu&lt;=MAX(E1354,H1354),E1354&lt;&gt;H1354),1,0)</f>
      </c>
      <c r="L1354">
        <f>IF(K1354=1,(Pu-E1354)/(H1354-E1354),"")</f>
      </c>
      <c r="M1354" s="12">
        <f>IF(K1354=1,F1354+L1354*(I1354-F1354),"")</f>
      </c>
      <c r="N1354" s="12">
        <f>IF(K1354=1,G1354+L1354*(J1354-G1354),"")</f>
      </c>
    </row>
    <row r="1355" spans="2:14" x14ac:dyDescent="0.25">
      <c r="B1355">
        <v>87</v>
      </c>
      <c r="C1355">
        <v>352.49999999999994</v>
      </c>
      <c r="D1355">
        <v>8</v>
      </c>
      <c r="E1355" s="18">
        <v>5909.953437695699</v>
      </c>
      <c r="F1355" s="18">
        <v>-445.40133881504045</v>
      </c>
      <c r="G1355" s="18">
        <v>5362.4817227943695</v>
      </c>
      <c r="H1355" s="12">
        <f>E1356</f>
      </c>
      <c r="I1355" s="12">
        <f>F1356</f>
      </c>
      <c r="J1355" s="12">
        <f>G1356</f>
      </c>
      <c r="K1355">
        <f>IF(AND(Pu&gt;=MIN(E1355,H1355),Pu&lt;=MAX(E1355,H1355),E1355&lt;&gt;H1355),1,0)</f>
      </c>
      <c r="L1355">
        <f>IF(K1355=1,(Pu-E1355)/(H1355-E1355),"")</f>
      </c>
      <c r="M1355" s="12">
        <f>IF(K1355=1,F1355+L1355*(I1355-F1355),"")</f>
      </c>
      <c r="N1355" s="12">
        <f>IF(K1355=1,G1355+L1355*(J1355-G1355),"")</f>
      </c>
    </row>
    <row r="1356" spans="2:14" x14ac:dyDescent="0.25">
      <c r="B1356">
        <v>87</v>
      </c>
      <c r="C1356">
        <v>352.49999999999994</v>
      </c>
      <c r="D1356">
        <v>9</v>
      </c>
      <c r="E1356" s="18">
        <v>5400.92105622942</v>
      </c>
      <c r="F1356" s="18">
        <v>-470.02928329913294</v>
      </c>
      <c r="G1356" s="18">
        <v>5623.403484269305</v>
      </c>
      <c r="H1356" s="12">
        <f>E1357</f>
      </c>
      <c r="I1356" s="12">
        <f>F1357</f>
      </c>
      <c r="J1356" s="12">
        <f>G1357</f>
      </c>
      <c r="K1356">
        <f>IF(AND(Pu&gt;=MIN(E1356,H1356),Pu&lt;=MAX(E1356,H1356),E1356&lt;&gt;H1356),1,0)</f>
      </c>
      <c r="L1356">
        <f>IF(K1356=1,(Pu-E1356)/(H1356-E1356),"")</f>
      </c>
      <c r="M1356" s="12">
        <f>IF(K1356=1,F1356+L1356*(I1356-F1356),"")</f>
      </c>
      <c r="N1356" s="12">
        <f>IF(K1356=1,G1356+L1356*(J1356-G1356),"")</f>
      </c>
    </row>
    <row r="1357" spans="2:14" x14ac:dyDescent="0.25">
      <c r="B1357">
        <v>87</v>
      </c>
      <c r="C1357">
        <v>352.49999999999994</v>
      </c>
      <c r="D1357">
        <v>10</v>
      </c>
      <c r="E1357" s="18">
        <v>4617.211129947832</v>
      </c>
      <c r="F1357" s="18">
        <v>-463.0724579727098</v>
      </c>
      <c r="G1357" s="18">
        <v>5430.10996586608</v>
      </c>
      <c r="H1357" s="12">
        <f>E1358</f>
      </c>
      <c r="I1357" s="12">
        <f>F1358</f>
      </c>
      <c r="J1357" s="12">
        <f>G1358</f>
      </c>
      <c r="K1357">
        <f>IF(AND(Pu&gt;=MIN(E1357,H1357),Pu&lt;=MAX(E1357,H1357),E1357&lt;&gt;H1357),1,0)</f>
      </c>
      <c r="L1357">
        <f>IF(K1357=1,(Pu-E1357)/(H1357-E1357),"")</f>
      </c>
      <c r="M1357" s="12">
        <f>IF(K1357=1,F1357+L1357*(I1357-F1357),"")</f>
      </c>
      <c r="N1357" s="12">
        <f>IF(K1357=1,G1357+L1357*(J1357-G1357),"")</f>
      </c>
    </row>
    <row r="1358" spans="2:14" x14ac:dyDescent="0.25">
      <c r="B1358">
        <v>87</v>
      </c>
      <c r="C1358">
        <v>352.49999999999994</v>
      </c>
      <c r="D1358">
        <v>11</v>
      </c>
      <c r="E1358" s="18">
        <v>3456.878086088929</v>
      </c>
      <c r="F1358" s="18">
        <v>-439.18026162851385</v>
      </c>
      <c r="G1358" s="18">
        <v>5046.491828498284</v>
      </c>
      <c r="H1358" s="12">
        <f>E1359</f>
      </c>
      <c r="I1358" s="12">
        <f>F1359</f>
      </c>
      <c r="J1358" s="12">
        <f>G1359</f>
      </c>
      <c r="K1358">
        <f>IF(AND(Pu&gt;=MIN(E1358,H1358),Pu&lt;=MAX(E1358,H1358),E1358&lt;&gt;H1358),1,0)</f>
      </c>
      <c r="L1358">
        <f>IF(K1358=1,(Pu-E1358)/(H1358-E1358),"")</f>
      </c>
      <c r="M1358" s="12">
        <f>IF(K1358=1,F1358+L1358*(I1358-F1358),"")</f>
      </c>
      <c r="N1358" s="12">
        <f>IF(K1358=1,G1358+L1358*(J1358-G1358),"")</f>
      </c>
    </row>
    <row r="1359" spans="2:14" x14ac:dyDescent="0.25">
      <c r="B1359">
        <v>87</v>
      </c>
      <c r="C1359">
        <v>352.49999999999994</v>
      </c>
      <c r="D1359">
        <v>12</v>
      </c>
      <c r="E1359" s="18">
        <v>2642.2195718862567</v>
      </c>
      <c r="F1359" s="18">
        <v>-461.7194835760821</v>
      </c>
      <c r="G1359" s="18">
        <v>4701.1401613216185</v>
      </c>
      <c r="H1359" s="12">
        <f>E1360</f>
      </c>
      <c r="I1359" s="12">
        <f>F1360</f>
      </c>
      <c r="J1359" s="12">
        <f>G1360</f>
      </c>
      <c r="K1359">
        <f>IF(AND(Pu&gt;=MIN(E1359,H1359),Pu&lt;=MAX(E1359,H1359),E1359&lt;&gt;H1359),1,0)</f>
      </c>
      <c r="L1359">
        <f>IF(K1359=1,(Pu-E1359)/(H1359-E1359),"")</f>
      </c>
      <c r="M1359" s="12">
        <f>IF(K1359=1,F1359+L1359*(I1359-F1359),"")</f>
      </c>
      <c r="N1359" s="12">
        <f>IF(K1359=1,G1359+L1359*(J1359-G1359),"")</f>
      </c>
    </row>
    <row r="1360" spans="2:14" x14ac:dyDescent="0.25">
      <c r="B1360">
        <v>87</v>
      </c>
      <c r="C1360">
        <v>352.49999999999994</v>
      </c>
      <c r="D1360">
        <v>13</v>
      </c>
      <c r="E1360" s="18">
        <v>827.8851112706384</v>
      </c>
      <c r="F1360" s="18">
        <v>-466.6244063080773</v>
      </c>
      <c r="G1360" s="18">
        <v>3765.179223205345</v>
      </c>
      <c r="H1360" s="12">
        <f>E1361</f>
      </c>
      <c r="I1360" s="12">
        <f>F1361</f>
      </c>
      <c r="J1360" s="12">
        <f>G1361</f>
      </c>
      <c r="K1360">
        <f>IF(AND(Pu&gt;=MIN(E1360,H1360),Pu&lt;=MAX(E1360,H1360),E1360&lt;&gt;H1360),1,0)</f>
      </c>
      <c r="L1360">
        <f>IF(K1360=1,(Pu-E1360)/(H1360-E1360),"")</f>
      </c>
      <c r="M1360" s="12">
        <f>IF(K1360=1,F1360+L1360*(I1360-F1360),"")</f>
      </c>
      <c r="N1360" s="12">
        <f>IF(K1360=1,G1360+L1360*(J1360-G1360),"")</f>
      </c>
    </row>
    <row r="1361" spans="2:14" x14ac:dyDescent="0.25">
      <c r="B1361">
        <v>87</v>
      </c>
      <c r="C1361">
        <v>352.49999999999994</v>
      </c>
      <c r="D1361">
        <v>14</v>
      </c>
      <c r="E1361" s="18">
        <v>-603.9292155205005</v>
      </c>
      <c r="F1361" s="18">
        <v>-345.51408034423935</v>
      </c>
      <c r="G1361" s="18">
        <v>2922.688247034454</v>
      </c>
      <c r="H1361" s="12">
        <f>E1362</f>
      </c>
      <c r="I1361" s="12">
        <f>F1362</f>
      </c>
      <c r="J1361" s="12">
        <f>G1362</f>
      </c>
      <c r="K1361">
        <f>IF(AND(Pu&gt;=MIN(E1361,H1361),Pu&lt;=MAX(E1361,H1361),E1361&lt;&gt;H1361),1,0)</f>
      </c>
      <c r="L1361">
        <f>IF(K1361=1,(Pu-E1361)/(H1361-E1361),"")</f>
      </c>
      <c r="M1361" s="12">
        <f>IF(K1361=1,F1361+L1361*(I1361-F1361),"")</f>
      </c>
      <c r="N1361" s="12">
        <f>IF(K1361=1,G1361+L1361*(J1361-G1361),"")</f>
      </c>
    </row>
    <row r="1362" spans="2:7" x14ac:dyDescent="0.25">
      <c r="B1362">
        <v>87</v>
      </c>
      <c r="C1362">
        <v>352.49999999999994</v>
      </c>
      <c r="D1362">
        <v>15</v>
      </c>
      <c r="E1362" s="18">
        <v>-3132.6607018388027</v>
      </c>
      <c r="F1362" s="18">
        <v>-261.0066239245922</v>
      </c>
      <c r="G1362" s="18">
        <v>1244.8149052970264</v>
      </c>
    </row>
    <row r="1364" spans="2:14" x14ac:dyDescent="0.25">
      <c r="B1364">
        <v>88</v>
      </c>
      <c r="C1364">
        <v>356.25</v>
      </c>
      <c r="D1364">
        <v>1</v>
      </c>
      <c r="E1364" s="18">
        <v>16878.34556670153</v>
      </c>
      <c r="F1364" s="18">
        <v>-142.84572011692907</v>
      </c>
      <c r="G1364" s="18">
        <v>3099.0494686980596</v>
      </c>
      <c r="H1364" s="12">
        <f>E1365</f>
      </c>
      <c r="I1364" s="12">
        <f>F1365</f>
      </c>
      <c r="J1364" s="12">
        <f>G1365</f>
      </c>
      <c r="K1364">
        <f>IF(AND(Pu&gt;=MIN(E1364,H1364),Pu&lt;=MAX(E1364,H1364),E1364&lt;&gt;H1364),1,0)</f>
      </c>
      <c r="L1364">
        <f>IF(K1364=1,(Pu-E1364)/(H1364-E1364),"")</f>
      </c>
      <c r="M1364" s="12">
        <f>IF(K1364=1,F1364+L1364*(I1364-F1364),"")</f>
      </c>
      <c r="N1364" s="12">
        <f>IF(K1364=1,G1364+L1364*(J1364-G1364),"")</f>
      </c>
    </row>
    <row r="1365" spans="2:14" x14ac:dyDescent="0.25">
      <c r="B1365">
        <v>88</v>
      </c>
      <c r="C1365">
        <v>356.25</v>
      </c>
      <c r="D1365">
        <v>2</v>
      </c>
      <c r="E1365" s="18">
        <v>16330.366716891784</v>
      </c>
      <c r="F1365" s="18">
        <v>-135.57144034317557</v>
      </c>
      <c r="G1365" s="18">
        <v>3336.549012539591</v>
      </c>
      <c r="H1365" s="12">
        <f>E1366</f>
      </c>
      <c r="I1365" s="12">
        <f>F1366</f>
      </c>
      <c r="J1365" s="12">
        <f>G1366</f>
      </c>
      <c r="K1365">
        <f>IF(AND(Pu&gt;=MIN(E1365,H1365),Pu&lt;=MAX(E1365,H1365),E1365&lt;&gt;H1365),1,0)</f>
      </c>
      <c r="L1365">
        <f>IF(K1365=1,(Pu-E1365)/(H1365-E1365),"")</f>
      </c>
      <c r="M1365" s="12">
        <f>IF(K1365=1,F1365+L1365*(I1365-F1365),"")</f>
      </c>
      <c r="N1365" s="12">
        <f>IF(K1365=1,G1365+L1365*(J1365-G1365),"")</f>
      </c>
    </row>
    <row r="1366" spans="2:14" x14ac:dyDescent="0.25">
      <c r="B1366">
        <v>88</v>
      </c>
      <c r="C1366">
        <v>356.25</v>
      </c>
      <c r="D1366">
        <v>3</v>
      </c>
      <c r="E1366" s="18">
        <v>14862.710373988532</v>
      </c>
      <c r="F1366" s="18">
        <v>-155.49914082287071</v>
      </c>
      <c r="G1366" s="18">
        <v>3850.3200819173894</v>
      </c>
      <c r="H1366" s="12">
        <f>E1367</f>
      </c>
      <c r="I1366" s="12">
        <f>F1367</f>
      </c>
      <c r="J1366" s="12">
        <f>G1367</f>
      </c>
      <c r="K1366">
        <f>IF(AND(Pu&gt;=MIN(E1366,H1366),Pu&lt;=MAX(E1366,H1366),E1366&lt;&gt;H1366),1,0)</f>
      </c>
      <c r="L1366">
        <f>IF(K1366=1,(Pu-E1366)/(H1366-E1366),"")</f>
      </c>
      <c r="M1366" s="12">
        <f>IF(K1366=1,F1366+L1366*(I1366-F1366),"")</f>
      </c>
      <c r="N1366" s="12">
        <f>IF(K1366=1,G1366+L1366*(J1366-G1366),"")</f>
      </c>
    </row>
    <row r="1367" spans="2:14" x14ac:dyDescent="0.25">
      <c r="B1367">
        <v>88</v>
      </c>
      <c r="C1367">
        <v>356.25</v>
      </c>
      <c r="D1367">
        <v>4</v>
      </c>
      <c r="E1367" s="18">
        <v>13217.784134834728</v>
      </c>
      <c r="F1367" s="18">
        <v>-205.2986709856107</v>
      </c>
      <c r="G1367" s="18">
        <v>4238.924136589594</v>
      </c>
      <c r="H1367" s="12">
        <f>E1368</f>
      </c>
      <c r="I1367" s="12">
        <f>F1368</f>
      </c>
      <c r="J1367" s="12">
        <f>G1368</f>
      </c>
      <c r="K1367">
        <f>IF(AND(Pu&gt;=MIN(E1367,H1367),Pu&lt;=MAX(E1367,H1367),E1367&lt;&gt;H1367),1,0)</f>
      </c>
      <c r="L1367">
        <f>IF(K1367=1,(Pu-E1367)/(H1367-E1367),"")</f>
      </c>
      <c r="M1367" s="12">
        <f>IF(K1367=1,F1367+L1367*(I1367-F1367),"")</f>
      </c>
      <c r="N1367" s="12">
        <f>IF(K1367=1,G1367+L1367*(J1367-G1367),"")</f>
      </c>
    </row>
    <row r="1368" spans="2:14" x14ac:dyDescent="0.25">
      <c r="B1368">
        <v>88</v>
      </c>
      <c r="C1368">
        <v>356.25</v>
      </c>
      <c r="D1368">
        <v>5</v>
      </c>
      <c r="E1368" s="18">
        <v>10881.986042428458</v>
      </c>
      <c r="F1368" s="18">
        <v>-213.00527146283378</v>
      </c>
      <c r="G1368" s="18">
        <v>4571.967742376357</v>
      </c>
      <c r="H1368" s="12">
        <f>E1369</f>
      </c>
      <c r="I1368" s="12">
        <f>F1369</f>
      </c>
      <c r="J1368" s="12">
        <f>G1369</f>
      </c>
      <c r="K1368">
        <f>IF(AND(Pu&gt;=MIN(E1368,H1368),Pu&lt;=MAX(E1368,H1368),E1368&lt;&gt;H1368),1,0)</f>
      </c>
      <c r="L1368">
        <f>IF(K1368=1,(Pu-E1368)/(H1368-E1368),"")</f>
      </c>
      <c r="M1368" s="12">
        <f>IF(K1368=1,F1368+L1368*(I1368-F1368),"")</f>
      </c>
      <c r="N1368" s="12">
        <f>IF(K1368=1,G1368+L1368*(J1368-G1368),"")</f>
      </c>
    </row>
    <row r="1369" spans="2:14" x14ac:dyDescent="0.25">
      <c r="B1369">
        <v>88</v>
      </c>
      <c r="C1369">
        <v>356.25</v>
      </c>
      <c r="D1369">
        <v>6</v>
      </c>
      <c r="E1369" s="18">
        <v>8916.334864531296</v>
      </c>
      <c r="F1369" s="18">
        <v>-226.40137590396128</v>
      </c>
      <c r="G1369" s="18">
        <v>4741.215745525986</v>
      </c>
      <c r="H1369" s="12">
        <f>E1370</f>
      </c>
      <c r="I1369" s="12">
        <f>F1370</f>
      </c>
      <c r="J1369" s="12">
        <f>G1370</f>
      </c>
      <c r="K1369">
        <f>IF(AND(Pu&gt;=MIN(E1369,H1369),Pu&lt;=MAX(E1369,H1369),E1369&lt;&gt;H1369),1,0)</f>
      </c>
      <c r="L1369">
        <f>IF(K1369=1,(Pu-E1369)/(H1369-E1369),"")</f>
      </c>
      <c r="M1369" s="12">
        <f>IF(K1369=1,F1369+L1369*(I1369-F1369),"")</f>
      </c>
      <c r="N1369" s="12">
        <f>IF(K1369=1,G1369+L1369*(J1369-G1369),"")</f>
      </c>
    </row>
    <row r="1370" spans="2:14" x14ac:dyDescent="0.25">
      <c r="B1370">
        <v>88</v>
      </c>
      <c r="C1370">
        <v>356.25</v>
      </c>
      <c r="D1370">
        <v>7</v>
      </c>
      <c r="E1370" s="18">
        <v>6753.592659725926</v>
      </c>
      <c r="F1370" s="18">
        <v>-243.97713600764732</v>
      </c>
      <c r="G1370" s="18">
        <v>5079.0482727335075</v>
      </c>
      <c r="H1370" s="12">
        <f>E1371</f>
      </c>
      <c r="I1370" s="12">
        <f>F1371</f>
      </c>
      <c r="J1370" s="12">
        <f>G1371</f>
      </c>
      <c r="K1370">
        <f>IF(AND(Pu&gt;=MIN(E1370,H1370),Pu&lt;=MAX(E1370,H1370),E1370&lt;&gt;H1370),1,0)</f>
      </c>
      <c r="L1370">
        <f>IF(K1370=1,(Pu-E1370)/(H1370-E1370),"")</f>
      </c>
      <c r="M1370" s="12">
        <f>IF(K1370=1,F1370+L1370*(I1370-F1370),"")</f>
      </c>
      <c r="N1370" s="12">
        <f>IF(K1370=1,G1370+L1370*(J1370-G1370),"")</f>
      </c>
    </row>
    <row r="1371" spans="2:14" x14ac:dyDescent="0.25">
      <c r="B1371">
        <v>88</v>
      </c>
      <c r="C1371">
        <v>356.25</v>
      </c>
      <c r="D1371">
        <v>8</v>
      </c>
      <c r="E1371" s="18">
        <v>6017.104238211595</v>
      </c>
      <c r="F1371" s="18">
        <v>-228.6178701790642</v>
      </c>
      <c r="G1371" s="18">
        <v>5405.711313256285</v>
      </c>
      <c r="H1371" s="12">
        <f>E1372</f>
      </c>
      <c r="I1371" s="12">
        <f>F1372</f>
      </c>
      <c r="J1371" s="12">
        <f>G1372</f>
      </c>
      <c r="K1371">
        <f>IF(AND(Pu&gt;=MIN(E1371,H1371),Pu&lt;=MAX(E1371,H1371),E1371&lt;&gt;H1371),1,0)</f>
      </c>
      <c r="L1371">
        <f>IF(K1371=1,(Pu-E1371)/(H1371-E1371),"")</f>
      </c>
      <c r="M1371" s="12">
        <f>IF(K1371=1,F1371+L1371*(I1371-F1371),"")</f>
      </c>
      <c r="N1371" s="12">
        <f>IF(K1371=1,G1371+L1371*(J1371-G1371),"")</f>
      </c>
    </row>
    <row r="1372" spans="2:14" x14ac:dyDescent="0.25">
      <c r="B1372">
        <v>88</v>
      </c>
      <c r="C1372">
        <v>356.25</v>
      </c>
      <c r="D1372">
        <v>9</v>
      </c>
      <c r="E1372" s="18">
        <v>5511.624668275602</v>
      </c>
      <c r="F1372" s="18">
        <v>-229.28415071179367</v>
      </c>
      <c r="G1372" s="18">
        <v>5686.417094913698</v>
      </c>
      <c r="H1372" s="12">
        <f>E1373</f>
      </c>
      <c r="I1372" s="12">
        <f>F1373</f>
      </c>
      <c r="J1372" s="12">
        <f>G1373</f>
      </c>
      <c r="K1372">
        <f>IF(AND(Pu&gt;=MIN(E1372,H1372),Pu&lt;=MAX(E1372,H1372),E1372&lt;&gt;H1372),1,0)</f>
      </c>
      <c r="L1372">
        <f>IF(K1372=1,(Pu-E1372)/(H1372-E1372),"")</f>
      </c>
      <c r="M1372" s="12">
        <f>IF(K1372=1,F1372+L1372*(I1372-F1372),"")</f>
      </c>
      <c r="N1372" s="12">
        <f>IF(K1372=1,G1372+L1372*(J1372-G1372),"")</f>
      </c>
    </row>
    <row r="1373" spans="2:14" x14ac:dyDescent="0.25">
      <c r="B1373">
        <v>88</v>
      </c>
      <c r="C1373">
        <v>356.25</v>
      </c>
      <c r="D1373">
        <v>10</v>
      </c>
      <c r="E1373" s="18">
        <v>4752.981269581129</v>
      </c>
      <c r="F1373" s="18">
        <v>-239.13028371647573</v>
      </c>
      <c r="G1373" s="18">
        <v>5492.026326148358</v>
      </c>
      <c r="H1373" s="12">
        <f>E1374</f>
      </c>
      <c r="I1373" s="12">
        <f>F1374</f>
      </c>
      <c r="J1373" s="12">
        <f>G1374</f>
      </c>
      <c r="K1373">
        <f>IF(AND(Pu&gt;=MIN(E1373,H1373),Pu&lt;=MAX(E1373,H1373),E1373&lt;&gt;H1373),1,0)</f>
      </c>
      <c r="L1373">
        <f>IF(K1373=1,(Pu-E1373)/(H1373-E1373),"")</f>
      </c>
      <c r="M1373" s="12">
        <f>IF(K1373=1,F1373+L1373*(I1373-F1373),"")</f>
      </c>
      <c r="N1373" s="12">
        <f>IF(K1373=1,G1373+L1373*(J1373-G1373),"")</f>
      </c>
    </row>
    <row r="1374" spans="2:14" x14ac:dyDescent="0.25">
      <c r="B1374">
        <v>88</v>
      </c>
      <c r="C1374">
        <v>356.25</v>
      </c>
      <c r="D1374">
        <v>11</v>
      </c>
      <c r="E1374" s="18">
        <v>3662.2123836499186</v>
      </c>
      <c r="F1374" s="18">
        <v>-212.04754755943125</v>
      </c>
      <c r="G1374" s="18">
        <v>5146.746521213864</v>
      </c>
      <c r="H1374" s="12">
        <f>E1375</f>
      </c>
      <c r="I1374" s="12">
        <f>F1375</f>
      </c>
      <c r="J1374" s="12">
        <f>G1375</f>
      </c>
      <c r="K1374">
        <f>IF(AND(Pu&gt;=MIN(E1374,H1374),Pu&lt;=MAX(E1374,H1374),E1374&lt;&gt;H1374),1,0)</f>
      </c>
      <c r="L1374">
        <f>IF(K1374=1,(Pu-E1374)/(H1374-E1374),"")</f>
      </c>
      <c r="M1374" s="12">
        <f>IF(K1374=1,F1374+L1374*(I1374-F1374),"")</f>
      </c>
      <c r="N1374" s="12">
        <f>IF(K1374=1,G1374+L1374*(J1374-G1374),"")</f>
      </c>
    </row>
    <row r="1375" spans="2:14" x14ac:dyDescent="0.25">
      <c r="B1375">
        <v>88</v>
      </c>
      <c r="C1375">
        <v>356.25</v>
      </c>
      <c r="D1375">
        <v>12</v>
      </c>
      <c r="E1375" s="18">
        <v>2869.32798717586</v>
      </c>
      <c r="F1375" s="18">
        <v>-233.28674929609076</v>
      </c>
      <c r="G1375" s="18">
        <v>4837.716654933896</v>
      </c>
      <c r="H1375" s="12">
        <f>E1376</f>
      </c>
      <c r="I1375" s="12">
        <f>F1376</f>
      </c>
      <c r="J1375" s="12">
        <f>G1376</f>
      </c>
      <c r="K1375">
        <f>IF(AND(Pu&gt;=MIN(E1375,H1375),Pu&lt;=MAX(E1375,H1375),E1375&lt;&gt;H1375),1,0)</f>
      </c>
      <c r="L1375">
        <f>IF(K1375=1,(Pu-E1375)/(H1375-E1375),"")</f>
      </c>
      <c r="M1375" s="12">
        <f>IF(K1375=1,F1375+L1375*(I1375-F1375),"")</f>
      </c>
      <c r="N1375" s="12">
        <f>IF(K1375=1,G1375+L1375*(J1375-G1375),"")</f>
      </c>
    </row>
    <row r="1376" spans="2:14" x14ac:dyDescent="0.25">
      <c r="B1376">
        <v>88</v>
      </c>
      <c r="C1376">
        <v>356.25</v>
      </c>
      <c r="D1376">
        <v>13</v>
      </c>
      <c r="E1376" s="18">
        <v>1360.7864781884934</v>
      </c>
      <c r="F1376" s="18">
        <v>-254.23986803446186</v>
      </c>
      <c r="G1376" s="18">
        <v>4098.932574043667</v>
      </c>
      <c r="H1376" s="12">
        <f>E1377</f>
      </c>
      <c r="I1376" s="12">
        <f>F1377</f>
      </c>
      <c r="J1376" s="12">
        <f>G1377</f>
      </c>
      <c r="K1376">
        <f>IF(AND(Pu&gt;=MIN(E1376,H1376),Pu&lt;=MAX(E1376,H1376),E1376&lt;&gt;H1376),1,0)</f>
      </c>
      <c r="L1376">
        <f>IF(K1376=1,(Pu-E1376)/(H1376-E1376),"")</f>
      </c>
      <c r="M1376" s="12">
        <f>IF(K1376=1,F1376+L1376*(I1376-F1376),"")</f>
      </c>
      <c r="N1376" s="12">
        <f>IF(K1376=1,G1376+L1376*(J1376-G1376),"")</f>
      </c>
    </row>
    <row r="1377" spans="2:14" x14ac:dyDescent="0.25">
      <c r="B1377">
        <v>88</v>
      </c>
      <c r="C1377">
        <v>356.25</v>
      </c>
      <c r="D1377">
        <v>14</v>
      </c>
      <c r="E1377" s="18">
        <v>-33.047421473511186</v>
      </c>
      <c r="F1377" s="18">
        <v>-175.81198152325797</v>
      </c>
      <c r="G1377" s="18">
        <v>3305.9869897678504</v>
      </c>
      <c r="H1377" s="12">
        <f>E1378</f>
      </c>
      <c r="I1377" s="12">
        <f>F1378</f>
      </c>
      <c r="J1377" s="12">
        <f>G1378</f>
      </c>
      <c r="K1377">
        <f>IF(AND(Pu&gt;=MIN(E1377,H1377),Pu&lt;=MAX(E1377,H1377),E1377&lt;&gt;H1377),1,0)</f>
      </c>
      <c r="L1377">
        <f>IF(K1377=1,(Pu-E1377)/(H1377-E1377),"")</f>
      </c>
      <c r="M1377" s="12">
        <f>IF(K1377=1,F1377+L1377*(I1377-F1377),"")</f>
      </c>
      <c r="N1377" s="12">
        <f>IF(K1377=1,G1377+L1377*(J1377-G1377),"")</f>
      </c>
    </row>
    <row r="1378" spans="2:7" x14ac:dyDescent="0.25">
      <c r="B1378">
        <v>88</v>
      </c>
      <c r="C1378">
        <v>356.25</v>
      </c>
      <c r="D1378">
        <v>15</v>
      </c>
      <c r="E1378" s="18">
        <v>-2388.175237836489</v>
      </c>
      <c r="F1378" s="18">
        <v>-140.89646742940226</v>
      </c>
      <c r="G1378" s="18">
        <v>1764.556258284008</v>
      </c>
    </row>
    <row r="1381" spans="2:13" x14ac:dyDescent="0.25">
      <c r="B1381" s="3" t="s">
        <v>246</v>
      </c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</row>
    <row r="1382" spans="2:5" x14ac:dyDescent="0.25">
      <c r="B1382" t="s">
        <v>247</v>
      </c>
      <c r="C1382" s="17">
        <f>SUMPRODUCT(--(K8:K1379=1))</f>
      </c>
      <c r="E1382" s="2" t="s">
        <v>248</v>
      </c>
    </row>
    <row r="1383" spans="2:5" x14ac:dyDescent="0.25">
      <c r="B1383" t="s">
        <v>249</v>
      </c>
      <c r="C1383" s="17">
        <f>IFERROR(SUMPRODUCT((K8:K1379=1)*(ABS(MOD(DEGREES(ATAN2(IF(M8:M1379="",1,M8:M1379),IF(N8:N1379="",0,N8:N1379)))-theta_L+180,360)-180)&lt;=6)*SQRT(IF(M8:M1379="",0,M8:M1379)^2+IF(N8:N1379="",0,N8:N1379)^2))/MAX(1,SUMPRODUCT((K8:K1379=1)*(ABS(MOD(DEGREES(ATAN2(IF(M8:M1379="",1,M8:M1379),IF(N8:N1379="",0,N8:N1379)))-theta_L+180,360)-180)&lt;=6))),"")</f>
      </c>
      <c r="E1383" s="2" t="s">
        <v>250</v>
      </c>
    </row>
    <row r="1384" spans="2:5" x14ac:dyDescent="0.25">
      <c r="B1384" t="s">
        <v>251</v>
      </c>
      <c r="C1384" s="17">
        <f>Mu</f>
      </c>
      <c r="E1384" s="2" t="s">
        <v>252</v>
      </c>
    </row>
    <row r="1385" spans="2:5" x14ac:dyDescent="0.25">
      <c r="B1385" t="s">
        <v>253</v>
      </c>
      <c r="C1385" s="17">
        <f>IFERROR(Mu/C1383,"")</f>
      </c>
      <c r="E1385" s="2" t="s">
        <v>254</v>
      </c>
    </row>
    <row r="1387" spans="2:5" x14ac:dyDescent="0.25">
      <c r="B1387" t="s">
        <v>255</v>
      </c>
      <c r="C1387" s="22" t="s">
        <v>256</v>
      </c>
      <c r="E1387" s="2" t="s">
        <v>257</v>
      </c>
    </row>
  </sheetData>
  <mergeCells count="3">
    <mergeCell ref="B1:N1"/>
    <mergeCell ref="B2:N4"/>
    <mergeCell ref="B1381:M138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258</v>
      </c>
      <c r="C1" s="1"/>
      <c r="D1" s="1"/>
      <c r="E1" s="1"/>
      <c r="F1" s="1"/>
    </row>
    <row r="2" spans="2:7" x14ac:dyDescent="0.25">
      <c r="B2" s="2" t="s">
        <v>259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139</v>
      </c>
      <c r="C6" s="11" t="s">
        <v>260</v>
      </c>
      <c r="D6" s="11" t="s">
        <v>238</v>
      </c>
      <c r="E6" s="11" t="s">
        <v>261</v>
      </c>
      <c r="F6" s="11" t="s">
        <v>216</v>
      </c>
      <c r="G6" s="11" t="s">
        <v>217</v>
      </c>
    </row>
    <row r="7" spans="2:7" x14ac:dyDescent="0.25">
      <c r="B7">
        <v>1</v>
      </c>
      <c r="C7">
        <v>1</v>
      </c>
      <c r="D7" s="18">
        <v>17670.345615483235</v>
      </c>
      <c r="E7" s="18">
        <v>-2246.8397380724628</v>
      </c>
      <c r="F7" s="18">
        <v>-2096.4617321747805</v>
      </c>
      <c r="G7" s="18">
        <v>-808.1689267153564</v>
      </c>
    </row>
    <row r="8" spans="2:7" x14ac:dyDescent="0.25">
      <c r="B8">
        <v>2</v>
      </c>
      <c r="C8">
        <v>1</v>
      </c>
      <c r="D8" s="18">
        <v>17634.11944408464</v>
      </c>
      <c r="E8" s="18">
        <v>-2263.6065793315915</v>
      </c>
      <c r="F8" s="18">
        <v>-2112.10639096979</v>
      </c>
      <c r="G8" s="18">
        <v>-814.199815289733</v>
      </c>
    </row>
    <row r="9" spans="2:7" x14ac:dyDescent="0.25">
      <c r="B9">
        <v>3</v>
      </c>
      <c r="C9">
        <v>1</v>
      </c>
      <c r="D9" s="18">
        <v>17322.672229398035</v>
      </c>
      <c r="E9" s="18">
        <v>-2413.0167719788265</v>
      </c>
      <c r="F9" s="18">
        <v>-2251.5167574387883</v>
      </c>
      <c r="G9" s="18">
        <v>-867.9413763748328</v>
      </c>
    </row>
    <row r="10" spans="2:7" x14ac:dyDescent="0.25">
      <c r="B10">
        <v>4</v>
      </c>
      <c r="C10">
        <v>1</v>
      </c>
      <c r="D10" s="18">
        <v>16789.607407723597</v>
      </c>
      <c r="E10" s="18">
        <v>-2604.109318699628</v>
      </c>
      <c r="F10" s="18">
        <v>-2429.8197332654795</v>
      </c>
      <c r="G10" s="18">
        <v>-936.6757216731506</v>
      </c>
    </row>
    <row r="11" spans="2:7" x14ac:dyDescent="0.25">
      <c r="B11">
        <v>5</v>
      </c>
      <c r="C11">
        <v>1</v>
      </c>
      <c r="D11" s="18">
        <v>16008.467490603756</v>
      </c>
      <c r="E11" s="18">
        <v>-2914.683184582645</v>
      </c>
      <c r="F11" s="18">
        <v>-2719.607301913301</v>
      </c>
      <c r="G11" s="18">
        <v>-1048.3864697088975</v>
      </c>
    </row>
    <row r="12" spans="2:7" x14ac:dyDescent="0.25">
      <c r="B12">
        <v>6</v>
      </c>
      <c r="C12">
        <v>1</v>
      </c>
      <c r="D12" s="18">
        <v>15975.867797015448</v>
      </c>
      <c r="E12" s="18">
        <v>-2923.7799986833525</v>
      </c>
      <c r="F12" s="18">
        <v>-2728.0952783023968</v>
      </c>
      <c r="G12" s="18">
        <v>-1051.6585154911236</v>
      </c>
    </row>
    <row r="13" spans="2:7" x14ac:dyDescent="0.25">
      <c r="B13">
        <v>7</v>
      </c>
      <c r="C13">
        <v>1</v>
      </c>
      <c r="D13" s="18">
        <v>15938.303068886175</v>
      </c>
      <c r="E13" s="18">
        <v>-2935.209968299914</v>
      </c>
      <c r="F13" s="18">
        <v>-2738.7602552008375</v>
      </c>
      <c r="G13" s="18">
        <v>-1055.7697772428542</v>
      </c>
    </row>
    <row r="14" spans="2:7" x14ac:dyDescent="0.25">
      <c r="B14">
        <v>8</v>
      </c>
      <c r="C14">
        <v>1</v>
      </c>
      <c r="D14" s="18">
        <v>14891.649334419124</v>
      </c>
      <c r="E14" s="18">
        <v>-3233.1130073082973</v>
      </c>
      <c r="F14" s="18">
        <v>-3016.725038623902</v>
      </c>
      <c r="G14" s="18">
        <v>-1162.9229378448604</v>
      </c>
    </row>
    <row r="15" spans="2:7" x14ac:dyDescent="0.25">
      <c r="B15">
        <v>9</v>
      </c>
      <c r="C15">
        <v>1</v>
      </c>
      <c r="D15" s="18">
        <v>13710.906394589176</v>
      </c>
      <c r="E15" s="18">
        <v>-3594.331163622969</v>
      </c>
      <c r="F15" s="18">
        <v>-3353.7673424644504</v>
      </c>
      <c r="G15" s="18">
        <v>-1292.850001512235</v>
      </c>
    </row>
    <row r="16" spans="2:7" x14ac:dyDescent="0.25">
      <c r="B16">
        <v>10</v>
      </c>
      <c r="C16">
        <v>1</v>
      </c>
      <c r="D16" s="18">
        <v>13699.743189362607</v>
      </c>
      <c r="E16" s="18">
        <v>-3597.5508056599433</v>
      </c>
      <c r="F16" s="18">
        <v>-3356.771498126931</v>
      </c>
      <c r="G16" s="18">
        <v>-1294.0080790579264</v>
      </c>
    </row>
    <row r="17" spans="2:7" x14ac:dyDescent="0.25">
      <c r="B17">
        <v>11</v>
      </c>
      <c r="C17">
        <v>1</v>
      </c>
      <c r="D17" s="18">
        <v>13685.209972682522</v>
      </c>
      <c r="E17" s="18">
        <v>-3602.016177591767</v>
      </c>
      <c r="F17" s="18">
        <v>-3360.938008633384</v>
      </c>
      <c r="G17" s="18">
        <v>-1295.614234931163</v>
      </c>
    </row>
    <row r="18" spans="2:7" x14ac:dyDescent="0.25">
      <c r="B18">
        <v>12</v>
      </c>
      <c r="C18">
        <v>1</v>
      </c>
      <c r="D18" s="18">
        <v>12372.92011095435</v>
      </c>
      <c r="E18" s="18">
        <v>-3866.6365305514437</v>
      </c>
      <c r="F18" s="18">
        <v>-3607.8476720749227</v>
      </c>
      <c r="G18" s="18">
        <v>-1390.7958996554692</v>
      </c>
    </row>
    <row r="19" spans="2:7" x14ac:dyDescent="0.25">
      <c r="B19">
        <v>13</v>
      </c>
      <c r="C19">
        <v>1</v>
      </c>
      <c r="D19" s="18">
        <v>11872.595356832988</v>
      </c>
      <c r="E19" s="18">
        <v>-3969.7284425082466</v>
      </c>
      <c r="F19" s="18">
        <v>-3704.0397789937642</v>
      </c>
      <c r="G19" s="18">
        <v>-1427.877173600997</v>
      </c>
    </row>
    <row r="20" spans="2:7" x14ac:dyDescent="0.25">
      <c r="B20">
        <v>14</v>
      </c>
      <c r="C20">
        <v>1</v>
      </c>
      <c r="D20" s="18">
        <v>10891.984776001806</v>
      </c>
      <c r="E20" s="18">
        <v>-4106.644746306731</v>
      </c>
      <c r="F20" s="18">
        <v>-3831.7924560363144</v>
      </c>
      <c r="G20" s="18">
        <v>-1477.1247903382646</v>
      </c>
    </row>
    <row r="21" spans="2:7" x14ac:dyDescent="0.25">
      <c r="B21">
        <v>15</v>
      </c>
      <c r="C21">
        <v>1</v>
      </c>
      <c r="D21" s="18">
        <v>10331.47739538771</v>
      </c>
      <c r="E21" s="18">
        <v>-4181.381128758668</v>
      </c>
      <c r="F21" s="18">
        <v>-3901.526831460029</v>
      </c>
      <c r="G21" s="18">
        <v>-1504.006824232051</v>
      </c>
    </row>
    <row r="22" spans="2:7" x14ac:dyDescent="0.25">
      <c r="B22">
        <v>16</v>
      </c>
      <c r="C22">
        <v>1</v>
      </c>
      <c r="D22" s="18">
        <v>9408.402674632314</v>
      </c>
      <c r="E22" s="18">
        <v>-4269.470966711882</v>
      </c>
      <c r="F22" s="18">
        <v>-3983.7209333058613</v>
      </c>
      <c r="G22" s="18">
        <v>-1535.6919812046854</v>
      </c>
    </row>
    <row r="23" spans="2:7" x14ac:dyDescent="0.25">
      <c r="B23">
        <v>17</v>
      </c>
      <c r="C23">
        <v>1</v>
      </c>
      <c r="D23" s="18">
        <v>8980.671557910257</v>
      </c>
      <c r="E23" s="18">
        <v>-4307.734726470471</v>
      </c>
      <c r="F23" s="18">
        <v>-4019.4237503353615</v>
      </c>
      <c r="G23" s="18">
        <v>-1549.45512644918</v>
      </c>
    </row>
    <row r="24" spans="2:7" x14ac:dyDescent="0.25">
      <c r="B24">
        <v>18</v>
      </c>
      <c r="C24">
        <v>1</v>
      </c>
      <c r="D24" s="18">
        <v>7884.367736440673</v>
      </c>
      <c r="E24" s="18">
        <v>-4676.492746405872</v>
      </c>
      <c r="F24" s="18">
        <v>-4363.501284717202</v>
      </c>
      <c r="G24" s="18">
        <v>-1682.0942142038502</v>
      </c>
    </row>
    <row r="25" spans="2:7" x14ac:dyDescent="0.25">
      <c r="B25">
        <v>19</v>
      </c>
      <c r="C25">
        <v>1</v>
      </c>
      <c r="D25" s="18">
        <v>7699.550745269309</v>
      </c>
      <c r="E25" s="18">
        <v>-4732.772562946827</v>
      </c>
      <c r="F25" s="18">
        <v>-4416.014367725583</v>
      </c>
      <c r="G25" s="18">
        <v>-1702.3375801008146</v>
      </c>
    </row>
    <row r="26" spans="2:7" x14ac:dyDescent="0.25">
      <c r="B26">
        <v>20</v>
      </c>
      <c r="C26">
        <v>1</v>
      </c>
      <c r="D26" s="18">
        <v>7455.324123971818</v>
      </c>
      <c r="E26" s="18">
        <v>-4787.048541518967</v>
      </c>
      <c r="F26" s="18">
        <v>-4466.657726984685</v>
      </c>
      <c r="G26" s="18">
        <v>-1721.860182717191</v>
      </c>
    </row>
    <row r="27" spans="2:7" x14ac:dyDescent="0.25">
      <c r="B27">
        <v>21</v>
      </c>
      <c r="C27">
        <v>1</v>
      </c>
      <c r="D27" s="18">
        <v>6827.361448045077</v>
      </c>
      <c r="E27" s="18">
        <v>-4930.507714136159</v>
      </c>
      <c r="F27" s="18">
        <v>-4600.515367307272</v>
      </c>
      <c r="G27" s="18">
        <v>-1773.4612130875064</v>
      </c>
    </row>
    <row r="28" spans="2:7" x14ac:dyDescent="0.25">
      <c r="B28">
        <v>22</v>
      </c>
      <c r="C28">
        <v>1</v>
      </c>
      <c r="D28" s="18">
        <v>6595.230619150105</v>
      </c>
      <c r="E28" s="18">
        <v>-4968.1404706959465</v>
      </c>
      <c r="F28" s="18">
        <v>-4635.629413345788</v>
      </c>
      <c r="G28" s="18">
        <v>-1786.9973919092122</v>
      </c>
    </row>
    <row r="29" spans="2:7" x14ac:dyDescent="0.25">
      <c r="B29">
        <v>23</v>
      </c>
      <c r="C29">
        <v>1</v>
      </c>
      <c r="D29" s="18">
        <v>5968.224851552575</v>
      </c>
      <c r="E29" s="18">
        <v>-5021.493795376766</v>
      </c>
      <c r="F29" s="18">
        <v>-4685.411870715708</v>
      </c>
      <c r="G29" s="18">
        <v>-1806.1881238574483</v>
      </c>
    </row>
    <row r="30" spans="2:7" x14ac:dyDescent="0.25">
      <c r="B30">
        <v>24</v>
      </c>
      <c r="C30">
        <v>1</v>
      </c>
      <c r="D30" s="18">
        <v>4942.059730453626</v>
      </c>
      <c r="E30" s="18">
        <v>-4733.667444248752</v>
      </c>
      <c r="F30" s="18">
        <v>-4416.84935580797</v>
      </c>
      <c r="G30" s="18">
        <v>-1702.6594612074455</v>
      </c>
    </row>
    <row r="31" spans="2:7" x14ac:dyDescent="0.25">
      <c r="B31">
        <v>25</v>
      </c>
      <c r="C31">
        <v>1</v>
      </c>
      <c r="D31" s="18">
        <v>4830.277365973213</v>
      </c>
      <c r="E31" s="18">
        <v>-4700.762204873874</v>
      </c>
      <c r="F31" s="18">
        <v>-4386.146420494629</v>
      </c>
      <c r="G31" s="18">
        <v>-1690.8237296515665</v>
      </c>
    </row>
    <row r="32" spans="2:7" x14ac:dyDescent="0.25">
      <c r="B32">
        <v>26</v>
      </c>
      <c r="C32">
        <v>1</v>
      </c>
      <c r="D32" s="18">
        <v>4618.614319195769</v>
      </c>
      <c r="E32" s="18">
        <v>-4628.1839761132505</v>
      </c>
      <c r="F32" s="18">
        <v>-4318.425756395904</v>
      </c>
      <c r="G32" s="18">
        <v>-1664.717965076344</v>
      </c>
    </row>
    <row r="33" spans="2:7" x14ac:dyDescent="0.25">
      <c r="B33">
        <v>27</v>
      </c>
      <c r="C33">
        <v>1</v>
      </c>
      <c r="D33" s="18">
        <v>3153.1961987321415</v>
      </c>
      <c r="E33" s="18">
        <v>-4125.006183543196</v>
      </c>
      <c r="F33" s="18">
        <v>-3848.92498661324</v>
      </c>
      <c r="G33" s="18">
        <v>-1483.729241369149</v>
      </c>
    </row>
    <row r="34" spans="2:7" x14ac:dyDescent="0.25">
      <c r="B34">
        <v>28</v>
      </c>
      <c r="C34">
        <v>1</v>
      </c>
      <c r="D34" s="18">
        <v>2170.5348061235495</v>
      </c>
      <c r="E34" s="18">
        <v>-3735.991504293981</v>
      </c>
      <c r="F34" s="18">
        <v>-3485.946544278995</v>
      </c>
      <c r="G34" s="18">
        <v>-1343.8040075048648</v>
      </c>
    </row>
    <row r="35" spans="2:7" x14ac:dyDescent="0.25">
      <c r="B35">
        <v>29</v>
      </c>
      <c r="C35">
        <v>1</v>
      </c>
      <c r="D35" s="18">
        <v>2024.4092523445916</v>
      </c>
      <c r="E35" s="18">
        <v>-3674.463980768295</v>
      </c>
      <c r="F35" s="18">
        <v>-3428.5369763595036</v>
      </c>
      <c r="G35" s="18">
        <v>-1321.6730865456934</v>
      </c>
    </row>
    <row r="36" spans="2:7" x14ac:dyDescent="0.25">
      <c r="B36">
        <v>30</v>
      </c>
      <c r="C36">
        <v>1</v>
      </c>
      <c r="D36" s="18">
        <v>1587.3362072359619</v>
      </c>
      <c r="E36" s="18">
        <v>-3467.6675506580186</v>
      </c>
      <c r="F36" s="18">
        <v>-3235.5811572459957</v>
      </c>
      <c r="G36" s="18">
        <v>-1247.2901894752663</v>
      </c>
    </row>
    <row r="37" spans="2:7" x14ac:dyDescent="0.25">
      <c r="B37">
        <v>31</v>
      </c>
      <c r="C37">
        <v>1</v>
      </c>
      <c r="D37" s="18">
        <v>-152.95664165254422</v>
      </c>
      <c r="E37" s="18">
        <v>-2645.2427375574825</v>
      </c>
      <c r="F37" s="18">
        <v>-2468.2001469139345</v>
      </c>
      <c r="G37" s="18">
        <v>-951.4710586111576</v>
      </c>
    </row>
    <row r="38" spans="2:7" x14ac:dyDescent="0.25">
      <c r="B38">
        <v>32</v>
      </c>
      <c r="C38">
        <v>1</v>
      </c>
      <c r="D38" s="18">
        <v>-761.0157807244741</v>
      </c>
      <c r="E38" s="18">
        <v>-2336.3559318613684</v>
      </c>
      <c r="F38" s="18">
        <v>-2179.986725750593</v>
      </c>
      <c r="G38" s="18">
        <v>-840.3671316127325</v>
      </c>
    </row>
    <row r="39" spans="2:7" x14ac:dyDescent="0.25">
      <c r="B39">
        <v>33</v>
      </c>
      <c r="C39">
        <v>1</v>
      </c>
      <c r="D39" s="18">
        <v>-1578.750296201776</v>
      </c>
      <c r="E39" s="18">
        <v>-1912.1951743657999</v>
      </c>
      <c r="F39" s="18">
        <v>-1784.2144856073808</v>
      </c>
      <c r="G39" s="18">
        <v>-687.8001557259497</v>
      </c>
    </row>
    <row r="40" spans="2:7" x14ac:dyDescent="0.25">
      <c r="B40">
        <v>34</v>
      </c>
      <c r="C40">
        <v>1</v>
      </c>
      <c r="D40" s="18">
        <v>-2660.801688455338</v>
      </c>
      <c r="E40" s="18">
        <v>-1311.1973342034023</v>
      </c>
      <c r="F40" s="18">
        <v>-1223.4406343753058</v>
      </c>
      <c r="G40" s="18">
        <v>-471.6264023371233</v>
      </c>
    </row>
    <row r="41" spans="2:7" x14ac:dyDescent="0.25">
      <c r="B41">
        <v>35</v>
      </c>
      <c r="C41">
        <v>1</v>
      </c>
      <c r="D41" s="18">
        <v>-2723.6047866180115</v>
      </c>
      <c r="E41" s="18">
        <v>-1279.3015428597769</v>
      </c>
      <c r="F41" s="18">
        <v>-1193.679586074323</v>
      </c>
      <c r="G41" s="18">
        <v>-460.1537605549246</v>
      </c>
    </row>
    <row r="42" spans="2:7" x14ac:dyDescent="0.25">
      <c r="B42">
        <v>36</v>
      </c>
      <c r="C42">
        <v>1</v>
      </c>
      <c r="D42" s="18">
        <v>-3025.2148502561226</v>
      </c>
      <c r="E42" s="18">
        <v>-1110.1973784889437</v>
      </c>
      <c r="F42" s="18">
        <v>-1035.8933393084612</v>
      </c>
      <c r="G42" s="18">
        <v>-399.3284472462342</v>
      </c>
    </row>
    <row r="43" spans="2:7" x14ac:dyDescent="0.25">
      <c r="B43">
        <v>37</v>
      </c>
      <c r="C43">
        <v>1</v>
      </c>
      <c r="D43" s="18">
        <v>-3102.525432530108</v>
      </c>
      <c r="E43" s="18">
        <v>-1070.13457842595</v>
      </c>
      <c r="F43" s="18">
        <v>-998.5118893578341</v>
      </c>
      <c r="G43" s="18">
        <v>-384.918202679393</v>
      </c>
    </row>
    <row r="44" spans="2:7" x14ac:dyDescent="0.25">
      <c r="B44">
        <v>38</v>
      </c>
      <c r="C44">
        <v>1</v>
      </c>
      <c r="D44" s="18">
        <v>-3133.314935921132</v>
      </c>
      <c r="E44" s="18">
        <v>-1052.6748460109204</v>
      </c>
      <c r="F44" s="18">
        <v>-982.2207136936886</v>
      </c>
      <c r="G44" s="18">
        <v>-378.6380871164126</v>
      </c>
    </row>
    <row r="45" spans="2:7" x14ac:dyDescent="0.25">
      <c r="B45">
        <v>39</v>
      </c>
      <c r="C45">
        <v>1</v>
      </c>
      <c r="D45" s="18">
        <v>-3228.837420341861</v>
      </c>
      <c r="E45" s="18">
        <v>-1000.4946034745652</v>
      </c>
      <c r="F45" s="18">
        <v>-933.5328256350081</v>
      </c>
      <c r="G45" s="18">
        <v>-359.86930272481607</v>
      </c>
    </row>
    <row r="46" spans="2:7" x14ac:dyDescent="0.25">
      <c r="B46">
        <v>40</v>
      </c>
      <c r="C46">
        <v>1</v>
      </c>
      <c r="D46" s="18">
        <v>-4921.996042232201</v>
      </c>
      <c r="E46" s="18">
        <v>1.8223386311120322e-14</v>
      </c>
      <c r="F46" s="18">
        <v>0</v>
      </c>
      <c r="G46" s="18">
        <v>5.066394805908203e-14</v>
      </c>
    </row>
    <row r="47" spans="2:7" x14ac:dyDescent="0.25">
      <c r="B47">
        <v>41</v>
      </c>
      <c r="C47">
        <v>1</v>
      </c>
      <c r="D47" s="18">
        <v>-3228.83742034186</v>
      </c>
      <c r="E47" s="18">
        <v>1000.494603474566</v>
      </c>
      <c r="F47" s="18">
        <v>933.5328256350087</v>
      </c>
      <c r="G47" s="18">
        <v>359.86930272481624</v>
      </c>
    </row>
    <row r="48" spans="2:7" x14ac:dyDescent="0.25">
      <c r="B48">
        <v>42</v>
      </c>
      <c r="C48">
        <v>1</v>
      </c>
      <c r="D48" s="18">
        <v>-3133.314935921132</v>
      </c>
      <c r="E48" s="18">
        <v>1052.6748460109206</v>
      </c>
      <c r="F48" s="18">
        <v>982.2207136936888</v>
      </c>
      <c r="G48" s="18">
        <v>378.6380871164125</v>
      </c>
    </row>
    <row r="49" spans="2:7" x14ac:dyDescent="0.25">
      <c r="B49">
        <v>43</v>
      </c>
      <c r="C49">
        <v>1</v>
      </c>
      <c r="D49" s="18">
        <v>-3102.525432530108</v>
      </c>
      <c r="E49" s="18">
        <v>1070.13457842595</v>
      </c>
      <c r="F49" s="18">
        <v>998.5118893578341</v>
      </c>
      <c r="G49" s="18">
        <v>384.91820267939295</v>
      </c>
    </row>
    <row r="50" spans="2:7" x14ac:dyDescent="0.25">
      <c r="B50">
        <v>44</v>
      </c>
      <c r="C50">
        <v>1</v>
      </c>
      <c r="D50" s="18">
        <v>-3025.2148502561226</v>
      </c>
      <c r="E50" s="18">
        <v>1110.1973784889437</v>
      </c>
      <c r="F50" s="18">
        <v>1035.8933393084612</v>
      </c>
      <c r="G50" s="18">
        <v>399.3284472462342</v>
      </c>
    </row>
    <row r="51" spans="2:7" x14ac:dyDescent="0.25">
      <c r="B51">
        <v>45</v>
      </c>
      <c r="C51">
        <v>1</v>
      </c>
      <c r="D51" s="18">
        <v>-2723.6047866180147</v>
      </c>
      <c r="E51" s="18">
        <v>1279.301542859775</v>
      </c>
      <c r="F51" s="18">
        <v>1193.6795860743214</v>
      </c>
      <c r="G51" s="18">
        <v>460.15376055492396</v>
      </c>
    </row>
    <row r="52" spans="2:7" x14ac:dyDescent="0.25">
      <c r="B52">
        <v>46</v>
      </c>
      <c r="C52">
        <v>1</v>
      </c>
      <c r="D52" s="18">
        <v>-2660.8016884553404</v>
      </c>
      <c r="E52" s="18">
        <v>1311.1973342034012</v>
      </c>
      <c r="F52" s="18">
        <v>1223.4406343753046</v>
      </c>
      <c r="G52" s="18">
        <v>471.62640233712284</v>
      </c>
    </row>
    <row r="53" spans="2:7" x14ac:dyDescent="0.25">
      <c r="B53">
        <v>47</v>
      </c>
      <c r="C53">
        <v>1</v>
      </c>
      <c r="D53" s="18">
        <v>-1578.750296201776</v>
      </c>
      <c r="E53" s="18">
        <v>1912.1951743657994</v>
      </c>
      <c r="F53" s="18">
        <v>1784.2144856073803</v>
      </c>
      <c r="G53" s="18">
        <v>687.8001557259496</v>
      </c>
    </row>
    <row r="54" spans="2:7" x14ac:dyDescent="0.25">
      <c r="B54">
        <v>48</v>
      </c>
      <c r="C54">
        <v>1</v>
      </c>
      <c r="D54" s="18">
        <v>-761.0157807244753</v>
      </c>
      <c r="E54" s="18">
        <v>2336.3559318613675</v>
      </c>
      <c r="F54" s="18">
        <v>2179.9867257505925</v>
      </c>
      <c r="G54" s="18">
        <v>840.367131612732</v>
      </c>
    </row>
    <row r="55" spans="2:7" x14ac:dyDescent="0.25">
      <c r="B55">
        <v>49</v>
      </c>
      <c r="C55">
        <v>1</v>
      </c>
      <c r="D55" s="18">
        <v>-152.9566416525415</v>
      </c>
      <c r="E55" s="18">
        <v>2645.2427375574844</v>
      </c>
      <c r="F55" s="18">
        <v>2468.2001469139364</v>
      </c>
      <c r="G55" s="18">
        <v>951.4710586111579</v>
      </c>
    </row>
    <row r="56" spans="2:7" x14ac:dyDescent="0.25">
      <c r="B56">
        <v>50</v>
      </c>
      <c r="C56">
        <v>1</v>
      </c>
      <c r="D56" s="18">
        <v>1587.336207235998</v>
      </c>
      <c r="E56" s="18">
        <v>3467.667550658037</v>
      </c>
      <c r="F56" s="18">
        <v>3235.5811572460125</v>
      </c>
      <c r="G56" s="18">
        <v>1247.2901894752729</v>
      </c>
    </row>
    <row r="57" spans="2:7" x14ac:dyDescent="0.25">
      <c r="B57">
        <v>51</v>
      </c>
      <c r="C57">
        <v>1</v>
      </c>
      <c r="D57" s="18">
        <v>2024.4092523445906</v>
      </c>
      <c r="E57" s="18">
        <v>3674.4639807682956</v>
      </c>
      <c r="F57" s="18">
        <v>3428.536976359504</v>
      </c>
      <c r="G57" s="18">
        <v>1321.6730865456936</v>
      </c>
    </row>
    <row r="58" spans="2:7" x14ac:dyDescent="0.25">
      <c r="B58">
        <v>52</v>
      </c>
      <c r="C58">
        <v>1</v>
      </c>
      <c r="D58" s="18">
        <v>2170.5348061235386</v>
      </c>
      <c r="E58" s="18">
        <v>3735.991504293977</v>
      </c>
      <c r="F58" s="18">
        <v>3485.946544278991</v>
      </c>
      <c r="G58" s="18">
        <v>1343.8040075048634</v>
      </c>
    </row>
    <row r="59" spans="2:7" x14ac:dyDescent="0.25">
      <c r="B59">
        <v>53</v>
      </c>
      <c r="C59">
        <v>1</v>
      </c>
      <c r="D59" s="18">
        <v>3153.1961987321433</v>
      </c>
      <c r="E59" s="18">
        <v>4125.006183543197</v>
      </c>
      <c r="F59" s="18">
        <v>3848.9249866132413</v>
      </c>
      <c r="G59" s="18">
        <v>1483.7292413691496</v>
      </c>
    </row>
    <row r="60" spans="2:7" x14ac:dyDescent="0.25">
      <c r="B60">
        <v>54</v>
      </c>
      <c r="C60">
        <v>1</v>
      </c>
      <c r="D60" s="18">
        <v>4618.614319195777</v>
      </c>
      <c r="E60" s="18">
        <v>4628.183976113254</v>
      </c>
      <c r="F60" s="18">
        <v>4318.425756395907</v>
      </c>
      <c r="G60" s="18">
        <v>1664.7179650763455</v>
      </c>
    </row>
    <row r="61" spans="2:7" x14ac:dyDescent="0.25">
      <c r="B61">
        <v>55</v>
      </c>
      <c r="C61">
        <v>1</v>
      </c>
      <c r="D61" s="18">
        <v>4830.277365973214</v>
      </c>
      <c r="E61" s="18">
        <v>4700.762204873875</v>
      </c>
      <c r="F61" s="18">
        <v>4386.14642049463</v>
      </c>
      <c r="G61" s="18">
        <v>1690.823729651567</v>
      </c>
    </row>
    <row r="62" spans="2:7" x14ac:dyDescent="0.25">
      <c r="B62">
        <v>56</v>
      </c>
      <c r="C62">
        <v>1</v>
      </c>
      <c r="D62" s="18">
        <v>4942.059730453623</v>
      </c>
      <c r="E62" s="18">
        <v>4733.667444248752</v>
      </c>
      <c r="F62" s="18">
        <v>4416.84935580797</v>
      </c>
      <c r="G62" s="18">
        <v>1702.6594612074457</v>
      </c>
    </row>
    <row r="63" spans="2:7" x14ac:dyDescent="0.25">
      <c r="B63">
        <v>57</v>
      </c>
      <c r="C63">
        <v>1</v>
      </c>
      <c r="D63" s="18">
        <v>5968.224851552577</v>
      </c>
      <c r="E63" s="18">
        <v>5021.493795376768</v>
      </c>
      <c r="F63" s="18">
        <v>4685.411870715709</v>
      </c>
      <c r="G63" s="18">
        <v>1806.1881238574488</v>
      </c>
    </row>
    <row r="64" spans="2:7" x14ac:dyDescent="0.25">
      <c r="B64">
        <v>58</v>
      </c>
      <c r="C64">
        <v>1</v>
      </c>
      <c r="D64" s="18">
        <v>6595.230619150108</v>
      </c>
      <c r="E64" s="18">
        <v>4968.140470695947</v>
      </c>
      <c r="F64" s="18">
        <v>4635.629413345789</v>
      </c>
      <c r="G64" s="18">
        <v>1786.9973919092126</v>
      </c>
    </row>
    <row r="65" spans="2:7" x14ac:dyDescent="0.25">
      <c r="B65">
        <v>59</v>
      </c>
      <c r="C65">
        <v>1</v>
      </c>
      <c r="D65" s="18">
        <v>6827.361448045079</v>
      </c>
      <c r="E65" s="18">
        <v>4930.50771413616</v>
      </c>
      <c r="F65" s="18">
        <v>4600.515367307273</v>
      </c>
      <c r="G65" s="18">
        <v>1773.4612130875068</v>
      </c>
    </row>
    <row r="66" spans="2:7" x14ac:dyDescent="0.25">
      <c r="B66">
        <v>60</v>
      </c>
      <c r="C66">
        <v>1</v>
      </c>
      <c r="D66" s="18">
        <v>7455.3241239718145</v>
      </c>
      <c r="E66" s="18">
        <v>4787.04854151897</v>
      </c>
      <c r="F66" s="18">
        <v>4466.657726984687</v>
      </c>
      <c r="G66" s="18">
        <v>1721.8601827171917</v>
      </c>
    </row>
    <row r="67" spans="2:7" x14ac:dyDescent="0.25">
      <c r="B67">
        <v>61</v>
      </c>
      <c r="C67">
        <v>1</v>
      </c>
      <c r="D67" s="18">
        <v>7699.550745269307</v>
      </c>
      <c r="E67" s="18">
        <v>4732.772562946828</v>
      </c>
      <c r="F67" s="18">
        <v>4416.014367725584</v>
      </c>
      <c r="G67" s="18">
        <v>1702.3375801008149</v>
      </c>
    </row>
    <row r="68" spans="2:7" x14ac:dyDescent="0.25">
      <c r="B68">
        <v>62</v>
      </c>
      <c r="C68">
        <v>1</v>
      </c>
      <c r="D68" s="18">
        <v>7884.367736440675</v>
      </c>
      <c r="E68" s="18">
        <v>4676.492746405872</v>
      </c>
      <c r="F68" s="18">
        <v>4363.501284717202</v>
      </c>
      <c r="G68" s="18">
        <v>1682.09421420385</v>
      </c>
    </row>
    <row r="69" spans="2:7" x14ac:dyDescent="0.25">
      <c r="B69">
        <v>63</v>
      </c>
      <c r="C69">
        <v>1</v>
      </c>
      <c r="D69" s="18">
        <v>8980.671557910258</v>
      </c>
      <c r="E69" s="18">
        <v>4307.73472647047</v>
      </c>
      <c r="F69" s="18">
        <v>4019.423750335361</v>
      </c>
      <c r="G69" s="18">
        <v>1549.4551264491797</v>
      </c>
    </row>
    <row r="70" spans="2:7" x14ac:dyDescent="0.25">
      <c r="B70">
        <v>64</v>
      </c>
      <c r="C70">
        <v>1</v>
      </c>
      <c r="D70" s="18">
        <v>9408.40267463232</v>
      </c>
      <c r="E70" s="18">
        <v>4269.470966711881</v>
      </c>
      <c r="F70" s="18">
        <v>3983.7209333058604</v>
      </c>
      <c r="G70" s="18">
        <v>1535.6919812046851</v>
      </c>
    </row>
    <row r="71" spans="2:7" x14ac:dyDescent="0.25">
      <c r="B71">
        <v>65</v>
      </c>
      <c r="C71">
        <v>1</v>
      </c>
      <c r="D71" s="18">
        <v>10331.477395387707</v>
      </c>
      <c r="E71" s="18">
        <v>4181.381128758668</v>
      </c>
      <c r="F71" s="18">
        <v>3901.5268314600285</v>
      </c>
      <c r="G71" s="18">
        <v>1504.006824232051</v>
      </c>
    </row>
    <row r="72" spans="2:7" x14ac:dyDescent="0.25">
      <c r="B72">
        <v>66</v>
      </c>
      <c r="C72">
        <v>1</v>
      </c>
      <c r="D72" s="18">
        <v>10891.984776001807</v>
      </c>
      <c r="E72" s="18">
        <v>4106.644746306731</v>
      </c>
      <c r="F72" s="18">
        <v>3831.792456036314</v>
      </c>
      <c r="G72" s="18">
        <v>1477.1247903382641</v>
      </c>
    </row>
    <row r="73" spans="2:7" x14ac:dyDescent="0.25">
      <c r="B73">
        <v>67</v>
      </c>
      <c r="C73">
        <v>1</v>
      </c>
      <c r="D73" s="18">
        <v>11872.595356832988</v>
      </c>
      <c r="E73" s="18">
        <v>3969.7284425082466</v>
      </c>
      <c r="F73" s="18">
        <v>3704.0397789937642</v>
      </c>
      <c r="G73" s="18">
        <v>1427.877173600997</v>
      </c>
    </row>
    <row r="74" spans="2:7" x14ac:dyDescent="0.25">
      <c r="B74">
        <v>68</v>
      </c>
      <c r="C74">
        <v>1</v>
      </c>
      <c r="D74" s="18">
        <v>12372.920110954354</v>
      </c>
      <c r="E74" s="18">
        <v>3866.6365305514432</v>
      </c>
      <c r="F74" s="18">
        <v>3607.8476720749222</v>
      </c>
      <c r="G74" s="18">
        <v>1390.795899655469</v>
      </c>
    </row>
    <row r="75" spans="2:7" x14ac:dyDescent="0.25">
      <c r="B75">
        <v>69</v>
      </c>
      <c r="C75">
        <v>1</v>
      </c>
      <c r="D75" s="18">
        <v>13685.20997268252</v>
      </c>
      <c r="E75" s="18">
        <v>3602.0161775917654</v>
      </c>
      <c r="F75" s="18">
        <v>3360.938008633383</v>
      </c>
      <c r="G75" s="18">
        <v>1295.6142349311624</v>
      </c>
    </row>
    <row r="76" spans="2:7" x14ac:dyDescent="0.25">
      <c r="B76">
        <v>70</v>
      </c>
      <c r="C76">
        <v>1</v>
      </c>
      <c r="D76" s="18">
        <v>13699.743189362604</v>
      </c>
      <c r="E76" s="18">
        <v>3597.550805659943</v>
      </c>
      <c r="F76" s="18">
        <v>3356.77149812693</v>
      </c>
      <c r="G76" s="18">
        <v>1294.008079057926</v>
      </c>
    </row>
    <row r="77" spans="2:7" x14ac:dyDescent="0.25">
      <c r="B77">
        <v>71</v>
      </c>
      <c r="C77">
        <v>1</v>
      </c>
      <c r="D77" s="18">
        <v>13710.90639458917</v>
      </c>
      <c r="E77" s="18">
        <v>3594.3311636229687</v>
      </c>
      <c r="F77" s="18">
        <v>3353.76734246445</v>
      </c>
      <c r="G77" s="18">
        <v>1292.8500015122347</v>
      </c>
    </row>
    <row r="78" spans="2:7" x14ac:dyDescent="0.25">
      <c r="B78">
        <v>72</v>
      </c>
      <c r="C78">
        <v>1</v>
      </c>
      <c r="D78" s="18">
        <v>14891.649334419124</v>
      </c>
      <c r="E78" s="18">
        <v>3233.1130073082973</v>
      </c>
      <c r="F78" s="18">
        <v>3016.725038623902</v>
      </c>
      <c r="G78" s="18">
        <v>1162.9229378448604</v>
      </c>
    </row>
    <row r="79" spans="2:7" x14ac:dyDescent="0.25">
      <c r="B79">
        <v>73</v>
      </c>
      <c r="C79">
        <v>1</v>
      </c>
      <c r="D79" s="18">
        <v>15938.303068886167</v>
      </c>
      <c r="E79" s="18">
        <v>2935.209968299917</v>
      </c>
      <c r="F79" s="18">
        <v>2738.76025520084</v>
      </c>
      <c r="G79" s="18">
        <v>1055.769777242855</v>
      </c>
    </row>
    <row r="80" spans="2:7" x14ac:dyDescent="0.25">
      <c r="B80">
        <v>74</v>
      </c>
      <c r="C80">
        <v>1</v>
      </c>
      <c r="D80" s="18">
        <v>15975.867797015444</v>
      </c>
      <c r="E80" s="18">
        <v>2923.779998683354</v>
      </c>
      <c r="F80" s="18">
        <v>2728.095278302398</v>
      </c>
      <c r="G80" s="18">
        <v>1051.658515491124</v>
      </c>
    </row>
    <row r="81" spans="2:7" x14ac:dyDescent="0.25">
      <c r="B81">
        <v>75</v>
      </c>
      <c r="C81">
        <v>1</v>
      </c>
      <c r="D81" s="18">
        <v>16008.467490603754</v>
      </c>
      <c r="E81" s="18">
        <v>2914.6831845826455</v>
      </c>
      <c r="F81" s="18">
        <v>2719.6073019133014</v>
      </c>
      <c r="G81" s="18">
        <v>1048.3864697088977</v>
      </c>
    </row>
    <row r="82" spans="2:7" x14ac:dyDescent="0.25">
      <c r="B82">
        <v>76</v>
      </c>
      <c r="C82">
        <v>1</v>
      </c>
      <c r="D82" s="18">
        <v>16789.607407723597</v>
      </c>
      <c r="E82" s="18">
        <v>2604.1093186996295</v>
      </c>
      <c r="F82" s="18">
        <v>2429.8197332654804</v>
      </c>
      <c r="G82" s="18">
        <v>936.675721673151</v>
      </c>
    </row>
    <row r="83" spans="2:7" x14ac:dyDescent="0.25">
      <c r="B83">
        <v>77</v>
      </c>
      <c r="C83">
        <v>1</v>
      </c>
      <c r="D83" s="18">
        <v>17322.67222939804</v>
      </c>
      <c r="E83" s="18">
        <v>2413.0167719788255</v>
      </c>
      <c r="F83" s="18">
        <v>2251.516757438788</v>
      </c>
      <c r="G83" s="18">
        <v>867.9413763748324</v>
      </c>
    </row>
    <row r="84" spans="2:7" x14ac:dyDescent="0.25">
      <c r="B84">
        <v>78</v>
      </c>
      <c r="C84">
        <v>1</v>
      </c>
      <c r="D84" s="18">
        <v>17634.119444084638</v>
      </c>
      <c r="E84" s="18">
        <v>2263.6065793315947</v>
      </c>
      <c r="F84" s="18">
        <v>2112.1063909697937</v>
      </c>
      <c r="G84" s="18">
        <v>814.1998152897344</v>
      </c>
    </row>
    <row r="85" spans="2:7" x14ac:dyDescent="0.25">
      <c r="B85">
        <v>79</v>
      </c>
      <c r="C85">
        <v>1</v>
      </c>
      <c r="D85" s="18">
        <v>17670.345615483235</v>
      </c>
      <c r="E85" s="18">
        <v>2246.8397380724646</v>
      </c>
      <c r="F85" s="18">
        <v>2096.4617321747824</v>
      </c>
      <c r="G85" s="18">
        <v>808.168926715357</v>
      </c>
    </row>
    <row r="86" spans="2:7" x14ac:dyDescent="0.25">
      <c r="B86">
        <v>80</v>
      </c>
      <c r="C86">
        <v>1</v>
      </c>
      <c r="D86" s="18">
        <v>17670.345615483235</v>
      </c>
      <c r="E86" s="18">
        <v>2240.5410130676087</v>
      </c>
      <c r="F86" s="18">
        <v>2090.5845724867036</v>
      </c>
      <c r="G86" s="18">
        <v>805.9033295120529</v>
      </c>
    </row>
    <row r="87" spans="2:7" x14ac:dyDescent="0.25">
      <c r="B87">
        <v>81</v>
      </c>
      <c r="C87">
        <v>1</v>
      </c>
      <c r="D87" s="18">
        <v>17670.345615483235</v>
      </c>
      <c r="E87" s="18">
        <v>2097.978081567539</v>
      </c>
      <c r="F87" s="18">
        <v>1957.5631890510726</v>
      </c>
      <c r="G87" s="18">
        <v>754.6246693621985</v>
      </c>
    </row>
    <row r="88" spans="2:7" x14ac:dyDescent="0.25">
      <c r="B88">
        <v>82</v>
      </c>
      <c r="C88">
        <v>1</v>
      </c>
      <c r="D88" s="18">
        <v>17670.345615483235</v>
      </c>
      <c r="E88" s="18">
        <v>2072.1631836286424</v>
      </c>
      <c r="F88" s="18">
        <v>1933.476048018342</v>
      </c>
      <c r="G88" s="18">
        <v>745.3392726305015</v>
      </c>
    </row>
    <row r="89" spans="2:7" x14ac:dyDescent="0.25">
      <c r="B89">
        <v>83</v>
      </c>
      <c r="C89">
        <v>1</v>
      </c>
      <c r="D89" s="18">
        <v>17670.345615483235</v>
      </c>
      <c r="E89" s="18">
        <v>2013.864627210991</v>
      </c>
      <c r="F89" s="18">
        <v>1879.0793367177441</v>
      </c>
      <c r="G89" s="18">
        <v>724.3697833648686</v>
      </c>
    </row>
    <row r="90" spans="2:7" x14ac:dyDescent="0.25">
      <c r="B90">
        <v>84</v>
      </c>
      <c r="C90">
        <v>1</v>
      </c>
      <c r="D90" s="18">
        <v>17670.345615483235</v>
      </c>
      <c r="E90" s="18">
        <v>1992.1266286451907</v>
      </c>
      <c r="F90" s="18">
        <v>1858.7962335862464</v>
      </c>
      <c r="G90" s="18">
        <v>716.5508122686326</v>
      </c>
    </row>
    <row r="91" spans="2:7" x14ac:dyDescent="0.25">
      <c r="B91">
        <v>85</v>
      </c>
      <c r="C91">
        <v>1</v>
      </c>
      <c r="D91" s="18">
        <v>17670.345615483235</v>
      </c>
      <c r="E91" s="18">
        <v>1966.994124704472</v>
      </c>
      <c r="F91" s="18">
        <v>1835.3458148257832</v>
      </c>
      <c r="G91" s="18">
        <v>707.5108667882021</v>
      </c>
    </row>
    <row r="92" spans="2:7" x14ac:dyDescent="0.25">
      <c r="B92">
        <v>86</v>
      </c>
      <c r="C92">
        <v>1</v>
      </c>
      <c r="D92" s="18">
        <v>17670.345615483235</v>
      </c>
      <c r="E92" s="18">
        <v>1955.0656122019618</v>
      </c>
      <c r="F92" s="18">
        <v>1824.2156618560239</v>
      </c>
      <c r="G92" s="18">
        <v>703.220283448807</v>
      </c>
    </row>
    <row r="93" spans="2:7" x14ac:dyDescent="0.25">
      <c r="B93">
        <v>87</v>
      </c>
      <c r="C93">
        <v>1</v>
      </c>
      <c r="D93" s="18">
        <v>17670.345615483235</v>
      </c>
      <c r="E93" s="18">
        <v>1932.437797104758</v>
      </c>
      <c r="F93" s="18">
        <v>1803.1022964342822</v>
      </c>
      <c r="G93" s="18">
        <v>695.0812530003298</v>
      </c>
    </row>
    <row r="94" spans="2:7" x14ac:dyDescent="0.25">
      <c r="B94">
        <v>88</v>
      </c>
      <c r="C94">
        <v>1</v>
      </c>
      <c r="D94" s="18">
        <v>17670.345615483235</v>
      </c>
      <c r="E94" s="18">
        <v>1917.937229651339</v>
      </c>
      <c r="F94" s="18">
        <v>1789.5722327426936</v>
      </c>
      <c r="G94" s="18">
        <v>689.8655236196278</v>
      </c>
    </row>
    <row r="95" spans="2:7" x14ac:dyDescent="0.25">
      <c r="B95">
        <v>89</v>
      </c>
      <c r="C95">
        <v>1</v>
      </c>
      <c r="D95" s="18">
        <v>17670.345615483235</v>
      </c>
      <c r="E95" s="18">
        <v>1853.3787942442223</v>
      </c>
      <c r="F95" s="18">
        <v>1729.334607857081</v>
      </c>
      <c r="G95" s="18">
        <v>666.6444097282774</v>
      </c>
    </row>
    <row r="96" spans="2:7" x14ac:dyDescent="0.25">
      <c r="B96">
        <v>90</v>
      </c>
      <c r="C96">
        <v>1</v>
      </c>
      <c r="D96" s="18">
        <v>17670.345615483235</v>
      </c>
      <c r="E96" s="18">
        <v>1786.739491223845</v>
      </c>
      <c r="F96" s="18">
        <v>1667.155385069757</v>
      </c>
      <c r="G96" s="18">
        <v>642.6748256558326</v>
      </c>
    </row>
    <row r="97" spans="2:7" x14ac:dyDescent="0.25">
      <c r="B97">
        <v>91</v>
      </c>
      <c r="C97">
        <v>1</v>
      </c>
      <c r="D97" s="18">
        <v>17670.345615483235</v>
      </c>
      <c r="E97" s="18">
        <v>1752.915703477034</v>
      </c>
      <c r="F97" s="18">
        <v>1635.5953786096502</v>
      </c>
      <c r="G97" s="18">
        <v>630.5087001518217</v>
      </c>
    </row>
    <row r="98" spans="2:7" x14ac:dyDescent="0.25">
      <c r="B98">
        <v>92</v>
      </c>
      <c r="C98">
        <v>1</v>
      </c>
      <c r="D98" s="18">
        <v>17670.345615483235</v>
      </c>
      <c r="E98" s="18">
        <v>1641.990557958849</v>
      </c>
      <c r="F98" s="18">
        <v>1532.0943060701838</v>
      </c>
      <c r="G98" s="18">
        <v>590.6098794748816</v>
      </c>
    </row>
    <row r="99" spans="2:7" x14ac:dyDescent="0.25">
      <c r="B99">
        <v>93</v>
      </c>
      <c r="C99">
        <v>1</v>
      </c>
      <c r="D99" s="18">
        <v>17670.345615483235</v>
      </c>
      <c r="E99" s="18">
        <v>1625.8809660884156</v>
      </c>
      <c r="F99" s="18">
        <v>1517.062907833347</v>
      </c>
      <c r="G99" s="18">
        <v>584.8153978520314</v>
      </c>
    </row>
    <row r="100" spans="2:7" x14ac:dyDescent="0.25">
      <c r="B100">
        <v>94</v>
      </c>
      <c r="C100">
        <v>1</v>
      </c>
      <c r="D100" s="18">
        <v>17670.345615483235</v>
      </c>
      <c r="E100" s="18">
        <v>1607.804160296344</v>
      </c>
      <c r="F100" s="18">
        <v>1500.1959586954679</v>
      </c>
      <c r="G100" s="18">
        <v>578.3133263033268</v>
      </c>
    </row>
    <row r="101" spans="2:7" x14ac:dyDescent="0.25">
      <c r="B101">
        <v>95</v>
      </c>
      <c r="C101">
        <v>1</v>
      </c>
      <c r="D101" s="18">
        <v>17670.345615483235</v>
      </c>
      <c r="E101" s="18">
        <v>1590.4399192709882</v>
      </c>
      <c r="F101" s="18">
        <v>1483.9938833088418</v>
      </c>
      <c r="G101" s="18">
        <v>572.0675581718053</v>
      </c>
    </row>
    <row r="102" spans="2:7" x14ac:dyDescent="0.25">
      <c r="B102">
        <v>96</v>
      </c>
      <c r="C102">
        <v>1</v>
      </c>
      <c r="D102" s="18">
        <v>17670.345615483235</v>
      </c>
      <c r="E102" s="18">
        <v>1576.3693533621565</v>
      </c>
      <c r="F102" s="18">
        <v>1470.8650417283493</v>
      </c>
      <c r="G102" s="18">
        <v>567.0064966478653</v>
      </c>
    </row>
    <row r="103" spans="2:7" x14ac:dyDescent="0.25">
      <c r="B103">
        <v>97</v>
      </c>
      <c r="C103">
        <v>1</v>
      </c>
      <c r="D103" s="18">
        <v>17670.345615483235</v>
      </c>
      <c r="E103" s="18">
        <v>1538.0724786501714</v>
      </c>
      <c r="F103" s="18">
        <v>1435.1313260853958</v>
      </c>
      <c r="G103" s="18">
        <v>553.2314402394859</v>
      </c>
    </row>
    <row r="104" spans="2:7" x14ac:dyDescent="0.25">
      <c r="B104">
        <v>98</v>
      </c>
      <c r="C104">
        <v>1</v>
      </c>
      <c r="D104" s="18">
        <v>17670.345615483235</v>
      </c>
      <c r="E104" s="18">
        <v>1514.7659964171137</v>
      </c>
      <c r="F104" s="18">
        <v>1413.3847158197545</v>
      </c>
      <c r="G104" s="18">
        <v>544.8482990600619</v>
      </c>
    </row>
    <row r="105" spans="2:7" x14ac:dyDescent="0.25">
      <c r="B105">
        <v>99</v>
      </c>
      <c r="C105">
        <v>1</v>
      </c>
      <c r="D105" s="18">
        <v>17670.345615483235</v>
      </c>
      <c r="E105" s="18">
        <v>1427.6924012777783</v>
      </c>
      <c r="F105" s="18">
        <v>1332.1388410031109</v>
      </c>
      <c r="G105" s="18">
        <v>513.5286758859701</v>
      </c>
    </row>
    <row r="106" spans="2:7" x14ac:dyDescent="0.25">
      <c r="B106">
        <v>100</v>
      </c>
      <c r="C106">
        <v>1</v>
      </c>
      <c r="D106" s="18">
        <v>17670.345615483235</v>
      </c>
      <c r="E106" s="18">
        <v>1409.788534301477</v>
      </c>
      <c r="F106" s="18">
        <v>1315.4332561152607</v>
      </c>
      <c r="G106" s="18">
        <v>507.0888089416971</v>
      </c>
    </row>
    <row r="107" spans="2:7" x14ac:dyDescent="0.25">
      <c r="B107">
        <v>101</v>
      </c>
      <c r="C107">
        <v>1</v>
      </c>
      <c r="D107" s="18">
        <v>17670.345615483235</v>
      </c>
      <c r="E107" s="18">
        <v>1306.0335249786272</v>
      </c>
      <c r="F107" s="18">
        <v>1218.6224320582685</v>
      </c>
      <c r="G107" s="18">
        <v>469.7690245774929</v>
      </c>
    </row>
    <row r="108" spans="2:7" x14ac:dyDescent="0.25">
      <c r="B108">
        <v>102</v>
      </c>
      <c r="C108">
        <v>1</v>
      </c>
      <c r="D108" s="18">
        <v>17670.345615483235</v>
      </c>
      <c r="E108" s="18">
        <v>1305.8662134591664</v>
      </c>
      <c r="F108" s="18">
        <v>1218.4663184770645</v>
      </c>
      <c r="G108" s="18">
        <v>469.70884406313826</v>
      </c>
    </row>
    <row r="109" spans="2:7" x14ac:dyDescent="0.25">
      <c r="B109">
        <v>103</v>
      </c>
      <c r="C109">
        <v>1</v>
      </c>
      <c r="D109" s="18">
        <v>17670.345615483235</v>
      </c>
      <c r="E109" s="18">
        <v>1303.7298307134797</v>
      </c>
      <c r="F109" s="18">
        <v>1216.4729209971656</v>
      </c>
      <c r="G109" s="18">
        <v>468.94040556644546</v>
      </c>
    </row>
    <row r="110" spans="2:7" x14ac:dyDescent="0.25">
      <c r="B110">
        <v>104</v>
      </c>
      <c r="C110">
        <v>1</v>
      </c>
      <c r="D110" s="18">
        <v>17670.345615483235</v>
      </c>
      <c r="E110" s="18">
        <v>1219.7225151089538</v>
      </c>
      <c r="F110" s="18">
        <v>1138.0881036898538</v>
      </c>
      <c r="G110" s="18">
        <v>438.72369676522374</v>
      </c>
    </row>
    <row r="111" spans="2:7" x14ac:dyDescent="0.25">
      <c r="B111">
        <v>105</v>
      </c>
      <c r="C111">
        <v>1</v>
      </c>
      <c r="D111" s="18">
        <v>17670.345615483235</v>
      </c>
      <c r="E111" s="18">
        <v>1199.086452815785</v>
      </c>
      <c r="F111" s="18">
        <v>1118.8331856966738</v>
      </c>
      <c r="G111" s="18">
        <v>431.30108266751836</v>
      </c>
    </row>
    <row r="112" spans="2:7" x14ac:dyDescent="0.25">
      <c r="B112">
        <v>106</v>
      </c>
      <c r="C112">
        <v>1</v>
      </c>
      <c r="D112" s="18">
        <v>17670.345615483235</v>
      </c>
      <c r="E112" s="18">
        <v>1147.3616728023396</v>
      </c>
      <c r="F112" s="18">
        <v>1070.5702766578763</v>
      </c>
      <c r="G112" s="18">
        <v>412.6961242275739</v>
      </c>
    </row>
    <row r="113" spans="2:7" x14ac:dyDescent="0.25">
      <c r="B113">
        <v>107</v>
      </c>
      <c r="C113">
        <v>1</v>
      </c>
      <c r="D113" s="18">
        <v>17670.345615483235</v>
      </c>
      <c r="E113" s="18">
        <v>1118.5767349690454</v>
      </c>
      <c r="F113" s="18">
        <v>1043.7118765646405</v>
      </c>
      <c r="G113" s="18">
        <v>402.34242969382024</v>
      </c>
    </row>
    <row r="114" spans="2:7" x14ac:dyDescent="0.25">
      <c r="B114">
        <v>108</v>
      </c>
      <c r="C114">
        <v>1</v>
      </c>
      <c r="D114" s="18">
        <v>17670.345615483235</v>
      </c>
      <c r="E114" s="18">
        <v>1082.9787894818533</v>
      </c>
      <c r="F114" s="18">
        <v>1010.4964543903975</v>
      </c>
      <c r="G114" s="18">
        <v>389.5381549117048</v>
      </c>
    </row>
    <row r="115" spans="2:7" x14ac:dyDescent="0.25">
      <c r="B115">
        <v>109</v>
      </c>
      <c r="C115">
        <v>1</v>
      </c>
      <c r="D115" s="18">
        <v>17670.345615483235</v>
      </c>
      <c r="E115" s="18">
        <v>1052.2129994890888</v>
      </c>
      <c r="F115" s="18">
        <v>981.7897779474711</v>
      </c>
      <c r="G115" s="18">
        <v>378.4719648952627</v>
      </c>
    </row>
    <row r="116" spans="2:7" x14ac:dyDescent="0.25">
      <c r="B116">
        <v>110</v>
      </c>
      <c r="C116">
        <v>1</v>
      </c>
      <c r="D116" s="18">
        <v>17670.345615483235</v>
      </c>
      <c r="E116" s="18">
        <v>1024.8358593431167</v>
      </c>
      <c r="F116" s="18">
        <v>956.244953508121</v>
      </c>
      <c r="G116" s="18">
        <v>368.62464307991695</v>
      </c>
    </row>
    <row r="117" spans="2:7" x14ac:dyDescent="0.25">
      <c r="B117">
        <v>111</v>
      </c>
      <c r="C117">
        <v>1</v>
      </c>
      <c r="D117" s="18">
        <v>17670.345615483235</v>
      </c>
      <c r="E117" s="18">
        <v>960.4466311778632</v>
      </c>
      <c r="F117" s="18">
        <v>896.1652110479263</v>
      </c>
      <c r="G117" s="18">
        <v>345.4643915779631</v>
      </c>
    </row>
    <row r="118" spans="2:7" x14ac:dyDescent="0.25">
      <c r="B118">
        <v>112</v>
      </c>
      <c r="C118">
        <v>1</v>
      </c>
      <c r="D118" s="18">
        <v>17670.345615483235</v>
      </c>
      <c r="E118" s="18">
        <v>912.4893756101272</v>
      </c>
      <c r="F118" s="18">
        <v>851.4176710368453</v>
      </c>
      <c r="G118" s="18">
        <v>328.2145792733078</v>
      </c>
    </row>
    <row r="119" spans="2:7" x14ac:dyDescent="0.25">
      <c r="B119">
        <v>113</v>
      </c>
      <c r="C119">
        <v>1</v>
      </c>
      <c r="D119" s="18">
        <v>17670.345615483235</v>
      </c>
      <c r="E119" s="18">
        <v>844.1055151376855</v>
      </c>
      <c r="F119" s="18">
        <v>787.6106517156345</v>
      </c>
      <c r="G119" s="18">
        <v>303.61749289184763</v>
      </c>
    </row>
    <row r="120" spans="2:7" x14ac:dyDescent="0.25">
      <c r="B120">
        <v>114</v>
      </c>
      <c r="C120">
        <v>1</v>
      </c>
      <c r="D120" s="18">
        <v>17670.345615483235</v>
      </c>
      <c r="E120" s="18">
        <v>802.996679696018</v>
      </c>
      <c r="F120" s="18">
        <v>749.2531761479014</v>
      </c>
      <c r="G120" s="18">
        <v>288.8309983971789</v>
      </c>
    </row>
    <row r="121" spans="2:7" x14ac:dyDescent="0.25">
      <c r="B121">
        <v>115</v>
      </c>
      <c r="C121">
        <v>1</v>
      </c>
      <c r="D121" s="18">
        <v>17670.345615483235</v>
      </c>
      <c r="E121" s="18">
        <v>734.895981607587</v>
      </c>
      <c r="F121" s="18">
        <v>685.7103675276189</v>
      </c>
      <c r="G121" s="18">
        <v>264.3357630895157</v>
      </c>
    </row>
    <row r="122" spans="2:7" x14ac:dyDescent="0.25">
      <c r="B122">
        <v>116</v>
      </c>
      <c r="C122">
        <v>1</v>
      </c>
      <c r="D122" s="18">
        <v>17670.345615483235</v>
      </c>
      <c r="E122" s="18">
        <v>688.4447487443391</v>
      </c>
      <c r="F122" s="18">
        <v>642.3680541173698</v>
      </c>
      <c r="G122" s="18">
        <v>247.62765419702245</v>
      </c>
    </row>
    <row r="123" spans="2:7" x14ac:dyDescent="0.25">
      <c r="B123">
        <v>117</v>
      </c>
      <c r="C123">
        <v>1</v>
      </c>
      <c r="D123" s="18">
        <v>17670.345615483235</v>
      </c>
      <c r="E123" s="18">
        <v>621.8009614893415</v>
      </c>
      <c r="F123" s="18">
        <v>580.1846472193056</v>
      </c>
      <c r="G123" s="18">
        <v>223.65645718395757</v>
      </c>
    </row>
    <row r="124" spans="2:7" x14ac:dyDescent="0.25">
      <c r="B124">
        <v>118</v>
      </c>
      <c r="C124">
        <v>1</v>
      </c>
      <c r="D124" s="18">
        <v>17670.345615483235</v>
      </c>
      <c r="E124" s="18">
        <v>566.8930864391017</v>
      </c>
      <c r="F124" s="18">
        <v>528.9516834759213</v>
      </c>
      <c r="G124" s="18">
        <v>203.90656683991241</v>
      </c>
    </row>
    <row r="125" spans="2:7" x14ac:dyDescent="0.25">
      <c r="B125">
        <v>119</v>
      </c>
      <c r="C125">
        <v>1</v>
      </c>
      <c r="D125" s="18">
        <v>17670.345615483235</v>
      </c>
      <c r="E125" s="18">
        <v>518.8800675631868</v>
      </c>
      <c r="F125" s="18">
        <v>484.1521123209736</v>
      </c>
      <c r="G125" s="18">
        <v>186.63669695297529</v>
      </c>
    </row>
    <row r="126" spans="2:7" x14ac:dyDescent="0.25">
      <c r="B126">
        <v>120</v>
      </c>
      <c r="C126">
        <v>1</v>
      </c>
      <c r="D126" s="18">
        <v>17670.345615483235</v>
      </c>
      <c r="E126" s="18">
        <v>437.7394266628216</v>
      </c>
      <c r="F126" s="18">
        <v>408.44210697912166</v>
      </c>
      <c r="G126" s="18">
        <v>157.45110638401843</v>
      </c>
    </row>
    <row r="127" spans="2:7" x14ac:dyDescent="0.25">
      <c r="B127">
        <v>121</v>
      </c>
      <c r="C127">
        <v>1</v>
      </c>
      <c r="D127" s="18">
        <v>17670.345615483235</v>
      </c>
      <c r="E127" s="18">
        <v>429.606708769586</v>
      </c>
      <c r="F127" s="18">
        <v>400.8537011160634</v>
      </c>
      <c r="G127" s="18">
        <v>154.52583771457006</v>
      </c>
    </row>
    <row r="128" spans="2:7" x14ac:dyDescent="0.25">
      <c r="B128">
        <v>122</v>
      </c>
      <c r="C128">
        <v>1</v>
      </c>
      <c r="D128" s="18">
        <v>17670.345615483235</v>
      </c>
      <c r="E128" s="18">
        <v>396.60882461462285</v>
      </c>
      <c r="F128" s="18">
        <v>370.0643216149848</v>
      </c>
      <c r="G128" s="18">
        <v>142.65678262821484</v>
      </c>
    </row>
    <row r="129" spans="2:7" x14ac:dyDescent="0.25">
      <c r="B129">
        <v>123</v>
      </c>
      <c r="C129">
        <v>1</v>
      </c>
      <c r="D129" s="18">
        <v>17670.345615483235</v>
      </c>
      <c r="E129" s="18">
        <v>369.64733647999327</v>
      </c>
      <c r="F129" s="18">
        <v>344.9073301487281</v>
      </c>
      <c r="G129" s="18">
        <v>132.9589672659564</v>
      </c>
    </row>
    <row r="130" spans="2:7" x14ac:dyDescent="0.25">
      <c r="B130">
        <v>124</v>
      </c>
      <c r="C130">
        <v>1</v>
      </c>
      <c r="D130" s="18">
        <v>17670.345615483235</v>
      </c>
      <c r="E130" s="18">
        <v>368.540085569154</v>
      </c>
      <c r="F130" s="18">
        <v>343.8741860738944</v>
      </c>
      <c r="G130" s="18">
        <v>132.56069863777876</v>
      </c>
    </row>
    <row r="131" spans="2:7" x14ac:dyDescent="0.25">
      <c r="B131">
        <v>125</v>
      </c>
      <c r="C131">
        <v>1</v>
      </c>
      <c r="D131" s="18">
        <v>17670.345615483235</v>
      </c>
      <c r="E131" s="18">
        <v>301.5988685798845</v>
      </c>
      <c r="F131" s="18">
        <v>281.4132560194852</v>
      </c>
      <c r="G131" s="18">
        <v>108.48251870775366</v>
      </c>
    </row>
    <row r="132" spans="2:7" x14ac:dyDescent="0.25">
      <c r="B132">
        <v>126</v>
      </c>
      <c r="C132">
        <v>1</v>
      </c>
      <c r="D132" s="18">
        <v>17670.345615483235</v>
      </c>
      <c r="E132" s="18">
        <v>296.75332603180493</v>
      </c>
      <c r="F132" s="18">
        <v>276.89201921227584</v>
      </c>
      <c r="G132" s="18">
        <v>106.73961873403597</v>
      </c>
    </row>
    <row r="133" spans="2:7" x14ac:dyDescent="0.25">
      <c r="B133">
        <v>127</v>
      </c>
      <c r="C133">
        <v>1</v>
      </c>
      <c r="D133" s="18">
        <v>17670.345615483235</v>
      </c>
      <c r="E133" s="18">
        <v>235.59363475045848</v>
      </c>
      <c r="F133" s="18">
        <v>219.82566501250358</v>
      </c>
      <c r="G133" s="18">
        <v>84.74100386910105</v>
      </c>
    </row>
    <row r="134" spans="2:7" x14ac:dyDescent="0.25">
      <c r="B134">
        <v>128</v>
      </c>
      <c r="C134">
        <v>1</v>
      </c>
      <c r="D134" s="18">
        <v>17670.345615483235</v>
      </c>
      <c r="E134" s="18">
        <v>224.27193810102403</v>
      </c>
      <c r="F134" s="18">
        <v>209.2617145149962</v>
      </c>
      <c r="G134" s="18">
        <v>80.6686869722929</v>
      </c>
    </row>
    <row r="135" spans="2:7" x14ac:dyDescent="0.25">
      <c r="B135">
        <v>129</v>
      </c>
      <c r="C135">
        <v>1</v>
      </c>
      <c r="D135" s="18">
        <v>17670.345615483235</v>
      </c>
      <c r="E135" s="18">
        <v>199.17145134477394</v>
      </c>
      <c r="F135" s="18">
        <v>185.841170071278</v>
      </c>
      <c r="G135" s="18">
        <v>71.64025779770756</v>
      </c>
    </row>
    <row r="136" spans="2:7" x14ac:dyDescent="0.25">
      <c r="B136">
        <v>130</v>
      </c>
      <c r="C136">
        <v>1</v>
      </c>
      <c r="D136" s="18">
        <v>17670.345615483235</v>
      </c>
      <c r="E136" s="18">
        <v>191.67734592010504</v>
      </c>
      <c r="F136" s="18">
        <v>178.84863519062785</v>
      </c>
      <c r="G136" s="18">
        <v>68.94469253992891</v>
      </c>
    </row>
    <row r="137" spans="2:7" x14ac:dyDescent="0.25">
      <c r="B137">
        <v>131</v>
      </c>
      <c r="C137">
        <v>1</v>
      </c>
      <c r="D137" s="18">
        <v>17670.345615483235</v>
      </c>
      <c r="E137" s="18">
        <v>164.5014931699174</v>
      </c>
      <c r="F137" s="18">
        <v>153.49162624843197</v>
      </c>
      <c r="G137" s="18">
        <v>59.169772069394114</v>
      </c>
    </row>
    <row r="138" spans="2:7" x14ac:dyDescent="0.25">
      <c r="B138">
        <v>132</v>
      </c>
      <c r="C138">
        <v>1</v>
      </c>
      <c r="D138" s="18">
        <v>17670.345615483235</v>
      </c>
      <c r="E138" s="18">
        <v>154.80783481813577</v>
      </c>
      <c r="F138" s="18">
        <v>144.44675160297936</v>
      </c>
      <c r="G138" s="18">
        <v>55.68304654404592</v>
      </c>
    </row>
    <row r="139" spans="2:7" x14ac:dyDescent="0.25">
      <c r="B139">
        <v>133</v>
      </c>
      <c r="C139">
        <v>1</v>
      </c>
      <c r="D139" s="18">
        <v>17670.345615483235</v>
      </c>
      <c r="E139" s="18">
        <v>105.08379071399284</v>
      </c>
      <c r="F139" s="18">
        <v>98.05067187068103</v>
      </c>
      <c r="G139" s="18">
        <v>37.79773560056591</v>
      </c>
    </row>
    <row r="140" spans="2:7" x14ac:dyDescent="0.25">
      <c r="B140">
        <v>134</v>
      </c>
      <c r="C140">
        <v>1</v>
      </c>
      <c r="D140" s="18">
        <v>17670.345615483235</v>
      </c>
      <c r="E140" s="18">
        <v>78.54410317921993</v>
      </c>
      <c r="F140" s="18">
        <v>73.28725044915123</v>
      </c>
      <c r="G140" s="18">
        <v>28.25163828579378</v>
      </c>
    </row>
    <row r="141" spans="2:7" x14ac:dyDescent="0.25">
      <c r="B141">
        <v>135</v>
      </c>
      <c r="C141">
        <v>1</v>
      </c>
      <c r="D141" s="18">
        <v>17670.345615483235</v>
      </c>
      <c r="E141" s="18">
        <v>41.8634376556453</v>
      </c>
      <c r="F141" s="18">
        <v>39.06157325561534</v>
      </c>
      <c r="G141" s="18">
        <v>15.057918420030594</v>
      </c>
    </row>
    <row r="142" spans="2:7" x14ac:dyDescent="0.25">
      <c r="B142">
        <v>136</v>
      </c>
      <c r="C142">
        <v>1</v>
      </c>
      <c r="D142" s="18">
        <v>17670.345615483235</v>
      </c>
      <c r="E142" s="18">
        <v>6.306245291983856e-14</v>
      </c>
      <c r="F142" s="18">
        <v>2.5140272845185274e-13</v>
      </c>
      <c r="G142" s="18">
        <v>-4.76837158203125e-13</v>
      </c>
    </row>
    <row r="143" spans="2:7" x14ac:dyDescent="0.25">
      <c r="B143">
        <v>137</v>
      </c>
      <c r="C143">
        <v>1</v>
      </c>
      <c r="D143" s="18">
        <v>17670.345615483235</v>
      </c>
      <c r="E143" s="18">
        <v>-30.39980612160467</v>
      </c>
      <c r="F143" s="18">
        <v>-28.365187387219752</v>
      </c>
      <c r="G143" s="18">
        <v>-10.934548766138553</v>
      </c>
    </row>
    <row r="144" spans="2:7" x14ac:dyDescent="0.25">
      <c r="B144">
        <v>138</v>
      </c>
      <c r="C144">
        <v>1</v>
      </c>
      <c r="D144" s="18">
        <v>17670.345615483235</v>
      </c>
      <c r="E144" s="18">
        <v>-80.22655682821686</v>
      </c>
      <c r="F144" s="18">
        <v>-74.857099705203</v>
      </c>
      <c r="G144" s="18">
        <v>-28.85680239105511</v>
      </c>
    </row>
    <row r="145" spans="2:7" x14ac:dyDescent="0.25">
      <c r="B145">
        <v>139</v>
      </c>
      <c r="C145">
        <v>1</v>
      </c>
      <c r="D145" s="18">
        <v>17670.345615483235</v>
      </c>
      <c r="E145" s="18">
        <v>-130.53909356662626</v>
      </c>
      <c r="F145" s="18">
        <v>-121.80228503969472</v>
      </c>
      <c r="G145" s="18">
        <v>-46.95378907293177</v>
      </c>
    </row>
    <row r="146" spans="2:7" x14ac:dyDescent="0.25">
      <c r="B146">
        <v>140</v>
      </c>
      <c r="C146">
        <v>1</v>
      </c>
      <c r="D146" s="18">
        <v>17670.345615483235</v>
      </c>
      <c r="E146" s="18">
        <v>-161.48250457273443</v>
      </c>
      <c r="F146" s="18">
        <v>-150.67469455694584</v>
      </c>
      <c r="G146" s="18">
        <v>-58.08386783999729</v>
      </c>
    </row>
    <row r="147" spans="2:7" x14ac:dyDescent="0.25">
      <c r="B147">
        <v>141</v>
      </c>
      <c r="C147">
        <v>1</v>
      </c>
      <c r="D147" s="18">
        <v>17670.345615483235</v>
      </c>
      <c r="E147" s="18">
        <v>-191.24256789013083</v>
      </c>
      <c r="F147" s="18">
        <v>-178.44295627798184</v>
      </c>
      <c r="G147" s="18">
        <v>-68.78830662245988</v>
      </c>
    </row>
    <row r="148" spans="2:7" x14ac:dyDescent="0.25">
      <c r="B148">
        <v>142</v>
      </c>
      <c r="C148">
        <v>1</v>
      </c>
      <c r="D148" s="18">
        <v>17670.345615483235</v>
      </c>
      <c r="E148" s="18">
        <v>-202.01609835133124</v>
      </c>
      <c r="F148" s="18">
        <v>-188.495428623741</v>
      </c>
      <c r="G148" s="18">
        <v>-72.6634528566246</v>
      </c>
    </row>
    <row r="149" spans="2:7" x14ac:dyDescent="0.25">
      <c r="B149">
        <v>143</v>
      </c>
      <c r="C149">
        <v>1</v>
      </c>
      <c r="D149" s="18">
        <v>17670.345615483235</v>
      </c>
      <c r="E149" s="18">
        <v>-230.56846342499705</v>
      </c>
      <c r="F149" s="18">
        <v>-215.1368217439182</v>
      </c>
      <c r="G149" s="18">
        <v>-82.93349296930504</v>
      </c>
    </row>
    <row r="150" spans="2:7" x14ac:dyDescent="0.25">
      <c r="B150">
        <v>144</v>
      </c>
      <c r="C150">
        <v>1</v>
      </c>
      <c r="D150" s="18">
        <v>17670.345615483235</v>
      </c>
      <c r="E150" s="18">
        <v>-238.55687207905086</v>
      </c>
      <c r="F150" s="18">
        <v>-222.59057679391788</v>
      </c>
      <c r="G150" s="18">
        <v>-85.80685484675217</v>
      </c>
    </row>
    <row r="151" spans="2:7" x14ac:dyDescent="0.25">
      <c r="B151">
        <v>145</v>
      </c>
      <c r="C151">
        <v>1</v>
      </c>
      <c r="D151" s="18">
        <v>17670.345615483235</v>
      </c>
      <c r="E151" s="18">
        <v>-311.9477718494521</v>
      </c>
      <c r="F151" s="18">
        <v>-291.06952090878235</v>
      </c>
      <c r="G151" s="18">
        <v>-112.20493019368506</v>
      </c>
    </row>
    <row r="152" spans="2:7" x14ac:dyDescent="0.25">
      <c r="B152">
        <v>146</v>
      </c>
      <c r="C152">
        <v>1</v>
      </c>
      <c r="D152" s="18">
        <v>17670.345615483235</v>
      </c>
      <c r="E152" s="18">
        <v>-322.28932714775436</v>
      </c>
      <c r="F152" s="18">
        <v>-300.71892961679254</v>
      </c>
      <c r="G152" s="18">
        <v>-115.9246986775589</v>
      </c>
    </row>
    <row r="153" spans="2:7" x14ac:dyDescent="0.25">
      <c r="B153">
        <v>147</v>
      </c>
      <c r="C153">
        <v>1</v>
      </c>
      <c r="D153" s="18">
        <v>17670.345615483235</v>
      </c>
      <c r="E153" s="18">
        <v>-406.68853850209393</v>
      </c>
      <c r="F153" s="18">
        <v>-379.46941361076836</v>
      </c>
      <c r="G153" s="18">
        <v>-146.28236900894356</v>
      </c>
    </row>
    <row r="154" spans="2:7" x14ac:dyDescent="0.25">
      <c r="B154">
        <v>148</v>
      </c>
      <c r="C154">
        <v>1</v>
      </c>
      <c r="D154" s="18">
        <v>17670.345615483235</v>
      </c>
      <c r="E154" s="18">
        <v>-408.7623985274591</v>
      </c>
      <c r="F154" s="18">
        <v>-381.40447293315464</v>
      </c>
      <c r="G154" s="18">
        <v>-147.0283186209507</v>
      </c>
    </row>
    <row r="155" spans="2:7" x14ac:dyDescent="0.25">
      <c r="B155">
        <v>149</v>
      </c>
      <c r="C155">
        <v>1</v>
      </c>
      <c r="D155" s="18">
        <v>17670.345615483235</v>
      </c>
      <c r="E155" s="18">
        <v>-443.581726363817</v>
      </c>
      <c r="F155" s="18">
        <v>-413.8933893040197</v>
      </c>
      <c r="G155" s="18">
        <v>-159.55253133164453</v>
      </c>
    </row>
    <row r="156" spans="2:7" x14ac:dyDescent="0.25">
      <c r="B156">
        <v>150</v>
      </c>
      <c r="C156">
        <v>1</v>
      </c>
      <c r="D156" s="18">
        <v>17670.345615483235</v>
      </c>
      <c r="E156" s="18">
        <v>-495.67178869154253</v>
      </c>
      <c r="F156" s="18">
        <v>-462.4971327959169</v>
      </c>
      <c r="G156" s="18">
        <v>-178.28887867791747</v>
      </c>
    </row>
    <row r="157" spans="2:7" x14ac:dyDescent="0.25">
      <c r="B157">
        <v>151</v>
      </c>
      <c r="C157">
        <v>1</v>
      </c>
      <c r="D157" s="18">
        <v>17670.345615483235</v>
      </c>
      <c r="E157" s="18">
        <v>-523.1897553705859</v>
      </c>
      <c r="F157" s="18">
        <v>-488.17335843511955</v>
      </c>
      <c r="G157" s="18">
        <v>-188.18685458583403</v>
      </c>
    </row>
    <row r="158" spans="2:7" x14ac:dyDescent="0.25">
      <c r="B158">
        <v>152</v>
      </c>
      <c r="C158">
        <v>1</v>
      </c>
      <c r="D158" s="18">
        <v>17670.345615483235</v>
      </c>
      <c r="E158" s="18">
        <v>-668.0022329497493</v>
      </c>
      <c r="F158" s="18">
        <v>-623.2937288121293</v>
      </c>
      <c r="G158" s="18">
        <v>-240.27465710998965</v>
      </c>
    </row>
    <row r="159" spans="2:7" x14ac:dyDescent="0.25">
      <c r="B159">
        <v>153</v>
      </c>
      <c r="C159">
        <v>1</v>
      </c>
      <c r="D159" s="18">
        <v>17670.345615483235</v>
      </c>
      <c r="E159" s="18">
        <v>-754.8140059315748</v>
      </c>
      <c r="F159" s="18">
        <v>-704.2953048812685</v>
      </c>
      <c r="G159" s="18">
        <v>-271.50010510619046</v>
      </c>
    </row>
    <row r="160" spans="2:7" x14ac:dyDescent="0.25">
      <c r="B160">
        <v>154</v>
      </c>
      <c r="C160">
        <v>1</v>
      </c>
      <c r="D160" s="18">
        <v>17670.345615483235</v>
      </c>
      <c r="E160" s="18">
        <v>-843.4908443111054</v>
      </c>
      <c r="F160" s="18">
        <v>-787.0371199928446</v>
      </c>
      <c r="G160" s="18">
        <v>-303.39640108285784</v>
      </c>
    </row>
    <row r="161" spans="2:7" x14ac:dyDescent="0.25">
      <c r="B161">
        <v>155</v>
      </c>
      <c r="C161">
        <v>1</v>
      </c>
      <c r="D161" s="18">
        <v>17670.345615483235</v>
      </c>
      <c r="E161" s="18">
        <v>-943.149825437801</v>
      </c>
      <c r="F161" s="18">
        <v>-880.0260575923219</v>
      </c>
      <c r="G161" s="18">
        <v>-339.242879338491</v>
      </c>
    </row>
    <row r="162" spans="2:7" x14ac:dyDescent="0.25">
      <c r="B162">
        <v>156</v>
      </c>
      <c r="C162">
        <v>1</v>
      </c>
      <c r="D162" s="18">
        <v>17670.345615483235</v>
      </c>
      <c r="E162" s="18">
        <v>-1022.1446669030697</v>
      </c>
      <c r="F162" s="18">
        <v>-953.733879011407</v>
      </c>
      <c r="G162" s="18">
        <v>-367.65664430857515</v>
      </c>
    </row>
    <row r="163" spans="2:7" x14ac:dyDescent="0.25">
      <c r="B163">
        <v>157</v>
      </c>
      <c r="C163">
        <v>1</v>
      </c>
      <c r="D163" s="18">
        <v>17670.345615483235</v>
      </c>
      <c r="E163" s="18">
        <v>-1109.5674008868075</v>
      </c>
      <c r="F163" s="18">
        <v>-1035.3055252723168</v>
      </c>
      <c r="G163" s="18">
        <v>-399.1018497217441</v>
      </c>
    </row>
    <row r="164" spans="2:7" x14ac:dyDescent="0.25">
      <c r="B164">
        <v>158</v>
      </c>
      <c r="C164">
        <v>1</v>
      </c>
      <c r="D164" s="18">
        <v>17670.345615483235</v>
      </c>
      <c r="E164" s="18">
        <v>-1206.4136265800691</v>
      </c>
      <c r="F164" s="18">
        <v>-1125.6699614317313</v>
      </c>
      <c r="G164" s="18">
        <v>-433.93660404298544</v>
      </c>
    </row>
    <row r="165" spans="2:7" x14ac:dyDescent="0.25">
      <c r="B165">
        <v>159</v>
      </c>
      <c r="C165">
        <v>1</v>
      </c>
      <c r="D165" s="18">
        <v>17670.345615483235</v>
      </c>
      <c r="E165" s="18">
        <v>-1319.8364055757531</v>
      </c>
      <c r="F165" s="18">
        <v>-1231.5015041502004</v>
      </c>
      <c r="G165" s="18">
        <v>-474.73380199741223</v>
      </c>
    </row>
    <row r="166" spans="2:7" x14ac:dyDescent="0.25">
      <c r="B166">
        <v>160</v>
      </c>
      <c r="C166">
        <v>1</v>
      </c>
      <c r="D166" s="18">
        <v>17670.345615483235</v>
      </c>
      <c r="E166" s="18">
        <v>-1410.903000692412</v>
      </c>
      <c r="F166" s="18">
        <v>-1316.4731327476702</v>
      </c>
      <c r="G166" s="18">
        <v>-507.4896729159985</v>
      </c>
    </row>
    <row r="167" spans="2:7" x14ac:dyDescent="0.25">
      <c r="B167">
        <v>161</v>
      </c>
      <c r="C167">
        <v>1</v>
      </c>
      <c r="D167" s="18">
        <v>17670.345615483235</v>
      </c>
      <c r="E167" s="18">
        <v>-1469.3058231551797</v>
      </c>
      <c r="F167" s="18">
        <v>-1370.9671317051705</v>
      </c>
      <c r="G167" s="18">
        <v>-528.4966657811748</v>
      </c>
    </row>
    <row r="168" spans="2:7" x14ac:dyDescent="0.25">
      <c r="B168">
        <v>162</v>
      </c>
      <c r="C168">
        <v>1</v>
      </c>
      <c r="D168" s="18">
        <v>17670.345615483235</v>
      </c>
      <c r="E168" s="18">
        <v>-1523.5099246769319</v>
      </c>
      <c r="F168" s="18">
        <v>-1421.5434245496067</v>
      </c>
      <c r="G168" s="18">
        <v>-547.9934148408055</v>
      </c>
    </row>
    <row r="169" spans="2:7" x14ac:dyDescent="0.25">
      <c r="B169">
        <v>163</v>
      </c>
      <c r="C169">
        <v>1</v>
      </c>
      <c r="D169" s="18">
        <v>17670.345615483235</v>
      </c>
      <c r="E169" s="18">
        <v>-1582.7329200800395</v>
      </c>
      <c r="F169" s="18">
        <v>-1476.8027033595376</v>
      </c>
      <c r="G169" s="18">
        <v>-569.295416857584</v>
      </c>
    </row>
    <row r="170" spans="2:7" x14ac:dyDescent="0.25">
      <c r="B170">
        <v>164</v>
      </c>
      <c r="C170">
        <v>1</v>
      </c>
      <c r="D170" s="18">
        <v>17670.345615483235</v>
      </c>
      <c r="E170" s="18">
        <v>-1654.0827016152834</v>
      </c>
      <c r="F170" s="18">
        <v>-1543.3771385775983</v>
      </c>
      <c r="G170" s="18">
        <v>-594.959319532806</v>
      </c>
    </row>
    <row r="171" spans="2:7" x14ac:dyDescent="0.25">
      <c r="B171">
        <v>165</v>
      </c>
      <c r="C171">
        <v>1</v>
      </c>
      <c r="D171" s="18">
        <v>17670.345615483235</v>
      </c>
      <c r="E171" s="18">
        <v>-1709.1864760483775</v>
      </c>
      <c r="F171" s="18">
        <v>-1594.7928904177713</v>
      </c>
      <c r="G171" s="18">
        <v>-614.7796731997585</v>
      </c>
    </row>
    <row r="172" spans="2:7" x14ac:dyDescent="0.25">
      <c r="B172">
        <v>166</v>
      </c>
      <c r="C172">
        <v>1</v>
      </c>
      <c r="D172" s="18">
        <v>17670.345615483235</v>
      </c>
      <c r="E172" s="18">
        <v>-1808.7809630531183</v>
      </c>
      <c r="F172" s="18">
        <v>-1687.7216504014011</v>
      </c>
      <c r="G172" s="18">
        <v>-650.6029534744958</v>
      </c>
    </row>
    <row r="173" spans="2:7" x14ac:dyDescent="0.25">
      <c r="B173">
        <v>167</v>
      </c>
      <c r="C173">
        <v>1</v>
      </c>
      <c r="D173" s="18">
        <v>17670.345615483235</v>
      </c>
      <c r="E173" s="18">
        <v>-1843.0601376607526</v>
      </c>
      <c r="F173" s="18">
        <v>-1719.7065652832673</v>
      </c>
      <c r="G173" s="18">
        <v>-662.9328777151569</v>
      </c>
    </row>
    <row r="174" spans="2:7" x14ac:dyDescent="0.25">
      <c r="B174">
        <v>168</v>
      </c>
      <c r="C174">
        <v>1</v>
      </c>
      <c r="D174" s="18">
        <v>17670.345615483235</v>
      </c>
      <c r="E174" s="18">
        <v>-1999.8799422514307</v>
      </c>
      <c r="F174" s="18">
        <v>-1866.0306281884077</v>
      </c>
      <c r="G174" s="18">
        <v>-719.3396124796428</v>
      </c>
    </row>
    <row r="175" spans="2:7" x14ac:dyDescent="0.25">
      <c r="B175">
        <v>169</v>
      </c>
      <c r="C175">
        <v>1</v>
      </c>
      <c r="D175" s="18">
        <v>17670.345615483235</v>
      </c>
      <c r="E175" s="18">
        <v>-2004.6363681359128</v>
      </c>
      <c r="F175" s="18">
        <v>-1870.4687127922064</v>
      </c>
      <c r="G175" s="18">
        <v>-721.0504579560368</v>
      </c>
    </row>
    <row r="176" spans="2:7" x14ac:dyDescent="0.25">
      <c r="B176">
        <v>170</v>
      </c>
      <c r="C176">
        <v>1</v>
      </c>
      <c r="D176" s="18">
        <v>17670.345615483235</v>
      </c>
      <c r="E176" s="18">
        <v>-2004.9113773902118</v>
      </c>
      <c r="F176" s="18">
        <v>-1870.725316041589</v>
      </c>
      <c r="G176" s="18">
        <v>-721.1493764192086</v>
      </c>
    </row>
    <row r="177" spans="2:7" x14ac:dyDescent="0.25">
      <c r="B177">
        <v>171</v>
      </c>
      <c r="C177">
        <v>1</v>
      </c>
      <c r="D177" s="18">
        <v>17670.345615483235</v>
      </c>
      <c r="E177" s="18">
        <v>-2241.7192770092447</v>
      </c>
      <c r="F177" s="18">
        <v>-2091.6839767842976</v>
      </c>
      <c r="G177" s="18">
        <v>-806.327140916562</v>
      </c>
    </row>
    <row r="178" spans="2:7" x14ac:dyDescent="0.25">
      <c r="B178">
        <v>172</v>
      </c>
      <c r="C178">
        <v>1</v>
      </c>
      <c r="D178" s="18">
        <v>17670.345615483235</v>
      </c>
      <c r="E178" s="18">
        <v>-2246.8397380724628</v>
      </c>
      <c r="F178" s="18">
        <v>-2096.4617321747805</v>
      </c>
      <c r="G178" s="18">
        <v>-808.1689267153564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262</v>
      </c>
      <c r="C1" s="1"/>
      <c r="D1" s="1"/>
      <c r="E1" s="1"/>
    </row>
    <row r="3" spans="2:5" x14ac:dyDescent="0.25">
      <c r="B3" t="s">
        <v>263</v>
      </c>
      <c r="C3" s="23">
        <v>76.70920734333292</v>
      </c>
      <c r="D3" t="s">
        <v>72</v>
      </c>
      <c r="E3" s="2" t="s">
        <v>264</v>
      </c>
    </row>
    <row r="4" spans="2:5" x14ac:dyDescent="0.25">
      <c r="B4" t="s">
        <v>265</v>
      </c>
      <c r="C4" s="23">
        <v>1369.9439547293923</v>
      </c>
      <c r="D4" t="s">
        <v>75</v>
      </c>
      <c r="E4" s="2" t="s">
        <v>266</v>
      </c>
    </row>
    <row r="5" spans="2:4" x14ac:dyDescent="0.25">
      <c r="B5" t="s">
        <v>267</v>
      </c>
      <c r="C5" s="23">
        <v>1095.9551637835139</v>
      </c>
      <c r="D5" t="s">
        <v>75</v>
      </c>
    </row>
    <row r="6" spans="2:5" x14ac:dyDescent="0.25">
      <c r="B6" t="s">
        <v>268</v>
      </c>
      <c r="C6" s="23">
        <v>868224.2240480292</v>
      </c>
      <c r="D6" t="s">
        <v>269</v>
      </c>
      <c r="E6" s="2" t="s">
        <v>270</v>
      </c>
    </row>
    <row r="7" spans="2:4" x14ac:dyDescent="0.25">
      <c r="B7" t="s">
        <v>271</v>
      </c>
      <c r="C7" s="23">
        <v>22139.71771322474</v>
      </c>
      <c r="D7" t="s">
        <v>98</v>
      </c>
    </row>
    <row r="8" spans="2:4" x14ac:dyDescent="0.25">
      <c r="B8" t="s">
        <v>272</v>
      </c>
      <c r="C8" s="23">
        <v>3545.706534004569</v>
      </c>
      <c r="D8" t="s">
        <v>98</v>
      </c>
    </row>
    <row r="9" spans="2:4" x14ac:dyDescent="0.25">
      <c r="B9" t="s">
        <v>273</v>
      </c>
      <c r="C9" s="23">
        <v>25685.42424722931</v>
      </c>
      <c r="D9" t="s">
        <v>98</v>
      </c>
    </row>
    <row r="10" spans="2:4" x14ac:dyDescent="0.25">
      <c r="B10" t="s">
        <v>274</v>
      </c>
      <c r="C10" s="23">
        <v>3824.729420248271</v>
      </c>
      <c r="D10" t="s">
        <v>101</v>
      </c>
    </row>
    <row r="11" spans="2:4" x14ac:dyDescent="0.25">
      <c r="B11" t="s">
        <v>275</v>
      </c>
      <c r="C11" s="23">
        <v>1474.402047554747</v>
      </c>
      <c r="D11" t="s">
        <v>101</v>
      </c>
    </row>
    <row r="12" spans="2:5" x14ac:dyDescent="0.25">
      <c r="B12" t="s">
        <v>224</v>
      </c>
      <c r="C12" s="23">
        <v>0</v>
      </c>
      <c r="D12" t="s">
        <v>31</v>
      </c>
      <c r="E12" s="2" t="s">
        <v>276</v>
      </c>
    </row>
    <row r="13" spans="2:5" x14ac:dyDescent="0.25">
      <c r="B13" t="s">
        <v>277</v>
      </c>
      <c r="C13" s="23">
        <v>0.65</v>
      </c>
      <c r="D13" t="s">
        <v>31</v>
      </c>
      <c r="E13" s="2" t="s">
        <v>278</v>
      </c>
    </row>
    <row r="14" spans="2:5" x14ac:dyDescent="0.25">
      <c r="B14" t="s">
        <v>279</v>
      </c>
      <c r="C14" s="23">
        <v>1.4939884170145346</v>
      </c>
      <c r="D14" t="s">
        <v>31</v>
      </c>
      <c r="E14" s="2" t="s">
        <v>280</v>
      </c>
    </row>
    <row r="15" spans="2:5" x14ac:dyDescent="0.25">
      <c r="B15" t="s">
        <v>281</v>
      </c>
      <c r="C15" s="23">
        <v>0.6693492323041694</v>
      </c>
      <c r="D15" t="s">
        <v>31</v>
      </c>
      <c r="E15" s="2" t="s">
        <v>282</v>
      </c>
    </row>
    <row r="16" spans="2:4" x14ac:dyDescent="0.25">
      <c r="B16" t="s">
        <v>283</v>
      </c>
      <c r="C16" t="s">
        <v>20</v>
      </c>
      <c r="D16" t="s">
        <v>11</v>
      </c>
    </row>
    <row r="18" spans="2:5" x14ac:dyDescent="0.25">
      <c r="B18" s="3" t="s">
        <v>284</v>
      </c>
      <c r="C18" s="3"/>
      <c r="D18" s="3"/>
      <c r="E18" s="3"/>
    </row>
    <row r="19" spans="2:4" x14ac:dyDescent="0.25">
      <c r="B19" t="s">
        <v>285</v>
      </c>
      <c r="C19" s="19">
        <f>C13*C9-C15*Pu</f>
      </c>
      <c r="D19" t="s">
        <v>98</v>
      </c>
    </row>
    <row r="20" spans="2:4" x14ac:dyDescent="0.25">
      <c r="B20" t="s">
        <v>286</v>
      </c>
      <c r="C20" s="19">
        <f>C13*C10-C15*Mux</f>
      </c>
      <c r="D20" t="s">
        <v>101</v>
      </c>
    </row>
    <row r="21" spans="2:4" x14ac:dyDescent="0.25">
      <c r="B21" t="s">
        <v>287</v>
      </c>
      <c r="C21" s="19">
        <f>C13*C11-C15*Muy</f>
      </c>
      <c r="D21" t="s">
        <v>101</v>
      </c>
    </row>
    <row r="22" spans="2:5" x14ac:dyDescent="0.25">
      <c r="B22" s="13" t="s">
        <v>288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289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290</v>
      </c>
      <c r="C1" s="1"/>
      <c r="D1" s="1"/>
      <c r="E1" s="1"/>
    </row>
    <row r="2" ht="28" customHeight="1" spans="2:5" x14ac:dyDescent="0.25">
      <c r="B2" s="2" t="s">
        <v>291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292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293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294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295</v>
      </c>
      <c r="C10" s="25" t="s">
        <v>296</v>
      </c>
      <c r="D10" t="s">
        <v>11</v>
      </c>
    </row>
    <row r="11" spans="2:5" x14ac:dyDescent="0.25">
      <c r="B11" t="s">
        <v>297</v>
      </c>
      <c r="C11" s="25" t="s">
        <v>298</v>
      </c>
      <c r="D11" t="s">
        <v>11</v>
      </c>
      <c r="E11" s="2" t="s">
        <v>299</v>
      </c>
    </row>
    <row r="13" spans="2:5" x14ac:dyDescent="0.25">
      <c r="B13" s="3" t="s">
        <v>300</v>
      </c>
      <c r="C13" s="3"/>
      <c r="D13" s="3"/>
      <c r="E13" s="3"/>
    </row>
    <row r="14" spans="2:4" x14ac:dyDescent="0.25">
      <c r="B14" t="s">
        <v>97</v>
      </c>
      <c r="C14" s="17">
        <v>24942.922102452183</v>
      </c>
      <c r="D14" t="s">
        <v>98</v>
      </c>
    </row>
    <row r="15" spans="2:4" x14ac:dyDescent="0.25">
      <c r="B15" t="s">
        <v>100</v>
      </c>
      <c r="C15" s="17">
        <v>3714.165943842699</v>
      </c>
      <c r="D15" t="s">
        <v>101</v>
      </c>
    </row>
    <row r="16" spans="2:4" x14ac:dyDescent="0.25">
      <c r="B16" t="s">
        <v>102</v>
      </c>
      <c r="C16" s="17">
        <v>1431.7807276950741</v>
      </c>
      <c r="D16" t="s">
        <v>101</v>
      </c>
    </row>
    <row r="17" spans="2:5" x14ac:dyDescent="0.25">
      <c r="B17" t="s">
        <v>301</v>
      </c>
      <c r="C17" s="17">
        <v>1.4939884170145346</v>
      </c>
      <c r="D17" t="s">
        <v>31</v>
      </c>
      <c r="E17" s="2" t="s">
        <v>302</v>
      </c>
    </row>
    <row r="18" spans="2:5" x14ac:dyDescent="0.25">
      <c r="B18" t="s">
        <v>253</v>
      </c>
      <c r="C18" s="26" t="s">
        <v>303</v>
      </c>
      <c r="D18" t="s">
        <v>31</v>
      </c>
      <c r="E18" s="2" t="s">
        <v>304</v>
      </c>
    </row>
    <row r="19" spans="2:4" x14ac:dyDescent="0.25">
      <c r="B19" t="s">
        <v>305</v>
      </c>
      <c r="C19" s="26" t="s">
        <v>41</v>
      </c>
      <c r="D19" t="s">
        <v>11</v>
      </c>
    </row>
    <row r="20" spans="2:4" x14ac:dyDescent="0.25">
      <c r="B20" t="s">
        <v>306</v>
      </c>
      <c r="C20" s="26" t="s">
        <v>41</v>
      </c>
      <c r="D20" t="s">
        <v>11</v>
      </c>
    </row>
    <row r="21" spans="2:4" x14ac:dyDescent="0.25">
      <c r="B21" t="s">
        <v>307</v>
      </c>
      <c r="C21" s="26" t="s">
        <v>308</v>
      </c>
      <c r="D21" t="s">
        <v>11</v>
      </c>
    </row>
    <row r="23" spans="2:3" x14ac:dyDescent="0.25">
      <c r="B23" s="13" t="s">
        <v>309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310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2026-08-06T11:43:48Z</dcterms:created>
  <dcterms:modified xsi:type="dcterms:W3CDTF">2026-08-06T11:43:48Z</dcterms:modified>
</cp:coreProperties>
</file>