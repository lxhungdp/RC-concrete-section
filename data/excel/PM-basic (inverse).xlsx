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1. Works\9. Vibe coding\P-M\"/>
    </mc:Choice>
  </mc:AlternateContent>
  <xr:revisionPtr revIDLastSave="0" documentId="13_ncr:1_{10C376A2-8C16-4EF6-B79F-C13A4AB9FB7D}" xr6:coauthVersionLast="47" xr6:coauthVersionMax="47" xr10:uidLastSave="{00000000-0000-0000-0000-000000000000}"/>
  <bookViews>
    <workbookView xWindow="-120" yWindow="-120" windowWidth="38640" windowHeight="21120" activeTab="10" xr2:uid="{00000000-000D-0000-FFFF-FFFF00000000}"/>
  </bookViews>
  <sheets>
    <sheet name="Input" sheetId="3" r:id="rId1"/>
    <sheet name="Mesh &amp; Convergence" sheetId="20" r:id="rId2"/>
    <sheet name="Strain Equation" sheetId="40" r:id="rId3"/>
    <sheet name="Loadcase" sheetId="36" r:id="rId4"/>
    <sheet name="P0" sheetId="25" r:id="rId5"/>
    <sheet name="P_c" sheetId="37" r:id="rId6"/>
    <sheet name="P_fy" sheetId="41" r:id="rId7"/>
    <sheet name="P_es" sheetId="42" r:id="rId8"/>
    <sheet name="P-M chart" sheetId="30" r:id="rId9"/>
    <sheet name="Inverse P-M" sheetId="43" r:id="rId10"/>
    <sheet name="Newton" sheetId="44" r:id="rId11"/>
  </sheets>
  <definedNames>
    <definedName name="As">Input!$K$6</definedName>
    <definedName name="b">Input!$F$5</definedName>
    <definedName name="dia">Input!$K$5</definedName>
    <definedName name="eco">Input!$E$41</definedName>
    <definedName name="ecu">Input!$G$30</definedName>
    <definedName name="Es">Input!$E$49</definedName>
    <definedName name="fck">Input!$G$29</definedName>
    <definedName name="fy">Input!$E$50</definedName>
    <definedName name="h">Input!$F$6</definedName>
    <definedName name="ipos" localSheetId="0">Input!$D$2</definedName>
    <definedName name="n">Input!$E$40</definedName>
    <definedName name="pc">Input!$N$53</definedName>
    <definedName name="ps">Input!$N$52</definedName>
    <definedName name="solver_adj" localSheetId="9" hidden="1">'Inverse P-M'!$D$9:$D$10</definedName>
    <definedName name="solver_adj" localSheetId="10" hidden="1">Newton!$I$4:$I$5</definedName>
    <definedName name="solver_cvg" localSheetId="9" hidden="1">0.0001</definedName>
    <definedName name="solver_cvg" localSheetId="10" hidden="1">0.0001</definedName>
    <definedName name="solver_drv" localSheetId="9" hidden="1">1</definedName>
    <definedName name="solver_drv" localSheetId="10" hidden="1">1</definedName>
    <definedName name="solver_eng" localSheetId="9" hidden="1">1</definedName>
    <definedName name="solver_eng" localSheetId="10" hidden="1">1</definedName>
    <definedName name="solver_est" localSheetId="9" hidden="1">1</definedName>
    <definedName name="solver_est" localSheetId="10" hidden="1">1</definedName>
    <definedName name="solver_itr" localSheetId="9" hidden="1">2147483647</definedName>
    <definedName name="solver_itr" localSheetId="10" hidden="1">2147483647</definedName>
    <definedName name="solver_mip" localSheetId="9" hidden="1">2147483647</definedName>
    <definedName name="solver_mip" localSheetId="10" hidden="1">2147483647</definedName>
    <definedName name="solver_mni" localSheetId="9" hidden="1">30</definedName>
    <definedName name="solver_mni" localSheetId="10" hidden="1">30</definedName>
    <definedName name="solver_mrt" localSheetId="9" hidden="1">0.075</definedName>
    <definedName name="solver_mrt" localSheetId="10" hidden="1">0.075</definedName>
    <definedName name="solver_msl" localSheetId="9" hidden="1">2</definedName>
    <definedName name="solver_msl" localSheetId="10" hidden="1">2</definedName>
    <definedName name="solver_neg" localSheetId="9" hidden="1">1</definedName>
    <definedName name="solver_neg" localSheetId="10" hidden="1">1</definedName>
    <definedName name="solver_nod" localSheetId="9" hidden="1">2147483647</definedName>
    <definedName name="solver_nod" localSheetId="10" hidden="1">2147483647</definedName>
    <definedName name="solver_num" localSheetId="9" hidden="1">0</definedName>
    <definedName name="solver_num" localSheetId="10" hidden="1">0</definedName>
    <definedName name="solver_nwt" localSheetId="9" hidden="1">1</definedName>
    <definedName name="solver_nwt" localSheetId="10" hidden="1">1</definedName>
    <definedName name="solver_opt" localSheetId="9" hidden="1">'Inverse P-M'!$H$18</definedName>
    <definedName name="solver_opt" localSheetId="10" hidden="1">Newton!#REF!</definedName>
    <definedName name="solver_pre" localSheetId="9" hidden="1">0.000001</definedName>
    <definedName name="solver_pre" localSheetId="10" hidden="1">0.000001</definedName>
    <definedName name="solver_rbv" localSheetId="9" hidden="1">1</definedName>
    <definedName name="solver_rbv" localSheetId="10" hidden="1">1</definedName>
    <definedName name="solver_rlx" localSheetId="9" hidden="1">2</definedName>
    <definedName name="solver_rlx" localSheetId="10" hidden="1">2</definedName>
    <definedName name="solver_rsd" localSheetId="9" hidden="1">0</definedName>
    <definedName name="solver_rsd" localSheetId="10" hidden="1">0</definedName>
    <definedName name="solver_scl" localSheetId="9" hidden="1">1</definedName>
    <definedName name="solver_scl" localSheetId="10" hidden="1">1</definedName>
    <definedName name="solver_sho" localSheetId="9" hidden="1">2</definedName>
    <definedName name="solver_sho" localSheetId="10" hidden="1">2</definedName>
    <definedName name="solver_ssz" localSheetId="9" hidden="1">100</definedName>
    <definedName name="solver_ssz" localSheetId="10" hidden="1">100</definedName>
    <definedName name="solver_tim" localSheetId="9" hidden="1">2147483647</definedName>
    <definedName name="solver_tim" localSheetId="10" hidden="1">2147483647</definedName>
    <definedName name="solver_tol" localSheetId="9" hidden="1">0.01</definedName>
    <definedName name="solver_tol" localSheetId="10" hidden="1">0.01</definedName>
    <definedName name="solver_typ" localSheetId="9" hidden="1">2</definedName>
    <definedName name="solver_typ" localSheetId="10" hidden="1">2</definedName>
    <definedName name="solver_val" localSheetId="9" hidden="1">0</definedName>
    <definedName name="solver_val" localSheetId="10" hidden="1">0</definedName>
    <definedName name="solver_ver" localSheetId="9" hidden="1">3</definedName>
    <definedName name="solver_ver" localSheetId="1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44" l="1"/>
  <c r="E37" i="44"/>
  <c r="E36" i="44"/>
  <c r="E35" i="44"/>
  <c r="E33" i="44"/>
  <c r="E32" i="44"/>
  <c r="Q23" i="44"/>
  <c r="DE74" i="44"/>
  <c r="DE73" i="44"/>
  <c r="DE72" i="44"/>
  <c r="DE71" i="44"/>
  <c r="DE70" i="44"/>
  <c r="DE69" i="44"/>
  <c r="DE68" i="44"/>
  <c r="DE67" i="44"/>
  <c r="DM66" i="44"/>
  <c r="DJ66" i="44"/>
  <c r="DE66" i="44"/>
  <c r="DE65" i="44"/>
  <c r="DE64" i="44"/>
  <c r="DE63" i="44"/>
  <c r="CG74" i="44"/>
  <c r="CG73" i="44"/>
  <c r="CG72" i="44"/>
  <c r="CG71" i="44"/>
  <c r="CG70" i="44"/>
  <c r="CG69" i="44"/>
  <c r="CG68" i="44"/>
  <c r="CG67" i="44"/>
  <c r="CO66" i="44"/>
  <c r="CL66" i="44"/>
  <c r="CG66" i="44"/>
  <c r="CG65" i="44"/>
  <c r="CG64" i="44"/>
  <c r="CG63" i="44"/>
  <c r="BI74" i="44"/>
  <c r="BI73" i="44"/>
  <c r="BI72" i="44"/>
  <c r="BI71" i="44"/>
  <c r="BI70" i="44"/>
  <c r="BI69" i="44"/>
  <c r="BI68" i="44"/>
  <c r="BI67" i="44"/>
  <c r="BQ66" i="44"/>
  <c r="BN66" i="44"/>
  <c r="BI66" i="44"/>
  <c r="BI65" i="44"/>
  <c r="BI64" i="44"/>
  <c r="BI63" i="44"/>
  <c r="AK74" i="44"/>
  <c r="AK73" i="44"/>
  <c r="AK72" i="44"/>
  <c r="AK71" i="44"/>
  <c r="AK70" i="44"/>
  <c r="AK69" i="44"/>
  <c r="AK68" i="44"/>
  <c r="AK67" i="44"/>
  <c r="AS66" i="44"/>
  <c r="AP66" i="44"/>
  <c r="AK66" i="44"/>
  <c r="AK65" i="44"/>
  <c r="AK64" i="44"/>
  <c r="AK63" i="44"/>
  <c r="M63" i="44"/>
  <c r="U66" i="44"/>
  <c r="C23" i="44"/>
  <c r="B57" i="44" s="1"/>
  <c r="B23" i="44"/>
  <c r="B56" i="44" s="1"/>
  <c r="M74" i="44"/>
  <c r="M73" i="44"/>
  <c r="M72" i="44"/>
  <c r="M71" i="44"/>
  <c r="M70" i="44"/>
  <c r="M69" i="44"/>
  <c r="M68" i="44"/>
  <c r="M67" i="44"/>
  <c r="R66" i="44"/>
  <c r="M66" i="44"/>
  <c r="M65" i="44"/>
  <c r="M64" i="44"/>
  <c r="M52" i="44"/>
  <c r="M51" i="44"/>
  <c r="CT154" i="44" s="1"/>
  <c r="B33" i="43"/>
  <c r="E27" i="43"/>
  <c r="D12" i="43"/>
  <c r="D11" i="43"/>
  <c r="I51" i="43"/>
  <c r="I50" i="43"/>
  <c r="I49" i="43"/>
  <c r="I48" i="43"/>
  <c r="I47" i="43"/>
  <c r="I46" i="43"/>
  <c r="I45" i="43"/>
  <c r="I44" i="43"/>
  <c r="N43" i="43"/>
  <c r="I43" i="43"/>
  <c r="I42" i="43"/>
  <c r="I41" i="43"/>
  <c r="I40" i="43"/>
  <c r="B34" i="43"/>
  <c r="E34" i="44" l="1"/>
  <c r="AX158" i="44"/>
  <c r="B115" i="44"/>
  <c r="Z93" i="44"/>
  <c r="Z144" i="44"/>
  <c r="AX92" i="44"/>
  <c r="CT84" i="44"/>
  <c r="Z145" i="44"/>
  <c r="AX109" i="44"/>
  <c r="BV124" i="44"/>
  <c r="CT85" i="44"/>
  <c r="AX120" i="44"/>
  <c r="AX123" i="44"/>
  <c r="CT83" i="44"/>
  <c r="CT86" i="44"/>
  <c r="CT87" i="44"/>
  <c r="CT108" i="44"/>
  <c r="CM66" i="44"/>
  <c r="CT126" i="44"/>
  <c r="CP66" i="44"/>
  <c r="CQ66" i="44" s="1"/>
  <c r="CT128" i="44"/>
  <c r="BV67" i="44"/>
  <c r="CT130" i="44"/>
  <c r="N71" i="44"/>
  <c r="T71" i="44" s="1"/>
  <c r="U71" i="44" s="1"/>
  <c r="V71" i="44" s="1"/>
  <c r="W71" i="44" s="1"/>
  <c r="CT131" i="44"/>
  <c r="CT132" i="44"/>
  <c r="CT149" i="44"/>
  <c r="DK66" i="44"/>
  <c r="B63" i="44"/>
  <c r="C63" i="44" s="1"/>
  <c r="G63" i="44" s="1"/>
  <c r="AX135" i="44"/>
  <c r="CT69" i="44"/>
  <c r="CT93" i="44"/>
  <c r="CT133" i="44"/>
  <c r="B138" i="44"/>
  <c r="AX136" i="44"/>
  <c r="CT101" i="44"/>
  <c r="CT134" i="44"/>
  <c r="B123" i="44"/>
  <c r="C123" i="44" s="1"/>
  <c r="AX144" i="44"/>
  <c r="CT70" i="44"/>
  <c r="CT102" i="44"/>
  <c r="CT147" i="44"/>
  <c r="B120" i="44"/>
  <c r="C120" i="44" s="1"/>
  <c r="AX156" i="44"/>
  <c r="CT103" i="44"/>
  <c r="CT148" i="44"/>
  <c r="CT150" i="44"/>
  <c r="Z95" i="44"/>
  <c r="BV153" i="44"/>
  <c r="CT73" i="44"/>
  <c r="CT110" i="44"/>
  <c r="CT151" i="44"/>
  <c r="Z94" i="44"/>
  <c r="CT109" i="44"/>
  <c r="Z97" i="44"/>
  <c r="BV157" i="44"/>
  <c r="CT114" i="44"/>
  <c r="CT156" i="44"/>
  <c r="DN66" i="44"/>
  <c r="DO66" i="44" s="1"/>
  <c r="Z107" i="44"/>
  <c r="CT74" i="44"/>
  <c r="CT115" i="44"/>
  <c r="CT158" i="44"/>
  <c r="BV132" i="44"/>
  <c r="Z123" i="44"/>
  <c r="AX73" i="44"/>
  <c r="CT124" i="44"/>
  <c r="CT160" i="44"/>
  <c r="Z126" i="44"/>
  <c r="CT82" i="44"/>
  <c r="CT125" i="44"/>
  <c r="CT162" i="44"/>
  <c r="BR66" i="44"/>
  <c r="BS66" i="44" s="1"/>
  <c r="B137" i="44"/>
  <c r="C137" i="44" s="1"/>
  <c r="Z124" i="44"/>
  <c r="AX137" i="44"/>
  <c r="CT65" i="44"/>
  <c r="CT92" i="44"/>
  <c r="CT112" i="44"/>
  <c r="CT157" i="44"/>
  <c r="B114" i="44"/>
  <c r="C114" i="44" s="1"/>
  <c r="Z147" i="44"/>
  <c r="AX159" i="44"/>
  <c r="BV89" i="44"/>
  <c r="CT66" i="44"/>
  <c r="CT94" i="44"/>
  <c r="CT116" i="44"/>
  <c r="CT135" i="44"/>
  <c r="BO66" i="44"/>
  <c r="B93" i="44"/>
  <c r="C93" i="44" s="1"/>
  <c r="AX74" i="44"/>
  <c r="BV92" i="44"/>
  <c r="CT76" i="44"/>
  <c r="CT96" i="44"/>
  <c r="CT140" i="44"/>
  <c r="B89" i="44"/>
  <c r="C89" i="44" s="1"/>
  <c r="BV98" i="44"/>
  <c r="CT77" i="44"/>
  <c r="CT98" i="44"/>
  <c r="CT117" i="44"/>
  <c r="CT141" i="44"/>
  <c r="B88" i="44"/>
  <c r="C88" i="44" s="1"/>
  <c r="AX65" i="44"/>
  <c r="AX75" i="44"/>
  <c r="BV101" i="44"/>
  <c r="CT78" i="44"/>
  <c r="CT99" i="44"/>
  <c r="CT118" i="44"/>
  <c r="CT142" i="44"/>
  <c r="B83" i="44"/>
  <c r="C83" i="44" s="1"/>
  <c r="Z82" i="44"/>
  <c r="AX88" i="44"/>
  <c r="BV108" i="44"/>
  <c r="CT119" i="44"/>
  <c r="CT144" i="44"/>
  <c r="Z83" i="44"/>
  <c r="AX66" i="44"/>
  <c r="AX91" i="44"/>
  <c r="BV112" i="44"/>
  <c r="CT80" i="44"/>
  <c r="CT100" i="44"/>
  <c r="CT146" i="44"/>
  <c r="B99" i="44"/>
  <c r="C99" i="44" s="1"/>
  <c r="Z104" i="44"/>
  <c r="AX76" i="44"/>
  <c r="AX155" i="44"/>
  <c r="BV119" i="44"/>
  <c r="CT89" i="44"/>
  <c r="CT105" i="44"/>
  <c r="CT121" i="44"/>
  <c r="CT137" i="44"/>
  <c r="CT153" i="44"/>
  <c r="B90" i="44"/>
  <c r="C90" i="44" s="1"/>
  <c r="Z69" i="44"/>
  <c r="Z108" i="44"/>
  <c r="AX90" i="44"/>
  <c r="AX157" i="44"/>
  <c r="BV126" i="44"/>
  <c r="CT63" i="44"/>
  <c r="CT67" i="44"/>
  <c r="CT71" i="44"/>
  <c r="CT75" i="44"/>
  <c r="CT91" i="44"/>
  <c r="CT107" i="44"/>
  <c r="CT123" i="44"/>
  <c r="CT139" i="44"/>
  <c r="CT155" i="44"/>
  <c r="B153" i="44"/>
  <c r="C153" i="44" s="1"/>
  <c r="B73" i="44"/>
  <c r="C73" i="44" s="1"/>
  <c r="Z128" i="44"/>
  <c r="AX110" i="44"/>
  <c r="BV160" i="44"/>
  <c r="CT64" i="44"/>
  <c r="CT68" i="44"/>
  <c r="CT72" i="44"/>
  <c r="CT79" i="44"/>
  <c r="CT95" i="44"/>
  <c r="CT111" i="44"/>
  <c r="CT127" i="44"/>
  <c r="CT143" i="44"/>
  <c r="CT159" i="44"/>
  <c r="B152" i="44"/>
  <c r="C152" i="44" s="1"/>
  <c r="B66" i="44"/>
  <c r="C66" i="44" s="1"/>
  <c r="Z129" i="44"/>
  <c r="AX111" i="44"/>
  <c r="CT88" i="44"/>
  <c r="CT104" i="44"/>
  <c r="CT120" i="44"/>
  <c r="CT136" i="44"/>
  <c r="CT152" i="44"/>
  <c r="B143" i="44"/>
  <c r="C143" i="44" s="1"/>
  <c r="B65" i="44"/>
  <c r="C65" i="44" s="1"/>
  <c r="Z140" i="44"/>
  <c r="AX112" i="44"/>
  <c r="BV82" i="44"/>
  <c r="CT81" i="44"/>
  <c r="CT97" i="44"/>
  <c r="CT113" i="44"/>
  <c r="CT129" i="44"/>
  <c r="CT145" i="44"/>
  <c r="CT161" i="44"/>
  <c r="B140" i="44"/>
  <c r="C140" i="44" s="1"/>
  <c r="Z81" i="44"/>
  <c r="Z142" i="44"/>
  <c r="AX117" i="44"/>
  <c r="BV66" i="44"/>
  <c r="BV85" i="44"/>
  <c r="CT90" i="44"/>
  <c r="CT106" i="44"/>
  <c r="CT122" i="44"/>
  <c r="CT138" i="44"/>
  <c r="B68" i="44"/>
  <c r="C68" i="44" s="1"/>
  <c r="BV154" i="44"/>
  <c r="BV138" i="44"/>
  <c r="BV122" i="44"/>
  <c r="BV106" i="44"/>
  <c r="BV90" i="44"/>
  <c r="BV161" i="44"/>
  <c r="BV145" i="44"/>
  <c r="BV129" i="44"/>
  <c r="BV113" i="44"/>
  <c r="BV97" i="44"/>
  <c r="BV81" i="44"/>
  <c r="AX148" i="44"/>
  <c r="AX132" i="44"/>
  <c r="AX116" i="44"/>
  <c r="AX100" i="44"/>
  <c r="AX84" i="44"/>
  <c r="Z151" i="44"/>
  <c r="Z135" i="44"/>
  <c r="Z119" i="44"/>
  <c r="Z103" i="44"/>
  <c r="Z87" i="44"/>
  <c r="Z73" i="44"/>
  <c r="Z66" i="44"/>
  <c r="B78" i="44"/>
  <c r="C78" i="44" s="1"/>
  <c r="B104" i="44"/>
  <c r="C104" i="44" s="1"/>
  <c r="B124" i="44"/>
  <c r="C124" i="44" s="1"/>
  <c r="B144" i="44"/>
  <c r="C144" i="44" s="1"/>
  <c r="BV152" i="44"/>
  <c r="BV136" i="44"/>
  <c r="BV120" i="44"/>
  <c r="BV104" i="44"/>
  <c r="BV88" i="44"/>
  <c r="AX147" i="44"/>
  <c r="AX131" i="44"/>
  <c r="AX115" i="44"/>
  <c r="AX99" i="44"/>
  <c r="AX83" i="44"/>
  <c r="AX71" i="44"/>
  <c r="AX64" i="44"/>
  <c r="Z150" i="44"/>
  <c r="Z134" i="44"/>
  <c r="Z118" i="44"/>
  <c r="Z102" i="44"/>
  <c r="Z86" i="44"/>
  <c r="B79" i="44"/>
  <c r="C79" i="44" s="1"/>
  <c r="B105" i="44"/>
  <c r="C105" i="44" s="1"/>
  <c r="B125" i="44"/>
  <c r="C125" i="44" s="1"/>
  <c r="B145" i="44"/>
  <c r="C145" i="44" s="1"/>
  <c r="BV159" i="44"/>
  <c r="BV143" i="44"/>
  <c r="BV127" i="44"/>
  <c r="BV111" i="44"/>
  <c r="BV95" i="44"/>
  <c r="BV79" i="44"/>
  <c r="BV72" i="44"/>
  <c r="BV68" i="44"/>
  <c r="BV64" i="44"/>
  <c r="AX162" i="44"/>
  <c r="AX146" i="44"/>
  <c r="AX130" i="44"/>
  <c r="AX114" i="44"/>
  <c r="AX98" i="44"/>
  <c r="AX82" i="44"/>
  <c r="Z149" i="44"/>
  <c r="Z133" i="44"/>
  <c r="Z117" i="44"/>
  <c r="Z101" i="44"/>
  <c r="Z85" i="44"/>
  <c r="Z72" i="44"/>
  <c r="Z65" i="44"/>
  <c r="B80" i="44"/>
  <c r="C80" i="44" s="1"/>
  <c r="B106" i="44"/>
  <c r="C106" i="44" s="1"/>
  <c r="B126" i="44"/>
  <c r="C126" i="44" s="1"/>
  <c r="B146" i="44"/>
  <c r="C146" i="44" s="1"/>
  <c r="BV150" i="44"/>
  <c r="BV134" i="44"/>
  <c r="BV118" i="44"/>
  <c r="BV102" i="44"/>
  <c r="BV86" i="44"/>
  <c r="AX161" i="44"/>
  <c r="AX145" i="44"/>
  <c r="AX129" i="44"/>
  <c r="AX113" i="44"/>
  <c r="AX97" i="44"/>
  <c r="AX81" i="44"/>
  <c r="AX70" i="44"/>
  <c r="AX63" i="44"/>
  <c r="Z148" i="44"/>
  <c r="Z132" i="44"/>
  <c r="Z116" i="44"/>
  <c r="Z100" i="44"/>
  <c r="Z84" i="44"/>
  <c r="B81" i="44"/>
  <c r="C81" i="44" s="1"/>
  <c r="B107" i="44"/>
  <c r="C107" i="44" s="1"/>
  <c r="B127" i="44"/>
  <c r="C127" i="44" s="1"/>
  <c r="B147" i="44"/>
  <c r="C147" i="44" s="1"/>
  <c r="BV147" i="44"/>
  <c r="BV131" i="44"/>
  <c r="BV115" i="44"/>
  <c r="BV99" i="44"/>
  <c r="BV83" i="44"/>
  <c r="BV73" i="44"/>
  <c r="BV69" i="44"/>
  <c r="BV65" i="44"/>
  <c r="AX150" i="44"/>
  <c r="AX134" i="44"/>
  <c r="AX118" i="44"/>
  <c r="AX102" i="44"/>
  <c r="AX86" i="44"/>
  <c r="Z153" i="44"/>
  <c r="Z137" i="44"/>
  <c r="Z121" i="44"/>
  <c r="Z105" i="44"/>
  <c r="Z89" i="44"/>
  <c r="Z74" i="44"/>
  <c r="B74" i="44"/>
  <c r="B98" i="44"/>
  <c r="C98" i="44" s="1"/>
  <c r="B122" i="44"/>
  <c r="C122" i="44" s="1"/>
  <c r="B142" i="44"/>
  <c r="C142" i="44" s="1"/>
  <c r="B162" i="44"/>
  <c r="C162" i="44" s="1"/>
  <c r="BV137" i="44"/>
  <c r="BV103" i="44"/>
  <c r="BV77" i="44"/>
  <c r="AX154" i="44"/>
  <c r="AX128" i="44"/>
  <c r="AX107" i="44"/>
  <c r="AX85" i="44"/>
  <c r="AX69" i="44"/>
  <c r="Z160" i="44"/>
  <c r="Z139" i="44"/>
  <c r="Z113" i="44"/>
  <c r="Z92" i="44"/>
  <c r="B94" i="44"/>
  <c r="C94" i="44" s="1"/>
  <c r="B128" i="44"/>
  <c r="C128" i="44" s="1"/>
  <c r="B157" i="44"/>
  <c r="C157" i="44" s="1"/>
  <c r="AX103" i="44"/>
  <c r="BV148" i="44"/>
  <c r="BV140" i="44"/>
  <c r="BV114" i="44"/>
  <c r="BV80" i="44"/>
  <c r="AX153" i="44"/>
  <c r="AX127" i="44"/>
  <c r="AX106" i="44"/>
  <c r="AX80" i="44"/>
  <c r="Z159" i="44"/>
  <c r="Z138" i="44"/>
  <c r="Z112" i="44"/>
  <c r="Z91" i="44"/>
  <c r="Z71" i="44"/>
  <c r="Z63" i="44"/>
  <c r="B95" i="44"/>
  <c r="C95" i="44" s="1"/>
  <c r="B129" i="44"/>
  <c r="C129" i="44" s="1"/>
  <c r="B158" i="44"/>
  <c r="C158" i="44" s="1"/>
  <c r="BV70" i="44"/>
  <c r="AX124" i="44"/>
  <c r="Z156" i="44"/>
  <c r="BV151" i="44"/>
  <c r="BV125" i="44"/>
  <c r="BV117" i="44"/>
  <c r="BV91" i="44"/>
  <c r="AX152" i="44"/>
  <c r="AX126" i="44"/>
  <c r="AX105" i="44"/>
  <c r="AX79" i="44"/>
  <c r="AX68" i="44"/>
  <c r="Z158" i="44"/>
  <c r="Z136" i="44"/>
  <c r="Z111" i="44"/>
  <c r="Z90" i="44"/>
  <c r="B96" i="44"/>
  <c r="C96" i="44" s="1"/>
  <c r="B130" i="44"/>
  <c r="C130" i="44" s="1"/>
  <c r="B159" i="44"/>
  <c r="C159" i="44" s="1"/>
  <c r="BV105" i="44"/>
  <c r="AX149" i="44"/>
  <c r="AX67" i="44"/>
  <c r="Z109" i="44"/>
  <c r="BV162" i="44"/>
  <c r="BV128" i="44"/>
  <c r="BV94" i="44"/>
  <c r="AX151" i="44"/>
  <c r="AX125" i="44"/>
  <c r="AX104" i="44"/>
  <c r="AX78" i="44"/>
  <c r="Z157" i="44"/>
  <c r="Z131" i="44"/>
  <c r="Z110" i="44"/>
  <c r="Z88" i="44"/>
  <c r="Z70" i="44"/>
  <c r="B64" i="44"/>
  <c r="C64" i="44" s="1"/>
  <c r="B97" i="44"/>
  <c r="C97" i="44" s="1"/>
  <c r="B131" i="44"/>
  <c r="C131" i="44" s="1"/>
  <c r="B160" i="44"/>
  <c r="C160" i="44" s="1"/>
  <c r="BV139" i="44"/>
  <c r="BV71" i="44"/>
  <c r="BV63" i="44"/>
  <c r="AX77" i="44"/>
  <c r="Z130" i="44"/>
  <c r="BV156" i="44"/>
  <c r="BV130" i="44"/>
  <c r="BV96" i="44"/>
  <c r="AX142" i="44"/>
  <c r="AX121" i="44"/>
  <c r="AX95" i="44"/>
  <c r="Z152" i="44"/>
  <c r="Z127" i="44"/>
  <c r="Z106" i="44"/>
  <c r="Z80" i="44"/>
  <c r="Z68" i="44"/>
  <c r="B72" i="44"/>
  <c r="C72" i="44" s="1"/>
  <c r="B110" i="44"/>
  <c r="C110" i="44" s="1"/>
  <c r="B139" i="44"/>
  <c r="C139" i="44" s="1"/>
  <c r="D139" i="44" s="1"/>
  <c r="BV141" i="44"/>
  <c r="BV133" i="44"/>
  <c r="BV107" i="44"/>
  <c r="BV144" i="44"/>
  <c r="BV110" i="44"/>
  <c r="BV84" i="44"/>
  <c r="BV76" i="44"/>
  <c r="AX140" i="44"/>
  <c r="AX119" i="44"/>
  <c r="AX93" i="44"/>
  <c r="Z146" i="44"/>
  <c r="Z125" i="44"/>
  <c r="Z99" i="44"/>
  <c r="Z78" i="44"/>
  <c r="Z67" i="44"/>
  <c r="B77" i="44"/>
  <c r="C77" i="44" s="1"/>
  <c r="B112" i="44"/>
  <c r="C112" i="44" s="1"/>
  <c r="B141" i="44"/>
  <c r="C141" i="44" s="1"/>
  <c r="BV155" i="44"/>
  <c r="BV121" i="44"/>
  <c r="BV87" i="44"/>
  <c r="B136" i="44"/>
  <c r="C136" i="44" s="1"/>
  <c r="B82" i="44"/>
  <c r="C82" i="44" s="1"/>
  <c r="Z96" i="44"/>
  <c r="Z141" i="44"/>
  <c r="AX87" i="44"/>
  <c r="AX122" i="44"/>
  <c r="AX160" i="44"/>
  <c r="BV93" i="44"/>
  <c r="BV100" i="44"/>
  <c r="BV158" i="44"/>
  <c r="N64" i="44"/>
  <c r="T64" i="44" s="1"/>
  <c r="U64" i="44" s="1"/>
  <c r="V64" i="44" s="1"/>
  <c r="W64" i="44" s="1"/>
  <c r="N70" i="44"/>
  <c r="T70" i="44" s="1"/>
  <c r="U70" i="44" s="1"/>
  <c r="V70" i="44" s="1"/>
  <c r="W70" i="44" s="1"/>
  <c r="N73" i="44"/>
  <c r="O73" i="44" s="1"/>
  <c r="B121" i="44"/>
  <c r="C121" i="44" s="1"/>
  <c r="B67" i="44"/>
  <c r="C67" i="44" s="1"/>
  <c r="Z98" i="44"/>
  <c r="Z143" i="44"/>
  <c r="AX89" i="44"/>
  <c r="AX133" i="44"/>
  <c r="BV75" i="44"/>
  <c r="BV146" i="44"/>
  <c r="B161" i="44"/>
  <c r="C161" i="44" s="1"/>
  <c r="B113" i="44"/>
  <c r="C113" i="44" s="1"/>
  <c r="Z75" i="44"/>
  <c r="Z114" i="44"/>
  <c r="Z154" i="44"/>
  <c r="AX94" i="44"/>
  <c r="AX138" i="44"/>
  <c r="B156" i="44"/>
  <c r="C156" i="44" s="1"/>
  <c r="B111" i="44"/>
  <c r="C111" i="44" s="1"/>
  <c r="Z64" i="44"/>
  <c r="Z76" i="44"/>
  <c r="Z115" i="44"/>
  <c r="Z155" i="44"/>
  <c r="AX96" i="44"/>
  <c r="AX139" i="44"/>
  <c r="BV135" i="44"/>
  <c r="N69" i="44"/>
  <c r="T69" i="44" s="1"/>
  <c r="U69" i="44" s="1"/>
  <c r="V69" i="44" s="1"/>
  <c r="W69" i="44" s="1"/>
  <c r="B155" i="44"/>
  <c r="C155" i="44" s="1"/>
  <c r="B109" i="44"/>
  <c r="C109" i="44" s="1"/>
  <c r="Z77" i="44"/>
  <c r="Z120" i="44"/>
  <c r="Z161" i="44"/>
  <c r="AX72" i="44"/>
  <c r="AX101" i="44"/>
  <c r="AX141" i="44"/>
  <c r="BV109" i="44"/>
  <c r="BV142" i="44"/>
  <c r="BV149" i="44"/>
  <c r="B154" i="44"/>
  <c r="C154" i="44" s="1"/>
  <c r="B108" i="44"/>
  <c r="C108" i="44" s="1"/>
  <c r="Z79" i="44"/>
  <c r="Z122" i="44"/>
  <c r="Z162" i="44"/>
  <c r="AX108" i="44"/>
  <c r="AX143" i="44"/>
  <c r="BV74" i="44"/>
  <c r="BV78" i="44"/>
  <c r="BV116" i="44"/>
  <c r="BV123" i="44"/>
  <c r="N68" i="44"/>
  <c r="T68" i="44" s="1"/>
  <c r="U68" i="44" s="1"/>
  <c r="V68" i="44" s="1"/>
  <c r="W68" i="44" s="1"/>
  <c r="N72" i="44"/>
  <c r="T72" i="44" s="1"/>
  <c r="U72" i="44" s="1"/>
  <c r="V72" i="44" s="1"/>
  <c r="W72" i="44" s="1"/>
  <c r="N74" i="44"/>
  <c r="T74" i="44" s="1"/>
  <c r="U74" i="44" s="1"/>
  <c r="V74" i="44" s="1"/>
  <c r="W74" i="44" s="1"/>
  <c r="AQ66" i="44"/>
  <c r="AT66" i="44"/>
  <c r="AU66" i="44" s="1"/>
  <c r="B92" i="44"/>
  <c r="C92" i="44" s="1"/>
  <c r="B76" i="44"/>
  <c r="C76" i="44" s="1"/>
  <c r="B91" i="44"/>
  <c r="C91" i="44" s="1"/>
  <c r="B75" i="44"/>
  <c r="C75" i="44" s="1"/>
  <c r="C138" i="44"/>
  <c r="C74" i="44"/>
  <c r="N67" i="44"/>
  <c r="T67" i="44" s="1"/>
  <c r="U67" i="44" s="1"/>
  <c r="V67" i="44" s="1"/>
  <c r="W67" i="44" s="1"/>
  <c r="B151" i="44"/>
  <c r="C151" i="44" s="1"/>
  <c r="B135" i="44"/>
  <c r="C135" i="44" s="1"/>
  <c r="B119" i="44"/>
  <c r="C119" i="44" s="1"/>
  <c r="B103" i="44"/>
  <c r="C103" i="44" s="1"/>
  <c r="B87" i="44"/>
  <c r="C87" i="44" s="1"/>
  <c r="B71" i="44"/>
  <c r="C71" i="44" s="1"/>
  <c r="C115" i="44"/>
  <c r="N66" i="44"/>
  <c r="T66" i="44" s="1"/>
  <c r="B150" i="44"/>
  <c r="C150" i="44" s="1"/>
  <c r="B134" i="44"/>
  <c r="C134" i="44" s="1"/>
  <c r="B118" i="44"/>
  <c r="C118" i="44" s="1"/>
  <c r="B102" i="44"/>
  <c r="C102" i="44" s="1"/>
  <c r="B86" i="44"/>
  <c r="C86" i="44" s="1"/>
  <c r="B70" i="44"/>
  <c r="C70" i="44" s="1"/>
  <c r="N65" i="44"/>
  <c r="T65" i="44" s="1"/>
  <c r="U65" i="44" s="1"/>
  <c r="V65" i="44" s="1"/>
  <c r="W65" i="44" s="1"/>
  <c r="B149" i="44"/>
  <c r="C149" i="44" s="1"/>
  <c r="B133" i="44"/>
  <c r="C133" i="44" s="1"/>
  <c r="B117" i="44"/>
  <c r="C117" i="44" s="1"/>
  <c r="B101" i="44"/>
  <c r="C101" i="44" s="1"/>
  <c r="B85" i="44"/>
  <c r="C85" i="44" s="1"/>
  <c r="B69" i="44"/>
  <c r="C69" i="44" s="1"/>
  <c r="N63" i="44"/>
  <c r="B148" i="44"/>
  <c r="C148" i="44" s="1"/>
  <c r="B132" i="44"/>
  <c r="C132" i="44" s="1"/>
  <c r="B116" i="44"/>
  <c r="C116" i="44" s="1"/>
  <c r="B100" i="44"/>
  <c r="C100" i="44" s="1"/>
  <c r="B84" i="44"/>
  <c r="C84" i="44" s="1"/>
  <c r="V66" i="44"/>
  <c r="W66" i="44" s="1"/>
  <c r="M53" i="44"/>
  <c r="S66" i="44"/>
  <c r="E26" i="43"/>
  <c r="E24" i="43"/>
  <c r="E22" i="43"/>
  <c r="E23" i="43"/>
  <c r="E21" i="43"/>
  <c r="E25" i="43"/>
  <c r="J41" i="43"/>
  <c r="J50" i="43"/>
  <c r="J49" i="43"/>
  <c r="J48" i="43"/>
  <c r="J43" i="43"/>
  <c r="J51" i="43"/>
  <c r="J44" i="43"/>
  <c r="J42" i="43"/>
  <c r="J40" i="43"/>
  <c r="K40" i="43" s="1"/>
  <c r="J47" i="43"/>
  <c r="J46" i="43"/>
  <c r="J45" i="43"/>
  <c r="O43" i="43"/>
  <c r="B40" i="43"/>
  <c r="C40" i="43" s="1"/>
  <c r="E139" i="44" l="1"/>
  <c r="O64" i="44"/>
  <c r="H63" i="44"/>
  <c r="I63" i="44" s="1"/>
  <c r="J63" i="44" s="1"/>
  <c r="O63" i="44"/>
  <c r="T63" i="44"/>
  <c r="U63" i="44" s="1"/>
  <c r="O68" i="44"/>
  <c r="P68" i="44" s="1"/>
  <c r="Q68" i="44" s="1"/>
  <c r="O66" i="44"/>
  <c r="O71" i="44"/>
  <c r="O67" i="44"/>
  <c r="P67" i="44" s="1"/>
  <c r="Q67" i="44" s="1"/>
  <c r="O69" i="44"/>
  <c r="P69" i="44" s="1"/>
  <c r="Q69" i="44" s="1"/>
  <c r="O65" i="44"/>
  <c r="O74" i="44"/>
  <c r="P74" i="44" s="1"/>
  <c r="Q74" i="44" s="1"/>
  <c r="G99" i="44"/>
  <c r="H99" i="44" s="1"/>
  <c r="I99" i="44" s="1"/>
  <c r="J99" i="44" s="1"/>
  <c r="G67" i="44"/>
  <c r="H67" i="44" s="1"/>
  <c r="I67" i="44" s="1"/>
  <c r="J67" i="44" s="1"/>
  <c r="G81" i="44"/>
  <c r="H81" i="44" s="1"/>
  <c r="I81" i="44" s="1"/>
  <c r="J81" i="44" s="1"/>
  <c r="G97" i="44"/>
  <c r="H97" i="44" s="1"/>
  <c r="I97" i="44" s="1"/>
  <c r="J97" i="44" s="1"/>
  <c r="G113" i="44"/>
  <c r="H113" i="44" s="1"/>
  <c r="I113" i="44" s="1"/>
  <c r="J113" i="44" s="1"/>
  <c r="G108" i="44"/>
  <c r="H108" i="44" s="1"/>
  <c r="I108" i="44" s="1"/>
  <c r="J108" i="44" s="1"/>
  <c r="G127" i="44"/>
  <c r="H127" i="44" s="1"/>
  <c r="I127" i="44" s="1"/>
  <c r="J127" i="44" s="1"/>
  <c r="O70" i="44"/>
  <c r="P70" i="44" s="1"/>
  <c r="Q70" i="44" s="1"/>
  <c r="G91" i="44"/>
  <c r="H91" i="44" s="1"/>
  <c r="I91" i="44" s="1"/>
  <c r="J91" i="44" s="1"/>
  <c r="G78" i="44"/>
  <c r="H78" i="44" s="1"/>
  <c r="I78" i="44" s="1"/>
  <c r="J78" i="44" s="1"/>
  <c r="G109" i="44"/>
  <c r="H109" i="44" s="1"/>
  <c r="I109" i="44" s="1"/>
  <c r="J109" i="44" s="1"/>
  <c r="G110" i="44"/>
  <c r="H110" i="44" s="1"/>
  <c r="I110" i="44" s="1"/>
  <c r="J110" i="44" s="1"/>
  <c r="G148" i="44"/>
  <c r="H148" i="44" s="1"/>
  <c r="I148" i="44" s="1"/>
  <c r="J148" i="44" s="1"/>
  <c r="G105" i="44"/>
  <c r="H105" i="44" s="1"/>
  <c r="I105" i="44" s="1"/>
  <c r="J105" i="44" s="1"/>
  <c r="G104" i="44"/>
  <c r="H104" i="44" s="1"/>
  <c r="I104" i="44" s="1"/>
  <c r="J104" i="44" s="1"/>
  <c r="G95" i="44"/>
  <c r="H95" i="44" s="1"/>
  <c r="I95" i="44" s="1"/>
  <c r="J95" i="44" s="1"/>
  <c r="G121" i="44"/>
  <c r="H121" i="44" s="1"/>
  <c r="I121" i="44" s="1"/>
  <c r="J121" i="44" s="1"/>
  <c r="O72" i="44"/>
  <c r="G75" i="44"/>
  <c r="H75" i="44" s="1"/>
  <c r="I75" i="44" s="1"/>
  <c r="J75" i="44" s="1"/>
  <c r="G90" i="44"/>
  <c r="H90" i="44" s="1"/>
  <c r="I90" i="44" s="1"/>
  <c r="J90" i="44" s="1"/>
  <c r="G146" i="44"/>
  <c r="H146" i="44" s="1"/>
  <c r="I146" i="44" s="1"/>
  <c r="J146" i="44" s="1"/>
  <c r="G139" i="44"/>
  <c r="H139" i="44" s="1"/>
  <c r="I139" i="44" s="1"/>
  <c r="J139" i="44" s="1"/>
  <c r="G132" i="44"/>
  <c r="H132" i="44" s="1"/>
  <c r="I132" i="44" s="1"/>
  <c r="J132" i="44" s="1"/>
  <c r="G100" i="44"/>
  <c r="H100" i="44" s="1"/>
  <c r="I100" i="44" s="1"/>
  <c r="J100" i="44" s="1"/>
  <c r="G77" i="44"/>
  <c r="H77" i="44" s="1"/>
  <c r="I77" i="44" s="1"/>
  <c r="J77" i="44" s="1"/>
  <c r="G65" i="44"/>
  <c r="H65" i="44" s="1"/>
  <c r="I65" i="44" s="1"/>
  <c r="J65" i="44" s="1"/>
  <c r="G142" i="44"/>
  <c r="H142" i="44" s="1"/>
  <c r="I142" i="44" s="1"/>
  <c r="J142" i="44" s="1"/>
  <c r="G137" i="44"/>
  <c r="H137" i="44" s="1"/>
  <c r="I137" i="44" s="1"/>
  <c r="J137" i="44" s="1"/>
  <c r="G149" i="44"/>
  <c r="T73" i="44"/>
  <c r="U73" i="44" s="1"/>
  <c r="V73" i="44" s="1"/>
  <c r="W73" i="44" s="1"/>
  <c r="G72" i="44"/>
  <c r="H72" i="44" s="1"/>
  <c r="I72" i="44" s="1"/>
  <c r="J72" i="44" s="1"/>
  <c r="G87" i="44"/>
  <c r="H87" i="44" s="1"/>
  <c r="I87" i="44" s="1"/>
  <c r="J87" i="44" s="1"/>
  <c r="G86" i="44"/>
  <c r="H86" i="44" s="1"/>
  <c r="I86" i="44" s="1"/>
  <c r="J86" i="44" s="1"/>
  <c r="G76" i="44"/>
  <c r="H76" i="44" s="1"/>
  <c r="I76" i="44" s="1"/>
  <c r="J76" i="44" s="1"/>
  <c r="G114" i="44"/>
  <c r="H114" i="44" s="1"/>
  <c r="I114" i="44" s="1"/>
  <c r="J114" i="44" s="1"/>
  <c r="G101" i="44"/>
  <c r="H101" i="44" s="1"/>
  <c r="I101" i="44" s="1"/>
  <c r="J101" i="44" s="1"/>
  <c r="G106" i="44"/>
  <c r="H106" i="44" s="1"/>
  <c r="I106" i="44" s="1"/>
  <c r="J106" i="44" s="1"/>
  <c r="G83" i="44"/>
  <c r="H83" i="44" s="1"/>
  <c r="I83" i="44" s="1"/>
  <c r="J83" i="44" s="1"/>
  <c r="G112" i="44"/>
  <c r="H112" i="44" s="1"/>
  <c r="I112" i="44" s="1"/>
  <c r="J112" i="44" s="1"/>
  <c r="G124" i="44"/>
  <c r="H124" i="44" s="1"/>
  <c r="I124" i="44" s="1"/>
  <c r="J124" i="44" s="1"/>
  <c r="G98" i="44"/>
  <c r="H98" i="44" s="1"/>
  <c r="I98" i="44" s="1"/>
  <c r="J98" i="44" s="1"/>
  <c r="G102" i="44"/>
  <c r="H102" i="44" s="1"/>
  <c r="I102" i="44" s="1"/>
  <c r="J102" i="44" s="1"/>
  <c r="G118" i="44"/>
  <c r="G93" i="44"/>
  <c r="H93" i="44" s="1"/>
  <c r="I93" i="44" s="1"/>
  <c r="J93" i="44" s="1"/>
  <c r="G147" i="44"/>
  <c r="H147" i="44" s="1"/>
  <c r="I147" i="44" s="1"/>
  <c r="J147" i="44" s="1"/>
  <c r="G92" i="44"/>
  <c r="H92" i="44" s="1"/>
  <c r="I92" i="44" s="1"/>
  <c r="J92" i="44" s="1"/>
  <c r="G144" i="44"/>
  <c r="H144" i="44" s="1"/>
  <c r="I144" i="44" s="1"/>
  <c r="J144" i="44" s="1"/>
  <c r="G94" i="44"/>
  <c r="H94" i="44" s="1"/>
  <c r="I94" i="44" s="1"/>
  <c r="J94" i="44" s="1"/>
  <c r="G128" i="44"/>
  <c r="H128" i="44" s="1"/>
  <c r="I128" i="44" s="1"/>
  <c r="J128" i="44" s="1"/>
  <c r="G69" i="44"/>
  <c r="H69" i="44" s="1"/>
  <c r="I69" i="44" s="1"/>
  <c r="J69" i="44" s="1"/>
  <c r="G103" i="44"/>
  <c r="H103" i="44" s="1"/>
  <c r="I103" i="44" s="1"/>
  <c r="J103" i="44" s="1"/>
  <c r="G123" i="44"/>
  <c r="H123" i="44" s="1"/>
  <c r="I123" i="44" s="1"/>
  <c r="J123" i="44" s="1"/>
  <c r="G141" i="44"/>
  <c r="H141" i="44" s="1"/>
  <c r="I141" i="44" s="1"/>
  <c r="J141" i="44" s="1"/>
  <c r="G71" i="44"/>
  <c r="H71" i="44" s="1"/>
  <c r="I71" i="44" s="1"/>
  <c r="J71" i="44" s="1"/>
  <c r="G68" i="44"/>
  <c r="H68" i="44" s="1"/>
  <c r="I68" i="44" s="1"/>
  <c r="J68" i="44" s="1"/>
  <c r="G70" i="44"/>
  <c r="H70" i="44" s="1"/>
  <c r="I70" i="44" s="1"/>
  <c r="J70" i="44" s="1"/>
  <c r="G116" i="44"/>
  <c r="H116" i="44" s="1"/>
  <c r="I116" i="44" s="1"/>
  <c r="J116" i="44" s="1"/>
  <c r="G111" i="44"/>
  <c r="H111" i="44" s="1"/>
  <c r="I111" i="44" s="1"/>
  <c r="J111" i="44" s="1"/>
  <c r="G96" i="44"/>
  <c r="H96" i="44" s="1"/>
  <c r="I96" i="44" s="1"/>
  <c r="J96" i="44" s="1"/>
  <c r="G80" i="44"/>
  <c r="H80" i="44" s="1"/>
  <c r="I80" i="44" s="1"/>
  <c r="J80" i="44" s="1"/>
  <c r="G82" i="44"/>
  <c r="H82" i="44" s="1"/>
  <c r="I82" i="44" s="1"/>
  <c r="J82" i="44" s="1"/>
  <c r="G74" i="44"/>
  <c r="H74" i="44" s="1"/>
  <c r="I74" i="44" s="1"/>
  <c r="J74" i="44" s="1"/>
  <c r="G85" i="44"/>
  <c r="H85" i="44" s="1"/>
  <c r="I85" i="44" s="1"/>
  <c r="J85" i="44" s="1"/>
  <c r="D157" i="44"/>
  <c r="G79" i="44"/>
  <c r="H79" i="44" s="1"/>
  <c r="I79" i="44" s="1"/>
  <c r="J79" i="44" s="1"/>
  <c r="G84" i="44"/>
  <c r="H84" i="44" s="1"/>
  <c r="I84" i="44" s="1"/>
  <c r="J84" i="44" s="1"/>
  <c r="G107" i="44"/>
  <c r="H107" i="44" s="1"/>
  <c r="I107" i="44" s="1"/>
  <c r="J107" i="44" s="1"/>
  <c r="G117" i="44"/>
  <c r="H117" i="44" s="1"/>
  <c r="I117" i="44" s="1"/>
  <c r="J117" i="44" s="1"/>
  <c r="G73" i="44"/>
  <c r="H73" i="44" s="1"/>
  <c r="I73" i="44" s="1"/>
  <c r="J73" i="44" s="1"/>
  <c r="G143" i="44"/>
  <c r="H143" i="44" s="1"/>
  <c r="I143" i="44" s="1"/>
  <c r="J143" i="44" s="1"/>
  <c r="G154" i="44"/>
  <c r="H154" i="44" s="1"/>
  <c r="I154" i="44" s="1"/>
  <c r="J154" i="44" s="1"/>
  <c r="G89" i="44"/>
  <c r="H89" i="44" s="1"/>
  <c r="I89" i="44" s="1"/>
  <c r="J89" i="44" s="1"/>
  <c r="G151" i="44"/>
  <c r="H151" i="44" s="1"/>
  <c r="I151" i="44" s="1"/>
  <c r="J151" i="44" s="1"/>
  <c r="G120" i="44"/>
  <c r="H120" i="44" s="1"/>
  <c r="I120" i="44" s="1"/>
  <c r="J120" i="44" s="1"/>
  <c r="G119" i="44"/>
  <c r="H119" i="44" s="1"/>
  <c r="I119" i="44" s="1"/>
  <c r="J119" i="44" s="1"/>
  <c r="G64" i="44"/>
  <c r="H64" i="44" s="1"/>
  <c r="I64" i="44" s="1"/>
  <c r="J64" i="44" s="1"/>
  <c r="G88" i="44"/>
  <c r="H88" i="44" s="1"/>
  <c r="I88" i="44" s="1"/>
  <c r="J88" i="44" s="1"/>
  <c r="G122" i="44"/>
  <c r="H122" i="44" s="1"/>
  <c r="I122" i="44" s="1"/>
  <c r="J122" i="44" s="1"/>
  <c r="G115" i="44"/>
  <c r="H115" i="44" s="1"/>
  <c r="I115" i="44" s="1"/>
  <c r="J115" i="44" s="1"/>
  <c r="G66" i="44"/>
  <c r="H66" i="44" s="1"/>
  <c r="I66" i="44" s="1"/>
  <c r="J66" i="44" s="1"/>
  <c r="H149" i="44"/>
  <c r="I149" i="44" s="1"/>
  <c r="J149" i="44" s="1"/>
  <c r="H118" i="44"/>
  <c r="I118" i="44" s="1"/>
  <c r="J118" i="44" s="1"/>
  <c r="D144" i="44"/>
  <c r="D141" i="44"/>
  <c r="D148" i="44"/>
  <c r="D128" i="44"/>
  <c r="D146" i="44"/>
  <c r="D154" i="44"/>
  <c r="D147" i="44"/>
  <c r="F139" i="44"/>
  <c r="D137" i="44"/>
  <c r="D149" i="44"/>
  <c r="D130" i="44"/>
  <c r="G130" i="44"/>
  <c r="H130" i="44" s="1"/>
  <c r="I130" i="44" s="1"/>
  <c r="J130" i="44" s="1"/>
  <c r="D159" i="44"/>
  <c r="G159" i="44"/>
  <c r="H159" i="44" s="1"/>
  <c r="I159" i="44" s="1"/>
  <c r="J159" i="44" s="1"/>
  <c r="D136" i="44"/>
  <c r="G136" i="44"/>
  <c r="H136" i="44" s="1"/>
  <c r="I136" i="44" s="1"/>
  <c r="J136" i="44" s="1"/>
  <c r="D151" i="44"/>
  <c r="D125" i="44"/>
  <c r="G125" i="44"/>
  <c r="H125" i="44" s="1"/>
  <c r="I125" i="44" s="1"/>
  <c r="J125" i="44" s="1"/>
  <c r="D132" i="44"/>
  <c r="D133" i="44"/>
  <c r="G133" i="44"/>
  <c r="H133" i="44" s="1"/>
  <c r="I133" i="44" s="1"/>
  <c r="J133" i="44" s="1"/>
  <c r="D160" i="44"/>
  <c r="G160" i="44"/>
  <c r="H160" i="44" s="1"/>
  <c r="I160" i="44" s="1"/>
  <c r="J160" i="44" s="1"/>
  <c r="D131" i="44"/>
  <c r="G131" i="44"/>
  <c r="H131" i="44" s="1"/>
  <c r="I131" i="44" s="1"/>
  <c r="J131" i="44" s="1"/>
  <c r="D138" i="44"/>
  <c r="G138" i="44"/>
  <c r="H138" i="44" s="1"/>
  <c r="I138" i="44" s="1"/>
  <c r="J138" i="44" s="1"/>
  <c r="D153" i="44"/>
  <c r="G153" i="44"/>
  <c r="H153" i="44" s="1"/>
  <c r="I153" i="44" s="1"/>
  <c r="J153" i="44" s="1"/>
  <c r="D135" i="44"/>
  <c r="G135" i="44"/>
  <c r="H135" i="44" s="1"/>
  <c r="I135" i="44" s="1"/>
  <c r="J135" i="44" s="1"/>
  <c r="D127" i="44"/>
  <c r="D156" i="44"/>
  <c r="G156" i="44"/>
  <c r="H156" i="44" s="1"/>
  <c r="I156" i="44" s="1"/>
  <c r="J156" i="44" s="1"/>
  <c r="D143" i="44"/>
  <c r="D134" i="44"/>
  <c r="G134" i="44"/>
  <c r="H134" i="44" s="1"/>
  <c r="I134" i="44" s="1"/>
  <c r="J134" i="44" s="1"/>
  <c r="D142" i="44"/>
  <c r="P73" i="44"/>
  <c r="Q73" i="44" s="1"/>
  <c r="B90" i="43"/>
  <c r="C90" i="43" s="1"/>
  <c r="B107" i="43"/>
  <c r="C107" i="43" s="1"/>
  <c r="B113" i="43"/>
  <c r="C113" i="43" s="1"/>
  <c r="B98" i="43"/>
  <c r="C98" i="43" s="1"/>
  <c r="B135" i="43"/>
  <c r="C135" i="43" s="1"/>
  <c r="B119" i="43"/>
  <c r="C119" i="43" s="1"/>
  <c r="B131" i="43"/>
  <c r="C131" i="43" s="1"/>
  <c r="B100" i="43"/>
  <c r="C100" i="43" s="1"/>
  <c r="B128" i="43"/>
  <c r="C128" i="43" s="1"/>
  <c r="B101" i="43"/>
  <c r="C101" i="43" s="1"/>
  <c r="B96" i="43"/>
  <c r="C96" i="43" s="1"/>
  <c r="B91" i="43"/>
  <c r="C91" i="43" s="1"/>
  <c r="B97" i="43"/>
  <c r="C97" i="43" s="1"/>
  <c r="B124" i="43"/>
  <c r="C124" i="43" s="1"/>
  <c r="B130" i="43"/>
  <c r="C130" i="43" s="1"/>
  <c r="B134" i="43"/>
  <c r="C134" i="43" s="1"/>
  <c r="B92" i="43"/>
  <c r="C92" i="43" s="1"/>
  <c r="B102" i="43"/>
  <c r="C102" i="43" s="1"/>
  <c r="B125" i="43"/>
  <c r="C125" i="43" s="1"/>
  <c r="B136" i="43"/>
  <c r="C136" i="43" s="1"/>
  <c r="B138" i="43"/>
  <c r="C138" i="43" s="1"/>
  <c r="B106" i="43"/>
  <c r="C106" i="43" s="1"/>
  <c r="B129" i="43"/>
  <c r="C129" i="43" s="1"/>
  <c r="B108" i="43"/>
  <c r="C108" i="43" s="1"/>
  <c r="B114" i="43"/>
  <c r="C114" i="43" s="1"/>
  <c r="B118" i="43"/>
  <c r="C118" i="43" s="1"/>
  <c r="B103" i="43"/>
  <c r="C103" i="43" s="1"/>
  <c r="B109" i="43"/>
  <c r="C109" i="43" s="1"/>
  <c r="B115" i="43"/>
  <c r="C115" i="43" s="1"/>
  <c r="B120" i="43"/>
  <c r="C120" i="43" s="1"/>
  <c r="B126" i="43"/>
  <c r="C126" i="43" s="1"/>
  <c r="B137" i="43"/>
  <c r="C137" i="43" s="1"/>
  <c r="B93" i="43"/>
  <c r="C93" i="43" s="1"/>
  <c r="B99" i="43"/>
  <c r="C99" i="43" s="1"/>
  <c r="B104" i="43"/>
  <c r="C104" i="43" s="1"/>
  <c r="B110" i="43"/>
  <c r="C110" i="43" s="1"/>
  <c r="B121" i="43"/>
  <c r="C121" i="43" s="1"/>
  <c r="B127" i="43"/>
  <c r="C127" i="43" s="1"/>
  <c r="B94" i="43"/>
  <c r="C94" i="43" s="1"/>
  <c r="B105" i="43"/>
  <c r="C105" i="43" s="1"/>
  <c r="B111" i="43"/>
  <c r="C111" i="43" s="1"/>
  <c r="B132" i="43"/>
  <c r="C132" i="43" s="1"/>
  <c r="B95" i="43"/>
  <c r="C95" i="43" s="1"/>
  <c r="B116" i="43"/>
  <c r="C116" i="43" s="1"/>
  <c r="B133" i="43"/>
  <c r="C133" i="43" s="1"/>
  <c r="B117" i="43"/>
  <c r="C117" i="43" s="1"/>
  <c r="B122" i="43"/>
  <c r="C122" i="43" s="1"/>
  <c r="B112" i="43"/>
  <c r="C112" i="43" s="1"/>
  <c r="B139" i="43"/>
  <c r="C139" i="43" s="1"/>
  <c r="B123" i="43"/>
  <c r="C123" i="43" s="1"/>
  <c r="B81" i="43"/>
  <c r="C81" i="43" s="1"/>
  <c r="B65" i="43"/>
  <c r="C65" i="43" s="1"/>
  <c r="B84" i="43"/>
  <c r="C84" i="43" s="1"/>
  <c r="B68" i="43"/>
  <c r="C68" i="43" s="1"/>
  <c r="B52" i="43"/>
  <c r="C52" i="43" s="1"/>
  <c r="B48" i="43"/>
  <c r="C48" i="43" s="1"/>
  <c r="B85" i="43"/>
  <c r="C85" i="43" s="1"/>
  <c r="B69" i="43"/>
  <c r="C69" i="43" s="1"/>
  <c r="B53" i="43"/>
  <c r="C53" i="43" s="1"/>
  <c r="B83" i="43"/>
  <c r="C83" i="43" s="1"/>
  <c r="B67" i="43"/>
  <c r="C67" i="43" s="1"/>
  <c r="B72" i="43"/>
  <c r="C72" i="43" s="1"/>
  <c r="B55" i="43"/>
  <c r="C55" i="43" s="1"/>
  <c r="B78" i="43"/>
  <c r="C78" i="43" s="1"/>
  <c r="B66" i="43"/>
  <c r="C66" i="43" s="1"/>
  <c r="B89" i="43"/>
  <c r="C89" i="43" s="1"/>
  <c r="B60" i="43"/>
  <c r="C60" i="43" s="1"/>
  <c r="B54" i="43"/>
  <c r="C54" i="43" s="1"/>
  <c r="B77" i="43"/>
  <c r="C77" i="43" s="1"/>
  <c r="B88" i="43"/>
  <c r="C88" i="43" s="1"/>
  <c r="B71" i="43"/>
  <c r="C71" i="43" s="1"/>
  <c r="B59" i="43"/>
  <c r="C59" i="43" s="1"/>
  <c r="B64" i="43"/>
  <c r="C64" i="43" s="1"/>
  <c r="B58" i="43"/>
  <c r="C58" i="43" s="1"/>
  <c r="B51" i="43"/>
  <c r="C51" i="43" s="1"/>
  <c r="B50" i="43"/>
  <c r="C50" i="43" s="1"/>
  <c r="B61" i="43"/>
  <c r="C61" i="43" s="1"/>
  <c r="B70" i="43"/>
  <c r="C70" i="43" s="1"/>
  <c r="B79" i="43"/>
  <c r="C79" i="43" s="1"/>
  <c r="B73" i="43"/>
  <c r="C73" i="43" s="1"/>
  <c r="B41" i="43"/>
  <c r="C41" i="43" s="1"/>
  <c r="B74" i="43"/>
  <c r="C74" i="43" s="1"/>
  <c r="B62" i="43"/>
  <c r="C62" i="43" s="1"/>
  <c r="B86" i="43"/>
  <c r="C86" i="43" s="1"/>
  <c r="B80" i="43"/>
  <c r="C80" i="43" s="1"/>
  <c r="B63" i="43"/>
  <c r="C63" i="43" s="1"/>
  <c r="B35" i="43"/>
  <c r="B87" i="43"/>
  <c r="C87" i="43" s="1"/>
  <c r="B76" i="43"/>
  <c r="C76" i="43" s="1"/>
  <c r="B45" i="43"/>
  <c r="C45" i="43" s="1"/>
  <c r="B56" i="43"/>
  <c r="C56" i="43" s="1"/>
  <c r="B47" i="43"/>
  <c r="C47" i="43" s="1"/>
  <c r="B46" i="43"/>
  <c r="C46" i="43" s="1"/>
  <c r="B42" i="43"/>
  <c r="C42" i="43" s="1"/>
  <c r="B49" i="43"/>
  <c r="C49" i="43" s="1"/>
  <c r="B57" i="43"/>
  <c r="C57" i="43" s="1"/>
  <c r="B82" i="43"/>
  <c r="C82" i="43" s="1"/>
  <c r="B44" i="43"/>
  <c r="C44" i="43" s="1"/>
  <c r="B43" i="43"/>
  <c r="C43" i="43" s="1"/>
  <c r="B75" i="43"/>
  <c r="C75" i="43" s="1"/>
  <c r="E127" i="44" l="1"/>
  <c r="F127" i="44" s="1"/>
  <c r="E135" i="44"/>
  <c r="F135" i="44" s="1"/>
  <c r="E136" i="44"/>
  <c r="F136" i="44" s="1"/>
  <c r="E153" i="44"/>
  <c r="F153" i="44" s="1"/>
  <c r="E159" i="44"/>
  <c r="F159" i="44" s="1"/>
  <c r="E141" i="44"/>
  <c r="F141" i="44" s="1"/>
  <c r="E138" i="44"/>
  <c r="F138" i="44" s="1"/>
  <c r="E130" i="44"/>
  <c r="F130" i="44" s="1"/>
  <c r="E157" i="44"/>
  <c r="F157" i="44" s="1"/>
  <c r="E149" i="44"/>
  <c r="F149" i="44" s="1"/>
  <c r="E137" i="44"/>
  <c r="F137" i="44" s="1"/>
  <c r="E142" i="44"/>
  <c r="F142" i="44" s="1"/>
  <c r="E160" i="44"/>
  <c r="F160" i="44" s="1"/>
  <c r="E147" i="44"/>
  <c r="F147" i="44" s="1"/>
  <c r="E131" i="44"/>
  <c r="F131" i="44" s="1"/>
  <c r="E154" i="44"/>
  <c r="F154" i="44" s="1"/>
  <c r="E125" i="44"/>
  <c r="F125" i="44" s="1"/>
  <c r="E134" i="44"/>
  <c r="F134" i="44" s="1"/>
  <c r="E133" i="44"/>
  <c r="F133" i="44" s="1"/>
  <c r="E146" i="44"/>
  <c r="F146" i="44" s="1"/>
  <c r="E144" i="44"/>
  <c r="F144" i="44" s="1"/>
  <c r="E143" i="44"/>
  <c r="F143" i="44" s="1"/>
  <c r="E132" i="44"/>
  <c r="F132" i="44" s="1"/>
  <c r="E128" i="44"/>
  <c r="F128" i="44" s="1"/>
  <c r="E156" i="44"/>
  <c r="F156" i="44" s="1"/>
  <c r="E151" i="44"/>
  <c r="F151" i="44" s="1"/>
  <c r="E148" i="44"/>
  <c r="F148" i="44" s="1"/>
  <c r="G157" i="44"/>
  <c r="H157" i="44" s="1"/>
  <c r="I157" i="44" s="1"/>
  <c r="J157" i="44" s="1"/>
  <c r="U62" i="44"/>
  <c r="V63" i="44"/>
  <c r="D126" i="44"/>
  <c r="G126" i="44"/>
  <c r="H126" i="44" s="1"/>
  <c r="I126" i="44" s="1"/>
  <c r="J126" i="44" s="1"/>
  <c r="D161" i="44"/>
  <c r="G161" i="44"/>
  <c r="H161" i="44" s="1"/>
  <c r="I161" i="44" s="1"/>
  <c r="J161" i="44" s="1"/>
  <c r="D145" i="44"/>
  <c r="G145" i="44"/>
  <c r="H145" i="44" s="1"/>
  <c r="I145" i="44" s="1"/>
  <c r="J145" i="44" s="1"/>
  <c r="D129" i="44"/>
  <c r="G129" i="44"/>
  <c r="H129" i="44" s="1"/>
  <c r="I129" i="44" s="1"/>
  <c r="J129" i="44" s="1"/>
  <c r="D155" i="44"/>
  <c r="G155" i="44"/>
  <c r="H155" i="44" s="1"/>
  <c r="I155" i="44" s="1"/>
  <c r="J155" i="44" s="1"/>
  <c r="D152" i="44"/>
  <c r="G152" i="44"/>
  <c r="H152" i="44" s="1"/>
  <c r="I152" i="44" s="1"/>
  <c r="J152" i="44" s="1"/>
  <c r="D140" i="44"/>
  <c r="G140" i="44"/>
  <c r="H140" i="44" s="1"/>
  <c r="I140" i="44" s="1"/>
  <c r="J140" i="44" s="1"/>
  <c r="D162" i="44"/>
  <c r="G162" i="44"/>
  <c r="H162" i="44" s="1"/>
  <c r="I162" i="44" s="1"/>
  <c r="J162" i="44" s="1"/>
  <c r="D158" i="44"/>
  <c r="G158" i="44"/>
  <c r="H158" i="44" s="1"/>
  <c r="I158" i="44" s="1"/>
  <c r="J158" i="44" s="1"/>
  <c r="D150" i="44"/>
  <c r="G150" i="44"/>
  <c r="H150" i="44" s="1"/>
  <c r="I150" i="44" s="1"/>
  <c r="J150" i="44" s="1"/>
  <c r="E150" i="44" l="1"/>
  <c r="F150" i="44" s="1"/>
  <c r="E161" i="44"/>
  <c r="F161" i="44" s="1"/>
  <c r="E158" i="44"/>
  <c r="F158" i="44" s="1"/>
  <c r="E126" i="44"/>
  <c r="F126" i="44" s="1"/>
  <c r="E162" i="44"/>
  <c r="F162" i="44" s="1"/>
  <c r="E152" i="44"/>
  <c r="F152" i="44" s="1"/>
  <c r="E145" i="44"/>
  <c r="F145" i="44" s="1"/>
  <c r="E155" i="44"/>
  <c r="F155" i="44" s="1"/>
  <c r="E129" i="44"/>
  <c r="F129" i="44" s="1"/>
  <c r="E140" i="44"/>
  <c r="F140" i="44" s="1"/>
  <c r="V62" i="44"/>
  <c r="W63" i="44"/>
  <c r="W62" i="44" s="1"/>
  <c r="I62" i="44"/>
  <c r="H62" i="44"/>
  <c r="H23" i="44" s="1"/>
  <c r="I23" i="44" l="1"/>
  <c r="J62" i="44"/>
  <c r="K23" i="44" s="1"/>
  <c r="J23" i="44" l="1"/>
  <c r="L23" i="44"/>
  <c r="N7" i="42" l="1"/>
  <c r="N8" i="42"/>
  <c r="N9" i="42"/>
  <c r="N10" i="42"/>
  <c r="N11" i="42"/>
  <c r="N12" i="42"/>
  <c r="N13" i="42"/>
  <c r="N6" i="42"/>
  <c r="BU43" i="42"/>
  <c r="BU42" i="42"/>
  <c r="BU41" i="42"/>
  <c r="BU40" i="42"/>
  <c r="BU39" i="42"/>
  <c r="BU38" i="42"/>
  <c r="BU37" i="42"/>
  <c r="BU36" i="42"/>
  <c r="BZ35" i="42"/>
  <c r="BU35" i="42"/>
  <c r="BU34" i="42"/>
  <c r="BU33" i="42"/>
  <c r="BU32" i="42"/>
  <c r="BS25" i="42"/>
  <c r="BN21" i="42"/>
  <c r="EG43" i="42"/>
  <c r="EG42" i="42"/>
  <c r="EG41" i="42"/>
  <c r="EG40" i="42"/>
  <c r="EG39" i="42"/>
  <c r="EG38" i="42"/>
  <c r="EG37" i="42"/>
  <c r="EG36" i="42"/>
  <c r="EL35" i="42"/>
  <c r="EG35" i="42"/>
  <c r="EG34" i="42"/>
  <c r="EG33" i="42"/>
  <c r="EG32" i="42"/>
  <c r="EE25" i="42"/>
  <c r="DZ21" i="42"/>
  <c r="DQ43" i="42"/>
  <c r="DQ42" i="42"/>
  <c r="DQ41" i="42"/>
  <c r="DQ40" i="42"/>
  <c r="DQ39" i="42"/>
  <c r="DQ38" i="42"/>
  <c r="DQ37" i="42"/>
  <c r="DQ36" i="42"/>
  <c r="DV35" i="42"/>
  <c r="DQ35" i="42"/>
  <c r="DQ34" i="42"/>
  <c r="DQ33" i="42"/>
  <c r="DQ32" i="42"/>
  <c r="DO25" i="42"/>
  <c r="DJ21" i="42"/>
  <c r="DA43" i="42"/>
  <c r="DA42" i="42"/>
  <c r="DA41" i="42"/>
  <c r="DA40" i="42"/>
  <c r="DA39" i="42"/>
  <c r="DA38" i="42"/>
  <c r="DA37" i="42"/>
  <c r="DA36" i="42"/>
  <c r="DF35" i="42"/>
  <c r="DA35" i="42"/>
  <c r="DA34" i="42"/>
  <c r="DA33" i="42"/>
  <c r="DA32" i="42"/>
  <c r="CY25" i="42"/>
  <c r="CT21" i="42"/>
  <c r="CK43" i="42"/>
  <c r="BE43" i="42"/>
  <c r="AO43" i="42"/>
  <c r="Y43" i="42"/>
  <c r="I43" i="42"/>
  <c r="CK42" i="42"/>
  <c r="BE42" i="42"/>
  <c r="AO42" i="42"/>
  <c r="Y42" i="42"/>
  <c r="I42" i="42"/>
  <c r="CK41" i="42"/>
  <c r="BE41" i="42"/>
  <c r="AO41" i="42"/>
  <c r="Y41" i="42"/>
  <c r="I41" i="42"/>
  <c r="CK40" i="42"/>
  <c r="BE40" i="42"/>
  <c r="AO40" i="42"/>
  <c r="Y40" i="42"/>
  <c r="I40" i="42"/>
  <c r="CK39" i="42"/>
  <c r="BE39" i="42"/>
  <c r="AO39" i="42"/>
  <c r="Y39" i="42"/>
  <c r="I39" i="42"/>
  <c r="CK38" i="42"/>
  <c r="BE38" i="42"/>
  <c r="AO38" i="42"/>
  <c r="Y38" i="42"/>
  <c r="I38" i="42"/>
  <c r="CK37" i="42"/>
  <c r="BE37" i="42"/>
  <c r="AO37" i="42"/>
  <c r="Y37" i="42"/>
  <c r="I37" i="42"/>
  <c r="CK36" i="42"/>
  <c r="BE36" i="42"/>
  <c r="AO36" i="42"/>
  <c r="Y36" i="42"/>
  <c r="I36" i="42"/>
  <c r="CP35" i="42"/>
  <c r="CK35" i="42"/>
  <c r="BJ35" i="42"/>
  <c r="BE35" i="42"/>
  <c r="AT35" i="42"/>
  <c r="AO35" i="42"/>
  <c r="AD35" i="42"/>
  <c r="Y35" i="42"/>
  <c r="N35" i="42"/>
  <c r="I35" i="42"/>
  <c r="CK34" i="42"/>
  <c r="BE34" i="42"/>
  <c r="AO34" i="42"/>
  <c r="Y34" i="42"/>
  <c r="I34" i="42"/>
  <c r="CK33" i="42"/>
  <c r="BE33" i="42"/>
  <c r="AO33" i="42"/>
  <c r="Y33" i="42"/>
  <c r="I33" i="42"/>
  <c r="CK32" i="42"/>
  <c r="BE32" i="42"/>
  <c r="AO32" i="42"/>
  <c r="Y32" i="42"/>
  <c r="I32" i="42"/>
  <c r="CI25" i="42"/>
  <c r="BC25" i="42"/>
  <c r="AM25" i="42"/>
  <c r="W25" i="42"/>
  <c r="G25" i="42"/>
  <c r="CD21" i="42"/>
  <c r="AX21" i="42"/>
  <c r="AH21" i="42"/>
  <c r="R21" i="42"/>
  <c r="B21" i="42"/>
  <c r="C19" i="42"/>
  <c r="I4" i="42"/>
  <c r="I3" i="42"/>
  <c r="N6" i="41"/>
  <c r="N7" i="41"/>
  <c r="N8" i="41"/>
  <c r="N9" i="41"/>
  <c r="N5" i="41"/>
  <c r="C19" i="41"/>
  <c r="BU43" i="41"/>
  <c r="BE43" i="41"/>
  <c r="AO43" i="41"/>
  <c r="Y43" i="41"/>
  <c r="I43" i="41"/>
  <c r="BU42" i="41"/>
  <c r="BE42" i="41"/>
  <c r="AO42" i="41"/>
  <c r="Y42" i="41"/>
  <c r="I42" i="41"/>
  <c r="BU41" i="41"/>
  <c r="BE41" i="41"/>
  <c r="AO41" i="41"/>
  <c r="Y41" i="41"/>
  <c r="I41" i="41"/>
  <c r="BU40" i="41"/>
  <c r="BE40" i="41"/>
  <c r="AO40" i="41"/>
  <c r="Y40" i="41"/>
  <c r="I40" i="41"/>
  <c r="BU39" i="41"/>
  <c r="BE39" i="41"/>
  <c r="AO39" i="41"/>
  <c r="Y39" i="41"/>
  <c r="I39" i="41"/>
  <c r="BU38" i="41"/>
  <c r="BE38" i="41"/>
  <c r="AO38" i="41"/>
  <c r="Y38" i="41"/>
  <c r="I38" i="41"/>
  <c r="BU37" i="41"/>
  <c r="BE37" i="41"/>
  <c r="AO37" i="41"/>
  <c r="Y37" i="41"/>
  <c r="I37" i="41"/>
  <c r="BU36" i="41"/>
  <c r="BE36" i="41"/>
  <c r="AO36" i="41"/>
  <c r="Y36" i="41"/>
  <c r="I36" i="41"/>
  <c r="BZ35" i="41"/>
  <c r="CA35" i="41" s="1"/>
  <c r="BU35" i="41"/>
  <c r="BJ35" i="41"/>
  <c r="BE35" i="41"/>
  <c r="AT35" i="41"/>
  <c r="AU35" i="41" s="1"/>
  <c r="AO35" i="41"/>
  <c r="AD35" i="41"/>
  <c r="AE35" i="41" s="1"/>
  <c r="Y35" i="41"/>
  <c r="N35" i="41"/>
  <c r="I35" i="41"/>
  <c r="BU34" i="41"/>
  <c r="BE34" i="41"/>
  <c r="AO34" i="41"/>
  <c r="Y34" i="41"/>
  <c r="I34" i="41"/>
  <c r="BU33" i="41"/>
  <c r="BE33" i="41"/>
  <c r="AO33" i="41"/>
  <c r="Y33" i="41"/>
  <c r="I33" i="41"/>
  <c r="BU32" i="41"/>
  <c r="BE32" i="41"/>
  <c r="AO32" i="41"/>
  <c r="Y32" i="41"/>
  <c r="I32" i="41"/>
  <c r="BS25" i="41"/>
  <c r="BC25" i="41"/>
  <c r="AM25" i="41"/>
  <c r="W25" i="41"/>
  <c r="G25" i="41"/>
  <c r="BN21" i="41"/>
  <c r="AX21" i="41"/>
  <c r="AH21" i="41"/>
  <c r="R21" i="41"/>
  <c r="B21" i="41"/>
  <c r="I4" i="41"/>
  <c r="I3" i="41"/>
  <c r="I3" i="37"/>
  <c r="BU43" i="37"/>
  <c r="BU42" i="37"/>
  <c r="BU41" i="37"/>
  <c r="BU40" i="37"/>
  <c r="BU39" i="37"/>
  <c r="BU38" i="37"/>
  <c r="BU37" i="37"/>
  <c r="BU36" i="37"/>
  <c r="BZ35" i="37"/>
  <c r="CA35" i="37" s="1"/>
  <c r="BU35" i="37"/>
  <c r="BU34" i="37"/>
  <c r="BU33" i="37"/>
  <c r="BU32" i="37"/>
  <c r="BS25" i="37"/>
  <c r="BN21" i="37"/>
  <c r="BE43" i="37"/>
  <c r="BE42" i="37"/>
  <c r="BE41" i="37"/>
  <c r="BE40" i="37"/>
  <c r="BE39" i="37"/>
  <c r="BE38" i="37"/>
  <c r="BE37" i="37"/>
  <c r="BE36" i="37"/>
  <c r="BJ35" i="37"/>
  <c r="BK35" i="37" s="1"/>
  <c r="BE35" i="37"/>
  <c r="BE34" i="37"/>
  <c r="BE33" i="37"/>
  <c r="BE32" i="37"/>
  <c r="BC25" i="37"/>
  <c r="AX21" i="37"/>
  <c r="AO43" i="37"/>
  <c r="AO42" i="37"/>
  <c r="AO41" i="37"/>
  <c r="AO40" i="37"/>
  <c r="AO39" i="37"/>
  <c r="AO38" i="37"/>
  <c r="AO37" i="37"/>
  <c r="AO36" i="37"/>
  <c r="AT35" i="37"/>
  <c r="AU35" i="37" s="1"/>
  <c r="AO35" i="37"/>
  <c r="AO34" i="37"/>
  <c r="AO33" i="37"/>
  <c r="AO32" i="37"/>
  <c r="AM25" i="37"/>
  <c r="AH21" i="37"/>
  <c r="Y43" i="37"/>
  <c r="Y42" i="37"/>
  <c r="Y41" i="37"/>
  <c r="Y40" i="37"/>
  <c r="Y39" i="37"/>
  <c r="Y38" i="37"/>
  <c r="Y37" i="37"/>
  <c r="Y36" i="37"/>
  <c r="AD35" i="37"/>
  <c r="AE35" i="37" s="1"/>
  <c r="Y35" i="37"/>
  <c r="Y34" i="37"/>
  <c r="Y33" i="37"/>
  <c r="Y32" i="37"/>
  <c r="W25" i="37"/>
  <c r="R21" i="37"/>
  <c r="CA35" i="42" l="1"/>
  <c r="CQ35" i="42"/>
  <c r="DG35" i="42"/>
  <c r="DW35" i="42"/>
  <c r="EM35" i="42"/>
  <c r="AE35" i="42"/>
  <c r="AU35" i="42"/>
  <c r="BK35" i="42"/>
  <c r="O35" i="42"/>
  <c r="O35" i="41"/>
  <c r="BK35" i="41"/>
  <c r="I33" i="37" l="1"/>
  <c r="I34" i="37"/>
  <c r="I35" i="37"/>
  <c r="I36" i="37"/>
  <c r="I37" i="37"/>
  <c r="I38" i="37"/>
  <c r="I39" i="37"/>
  <c r="I40" i="37"/>
  <c r="I41" i="37"/>
  <c r="I42" i="37"/>
  <c r="I43" i="37"/>
  <c r="I32" i="37"/>
  <c r="E24" i="25"/>
  <c r="E25" i="25"/>
  <c r="E26" i="25"/>
  <c r="E27" i="25"/>
  <c r="E28" i="25"/>
  <c r="E29" i="25"/>
  <c r="E30" i="25"/>
  <c r="E31" i="25"/>
  <c r="E32" i="25"/>
  <c r="E33" i="25"/>
  <c r="E34" i="25"/>
  <c r="E23" i="25"/>
  <c r="D24" i="25"/>
  <c r="D25" i="25"/>
  <c r="D26" i="25"/>
  <c r="D27" i="25"/>
  <c r="D28" i="25"/>
  <c r="D29" i="25"/>
  <c r="D30" i="25"/>
  <c r="D31" i="25"/>
  <c r="D32" i="25"/>
  <c r="D33" i="25"/>
  <c r="D34" i="25"/>
  <c r="D23" i="25"/>
  <c r="C24" i="25"/>
  <c r="G24" i="25" s="1"/>
  <c r="C25" i="25"/>
  <c r="G25" i="25" s="1"/>
  <c r="C26" i="25"/>
  <c r="G26" i="25" s="1"/>
  <c r="C27" i="25"/>
  <c r="G27" i="25" s="1"/>
  <c r="C28" i="25"/>
  <c r="C29" i="25"/>
  <c r="G29" i="25" s="1"/>
  <c r="C30" i="25"/>
  <c r="G30" i="25" s="1"/>
  <c r="C31" i="25"/>
  <c r="G31" i="25" s="1"/>
  <c r="C32" i="25"/>
  <c r="G32" i="25" s="1"/>
  <c r="C33" i="25"/>
  <c r="G33" i="25" s="1"/>
  <c r="C34" i="25"/>
  <c r="G34" i="25" s="1"/>
  <c r="C23" i="25"/>
  <c r="G23" i="25" s="1"/>
  <c r="F28" i="25" l="1"/>
  <c r="G28" i="25"/>
  <c r="K33" i="30"/>
  <c r="I33" i="30"/>
  <c r="N6" i="37"/>
  <c r="R22" i="37" s="1"/>
  <c r="N7" i="37"/>
  <c r="AH22" i="37" s="1"/>
  <c r="AM22" i="37" s="1"/>
  <c r="AM24" i="37" s="1"/>
  <c r="N8" i="37"/>
  <c r="AX22" i="37" s="1"/>
  <c r="BC22" i="37" s="1"/>
  <c r="BC24" i="37" s="1"/>
  <c r="N9" i="37"/>
  <c r="BN22" i="37" s="1"/>
  <c r="BS22" i="37" s="1"/>
  <c r="BS24" i="37" s="1"/>
  <c r="N5" i="37"/>
  <c r="K15" i="30"/>
  <c r="B21" i="37"/>
  <c r="G25" i="37"/>
  <c r="I4" i="37"/>
  <c r="G14" i="25"/>
  <c r="G13" i="25"/>
  <c r="G11" i="25"/>
  <c r="K6" i="3"/>
  <c r="N23" i="20"/>
  <c r="N22" i="20"/>
  <c r="J63" i="20" s="1"/>
  <c r="N63" i="20" s="1"/>
  <c r="F22" i="20"/>
  <c r="F23" i="20"/>
  <c r="G30" i="3"/>
  <c r="E41" i="3"/>
  <c r="E40" i="3"/>
  <c r="D104" i="44" l="1"/>
  <c r="D77" i="44"/>
  <c r="D122" i="44"/>
  <c r="D123" i="44"/>
  <c r="D68" i="44"/>
  <c r="D115" i="44"/>
  <c r="D124" i="44"/>
  <c r="D116" i="44"/>
  <c r="D92" i="44"/>
  <c r="D89" i="44"/>
  <c r="D94" i="44"/>
  <c r="L40" i="43"/>
  <c r="D102" i="44"/>
  <c r="D84" i="44"/>
  <c r="D96" i="44"/>
  <c r="D80" i="44"/>
  <c r="D87" i="44"/>
  <c r="D63" i="44"/>
  <c r="E63" i="44" s="1"/>
  <c r="F63" i="44" s="1"/>
  <c r="D111" i="44"/>
  <c r="D107" i="44"/>
  <c r="D79" i="44"/>
  <c r="D114" i="44"/>
  <c r="D95" i="44"/>
  <c r="D74" i="44"/>
  <c r="D78" i="44"/>
  <c r="D86" i="44"/>
  <c r="P72" i="44"/>
  <c r="Q72" i="44" s="1"/>
  <c r="R72" i="44" s="1"/>
  <c r="S72" i="44" s="1"/>
  <c r="D110" i="44"/>
  <c r="D120" i="44"/>
  <c r="D82" i="44"/>
  <c r="D76" i="44"/>
  <c r="P63" i="44"/>
  <c r="D113" i="44"/>
  <c r="D90" i="44"/>
  <c r="D100" i="44"/>
  <c r="D85" i="44"/>
  <c r="D105" i="44"/>
  <c r="D98" i="44"/>
  <c r="D99" i="44"/>
  <c r="D65" i="44"/>
  <c r="D69" i="44"/>
  <c r="D70" i="44"/>
  <c r="D109" i="44"/>
  <c r="D88" i="44"/>
  <c r="D81" i="44"/>
  <c r="D72" i="44"/>
  <c r="P65" i="44"/>
  <c r="Q65" i="44" s="1"/>
  <c r="R65" i="44" s="1"/>
  <c r="S65" i="44" s="1"/>
  <c r="D64" i="44"/>
  <c r="D83" i="44"/>
  <c r="D97" i="44"/>
  <c r="D106" i="44"/>
  <c r="D71" i="44"/>
  <c r="D93" i="44"/>
  <c r="D121" i="44"/>
  <c r="D112" i="44"/>
  <c r="D119" i="44"/>
  <c r="D73" i="44"/>
  <c r="P71" i="44"/>
  <c r="Q71" i="44" s="1"/>
  <c r="R71" i="44" s="1"/>
  <c r="S71" i="44" s="1"/>
  <c r="D75" i="44"/>
  <c r="D101" i="44"/>
  <c r="D108" i="44"/>
  <c r="D118" i="44"/>
  <c r="D91" i="44"/>
  <c r="D66" i="44"/>
  <c r="P64" i="44"/>
  <c r="Q64" i="44" s="1"/>
  <c r="R64" i="44" s="1"/>
  <c r="S64" i="44" s="1"/>
  <c r="D117" i="44"/>
  <c r="P66" i="44"/>
  <c r="Q66" i="44" s="1"/>
  <c r="D103" i="44"/>
  <c r="D67" i="44"/>
  <c r="J28" i="25"/>
  <c r="R74" i="44"/>
  <c r="S74" i="44" s="1"/>
  <c r="R69" i="44"/>
  <c r="S69" i="44" s="1"/>
  <c r="R70" i="44"/>
  <c r="S70" i="44" s="1"/>
  <c r="R67" i="44"/>
  <c r="S67" i="44" s="1"/>
  <c r="R68" i="44"/>
  <c r="S68" i="44" s="1"/>
  <c r="R73" i="44"/>
  <c r="S73" i="44" s="1"/>
  <c r="G15" i="30"/>
  <c r="B22" i="42"/>
  <c r="G22" i="42" s="1"/>
  <c r="G24" i="42" s="1"/>
  <c r="BN22" i="42"/>
  <c r="BS22" i="42" s="1"/>
  <c r="BS24" i="42" s="1"/>
  <c r="R22" i="42"/>
  <c r="DJ22" i="42"/>
  <c r="DO22" i="42" s="1"/>
  <c r="DO24" i="42" s="1"/>
  <c r="CT22" i="42"/>
  <c r="AX22" i="42"/>
  <c r="DZ22" i="42"/>
  <c r="EE22" i="42" s="1"/>
  <c r="EE24" i="42" s="1"/>
  <c r="CD22" i="42"/>
  <c r="AH22" i="42"/>
  <c r="EB25" i="42"/>
  <c r="CV26" i="42"/>
  <c r="EB26" i="42"/>
  <c r="P13" i="42" s="1"/>
  <c r="H32" i="30" s="1"/>
  <c r="J3" i="37"/>
  <c r="W22" i="37"/>
  <c r="W24" i="37" s="1"/>
  <c r="AH76" i="37"/>
  <c r="AH62" i="37"/>
  <c r="AH50" i="37"/>
  <c r="AH78" i="37"/>
  <c r="AH79" i="37"/>
  <c r="AH74" i="37"/>
  <c r="AH41" i="37"/>
  <c r="AH36" i="37"/>
  <c r="AH68" i="37"/>
  <c r="AH45" i="37"/>
  <c r="AH64" i="37"/>
  <c r="AH70" i="37"/>
  <c r="AH48" i="37"/>
  <c r="AH65" i="37"/>
  <c r="AH58" i="37"/>
  <c r="AH39" i="37"/>
  <c r="AH63" i="37"/>
  <c r="AH54" i="37"/>
  <c r="AH61" i="37"/>
  <c r="AH40" i="37"/>
  <c r="AH71" i="37"/>
  <c r="AH80" i="37"/>
  <c r="AH67" i="37"/>
  <c r="AH42" i="37"/>
  <c r="AH56" i="37"/>
  <c r="AH37" i="37"/>
  <c r="AH66" i="37"/>
  <c r="AH32" i="37"/>
  <c r="AH77" i="37"/>
  <c r="AH33" i="37"/>
  <c r="AH72" i="37"/>
  <c r="AH51" i="37"/>
  <c r="AH57" i="37"/>
  <c r="AH53" i="37"/>
  <c r="AH46" i="37"/>
  <c r="AH49" i="37"/>
  <c r="AH81" i="37"/>
  <c r="AH43" i="37"/>
  <c r="AM26" i="37"/>
  <c r="AH38" i="37"/>
  <c r="AH44" i="37"/>
  <c r="AH60" i="37"/>
  <c r="AH35" i="37"/>
  <c r="AH55" i="37"/>
  <c r="AH73" i="37"/>
  <c r="AH52" i="37"/>
  <c r="AH69" i="37"/>
  <c r="AH47" i="37"/>
  <c r="AH59" i="37"/>
  <c r="AH75" i="37"/>
  <c r="AH34" i="37"/>
  <c r="AX70" i="37"/>
  <c r="AX59" i="37"/>
  <c r="AX55" i="37"/>
  <c r="AX41" i="37"/>
  <c r="AX49" i="37"/>
  <c r="AX63" i="37"/>
  <c r="AX79" i="37"/>
  <c r="AX73" i="37"/>
  <c r="AX80" i="37"/>
  <c r="AX72" i="37"/>
  <c r="AX35" i="37"/>
  <c r="AX60" i="37"/>
  <c r="AX56" i="37"/>
  <c r="AX40" i="37"/>
  <c r="AX62" i="37"/>
  <c r="AX78" i="37"/>
  <c r="AX36" i="37"/>
  <c r="AX51" i="37"/>
  <c r="AX53" i="37"/>
  <c r="AX48" i="37"/>
  <c r="AX64" i="37"/>
  <c r="AX37" i="37"/>
  <c r="AX45" i="37"/>
  <c r="AX57" i="37"/>
  <c r="AX68" i="37"/>
  <c r="AX75" i="37"/>
  <c r="AX44" i="37"/>
  <c r="AX65" i="37"/>
  <c r="AX76" i="37"/>
  <c r="AX38" i="37"/>
  <c r="AX52" i="37"/>
  <c r="AX61" i="37"/>
  <c r="AX32" i="37"/>
  <c r="AX67" i="37"/>
  <c r="AX81" i="37"/>
  <c r="AX50" i="37"/>
  <c r="AX43" i="37"/>
  <c r="AX47" i="37"/>
  <c r="AX58" i="37"/>
  <c r="AX74" i="37"/>
  <c r="AX34" i="37"/>
  <c r="AX54" i="37"/>
  <c r="AX77" i="37"/>
  <c r="AX39" i="37"/>
  <c r="AX69" i="37"/>
  <c r="AX46" i="37"/>
  <c r="AX33" i="37"/>
  <c r="AX66" i="37"/>
  <c r="BC26" i="37"/>
  <c r="AX42" i="37"/>
  <c r="AX71" i="37"/>
  <c r="BN51" i="37"/>
  <c r="BN43" i="37"/>
  <c r="BN79" i="37"/>
  <c r="BN64" i="37"/>
  <c r="BN47" i="37"/>
  <c r="BN49" i="37"/>
  <c r="BN72" i="37"/>
  <c r="BN75" i="37"/>
  <c r="BS26" i="37"/>
  <c r="BN50" i="37"/>
  <c r="BN66" i="37"/>
  <c r="BN35" i="37"/>
  <c r="BN67" i="37"/>
  <c r="BN69" i="37"/>
  <c r="BN38" i="37"/>
  <c r="BN36" i="37"/>
  <c r="BN59" i="37"/>
  <c r="BN32" i="37"/>
  <c r="BN78" i="37"/>
  <c r="BN41" i="37"/>
  <c r="BN70" i="37"/>
  <c r="BN58" i="37"/>
  <c r="BN39" i="37"/>
  <c r="BN80" i="37"/>
  <c r="BN74" i="37"/>
  <c r="BN76" i="37"/>
  <c r="BN62" i="37"/>
  <c r="BN68" i="37"/>
  <c r="BN77" i="37"/>
  <c r="BN57" i="37"/>
  <c r="BN46" i="37"/>
  <c r="BN60" i="37"/>
  <c r="BN56" i="37"/>
  <c r="BN45" i="37"/>
  <c r="BN33" i="37"/>
  <c r="BN53" i="37"/>
  <c r="BN40" i="37"/>
  <c r="BN34" i="37"/>
  <c r="BN44" i="37"/>
  <c r="BN48" i="37"/>
  <c r="BN73" i="37"/>
  <c r="BN52" i="37"/>
  <c r="BN37" i="37"/>
  <c r="BN54" i="37"/>
  <c r="BN61" i="37"/>
  <c r="BN71" i="37"/>
  <c r="BN65" i="37"/>
  <c r="BN81" i="37"/>
  <c r="BN55" i="37"/>
  <c r="BN42" i="37"/>
  <c r="BN63" i="37"/>
  <c r="AX22" i="41"/>
  <c r="BC22" i="41" s="1"/>
  <c r="BC24" i="41" s="1"/>
  <c r="AH22" i="41"/>
  <c r="AM22" i="41" s="1"/>
  <c r="AM24" i="41" s="1"/>
  <c r="R22" i="41"/>
  <c r="T26" i="41" s="1"/>
  <c r="P6" i="41" s="1"/>
  <c r="H21" i="30" s="1"/>
  <c r="B22" i="41"/>
  <c r="G22" i="41" s="1"/>
  <c r="G24" i="41" s="1"/>
  <c r="AM22" i="42"/>
  <c r="AM24" i="42" s="1"/>
  <c r="BC22" i="42"/>
  <c r="BC24" i="42" s="1"/>
  <c r="BN22" i="41"/>
  <c r="BS22" i="41" s="1"/>
  <c r="BS24" i="41" s="1"/>
  <c r="CI22" i="42"/>
  <c r="CI24" i="42" s="1"/>
  <c r="K28" i="25"/>
  <c r="J26" i="25"/>
  <c r="K26" i="25" s="1"/>
  <c r="J23" i="25"/>
  <c r="K23" i="25" s="1"/>
  <c r="T26" i="37"/>
  <c r="P6" i="37" s="1"/>
  <c r="H17" i="30" s="1"/>
  <c r="BP26" i="37"/>
  <c r="P9" i="37" s="1"/>
  <c r="H20" i="30" s="1"/>
  <c r="BP25" i="37"/>
  <c r="T25" i="37"/>
  <c r="AZ26" i="37"/>
  <c r="P8" i="37" s="1"/>
  <c r="H19" i="30" s="1"/>
  <c r="AZ25" i="37"/>
  <c r="AJ26" i="37"/>
  <c r="P7" i="37" s="1"/>
  <c r="H18" i="30" s="1"/>
  <c r="AJ25" i="37"/>
  <c r="J25" i="25"/>
  <c r="K25" i="25" s="1"/>
  <c r="J24" i="25"/>
  <c r="K24" i="25" s="1"/>
  <c r="J27" i="25"/>
  <c r="K27" i="25" s="1"/>
  <c r="J29" i="25"/>
  <c r="K29" i="25" s="1"/>
  <c r="H28" i="25"/>
  <c r="I28" i="25" s="1"/>
  <c r="G12" i="25"/>
  <c r="J34" i="25"/>
  <c r="K34" i="25" s="1"/>
  <c r="J32" i="25"/>
  <c r="K32" i="25" s="1"/>
  <c r="J33" i="25"/>
  <c r="K33" i="25" s="1"/>
  <c r="J30" i="25"/>
  <c r="K30" i="25" s="1"/>
  <c r="J31" i="25"/>
  <c r="K31" i="25" s="1"/>
  <c r="K8" i="25"/>
  <c r="I15" i="30" s="1"/>
  <c r="F31" i="25"/>
  <c r="F34" i="25"/>
  <c r="F30" i="25"/>
  <c r="F26" i="25"/>
  <c r="F23" i="25"/>
  <c r="H23" i="25" s="1"/>
  <c r="F32" i="25"/>
  <c r="F25" i="25"/>
  <c r="F29" i="25"/>
  <c r="F24" i="25"/>
  <c r="F33" i="25"/>
  <c r="F27" i="25"/>
  <c r="B22" i="37"/>
  <c r="B55" i="20"/>
  <c r="C55" i="20" s="1"/>
  <c r="D55" i="20" s="1"/>
  <c r="B38" i="20"/>
  <c r="F38" i="20" s="1"/>
  <c r="B37" i="20"/>
  <c r="F37" i="20" s="1"/>
  <c r="B36" i="20"/>
  <c r="F36" i="20" s="1"/>
  <c r="B71" i="20"/>
  <c r="F71" i="20" s="1"/>
  <c r="B70" i="20"/>
  <c r="F70" i="20" s="1"/>
  <c r="B60" i="20"/>
  <c r="F60" i="20" s="1"/>
  <c r="P37" i="3"/>
  <c r="Q37" i="3" s="1"/>
  <c r="C60" i="20"/>
  <c r="D60" i="20" s="1"/>
  <c r="J87" i="20"/>
  <c r="N87" i="20" s="1"/>
  <c r="J121" i="20"/>
  <c r="N121" i="20" s="1"/>
  <c r="B58" i="20"/>
  <c r="C58" i="20" s="1"/>
  <c r="D58" i="20" s="1"/>
  <c r="B57" i="20"/>
  <c r="C57" i="20" s="1"/>
  <c r="D57" i="20" s="1"/>
  <c r="B56" i="20"/>
  <c r="C56" i="20" s="1"/>
  <c r="D56" i="20" s="1"/>
  <c r="B69" i="20"/>
  <c r="C69" i="20" s="1"/>
  <c r="D69" i="20" s="1"/>
  <c r="J81" i="20"/>
  <c r="K81" i="20" s="1"/>
  <c r="L81" i="20" s="1"/>
  <c r="J76" i="20"/>
  <c r="N76" i="20" s="1"/>
  <c r="J71" i="20"/>
  <c r="N71" i="20" s="1"/>
  <c r="J68" i="20"/>
  <c r="K68" i="20" s="1"/>
  <c r="L68" i="20" s="1"/>
  <c r="B68" i="20"/>
  <c r="C68" i="20" s="1"/>
  <c r="D68" i="20" s="1"/>
  <c r="B67" i="20"/>
  <c r="C67" i="20" s="1"/>
  <c r="D67" i="20" s="1"/>
  <c r="J31" i="20"/>
  <c r="N31" i="20" s="1"/>
  <c r="B45" i="20"/>
  <c r="C45" i="20" s="1"/>
  <c r="D45" i="20" s="1"/>
  <c r="B42" i="20"/>
  <c r="C42" i="20" s="1"/>
  <c r="D42" i="20" s="1"/>
  <c r="B72" i="20"/>
  <c r="C72" i="20" s="1"/>
  <c r="D72" i="20" s="1"/>
  <c r="B43" i="20"/>
  <c r="C43" i="20" s="1"/>
  <c r="D43" i="20" s="1"/>
  <c r="B73" i="20"/>
  <c r="C73" i="20" s="1"/>
  <c r="D73" i="20" s="1"/>
  <c r="B44" i="20"/>
  <c r="C44" i="20" s="1"/>
  <c r="D44" i="20" s="1"/>
  <c r="B74" i="20"/>
  <c r="C74" i="20" s="1"/>
  <c r="D74" i="20" s="1"/>
  <c r="B51" i="20"/>
  <c r="C51" i="20" s="1"/>
  <c r="D51" i="20" s="1"/>
  <c r="B35" i="20"/>
  <c r="C35" i="20" s="1"/>
  <c r="D35" i="20" s="1"/>
  <c r="B59" i="20"/>
  <c r="C59" i="20" s="1"/>
  <c r="D59" i="20" s="1"/>
  <c r="B52" i="20"/>
  <c r="C52" i="20" s="1"/>
  <c r="D52" i="20" s="1"/>
  <c r="B41" i="20"/>
  <c r="C41" i="20" s="1"/>
  <c r="D41" i="20" s="1"/>
  <c r="B40" i="20"/>
  <c r="C40" i="20" s="1"/>
  <c r="D40" i="20" s="1"/>
  <c r="B39" i="20"/>
  <c r="C39" i="20" s="1"/>
  <c r="D39" i="20" s="1"/>
  <c r="B76" i="20"/>
  <c r="C76" i="20" s="1"/>
  <c r="D76" i="20" s="1"/>
  <c r="B54" i="20"/>
  <c r="C54" i="20" s="1"/>
  <c r="D54" i="20" s="1"/>
  <c r="B75" i="20"/>
  <c r="C75" i="20" s="1"/>
  <c r="D75" i="20" s="1"/>
  <c r="B53" i="20"/>
  <c r="C53" i="20" s="1"/>
  <c r="D53" i="20" s="1"/>
  <c r="J124" i="20"/>
  <c r="N124" i="20" s="1"/>
  <c r="J113" i="20"/>
  <c r="N113" i="20" s="1"/>
  <c r="J58" i="20"/>
  <c r="N58" i="20" s="1"/>
  <c r="J111" i="20"/>
  <c r="N111" i="20" s="1"/>
  <c r="J57" i="20"/>
  <c r="J44" i="20"/>
  <c r="J41" i="20"/>
  <c r="N41" i="20" s="1"/>
  <c r="J108" i="20"/>
  <c r="J55" i="20"/>
  <c r="N55" i="20" s="1"/>
  <c r="J100" i="20"/>
  <c r="N100" i="20" s="1"/>
  <c r="J39" i="20"/>
  <c r="N39" i="20" s="1"/>
  <c r="J33" i="20"/>
  <c r="J106" i="20"/>
  <c r="N106" i="20" s="1"/>
  <c r="J52" i="20"/>
  <c r="N52" i="20" s="1"/>
  <c r="J50" i="20"/>
  <c r="N50" i="20" s="1"/>
  <c r="J34" i="20"/>
  <c r="N34" i="20" s="1"/>
  <c r="J105" i="20"/>
  <c r="J98" i="20"/>
  <c r="N98" i="20" s="1"/>
  <c r="J95" i="20"/>
  <c r="N95" i="20" s="1"/>
  <c r="J92" i="20"/>
  <c r="N92" i="20" s="1"/>
  <c r="J89" i="20"/>
  <c r="N89" i="20" s="1"/>
  <c r="N24" i="20"/>
  <c r="B50" i="20"/>
  <c r="C50" i="20" s="1"/>
  <c r="D50" i="20" s="1"/>
  <c r="B34" i="20"/>
  <c r="C34" i="20" s="1"/>
  <c r="D34" i="20" s="1"/>
  <c r="B33" i="20"/>
  <c r="C33" i="20" s="1"/>
  <c r="D33" i="20" s="1"/>
  <c r="B48" i="20"/>
  <c r="C48" i="20" s="1"/>
  <c r="D48" i="20" s="1"/>
  <c r="B63" i="20"/>
  <c r="C63" i="20" s="1"/>
  <c r="D63" i="20" s="1"/>
  <c r="B47" i="20"/>
  <c r="C47" i="20" s="1"/>
  <c r="D47" i="20" s="1"/>
  <c r="B31" i="20"/>
  <c r="C31" i="20" s="1"/>
  <c r="D31" i="20" s="1"/>
  <c r="B49" i="20"/>
  <c r="C49" i="20" s="1"/>
  <c r="D49" i="20" s="1"/>
  <c r="B32" i="20"/>
  <c r="C32" i="20" s="1"/>
  <c r="D32" i="20" s="1"/>
  <c r="B78" i="20"/>
  <c r="C78" i="20" s="1"/>
  <c r="D78" i="20" s="1"/>
  <c r="B62" i="20"/>
  <c r="C62" i="20" s="1"/>
  <c r="D62" i="20" s="1"/>
  <c r="B46" i="20"/>
  <c r="C46" i="20" s="1"/>
  <c r="D46" i="20" s="1"/>
  <c r="B30" i="20"/>
  <c r="B66" i="20"/>
  <c r="C66" i="20" s="1"/>
  <c r="D66" i="20" s="1"/>
  <c r="B29" i="20"/>
  <c r="C29" i="20" s="1"/>
  <c r="D29" i="20" s="1"/>
  <c r="B65" i="20"/>
  <c r="C65" i="20" s="1"/>
  <c r="D65" i="20" s="1"/>
  <c r="B64" i="20"/>
  <c r="C64" i="20" s="1"/>
  <c r="D64" i="20" s="1"/>
  <c r="B77" i="20"/>
  <c r="C77" i="20" s="1"/>
  <c r="D77" i="20" s="1"/>
  <c r="B61" i="20"/>
  <c r="C61" i="20" s="1"/>
  <c r="D61" i="20" s="1"/>
  <c r="J122" i="20"/>
  <c r="N122" i="20" s="1"/>
  <c r="J74" i="20"/>
  <c r="K63" i="20"/>
  <c r="L63" i="20" s="1"/>
  <c r="J72" i="20"/>
  <c r="N72" i="20" s="1"/>
  <c r="J93" i="20"/>
  <c r="N93" i="20" s="1"/>
  <c r="J126" i="20"/>
  <c r="N126" i="20" s="1"/>
  <c r="J118" i="20"/>
  <c r="N118" i="20" s="1"/>
  <c r="J110" i="20"/>
  <c r="N110" i="20" s="1"/>
  <c r="J102" i="20"/>
  <c r="N102" i="20" s="1"/>
  <c r="J94" i="20"/>
  <c r="N94" i="20" s="1"/>
  <c r="J86" i="20"/>
  <c r="N86" i="20" s="1"/>
  <c r="J78" i="20"/>
  <c r="N78" i="20" s="1"/>
  <c r="J70" i="20"/>
  <c r="N70" i="20" s="1"/>
  <c r="J62" i="20"/>
  <c r="N62" i="20" s="1"/>
  <c r="J54" i="20"/>
  <c r="N54" i="20" s="1"/>
  <c r="J46" i="20"/>
  <c r="N46" i="20" s="1"/>
  <c r="J38" i="20"/>
  <c r="N38" i="20" s="1"/>
  <c r="J30" i="20"/>
  <c r="N30" i="20" s="1"/>
  <c r="J56" i="20"/>
  <c r="N56" i="20" s="1"/>
  <c r="J101" i="20"/>
  <c r="N101" i="20" s="1"/>
  <c r="J69" i="20"/>
  <c r="N69" i="20" s="1"/>
  <c r="J53" i="20"/>
  <c r="N53" i="20" s="1"/>
  <c r="J128" i="20"/>
  <c r="N128" i="20" s="1"/>
  <c r="J88" i="20"/>
  <c r="N88" i="20" s="1"/>
  <c r="J64" i="20"/>
  <c r="N64" i="20" s="1"/>
  <c r="J48" i="20"/>
  <c r="N48" i="20" s="1"/>
  <c r="J77" i="20"/>
  <c r="N77" i="20" s="1"/>
  <c r="J61" i="20"/>
  <c r="N61" i="20" s="1"/>
  <c r="J45" i="20"/>
  <c r="N45" i="20" s="1"/>
  <c r="J29" i="20"/>
  <c r="J123" i="20"/>
  <c r="N123" i="20" s="1"/>
  <c r="J115" i="20"/>
  <c r="N115" i="20" s="1"/>
  <c r="J107" i="20"/>
  <c r="N107" i="20" s="1"/>
  <c r="J99" i="20"/>
  <c r="N99" i="20" s="1"/>
  <c r="J91" i="20"/>
  <c r="N91" i="20" s="1"/>
  <c r="J83" i="20"/>
  <c r="N83" i="20" s="1"/>
  <c r="J75" i="20"/>
  <c r="N75" i="20" s="1"/>
  <c r="J67" i="20"/>
  <c r="N67" i="20" s="1"/>
  <c r="J59" i="20"/>
  <c r="N59" i="20" s="1"/>
  <c r="J51" i="20"/>
  <c r="N51" i="20" s="1"/>
  <c r="J43" i="20"/>
  <c r="N43" i="20" s="1"/>
  <c r="J35" i="20"/>
  <c r="N35" i="20" s="1"/>
  <c r="J120" i="20"/>
  <c r="N120" i="20" s="1"/>
  <c r="J112" i="20"/>
  <c r="N112" i="20" s="1"/>
  <c r="J104" i="20"/>
  <c r="N104" i="20" s="1"/>
  <c r="J96" i="20"/>
  <c r="N96" i="20" s="1"/>
  <c r="J80" i="20"/>
  <c r="N80" i="20" s="1"/>
  <c r="J40" i="20"/>
  <c r="N40" i="20" s="1"/>
  <c r="J32" i="20"/>
  <c r="N32" i="20" s="1"/>
  <c r="J117" i="20"/>
  <c r="N117" i="20" s="1"/>
  <c r="J85" i="20"/>
  <c r="N85" i="20" s="1"/>
  <c r="J125" i="20"/>
  <c r="N125" i="20" s="1"/>
  <c r="J109" i="20"/>
  <c r="N109" i="20" s="1"/>
  <c r="J37" i="20"/>
  <c r="N37" i="20" s="1"/>
  <c r="J65" i="20"/>
  <c r="N65" i="20" s="1"/>
  <c r="J82" i="20"/>
  <c r="N82" i="20" s="1"/>
  <c r="J119" i="20"/>
  <c r="N119" i="20" s="1"/>
  <c r="J47" i="20"/>
  <c r="N47" i="20" s="1"/>
  <c r="J84" i="20"/>
  <c r="N84" i="20" s="1"/>
  <c r="J36" i="20"/>
  <c r="N36" i="20" s="1"/>
  <c r="J73" i="20"/>
  <c r="N73" i="20" s="1"/>
  <c r="J90" i="20"/>
  <c r="N90" i="20" s="1"/>
  <c r="J127" i="20"/>
  <c r="N127" i="20" s="1"/>
  <c r="J114" i="20"/>
  <c r="N114" i="20" s="1"/>
  <c r="J49" i="20"/>
  <c r="N49" i="20" s="1"/>
  <c r="J60" i="20"/>
  <c r="N60" i="20" s="1"/>
  <c r="J97" i="20"/>
  <c r="N97" i="20" s="1"/>
  <c r="J66" i="20"/>
  <c r="N66" i="20" s="1"/>
  <c r="J103" i="20"/>
  <c r="N103" i="20" s="1"/>
  <c r="J42" i="20"/>
  <c r="N42" i="20" s="1"/>
  <c r="J79" i="20"/>
  <c r="N79" i="20" s="1"/>
  <c r="J116" i="20"/>
  <c r="N116" i="20" s="1"/>
  <c r="F24" i="20"/>
  <c r="Q35" i="3"/>
  <c r="P36" i="3"/>
  <c r="Q36" i="3" s="1"/>
  <c r="P44" i="3"/>
  <c r="Q44" i="3" s="1"/>
  <c r="P43" i="3"/>
  <c r="Q43" i="3" s="1"/>
  <c r="P41" i="3"/>
  <c r="Q41" i="3" s="1"/>
  <c r="P40" i="3"/>
  <c r="Q40" i="3" s="1"/>
  <c r="P39" i="3"/>
  <c r="Q39" i="3" s="1"/>
  <c r="P38" i="3"/>
  <c r="Q38" i="3" s="1"/>
  <c r="P42" i="3"/>
  <c r="Q42" i="3" s="1"/>
  <c r="E91" i="44" l="1"/>
  <c r="F91" i="44" s="1"/>
  <c r="E118" i="44"/>
  <c r="F118" i="44" s="1"/>
  <c r="E120" i="44"/>
  <c r="F120" i="44" s="1"/>
  <c r="E75" i="44"/>
  <c r="F75" i="44" s="1"/>
  <c r="E109" i="44"/>
  <c r="F109" i="44" s="1"/>
  <c r="E94" i="44"/>
  <c r="F94" i="44" s="1"/>
  <c r="E70" i="44"/>
  <c r="F70" i="44" s="1"/>
  <c r="E86" i="44"/>
  <c r="F86" i="44" s="1"/>
  <c r="E89" i="44"/>
  <c r="F89" i="44" s="1"/>
  <c r="E66" i="44"/>
  <c r="F66" i="44" s="1"/>
  <c r="E76" i="44"/>
  <c r="F76" i="44" s="1"/>
  <c r="E108" i="44"/>
  <c r="F108" i="44" s="1"/>
  <c r="E101" i="44"/>
  <c r="F101" i="44" s="1"/>
  <c r="E73" i="44"/>
  <c r="F73" i="44" s="1"/>
  <c r="E69" i="44"/>
  <c r="E78" i="44"/>
  <c r="F78" i="44" s="1"/>
  <c r="E92" i="44"/>
  <c r="F92" i="44" s="1"/>
  <c r="E119" i="44"/>
  <c r="F119" i="44" s="1"/>
  <c r="E65" i="44"/>
  <c r="F65" i="44" s="1"/>
  <c r="E74" i="44"/>
  <c r="F74" i="44" s="1"/>
  <c r="E116" i="44"/>
  <c r="F116" i="44" s="1"/>
  <c r="E82" i="44"/>
  <c r="F82" i="44" s="1"/>
  <c r="E110" i="44"/>
  <c r="F110" i="44" s="1"/>
  <c r="E115" i="44"/>
  <c r="F115" i="44" s="1"/>
  <c r="E67" i="44"/>
  <c r="F67" i="44" s="1"/>
  <c r="E93" i="44"/>
  <c r="F93" i="44" s="1"/>
  <c r="E105" i="44"/>
  <c r="F105" i="44" s="1"/>
  <c r="E79" i="44"/>
  <c r="F79" i="44" s="1"/>
  <c r="E68" i="44"/>
  <c r="F68" i="44" s="1"/>
  <c r="E64" i="44"/>
  <c r="F64" i="44" s="1"/>
  <c r="E72" i="44"/>
  <c r="F72" i="44" s="1"/>
  <c r="E99" i="44"/>
  <c r="F99" i="44" s="1"/>
  <c r="E114" i="44"/>
  <c r="F114" i="44" s="1"/>
  <c r="E103" i="44"/>
  <c r="F103" i="44" s="1"/>
  <c r="E71" i="44"/>
  <c r="F71" i="44" s="1"/>
  <c r="E85" i="44"/>
  <c r="F85" i="44" s="1"/>
  <c r="E107" i="44"/>
  <c r="F107" i="44" s="1"/>
  <c r="E123" i="44"/>
  <c r="F123" i="44" s="1"/>
  <c r="E96" i="44"/>
  <c r="F96" i="44" s="1"/>
  <c r="E102" i="44"/>
  <c r="F102" i="44" s="1"/>
  <c r="E112" i="44"/>
  <c r="F112" i="44" s="1"/>
  <c r="E98" i="44"/>
  <c r="F98" i="44" s="1"/>
  <c r="E106" i="44"/>
  <c r="F106" i="44" s="1"/>
  <c r="E100" i="44"/>
  <c r="F100" i="44" s="1"/>
  <c r="E111" i="44"/>
  <c r="F111" i="44" s="1"/>
  <c r="E122" i="44"/>
  <c r="F122" i="44" s="1"/>
  <c r="E81" i="44"/>
  <c r="F81" i="44" s="1"/>
  <c r="E124" i="44"/>
  <c r="F124" i="44" s="1"/>
  <c r="E117" i="44"/>
  <c r="F117" i="44" s="1"/>
  <c r="E97" i="44"/>
  <c r="F97" i="44" s="1"/>
  <c r="E90" i="44"/>
  <c r="F90" i="44" s="1"/>
  <c r="E77" i="44"/>
  <c r="F77" i="44" s="1"/>
  <c r="E80" i="44"/>
  <c r="F80" i="44" s="1"/>
  <c r="E84" i="44"/>
  <c r="F84" i="44" s="1"/>
  <c r="E88" i="44"/>
  <c r="F88" i="44" s="1"/>
  <c r="E95" i="44"/>
  <c r="F95" i="44" s="1"/>
  <c r="E121" i="44"/>
  <c r="F121" i="44" s="1"/>
  <c r="E83" i="44"/>
  <c r="F83" i="44" s="1"/>
  <c r="E113" i="44"/>
  <c r="F113" i="44" s="1"/>
  <c r="E87" i="44"/>
  <c r="F87" i="44" s="1"/>
  <c r="E104" i="44"/>
  <c r="F104" i="44" s="1"/>
  <c r="Q63" i="44"/>
  <c r="R63" i="44" s="1"/>
  <c r="D26" i="42"/>
  <c r="P5" i="42" s="1"/>
  <c r="BP25" i="42"/>
  <c r="BO55" i="42" s="1"/>
  <c r="BP55" i="42" s="1"/>
  <c r="BQ55" i="42" s="1"/>
  <c r="BR55" i="42" s="1"/>
  <c r="D96" i="43"/>
  <c r="E96" i="43" s="1"/>
  <c r="F96" i="43" s="1"/>
  <c r="D123" i="43"/>
  <c r="E123" i="43" s="1"/>
  <c r="F123" i="43" s="1"/>
  <c r="D129" i="43"/>
  <c r="E129" i="43" s="1"/>
  <c r="F129" i="43" s="1"/>
  <c r="D108" i="43"/>
  <c r="E108" i="43" s="1"/>
  <c r="F108" i="43" s="1"/>
  <c r="D118" i="43"/>
  <c r="E118" i="43" s="1"/>
  <c r="F118" i="43" s="1"/>
  <c r="D92" i="43"/>
  <c r="E92" i="43" s="1"/>
  <c r="F92" i="43" s="1"/>
  <c r="D102" i="43"/>
  <c r="E102" i="43" s="1"/>
  <c r="F102" i="43" s="1"/>
  <c r="D100" i="43"/>
  <c r="E100" i="43" s="1"/>
  <c r="F100" i="43" s="1"/>
  <c r="D139" i="43"/>
  <c r="E139" i="43" s="1"/>
  <c r="F139" i="43" s="1"/>
  <c r="D107" i="43"/>
  <c r="E107" i="43" s="1"/>
  <c r="F107" i="43" s="1"/>
  <c r="D113" i="43"/>
  <c r="E113" i="43" s="1"/>
  <c r="F113" i="43" s="1"/>
  <c r="D114" i="43"/>
  <c r="E114" i="43" s="1"/>
  <c r="F114" i="43" s="1"/>
  <c r="D98" i="43"/>
  <c r="E98" i="43" s="1"/>
  <c r="F98" i="43" s="1"/>
  <c r="D116" i="43"/>
  <c r="E116" i="43" s="1"/>
  <c r="F116" i="43" s="1"/>
  <c r="D117" i="43"/>
  <c r="E117" i="43" s="1"/>
  <c r="F117" i="43" s="1"/>
  <c r="D128" i="43"/>
  <c r="E128" i="43" s="1"/>
  <c r="F128" i="43" s="1"/>
  <c r="D106" i="43"/>
  <c r="E106" i="43" s="1"/>
  <c r="F106" i="43" s="1"/>
  <c r="D91" i="43"/>
  <c r="E91" i="43" s="1"/>
  <c r="F91" i="43" s="1"/>
  <c r="D97" i="43"/>
  <c r="E97" i="43" s="1"/>
  <c r="F97" i="43" s="1"/>
  <c r="D124" i="43"/>
  <c r="E124" i="43" s="1"/>
  <c r="F124" i="43" s="1"/>
  <c r="D130" i="43"/>
  <c r="E130" i="43" s="1"/>
  <c r="F130" i="43" s="1"/>
  <c r="D134" i="43"/>
  <c r="E134" i="43" s="1"/>
  <c r="F134" i="43" s="1"/>
  <c r="D131" i="43"/>
  <c r="E131" i="43" s="1"/>
  <c r="F131" i="43" s="1"/>
  <c r="D115" i="43"/>
  <c r="E115" i="43" s="1"/>
  <c r="F115" i="43" s="1"/>
  <c r="D137" i="43"/>
  <c r="E137" i="43" s="1"/>
  <c r="F137" i="43" s="1"/>
  <c r="D99" i="43"/>
  <c r="E99" i="43" s="1"/>
  <c r="F99" i="43" s="1"/>
  <c r="D121" i="43"/>
  <c r="E121" i="43" s="1"/>
  <c r="F121" i="43" s="1"/>
  <c r="D127" i="43"/>
  <c r="E127" i="43" s="1"/>
  <c r="F127" i="43" s="1"/>
  <c r="D105" i="43"/>
  <c r="E105" i="43" s="1"/>
  <c r="F105" i="43" s="1"/>
  <c r="D111" i="43"/>
  <c r="E111" i="43" s="1"/>
  <c r="F111" i="43" s="1"/>
  <c r="D132" i="43"/>
  <c r="E132" i="43" s="1"/>
  <c r="F132" i="43" s="1"/>
  <c r="D95" i="43"/>
  <c r="E95" i="43" s="1"/>
  <c r="F95" i="43" s="1"/>
  <c r="D133" i="43"/>
  <c r="E133" i="43" s="1"/>
  <c r="F133" i="43" s="1"/>
  <c r="D138" i="43"/>
  <c r="E138" i="43" s="1"/>
  <c r="F138" i="43" s="1"/>
  <c r="D122" i="43"/>
  <c r="E122" i="43" s="1"/>
  <c r="F122" i="43" s="1"/>
  <c r="D101" i="43"/>
  <c r="E101" i="43" s="1"/>
  <c r="F101" i="43" s="1"/>
  <c r="D112" i="43"/>
  <c r="E112" i="43" s="1"/>
  <c r="F112" i="43" s="1"/>
  <c r="D109" i="43"/>
  <c r="E109" i="43" s="1"/>
  <c r="F109" i="43" s="1"/>
  <c r="D94" i="43"/>
  <c r="E94" i="43" s="1"/>
  <c r="F94" i="43" s="1"/>
  <c r="D104" i="43"/>
  <c r="E104" i="43" s="1"/>
  <c r="F104" i="43" s="1"/>
  <c r="D93" i="43"/>
  <c r="E93" i="43" s="1"/>
  <c r="F93" i="43" s="1"/>
  <c r="D119" i="43"/>
  <c r="E119" i="43" s="1"/>
  <c r="F119" i="43" s="1"/>
  <c r="D103" i="43"/>
  <c r="E103" i="43" s="1"/>
  <c r="F103" i="43" s="1"/>
  <c r="D120" i="43"/>
  <c r="E120" i="43" s="1"/>
  <c r="F120" i="43" s="1"/>
  <c r="D110" i="43"/>
  <c r="E110" i="43" s="1"/>
  <c r="F110" i="43" s="1"/>
  <c r="D136" i="43"/>
  <c r="E136" i="43" s="1"/>
  <c r="F136" i="43" s="1"/>
  <c r="D125" i="43"/>
  <c r="E125" i="43" s="1"/>
  <c r="F125" i="43" s="1"/>
  <c r="D135" i="43"/>
  <c r="E135" i="43" s="1"/>
  <c r="F135" i="43" s="1"/>
  <c r="D126" i="43"/>
  <c r="E126" i="43" s="1"/>
  <c r="F126" i="43" s="1"/>
  <c r="D90" i="43"/>
  <c r="E90" i="43" s="1"/>
  <c r="F90" i="43" s="1"/>
  <c r="DL25" i="42"/>
  <c r="BN73" i="42"/>
  <c r="BN47" i="42"/>
  <c r="BN43" i="42"/>
  <c r="BN51" i="42"/>
  <c r="BN70" i="42"/>
  <c r="BN68" i="42"/>
  <c r="BN52" i="42"/>
  <c r="BN42" i="42"/>
  <c r="BN71" i="42"/>
  <c r="BN79" i="42"/>
  <c r="BN60" i="42"/>
  <c r="BN66" i="42"/>
  <c r="BN39" i="42"/>
  <c r="BN75" i="42"/>
  <c r="BN54" i="42"/>
  <c r="BN81" i="42"/>
  <c r="BN44" i="42"/>
  <c r="BN40" i="42"/>
  <c r="BN78" i="42"/>
  <c r="BN35" i="42"/>
  <c r="BN53" i="42"/>
  <c r="BN61" i="42"/>
  <c r="BN45" i="42"/>
  <c r="BO45" i="42" s="1"/>
  <c r="BP45" i="42" s="1"/>
  <c r="BQ45" i="42" s="1"/>
  <c r="BR45" i="42" s="1"/>
  <c r="BN34" i="42"/>
  <c r="BN41" i="42"/>
  <c r="BN80" i="42"/>
  <c r="BN32" i="42"/>
  <c r="BN63" i="42"/>
  <c r="BN62" i="42"/>
  <c r="BN67" i="42"/>
  <c r="BN76" i="42"/>
  <c r="BN49" i="42"/>
  <c r="BN77" i="42"/>
  <c r="BN33" i="42"/>
  <c r="BN69" i="42"/>
  <c r="BN50" i="42"/>
  <c r="BN46" i="42"/>
  <c r="BN38" i="42"/>
  <c r="BN59" i="42"/>
  <c r="BN65" i="42"/>
  <c r="BN56" i="42"/>
  <c r="BN57" i="42"/>
  <c r="BN58" i="42"/>
  <c r="BN55" i="42"/>
  <c r="BS26" i="42"/>
  <c r="BN36" i="42"/>
  <c r="BN72" i="42"/>
  <c r="BN74" i="42"/>
  <c r="BN37" i="42"/>
  <c r="BN64" i="42"/>
  <c r="BN48" i="42"/>
  <c r="P11" i="42"/>
  <c r="H30" i="30" s="1"/>
  <c r="DL26" i="42"/>
  <c r="P12" i="42" s="1"/>
  <c r="H31" i="30" s="1"/>
  <c r="BP25" i="41"/>
  <c r="BV32" i="41" s="1"/>
  <c r="BW32" i="41" s="1"/>
  <c r="BX32" i="41" s="1"/>
  <c r="AZ25" i="41"/>
  <c r="DZ37" i="42"/>
  <c r="EA37" i="42" s="1"/>
  <c r="EB37" i="42" s="1"/>
  <c r="DZ45" i="42"/>
  <c r="DZ79" i="42"/>
  <c r="DZ81" i="42"/>
  <c r="EA81" i="42" s="1"/>
  <c r="EB81" i="42" s="1"/>
  <c r="DZ73" i="42"/>
  <c r="DZ49" i="42"/>
  <c r="EA49" i="42" s="1"/>
  <c r="EB49" i="42" s="1"/>
  <c r="EC49" i="42" s="1"/>
  <c r="ED49" i="42" s="1"/>
  <c r="DZ42" i="42"/>
  <c r="EA42" i="42" s="1"/>
  <c r="EB42" i="42" s="1"/>
  <c r="EC42" i="42" s="1"/>
  <c r="ED42" i="42" s="1"/>
  <c r="DZ40" i="42"/>
  <c r="EA40" i="42" s="1"/>
  <c r="EB40" i="42" s="1"/>
  <c r="DZ72" i="42"/>
  <c r="EA72" i="42" s="1"/>
  <c r="EB72" i="42" s="1"/>
  <c r="DZ61" i="42"/>
  <c r="EA61" i="42" s="1"/>
  <c r="EB61" i="42" s="1"/>
  <c r="DZ33" i="42"/>
  <c r="EA33" i="42" s="1"/>
  <c r="EB33" i="42" s="1"/>
  <c r="DZ80" i="42"/>
  <c r="EA80" i="42" s="1"/>
  <c r="EB80" i="42" s="1"/>
  <c r="DZ60" i="42"/>
  <c r="EA60" i="42" s="1"/>
  <c r="EB60" i="42" s="1"/>
  <c r="DZ66" i="42"/>
  <c r="EA66" i="42" s="1"/>
  <c r="EB66" i="42" s="1"/>
  <c r="EC66" i="42" s="1"/>
  <c r="ED66" i="42" s="1"/>
  <c r="DZ65" i="42"/>
  <c r="EA65" i="42" s="1"/>
  <c r="EB65" i="42" s="1"/>
  <c r="EC65" i="42" s="1"/>
  <c r="ED65" i="42" s="1"/>
  <c r="DZ63" i="42"/>
  <c r="EA63" i="42" s="1"/>
  <c r="EB63" i="42" s="1"/>
  <c r="EC63" i="42" s="1"/>
  <c r="ED63" i="42" s="1"/>
  <c r="DZ71" i="42"/>
  <c r="EA71" i="42" s="1"/>
  <c r="EB71" i="42" s="1"/>
  <c r="DZ36" i="42"/>
  <c r="EA36" i="42" s="1"/>
  <c r="EB36" i="42" s="1"/>
  <c r="DZ56" i="42"/>
  <c r="EA56" i="42" s="1"/>
  <c r="EB56" i="42" s="1"/>
  <c r="DZ75" i="42"/>
  <c r="DZ64" i="42"/>
  <c r="EA64" i="42" s="1"/>
  <c r="EB64" i="42" s="1"/>
  <c r="EC64" i="42" s="1"/>
  <c r="ED64" i="42" s="1"/>
  <c r="DZ55" i="42"/>
  <c r="EA55" i="42" s="1"/>
  <c r="EB55" i="42" s="1"/>
  <c r="EC55" i="42" s="1"/>
  <c r="ED55" i="42" s="1"/>
  <c r="DZ69" i="42"/>
  <c r="EA69" i="42" s="1"/>
  <c r="EB69" i="42" s="1"/>
  <c r="EC69" i="42" s="1"/>
  <c r="ED69" i="42" s="1"/>
  <c r="DZ78" i="42"/>
  <c r="EA78" i="42" s="1"/>
  <c r="EB78" i="42" s="1"/>
  <c r="DZ38" i="42"/>
  <c r="EA38" i="42" s="1"/>
  <c r="EB38" i="42" s="1"/>
  <c r="DZ74" i="42"/>
  <c r="EA74" i="42" s="1"/>
  <c r="EB74" i="42" s="1"/>
  <c r="DZ58" i="42"/>
  <c r="EA58" i="42" s="1"/>
  <c r="EB58" i="42" s="1"/>
  <c r="DZ77" i="42"/>
  <c r="EA77" i="42" s="1"/>
  <c r="EB77" i="42" s="1"/>
  <c r="DZ59" i="42"/>
  <c r="EA59" i="42" s="1"/>
  <c r="EB59" i="42" s="1"/>
  <c r="DZ48" i="42"/>
  <c r="EA48" i="42" s="1"/>
  <c r="EB48" i="42" s="1"/>
  <c r="EC48" i="42" s="1"/>
  <c r="ED48" i="42" s="1"/>
  <c r="DZ50" i="42"/>
  <c r="EA50" i="42" s="1"/>
  <c r="EB50" i="42" s="1"/>
  <c r="EC50" i="42" s="1"/>
  <c r="ED50" i="42" s="1"/>
  <c r="DZ35" i="42"/>
  <c r="EA35" i="42" s="1"/>
  <c r="EB35" i="42" s="1"/>
  <c r="EC35" i="42" s="1"/>
  <c r="ED35" i="42" s="1"/>
  <c r="DZ53" i="42"/>
  <c r="DZ51" i="42"/>
  <c r="DZ32" i="42"/>
  <c r="DZ54" i="42"/>
  <c r="EA54" i="42" s="1"/>
  <c r="EB54" i="42" s="1"/>
  <c r="EE26" i="42"/>
  <c r="DZ43" i="42"/>
  <c r="EA43" i="42" s="1"/>
  <c r="EB43" i="42" s="1"/>
  <c r="EC43" i="42" s="1"/>
  <c r="ED43" i="42" s="1"/>
  <c r="DZ76" i="42"/>
  <c r="EA76" i="42" s="1"/>
  <c r="EB76" i="42" s="1"/>
  <c r="EC76" i="42" s="1"/>
  <c r="ED76" i="42" s="1"/>
  <c r="DZ62" i="42"/>
  <c r="EA62" i="42" s="1"/>
  <c r="EB62" i="42" s="1"/>
  <c r="DZ39" i="42"/>
  <c r="EA39" i="42" s="1"/>
  <c r="EB39" i="42" s="1"/>
  <c r="DZ57" i="42"/>
  <c r="EA57" i="42" s="1"/>
  <c r="EB57" i="42" s="1"/>
  <c r="EC57" i="42" s="1"/>
  <c r="ED57" i="42" s="1"/>
  <c r="DZ67" i="42"/>
  <c r="DZ52" i="42"/>
  <c r="EA52" i="42" s="1"/>
  <c r="EB52" i="42" s="1"/>
  <c r="DZ34" i="42"/>
  <c r="EA34" i="42" s="1"/>
  <c r="EB34" i="42" s="1"/>
  <c r="DZ47" i="42"/>
  <c r="EA47" i="42" s="1"/>
  <c r="EB47" i="42" s="1"/>
  <c r="DZ41" i="42"/>
  <c r="EA41" i="42" s="1"/>
  <c r="EB41" i="42" s="1"/>
  <c r="DZ46" i="42"/>
  <c r="EA46" i="42" s="1"/>
  <c r="EB46" i="42" s="1"/>
  <c r="EC46" i="42" s="1"/>
  <c r="ED46" i="42" s="1"/>
  <c r="DZ68" i="42"/>
  <c r="EA68" i="42" s="1"/>
  <c r="EB68" i="42" s="1"/>
  <c r="DZ70" i="42"/>
  <c r="EA70" i="42" s="1"/>
  <c r="EB70" i="42" s="1"/>
  <c r="DZ44" i="42"/>
  <c r="O9" i="42"/>
  <c r="G28" i="30" s="1"/>
  <c r="BO74" i="42"/>
  <c r="BP74" i="42" s="1"/>
  <c r="BO57" i="42"/>
  <c r="BP57" i="42" s="1"/>
  <c r="BQ57" i="42" s="1"/>
  <c r="BR57" i="42" s="1"/>
  <c r="EH42" i="42"/>
  <c r="EI42" i="42" s="1"/>
  <c r="EJ42" i="42" s="1"/>
  <c r="EH40" i="42"/>
  <c r="EI40" i="42" s="1"/>
  <c r="EH39" i="42"/>
  <c r="EI39" i="42" s="1"/>
  <c r="EA44" i="42"/>
  <c r="EB44" i="42" s="1"/>
  <c r="EC44" i="42" s="1"/>
  <c r="ED44" i="42" s="1"/>
  <c r="EA45" i="42"/>
  <c r="EB45" i="42" s="1"/>
  <c r="EC45" i="42" s="1"/>
  <c r="ED45" i="42" s="1"/>
  <c r="EA75" i="42"/>
  <c r="EB75" i="42" s="1"/>
  <c r="EC75" i="42" s="1"/>
  <c r="ED75" i="42" s="1"/>
  <c r="EH33" i="42"/>
  <c r="EI33" i="42" s="1"/>
  <c r="EH36" i="42"/>
  <c r="EI36" i="42" s="1"/>
  <c r="EA32" i="42"/>
  <c r="EB32" i="42" s="1"/>
  <c r="EH38" i="42"/>
  <c r="EI38" i="42" s="1"/>
  <c r="EJ38" i="42" s="1"/>
  <c r="EH41" i="42"/>
  <c r="EI41" i="42" s="1"/>
  <c r="EH35" i="42"/>
  <c r="EI35" i="42" s="1"/>
  <c r="O13" i="42"/>
  <c r="G32" i="30" s="1"/>
  <c r="EA51" i="42"/>
  <c r="EB51" i="42" s="1"/>
  <c r="EA67" i="42"/>
  <c r="EB67" i="42" s="1"/>
  <c r="EC67" i="42" s="1"/>
  <c r="ED67" i="42" s="1"/>
  <c r="EH32" i="42"/>
  <c r="EI32" i="42" s="1"/>
  <c r="EA53" i="42"/>
  <c r="EB53" i="42" s="1"/>
  <c r="EC53" i="42" s="1"/>
  <c r="ED53" i="42" s="1"/>
  <c r="EA73" i="42"/>
  <c r="EB73" i="42" s="1"/>
  <c r="EC73" i="42" s="1"/>
  <c r="ED73" i="42" s="1"/>
  <c r="EH34" i="42"/>
  <c r="EI34" i="42" s="1"/>
  <c r="EH37" i="42"/>
  <c r="EI37" i="42" s="1"/>
  <c r="EJ37" i="42" s="1"/>
  <c r="EA79" i="42"/>
  <c r="EB79" i="42" s="1"/>
  <c r="EH43" i="42"/>
  <c r="EI43" i="42" s="1"/>
  <c r="EJ43" i="42" s="1"/>
  <c r="DJ41" i="42"/>
  <c r="DJ48" i="42"/>
  <c r="DJ61" i="42"/>
  <c r="DJ44" i="42"/>
  <c r="DJ64" i="42"/>
  <c r="DJ43" i="42"/>
  <c r="DJ51" i="42"/>
  <c r="DJ36" i="42"/>
  <c r="DJ32" i="42"/>
  <c r="DJ37" i="42"/>
  <c r="DO26" i="42"/>
  <c r="DJ70" i="42"/>
  <c r="DJ33" i="42"/>
  <c r="DJ52" i="42"/>
  <c r="DJ79" i="42"/>
  <c r="DJ65" i="42"/>
  <c r="DJ40" i="42"/>
  <c r="DJ69" i="42"/>
  <c r="DJ45" i="42"/>
  <c r="DJ67" i="42"/>
  <c r="DJ78" i="42"/>
  <c r="DJ34" i="42"/>
  <c r="DJ54" i="42"/>
  <c r="DJ58" i="42"/>
  <c r="DJ53" i="42"/>
  <c r="DJ56" i="42"/>
  <c r="DJ68" i="42"/>
  <c r="DJ47" i="42"/>
  <c r="DJ66" i="42"/>
  <c r="DJ71" i="42"/>
  <c r="DJ81" i="42"/>
  <c r="DJ72" i="42"/>
  <c r="DJ42" i="42"/>
  <c r="DJ73" i="42"/>
  <c r="DJ39" i="42"/>
  <c r="DJ38" i="42"/>
  <c r="DJ57" i="42"/>
  <c r="DJ46" i="42"/>
  <c r="DJ50" i="42"/>
  <c r="DJ63" i="42"/>
  <c r="DJ74" i="42"/>
  <c r="DJ77" i="42"/>
  <c r="DJ55" i="42"/>
  <c r="DJ62" i="42"/>
  <c r="DJ60" i="42"/>
  <c r="DJ75" i="42"/>
  <c r="DJ49" i="42"/>
  <c r="DJ59" i="42"/>
  <c r="DJ80" i="42"/>
  <c r="DJ35" i="42"/>
  <c r="DJ76" i="42"/>
  <c r="BP26" i="41"/>
  <c r="P9" i="41" s="1"/>
  <c r="H24" i="30" s="1"/>
  <c r="BP26" i="42"/>
  <c r="P9" i="42" s="1"/>
  <c r="H28" i="30" s="1"/>
  <c r="D88" i="43"/>
  <c r="E88" i="43" s="1"/>
  <c r="F88" i="43" s="1"/>
  <c r="D72" i="43"/>
  <c r="E72" i="43" s="1"/>
  <c r="F72" i="43" s="1"/>
  <c r="D56" i="43"/>
  <c r="E56" i="43" s="1"/>
  <c r="F56" i="43" s="1"/>
  <c r="D51" i="43"/>
  <c r="E51" i="43" s="1"/>
  <c r="F51" i="43" s="1"/>
  <c r="D47" i="43"/>
  <c r="E47" i="43" s="1"/>
  <c r="F47" i="43" s="1"/>
  <c r="D75" i="43"/>
  <c r="E75" i="43" s="1"/>
  <c r="F75" i="43" s="1"/>
  <c r="D59" i="43"/>
  <c r="E59" i="43" s="1"/>
  <c r="F59" i="43" s="1"/>
  <c r="D76" i="43"/>
  <c r="E76" i="43" s="1"/>
  <c r="F76" i="43" s="1"/>
  <c r="D60" i="43"/>
  <c r="E60" i="43" s="1"/>
  <c r="F60" i="43" s="1"/>
  <c r="D50" i="43"/>
  <c r="E50" i="43" s="1"/>
  <c r="F50" i="43" s="1"/>
  <c r="D46" i="43"/>
  <c r="E46" i="43" s="1"/>
  <c r="F46" i="43" s="1"/>
  <c r="D74" i="43"/>
  <c r="E74" i="43" s="1"/>
  <c r="F74" i="43" s="1"/>
  <c r="D58" i="43"/>
  <c r="E58" i="43" s="1"/>
  <c r="F58" i="43" s="1"/>
  <c r="D78" i="43"/>
  <c r="E78" i="43" s="1"/>
  <c r="F78" i="43" s="1"/>
  <c r="D66" i="43"/>
  <c r="E66" i="43" s="1"/>
  <c r="F66" i="43" s="1"/>
  <c r="K48" i="43"/>
  <c r="L48" i="43" s="1"/>
  <c r="D89" i="43"/>
  <c r="E89" i="43" s="1"/>
  <c r="F89" i="43" s="1"/>
  <c r="D54" i="43"/>
  <c r="E54" i="43" s="1"/>
  <c r="F54" i="43" s="1"/>
  <c r="K49" i="43"/>
  <c r="L49" i="43" s="1"/>
  <c r="K47" i="43"/>
  <c r="L47" i="43" s="1"/>
  <c r="D83" i="43"/>
  <c r="E83" i="43" s="1"/>
  <c r="F83" i="43" s="1"/>
  <c r="D77" i="43"/>
  <c r="E77" i="43" s="1"/>
  <c r="F77" i="43" s="1"/>
  <c r="K50" i="43"/>
  <c r="L50" i="43" s="1"/>
  <c r="D71" i="43"/>
  <c r="E71" i="43" s="1"/>
  <c r="F71" i="43" s="1"/>
  <c r="D65" i="43"/>
  <c r="E65" i="43" s="1"/>
  <c r="F65" i="43" s="1"/>
  <c r="D82" i="43"/>
  <c r="E82" i="43" s="1"/>
  <c r="F82" i="43" s="1"/>
  <c r="D45" i="43"/>
  <c r="E45" i="43" s="1"/>
  <c r="F45" i="43" s="1"/>
  <c r="D87" i="43"/>
  <c r="E87" i="43" s="1"/>
  <c r="F87" i="43" s="1"/>
  <c r="D81" i="43"/>
  <c r="E81" i="43" s="1"/>
  <c r="F81" i="43" s="1"/>
  <c r="D52" i="43"/>
  <c r="E52" i="43" s="1"/>
  <c r="F52" i="43" s="1"/>
  <c r="D84" i="43"/>
  <c r="E84" i="43" s="1"/>
  <c r="F84" i="43" s="1"/>
  <c r="D55" i="43"/>
  <c r="E55" i="43" s="1"/>
  <c r="F55" i="43" s="1"/>
  <c r="K45" i="43"/>
  <c r="L45" i="43" s="1"/>
  <c r="K41" i="43"/>
  <c r="L41" i="43" s="1"/>
  <c r="D53" i="43"/>
  <c r="E53" i="43" s="1"/>
  <c r="F53" i="43" s="1"/>
  <c r="D85" i="43"/>
  <c r="E85" i="43" s="1"/>
  <c r="F85" i="43" s="1"/>
  <c r="D86" i="43"/>
  <c r="E86" i="43" s="1"/>
  <c r="F86" i="43" s="1"/>
  <c r="D80" i="43"/>
  <c r="E80" i="43" s="1"/>
  <c r="F80" i="43" s="1"/>
  <c r="D40" i="43"/>
  <c r="E40" i="43" s="1"/>
  <c r="K46" i="43"/>
  <c r="L46" i="43" s="1"/>
  <c r="K43" i="43"/>
  <c r="L43" i="43" s="1"/>
  <c r="D42" i="43"/>
  <c r="E42" i="43" s="1"/>
  <c r="F42" i="43" s="1"/>
  <c r="D69" i="43"/>
  <c r="E69" i="43" s="1"/>
  <c r="F69" i="43" s="1"/>
  <c r="D67" i="43"/>
  <c r="E67" i="43" s="1"/>
  <c r="F67" i="43" s="1"/>
  <c r="D57" i="43"/>
  <c r="E57" i="43" s="1"/>
  <c r="F57" i="43" s="1"/>
  <c r="K44" i="43"/>
  <c r="L44" i="43" s="1"/>
  <c r="D68" i="43"/>
  <c r="E68" i="43" s="1"/>
  <c r="F68" i="43" s="1"/>
  <c r="K51" i="43"/>
  <c r="L51" i="43" s="1"/>
  <c r="D70" i="43"/>
  <c r="E70" i="43" s="1"/>
  <c r="F70" i="43" s="1"/>
  <c r="D73" i="43"/>
  <c r="E73" i="43" s="1"/>
  <c r="F73" i="43" s="1"/>
  <c r="D63" i="43"/>
  <c r="E63" i="43" s="1"/>
  <c r="F63" i="43" s="1"/>
  <c r="D44" i="43"/>
  <c r="E44" i="43" s="1"/>
  <c r="F44" i="43" s="1"/>
  <c r="D79" i="43"/>
  <c r="E79" i="43" s="1"/>
  <c r="F79" i="43" s="1"/>
  <c r="D49" i="43"/>
  <c r="E49" i="43" s="1"/>
  <c r="F49" i="43" s="1"/>
  <c r="D48" i="43"/>
  <c r="E48" i="43" s="1"/>
  <c r="F48" i="43" s="1"/>
  <c r="D62" i="43"/>
  <c r="E62" i="43" s="1"/>
  <c r="F62" i="43" s="1"/>
  <c r="D43" i="43"/>
  <c r="E43" i="43" s="1"/>
  <c r="F43" i="43" s="1"/>
  <c r="K42" i="43"/>
  <c r="L42" i="43" s="1"/>
  <c r="D61" i="43"/>
  <c r="E61" i="43" s="1"/>
  <c r="F61" i="43" s="1"/>
  <c r="D41" i="43"/>
  <c r="E41" i="43" s="1"/>
  <c r="F41" i="43" s="1"/>
  <c r="D64" i="43"/>
  <c r="E64" i="43" s="1"/>
  <c r="F64" i="43" s="1"/>
  <c r="CV25" i="42"/>
  <c r="CY22" i="42"/>
  <c r="CY24" i="42" s="1"/>
  <c r="T25" i="41"/>
  <c r="Z40" i="41" s="1"/>
  <c r="AA40" i="41" s="1"/>
  <c r="AB40" i="41" s="1"/>
  <c r="AZ26" i="41"/>
  <c r="P8" i="41" s="1"/>
  <c r="H23" i="30" s="1"/>
  <c r="AJ26" i="41"/>
  <c r="P7" i="41" s="1"/>
  <c r="H22" i="30" s="1"/>
  <c r="AJ25" i="41"/>
  <c r="R56" i="37"/>
  <c r="S56" i="37" s="1"/>
  <c r="T56" i="37" s="1"/>
  <c r="R64" i="37"/>
  <c r="S64" i="37" s="1"/>
  <c r="T64" i="37" s="1"/>
  <c r="R65" i="37"/>
  <c r="S65" i="37" s="1"/>
  <c r="T65" i="37" s="1"/>
  <c r="R59" i="37"/>
  <c r="S59" i="37" s="1"/>
  <c r="T59" i="37" s="1"/>
  <c r="R35" i="37"/>
  <c r="R47" i="37"/>
  <c r="R69" i="37"/>
  <c r="S69" i="37" s="1"/>
  <c r="T69" i="37" s="1"/>
  <c r="R70" i="37"/>
  <c r="S70" i="37" s="1"/>
  <c r="T70" i="37" s="1"/>
  <c r="R52" i="37"/>
  <c r="S52" i="37" s="1"/>
  <c r="T52" i="37" s="1"/>
  <c r="W26" i="37"/>
  <c r="R41" i="37"/>
  <c r="S41" i="37" s="1"/>
  <c r="T41" i="37" s="1"/>
  <c r="U41" i="37" s="1"/>
  <c r="V41" i="37" s="1"/>
  <c r="R72" i="37"/>
  <c r="S72" i="37" s="1"/>
  <c r="T72" i="37" s="1"/>
  <c r="R51" i="37"/>
  <c r="R66" i="37"/>
  <c r="S66" i="37" s="1"/>
  <c r="T66" i="37" s="1"/>
  <c r="R49" i="37"/>
  <c r="R45" i="37"/>
  <c r="R53" i="37"/>
  <c r="R33" i="37"/>
  <c r="S33" i="37" s="1"/>
  <c r="T33" i="37" s="1"/>
  <c r="R38" i="37"/>
  <c r="S38" i="37" s="1"/>
  <c r="T38" i="37" s="1"/>
  <c r="R54" i="37"/>
  <c r="S54" i="37" s="1"/>
  <c r="T54" i="37" s="1"/>
  <c r="R80" i="37"/>
  <c r="S80" i="37" s="1"/>
  <c r="T80" i="37" s="1"/>
  <c r="R39" i="37"/>
  <c r="S39" i="37" s="1"/>
  <c r="T39" i="37" s="1"/>
  <c r="R44" i="37"/>
  <c r="S44" i="37" s="1"/>
  <c r="T44" i="37" s="1"/>
  <c r="R48" i="37"/>
  <c r="S48" i="37" s="1"/>
  <c r="T48" i="37" s="1"/>
  <c r="R46" i="37"/>
  <c r="S46" i="37" s="1"/>
  <c r="T46" i="37" s="1"/>
  <c r="R76" i="37"/>
  <c r="S76" i="37" s="1"/>
  <c r="T76" i="37" s="1"/>
  <c r="U76" i="37" s="1"/>
  <c r="V76" i="37" s="1"/>
  <c r="R67" i="37"/>
  <c r="S67" i="37" s="1"/>
  <c r="T67" i="37" s="1"/>
  <c r="U67" i="37" s="1"/>
  <c r="V67" i="37" s="1"/>
  <c r="R75" i="37"/>
  <c r="S75" i="37" s="1"/>
  <c r="T75" i="37" s="1"/>
  <c r="R63" i="37"/>
  <c r="S63" i="37" s="1"/>
  <c r="T63" i="37" s="1"/>
  <c r="R60" i="37"/>
  <c r="S60" i="37" s="1"/>
  <c r="T60" i="37" s="1"/>
  <c r="R61" i="37"/>
  <c r="R71" i="37"/>
  <c r="R81" i="37"/>
  <c r="S81" i="37" s="1"/>
  <c r="T81" i="37" s="1"/>
  <c r="R62" i="37"/>
  <c r="R77" i="37"/>
  <c r="S77" i="37" s="1"/>
  <c r="T77" i="37" s="1"/>
  <c r="R68" i="37"/>
  <c r="S68" i="37" s="1"/>
  <c r="T68" i="37" s="1"/>
  <c r="R37" i="37"/>
  <c r="S37" i="37" s="1"/>
  <c r="T37" i="37" s="1"/>
  <c r="R32" i="37"/>
  <c r="R50" i="37"/>
  <c r="S50" i="37" s="1"/>
  <c r="T50" i="37" s="1"/>
  <c r="R40" i="37"/>
  <c r="R78" i="37"/>
  <c r="S78" i="37" s="1"/>
  <c r="T78" i="37" s="1"/>
  <c r="R58" i="37"/>
  <c r="S58" i="37" s="1"/>
  <c r="T58" i="37" s="1"/>
  <c r="U58" i="37" s="1"/>
  <c r="V58" i="37" s="1"/>
  <c r="R73" i="37"/>
  <c r="S73" i="37" s="1"/>
  <c r="T73" i="37" s="1"/>
  <c r="U73" i="37" s="1"/>
  <c r="V73" i="37" s="1"/>
  <c r="R43" i="37"/>
  <c r="S43" i="37" s="1"/>
  <c r="T43" i="37" s="1"/>
  <c r="R74" i="37"/>
  <c r="S74" i="37" s="1"/>
  <c r="T74" i="37" s="1"/>
  <c r="R79" i="37"/>
  <c r="S79" i="37" s="1"/>
  <c r="T79" i="37" s="1"/>
  <c r="R57" i="37"/>
  <c r="R34" i="37"/>
  <c r="R36" i="37"/>
  <c r="R42" i="37"/>
  <c r="R55" i="37"/>
  <c r="S55" i="37" s="1"/>
  <c r="T55" i="37" s="1"/>
  <c r="AZ25" i="42"/>
  <c r="O8" i="42" s="1"/>
  <c r="G27" i="30" s="1"/>
  <c r="CF26" i="42"/>
  <c r="P10" i="42" s="1"/>
  <c r="H29" i="30" s="1"/>
  <c r="CF25" i="42"/>
  <c r="O10" i="42" s="1"/>
  <c r="G29" i="30" s="1"/>
  <c r="W22" i="42"/>
  <c r="W24" i="42" s="1"/>
  <c r="J3" i="42"/>
  <c r="J4" i="42" s="1"/>
  <c r="AX66" i="42"/>
  <c r="AX50" i="42"/>
  <c r="AX73" i="42"/>
  <c r="AX57" i="42"/>
  <c r="AX80" i="42"/>
  <c r="AX64" i="42"/>
  <c r="AX48" i="42"/>
  <c r="AX71" i="42"/>
  <c r="AX55" i="42"/>
  <c r="AX54" i="42"/>
  <c r="AX77" i="42"/>
  <c r="AX65" i="42"/>
  <c r="AX53" i="42"/>
  <c r="AX39" i="42"/>
  <c r="AX76" i="42"/>
  <c r="AX36" i="42"/>
  <c r="AX32" i="42"/>
  <c r="AX59" i="42"/>
  <c r="AX47" i="42"/>
  <c r="AX38" i="42"/>
  <c r="AX75" i="42"/>
  <c r="AX63" i="42"/>
  <c r="AX51" i="42"/>
  <c r="AX40" i="42"/>
  <c r="AX81" i="42"/>
  <c r="AX60" i="42"/>
  <c r="AX56" i="42"/>
  <c r="AX45" i="42"/>
  <c r="AX46" i="42"/>
  <c r="AX43" i="42"/>
  <c r="BC26" i="42"/>
  <c r="AX33" i="42"/>
  <c r="AX72" i="42"/>
  <c r="AX78" i="42"/>
  <c r="AX52" i="42"/>
  <c r="AX34" i="42"/>
  <c r="AX61" i="42"/>
  <c r="AX68" i="42"/>
  <c r="AX70" i="42"/>
  <c r="AX58" i="42"/>
  <c r="AX41" i="42"/>
  <c r="AX35" i="42"/>
  <c r="AX62" i="42"/>
  <c r="AX67" i="42"/>
  <c r="AX44" i="42"/>
  <c r="AX79" i="42"/>
  <c r="AX42" i="42"/>
  <c r="AX69" i="42"/>
  <c r="AX49" i="42"/>
  <c r="AX74" i="42"/>
  <c r="AX37" i="42"/>
  <c r="AH79" i="42"/>
  <c r="AH63" i="42"/>
  <c r="AH47" i="42"/>
  <c r="AH70" i="42"/>
  <c r="AH54" i="42"/>
  <c r="AH77" i="42"/>
  <c r="AH61" i="42"/>
  <c r="AH45" i="42"/>
  <c r="AH68" i="42"/>
  <c r="AH52" i="42"/>
  <c r="AH67" i="42"/>
  <c r="AH55" i="42"/>
  <c r="AH78" i="42"/>
  <c r="AH66" i="42"/>
  <c r="AH49" i="42"/>
  <c r="AH43" i="42"/>
  <c r="AH33" i="42"/>
  <c r="AH72" i="42"/>
  <c r="AH60" i="42"/>
  <c r="AH48" i="42"/>
  <c r="AH76" i="42"/>
  <c r="AH64" i="42"/>
  <c r="AH41" i="42"/>
  <c r="AH75" i="42"/>
  <c r="AH74" i="42"/>
  <c r="AH80" i="42"/>
  <c r="AH37" i="42"/>
  <c r="AH34" i="42"/>
  <c r="AH81" i="42"/>
  <c r="AH65" i="42"/>
  <c r="AH44" i="42"/>
  <c r="AH71" i="42"/>
  <c r="AH50" i="42"/>
  <c r="AH46" i="42"/>
  <c r="AH35" i="42"/>
  <c r="AH51" i="42"/>
  <c r="AH39" i="42"/>
  <c r="AH57" i="42"/>
  <c r="AH40" i="42"/>
  <c r="AH59" i="42"/>
  <c r="AH32" i="42"/>
  <c r="AH42" i="42"/>
  <c r="AH36" i="42"/>
  <c r="AH73" i="42"/>
  <c r="AH56" i="42"/>
  <c r="AH38" i="42"/>
  <c r="AH62" i="42"/>
  <c r="AH58" i="42"/>
  <c r="AM26" i="42"/>
  <c r="AH69" i="42"/>
  <c r="AH53" i="42"/>
  <c r="B48" i="41"/>
  <c r="B74" i="41"/>
  <c r="B49" i="41"/>
  <c r="B60" i="41"/>
  <c r="B66" i="41"/>
  <c r="B68" i="41"/>
  <c r="B77" i="41"/>
  <c r="B40" i="41"/>
  <c r="B75" i="41"/>
  <c r="B64" i="41"/>
  <c r="B43" i="41"/>
  <c r="B42" i="41"/>
  <c r="B61" i="41"/>
  <c r="B33" i="41"/>
  <c r="B35" i="41"/>
  <c r="B47" i="41"/>
  <c r="B76" i="41"/>
  <c r="B54" i="41"/>
  <c r="B39" i="41"/>
  <c r="B72" i="41"/>
  <c r="B50" i="41"/>
  <c r="B71" i="41"/>
  <c r="B55" i="41"/>
  <c r="B37" i="41"/>
  <c r="B78" i="41"/>
  <c r="B62" i="41"/>
  <c r="G26" i="41"/>
  <c r="B57" i="41"/>
  <c r="B67" i="41"/>
  <c r="B51" i="41"/>
  <c r="B46" i="41"/>
  <c r="B53" i="41"/>
  <c r="B59" i="41"/>
  <c r="B41" i="41"/>
  <c r="B56" i="41"/>
  <c r="B34" i="41"/>
  <c r="B45" i="41"/>
  <c r="B73" i="41"/>
  <c r="B36" i="41"/>
  <c r="B63" i="41"/>
  <c r="B65" i="41"/>
  <c r="B81" i="41"/>
  <c r="B79" i="41"/>
  <c r="B38" i="41"/>
  <c r="B69" i="41"/>
  <c r="B58" i="41"/>
  <c r="B32" i="41"/>
  <c r="B70" i="41"/>
  <c r="B44" i="41"/>
  <c r="B52" i="41"/>
  <c r="B80" i="41"/>
  <c r="AZ26" i="42"/>
  <c r="P8" i="42" s="1"/>
  <c r="H27" i="30" s="1"/>
  <c r="W22" i="41"/>
  <c r="W24" i="41" s="1"/>
  <c r="J3" i="41"/>
  <c r="J4" i="41" s="1"/>
  <c r="AJ26" i="42"/>
  <c r="P7" i="42" s="1"/>
  <c r="H26" i="30" s="1"/>
  <c r="D25" i="41"/>
  <c r="D25" i="42"/>
  <c r="CD69" i="42"/>
  <c r="CE69" i="42" s="1"/>
  <c r="CF69" i="42" s="1"/>
  <c r="CD53" i="42"/>
  <c r="CE53" i="42" s="1"/>
  <c r="CF53" i="42" s="1"/>
  <c r="CD76" i="42"/>
  <c r="CE76" i="42" s="1"/>
  <c r="CF76" i="42" s="1"/>
  <c r="CD60" i="42"/>
  <c r="CE60" i="42" s="1"/>
  <c r="CF60" i="42" s="1"/>
  <c r="CD44" i="42"/>
  <c r="CE44" i="42" s="1"/>
  <c r="CF44" i="42" s="1"/>
  <c r="CD43" i="42"/>
  <c r="CD67" i="42"/>
  <c r="CD51" i="42"/>
  <c r="CD74" i="42"/>
  <c r="CD58" i="42"/>
  <c r="CD81" i="42"/>
  <c r="CD64" i="42"/>
  <c r="CD52" i="42"/>
  <c r="CD42" i="42"/>
  <c r="CD75" i="42"/>
  <c r="CD63" i="42"/>
  <c r="CD41" i="42"/>
  <c r="CE41" i="42" s="1"/>
  <c r="CF41" i="42" s="1"/>
  <c r="CD35" i="42"/>
  <c r="CE35" i="42" s="1"/>
  <c r="CF35" i="42" s="1"/>
  <c r="CD46" i="42"/>
  <c r="CE46" i="42" s="1"/>
  <c r="CF46" i="42" s="1"/>
  <c r="CD62" i="42"/>
  <c r="CE62" i="42" s="1"/>
  <c r="CF62" i="42" s="1"/>
  <c r="CD50" i="42"/>
  <c r="CE50" i="42" s="1"/>
  <c r="CF50" i="42" s="1"/>
  <c r="CD39" i="42"/>
  <c r="CD61" i="42"/>
  <c r="CD56" i="42"/>
  <c r="CD66" i="42"/>
  <c r="CI26" i="42"/>
  <c r="CD72" i="42"/>
  <c r="CD71" i="42"/>
  <c r="CD34" i="42"/>
  <c r="CD57" i="42"/>
  <c r="CD37" i="42"/>
  <c r="CD77" i="42"/>
  <c r="CD78" i="42"/>
  <c r="CE78" i="42" s="1"/>
  <c r="CF78" i="42" s="1"/>
  <c r="CD79" i="42"/>
  <c r="CE79" i="42" s="1"/>
  <c r="CF79" i="42" s="1"/>
  <c r="CD73" i="42"/>
  <c r="CE73" i="42" s="1"/>
  <c r="CF73" i="42" s="1"/>
  <c r="CD68" i="42"/>
  <c r="CD48" i="42"/>
  <c r="CE48" i="42" s="1"/>
  <c r="CF48" i="42" s="1"/>
  <c r="CD38" i="42"/>
  <c r="CD36" i="42"/>
  <c r="CD70" i="42"/>
  <c r="CD59" i="42"/>
  <c r="CD54" i="42"/>
  <c r="CD65" i="42"/>
  <c r="CD80" i="42"/>
  <c r="CD32" i="42"/>
  <c r="CD49" i="42"/>
  <c r="CD47" i="42"/>
  <c r="CD40" i="42"/>
  <c r="CD33" i="42"/>
  <c r="CE33" i="42" s="1"/>
  <c r="CF33" i="42" s="1"/>
  <c r="CD55" i="42"/>
  <c r="CE55" i="42" s="1"/>
  <c r="CF55" i="42" s="1"/>
  <c r="CD45" i="42"/>
  <c r="CE45" i="42" s="1"/>
  <c r="CF45" i="42" s="1"/>
  <c r="AH69" i="41"/>
  <c r="AI69" i="41" s="1"/>
  <c r="AJ69" i="41" s="1"/>
  <c r="AH47" i="41"/>
  <c r="AI47" i="41" s="1"/>
  <c r="AJ47" i="41" s="1"/>
  <c r="AH43" i="41"/>
  <c r="AI43" i="41" s="1"/>
  <c r="AJ43" i="41" s="1"/>
  <c r="AH71" i="41"/>
  <c r="AI71" i="41" s="1"/>
  <c r="AJ71" i="41" s="1"/>
  <c r="AH72" i="41"/>
  <c r="AH59" i="41"/>
  <c r="AH48" i="41"/>
  <c r="AI48" i="41" s="1"/>
  <c r="AJ48" i="41" s="1"/>
  <c r="AH53" i="41"/>
  <c r="AI53" i="41" s="1"/>
  <c r="AJ53" i="41" s="1"/>
  <c r="AH79" i="41"/>
  <c r="AI79" i="41" s="1"/>
  <c r="AJ79" i="41" s="1"/>
  <c r="AK79" i="41" s="1"/>
  <c r="AL79" i="41" s="1"/>
  <c r="AH44" i="41"/>
  <c r="AI44" i="41" s="1"/>
  <c r="AJ44" i="41" s="1"/>
  <c r="AH70" i="41"/>
  <c r="AM26" i="41"/>
  <c r="AH57" i="41"/>
  <c r="AI57" i="41" s="1"/>
  <c r="AJ57" i="41" s="1"/>
  <c r="AK57" i="41" s="1"/>
  <c r="AL57" i="41" s="1"/>
  <c r="AH73" i="41"/>
  <c r="AI73" i="41" s="1"/>
  <c r="AJ73" i="41" s="1"/>
  <c r="AK73" i="41" s="1"/>
  <c r="AL73" i="41" s="1"/>
  <c r="AH37" i="41"/>
  <c r="AH81" i="41"/>
  <c r="AI81" i="41" s="1"/>
  <c r="AJ81" i="41" s="1"/>
  <c r="AH42" i="41"/>
  <c r="AI42" i="41" s="1"/>
  <c r="AJ42" i="41" s="1"/>
  <c r="AK42" i="41" s="1"/>
  <c r="AL42" i="41" s="1"/>
  <c r="AH39" i="41"/>
  <c r="AI39" i="41" s="1"/>
  <c r="AJ39" i="41" s="1"/>
  <c r="AK39" i="41" s="1"/>
  <c r="AL39" i="41" s="1"/>
  <c r="AH58" i="41"/>
  <c r="AH75" i="41"/>
  <c r="AI75" i="41" s="1"/>
  <c r="AJ75" i="41" s="1"/>
  <c r="AH63" i="41"/>
  <c r="AH50" i="41"/>
  <c r="AI50" i="41" s="1"/>
  <c r="AJ50" i="41" s="1"/>
  <c r="AH54" i="41"/>
  <c r="AI54" i="41" s="1"/>
  <c r="AJ54" i="41" s="1"/>
  <c r="AH49" i="41"/>
  <c r="AI49" i="41" s="1"/>
  <c r="AJ49" i="41" s="1"/>
  <c r="AH56" i="41"/>
  <c r="AI56" i="41" s="1"/>
  <c r="AJ56" i="41" s="1"/>
  <c r="AH41" i="41"/>
  <c r="AI41" i="41" s="1"/>
  <c r="AJ41" i="41" s="1"/>
  <c r="AH33" i="41"/>
  <c r="AI33" i="41" s="1"/>
  <c r="AJ33" i="41" s="1"/>
  <c r="AH60" i="41"/>
  <c r="AI60" i="41" s="1"/>
  <c r="AJ60" i="41" s="1"/>
  <c r="AK60" i="41" s="1"/>
  <c r="AL60" i="41" s="1"/>
  <c r="AH77" i="41"/>
  <c r="AH61" i="41"/>
  <c r="AH36" i="41"/>
  <c r="AI36" i="41" s="1"/>
  <c r="AJ36" i="41" s="1"/>
  <c r="AH38" i="41"/>
  <c r="AI38" i="41" s="1"/>
  <c r="AJ38" i="41" s="1"/>
  <c r="AK38" i="41" s="1"/>
  <c r="AL38" i="41" s="1"/>
  <c r="AH45" i="41"/>
  <c r="AI45" i="41" s="1"/>
  <c r="AJ45" i="41" s="1"/>
  <c r="AK45" i="41" s="1"/>
  <c r="AL45" i="41" s="1"/>
  <c r="AH46" i="41"/>
  <c r="AI46" i="41" s="1"/>
  <c r="AJ46" i="41" s="1"/>
  <c r="AK46" i="41" s="1"/>
  <c r="AL46" i="41" s="1"/>
  <c r="AH64" i="41"/>
  <c r="AI64" i="41" s="1"/>
  <c r="AJ64" i="41" s="1"/>
  <c r="AH34" i="41"/>
  <c r="AI34" i="41" s="1"/>
  <c r="AJ34" i="41" s="1"/>
  <c r="AH55" i="41"/>
  <c r="AH35" i="41"/>
  <c r="AI35" i="41" s="1"/>
  <c r="AJ35" i="41" s="1"/>
  <c r="AH65" i="41"/>
  <c r="AI65" i="41" s="1"/>
  <c r="AJ65" i="41" s="1"/>
  <c r="AH68" i="41"/>
  <c r="AI68" i="41" s="1"/>
  <c r="AJ68" i="41" s="1"/>
  <c r="AH74" i="41"/>
  <c r="AI74" i="41" s="1"/>
  <c r="AJ74" i="41" s="1"/>
  <c r="AH62" i="41"/>
  <c r="AI62" i="41" s="1"/>
  <c r="AJ62" i="41" s="1"/>
  <c r="AH52" i="41"/>
  <c r="AI52" i="41" s="1"/>
  <c r="AJ52" i="41" s="1"/>
  <c r="AH40" i="41"/>
  <c r="AI40" i="41" s="1"/>
  <c r="AJ40" i="41" s="1"/>
  <c r="AK40" i="41" s="1"/>
  <c r="AL40" i="41" s="1"/>
  <c r="AH51" i="41"/>
  <c r="AI51" i="41" s="1"/>
  <c r="AJ51" i="41" s="1"/>
  <c r="AH67" i="41"/>
  <c r="AI67" i="41" s="1"/>
  <c r="AJ67" i="41" s="1"/>
  <c r="AK67" i="41" s="1"/>
  <c r="AL67" i="41" s="1"/>
  <c r="AH76" i="41"/>
  <c r="AI76" i="41" s="1"/>
  <c r="AJ76" i="41" s="1"/>
  <c r="AH80" i="41"/>
  <c r="AI80" i="41" s="1"/>
  <c r="AJ80" i="41" s="1"/>
  <c r="AK80" i="41" s="1"/>
  <c r="AL80" i="41" s="1"/>
  <c r="AH32" i="41"/>
  <c r="AI32" i="41" s="1"/>
  <c r="AJ32" i="41" s="1"/>
  <c r="AK32" i="41" s="1"/>
  <c r="AH78" i="41"/>
  <c r="AI78" i="41" s="1"/>
  <c r="AJ78" i="41" s="1"/>
  <c r="AK78" i="41" s="1"/>
  <c r="AL78" i="41" s="1"/>
  <c r="AH66" i="41"/>
  <c r="AI66" i="41" s="1"/>
  <c r="AJ66" i="41" s="1"/>
  <c r="CE75" i="42"/>
  <c r="CF75" i="42" s="1"/>
  <c r="T25" i="42"/>
  <c r="T26" i="42"/>
  <c r="P6" i="42" s="1"/>
  <c r="H25" i="30" s="1"/>
  <c r="B73" i="42"/>
  <c r="B57" i="42"/>
  <c r="B80" i="42"/>
  <c r="B64" i="42"/>
  <c r="B48" i="42"/>
  <c r="B71" i="42"/>
  <c r="B55" i="42"/>
  <c r="B78" i="42"/>
  <c r="B62" i="42"/>
  <c r="B46" i="42"/>
  <c r="B81" i="42"/>
  <c r="B69" i="42"/>
  <c r="B52" i="42"/>
  <c r="B75" i="42"/>
  <c r="B63" i="42"/>
  <c r="B51" i="42"/>
  <c r="B35" i="42"/>
  <c r="B74" i="42"/>
  <c r="B50" i="42"/>
  <c r="B43" i="42"/>
  <c r="B34" i="42"/>
  <c r="B68" i="42"/>
  <c r="B47" i="42"/>
  <c r="B53" i="42"/>
  <c r="B37" i="42"/>
  <c r="B79" i="42"/>
  <c r="B58" i="42"/>
  <c r="B40" i="42"/>
  <c r="B60" i="42"/>
  <c r="B59" i="42"/>
  <c r="B65" i="42"/>
  <c r="B39" i="42"/>
  <c r="B44" i="42"/>
  <c r="B76" i="42"/>
  <c r="B66" i="42"/>
  <c r="B41" i="42"/>
  <c r="B61" i="42"/>
  <c r="B70" i="42"/>
  <c r="B54" i="42"/>
  <c r="B45" i="42"/>
  <c r="B72" i="42"/>
  <c r="G26" i="42"/>
  <c r="B56" i="42"/>
  <c r="B49" i="42"/>
  <c r="B38" i="42"/>
  <c r="B77" i="42"/>
  <c r="B42" i="42"/>
  <c r="B32" i="42"/>
  <c r="B67" i="42"/>
  <c r="B33" i="42"/>
  <c r="B36" i="42"/>
  <c r="D26" i="41"/>
  <c r="P5" i="41" s="1"/>
  <c r="AX64" i="41"/>
  <c r="AX36" i="41"/>
  <c r="AX68" i="41"/>
  <c r="AX55" i="41"/>
  <c r="AX72" i="41"/>
  <c r="AX35" i="41"/>
  <c r="AX67" i="41"/>
  <c r="AX73" i="41"/>
  <c r="AY73" i="41" s="1"/>
  <c r="AZ73" i="41" s="1"/>
  <c r="AX79" i="41"/>
  <c r="AX43" i="41"/>
  <c r="AX48" i="41"/>
  <c r="AX81" i="41"/>
  <c r="AX69" i="41"/>
  <c r="AX74" i="41"/>
  <c r="AX46" i="41"/>
  <c r="AX42" i="41"/>
  <c r="AX37" i="41"/>
  <c r="AX47" i="41"/>
  <c r="AX78" i="41"/>
  <c r="AX56" i="41"/>
  <c r="AX75" i="41"/>
  <c r="AX71" i="41"/>
  <c r="AX60" i="41"/>
  <c r="AX63" i="41"/>
  <c r="AX33" i="41"/>
  <c r="AX54" i="41"/>
  <c r="AX58" i="41"/>
  <c r="AX77" i="41"/>
  <c r="BC26" i="41"/>
  <c r="AX40" i="41"/>
  <c r="AX65" i="41"/>
  <c r="AX32" i="41"/>
  <c r="AX70" i="41"/>
  <c r="AX39" i="41"/>
  <c r="AX51" i="41"/>
  <c r="AX59" i="41"/>
  <c r="AX44" i="41"/>
  <c r="AX41" i="41"/>
  <c r="AX57" i="41"/>
  <c r="AX80" i="41"/>
  <c r="AX53" i="41"/>
  <c r="AX34" i="41"/>
  <c r="AX49" i="41"/>
  <c r="AX76" i="41"/>
  <c r="AX52" i="41"/>
  <c r="AX38" i="41"/>
  <c r="AX66" i="41"/>
  <c r="AX61" i="41"/>
  <c r="AX50" i="41"/>
  <c r="AX45" i="41"/>
  <c r="AX62" i="41"/>
  <c r="BN58" i="41"/>
  <c r="BN77" i="41"/>
  <c r="BN73" i="41"/>
  <c r="BN33" i="41"/>
  <c r="BN68" i="41"/>
  <c r="BN75" i="41"/>
  <c r="BN63" i="41"/>
  <c r="BN80" i="41"/>
  <c r="BN81" i="41"/>
  <c r="BN37" i="41"/>
  <c r="BN41" i="41"/>
  <c r="BN64" i="41"/>
  <c r="BN52" i="41"/>
  <c r="BN38" i="41"/>
  <c r="BN59" i="41"/>
  <c r="BN67" i="41"/>
  <c r="BN51" i="41"/>
  <c r="BN74" i="41"/>
  <c r="BN34" i="41"/>
  <c r="BN36" i="41"/>
  <c r="BN78" i="41"/>
  <c r="BN47" i="41"/>
  <c r="BN57" i="41"/>
  <c r="BN79" i="41"/>
  <c r="BN69" i="41"/>
  <c r="BN48" i="41"/>
  <c r="BN39" i="41"/>
  <c r="BN65" i="41"/>
  <c r="BN53" i="41"/>
  <c r="BN46" i="41"/>
  <c r="BN50" i="41"/>
  <c r="BN32" i="41"/>
  <c r="BN40" i="41"/>
  <c r="BN56" i="41"/>
  <c r="BN42" i="41"/>
  <c r="BS26" i="41"/>
  <c r="BN54" i="41"/>
  <c r="BN71" i="41"/>
  <c r="BN35" i="41"/>
  <c r="BN76" i="41"/>
  <c r="BN72" i="41"/>
  <c r="BN62" i="41"/>
  <c r="BN55" i="41"/>
  <c r="BN60" i="41"/>
  <c r="BN45" i="41"/>
  <c r="BN44" i="41"/>
  <c r="BN49" i="41"/>
  <c r="BN43" i="41"/>
  <c r="BN66" i="41"/>
  <c r="BN61" i="41"/>
  <c r="BN70" i="41"/>
  <c r="AJ25" i="42"/>
  <c r="O6" i="37"/>
  <c r="G17" i="30" s="1"/>
  <c r="Z43" i="37"/>
  <c r="AA43" i="37" s="1"/>
  <c r="Z42" i="37"/>
  <c r="AA42" i="37" s="1"/>
  <c r="AB42" i="37" s="1"/>
  <c r="S42" i="37"/>
  <c r="T42" i="37" s="1"/>
  <c r="Z37" i="37"/>
  <c r="AA37" i="37" s="1"/>
  <c r="Z38" i="37"/>
  <c r="AA38" i="37" s="1"/>
  <c r="Z32" i="37"/>
  <c r="AA32" i="37" s="1"/>
  <c r="S49" i="37"/>
  <c r="T49" i="37" s="1"/>
  <c r="S45" i="37"/>
  <c r="T45" i="37" s="1"/>
  <c r="S36" i="37"/>
  <c r="T36" i="37" s="1"/>
  <c r="Z39" i="37"/>
  <c r="AA39" i="37" s="1"/>
  <c r="S35" i="37"/>
  <c r="T35" i="37" s="1"/>
  <c r="S47" i="37"/>
  <c r="T47" i="37" s="1"/>
  <c r="S51" i="37"/>
  <c r="T51" i="37" s="1"/>
  <c r="S57" i="37"/>
  <c r="T57" i="37" s="1"/>
  <c r="Z35" i="37"/>
  <c r="AA35" i="37" s="1"/>
  <c r="S53" i="37"/>
  <c r="T53" i="37" s="1"/>
  <c r="Z36" i="37"/>
  <c r="AA36" i="37" s="1"/>
  <c r="S34" i="37"/>
  <c r="T34" i="37" s="1"/>
  <c r="S71" i="37"/>
  <c r="T71" i="37" s="1"/>
  <c r="S32" i="37"/>
  <c r="T32" i="37" s="1"/>
  <c r="S40" i="37"/>
  <c r="T40" i="37" s="1"/>
  <c r="Z34" i="37"/>
  <c r="AA34" i="37" s="1"/>
  <c r="AB34" i="37" s="1"/>
  <c r="S62" i="37"/>
  <c r="T62" i="37" s="1"/>
  <c r="Z41" i="37"/>
  <c r="AA41" i="37" s="1"/>
  <c r="AB41" i="37" s="1"/>
  <c r="S61" i="37"/>
  <c r="T61" i="37" s="1"/>
  <c r="Z40" i="37"/>
  <c r="AA40" i="37" s="1"/>
  <c r="AB40" i="37" s="1"/>
  <c r="Z33" i="37"/>
  <c r="AA33" i="37" s="1"/>
  <c r="AB33" i="37" s="1"/>
  <c r="K22" i="25"/>
  <c r="L15" i="25" s="1"/>
  <c r="J22" i="25"/>
  <c r="L14" i="25" s="1"/>
  <c r="M14" i="25" s="1"/>
  <c r="O9" i="37"/>
  <c r="G20" i="30" s="1"/>
  <c r="BO41" i="37"/>
  <c r="BP41" i="37" s="1"/>
  <c r="BQ41" i="37" s="1"/>
  <c r="BR41" i="37" s="1"/>
  <c r="BO64" i="37"/>
  <c r="BP64" i="37" s="1"/>
  <c r="BQ64" i="37" s="1"/>
  <c r="BR64" i="37" s="1"/>
  <c r="BV32" i="37"/>
  <c r="BW32" i="37" s="1"/>
  <c r="BX32" i="37" s="1"/>
  <c r="BV37" i="37"/>
  <c r="BW37" i="37" s="1"/>
  <c r="BO51" i="37"/>
  <c r="BP51" i="37" s="1"/>
  <c r="BQ51" i="37" s="1"/>
  <c r="BR51" i="37" s="1"/>
  <c r="BO55" i="37"/>
  <c r="BP55" i="37" s="1"/>
  <c r="BQ55" i="37" s="1"/>
  <c r="BR55" i="37" s="1"/>
  <c r="BO76" i="37"/>
  <c r="BP76" i="37" s="1"/>
  <c r="BQ76" i="37" s="1"/>
  <c r="BR76" i="37" s="1"/>
  <c r="BO75" i="37"/>
  <c r="BP75" i="37" s="1"/>
  <c r="BQ75" i="37" s="1"/>
  <c r="BR75" i="37" s="1"/>
  <c r="BV43" i="37"/>
  <c r="BW43" i="37" s="1"/>
  <c r="BO33" i="37"/>
  <c r="BP33" i="37" s="1"/>
  <c r="BQ33" i="37" s="1"/>
  <c r="BR33" i="37" s="1"/>
  <c r="BO43" i="37"/>
  <c r="BP43" i="37" s="1"/>
  <c r="BQ43" i="37" s="1"/>
  <c r="BR43" i="37" s="1"/>
  <c r="BO39" i="37"/>
  <c r="BP39" i="37" s="1"/>
  <c r="BQ39" i="37" s="1"/>
  <c r="BR39" i="37" s="1"/>
  <c r="BV41" i="37"/>
  <c r="BW41" i="37" s="1"/>
  <c r="BX41" i="37" s="1"/>
  <c r="BO79" i="37"/>
  <c r="BP79" i="37" s="1"/>
  <c r="BQ79" i="37" s="1"/>
  <c r="BR79" i="37" s="1"/>
  <c r="BO62" i="37"/>
  <c r="BP62" i="37" s="1"/>
  <c r="BQ62" i="37" s="1"/>
  <c r="BR62" i="37" s="1"/>
  <c r="BO45" i="37"/>
  <c r="BP45" i="37" s="1"/>
  <c r="BQ45" i="37" s="1"/>
  <c r="BR45" i="37" s="1"/>
  <c r="BV35" i="37"/>
  <c r="BW35" i="37" s="1"/>
  <c r="BX35" i="37" s="1"/>
  <c r="BO52" i="37"/>
  <c r="BP52" i="37" s="1"/>
  <c r="BQ52" i="37" s="1"/>
  <c r="BR52" i="37" s="1"/>
  <c r="BO38" i="37"/>
  <c r="BP38" i="37" s="1"/>
  <c r="BQ38" i="37" s="1"/>
  <c r="BR38" i="37" s="1"/>
  <c r="BO59" i="37"/>
  <c r="BP59" i="37" s="1"/>
  <c r="BQ59" i="37" s="1"/>
  <c r="BR59" i="37" s="1"/>
  <c r="BO81" i="37"/>
  <c r="BP81" i="37" s="1"/>
  <c r="BQ81" i="37" s="1"/>
  <c r="BR81" i="37" s="1"/>
  <c r="BO48" i="37"/>
  <c r="BP48" i="37" s="1"/>
  <c r="BQ48" i="37" s="1"/>
  <c r="BR48" i="37" s="1"/>
  <c r="BO67" i="37"/>
  <c r="BP67" i="37" s="1"/>
  <c r="BQ67" i="37" s="1"/>
  <c r="BR67" i="37" s="1"/>
  <c r="BV33" i="37"/>
  <c r="BW33" i="37" s="1"/>
  <c r="BO77" i="37"/>
  <c r="BP77" i="37" s="1"/>
  <c r="BQ77" i="37" s="1"/>
  <c r="BR77" i="37" s="1"/>
  <c r="BV39" i="37"/>
  <c r="BW39" i="37" s="1"/>
  <c r="BO36" i="37"/>
  <c r="BP36" i="37" s="1"/>
  <c r="BQ36" i="37" s="1"/>
  <c r="BR36" i="37" s="1"/>
  <c r="BO44" i="37"/>
  <c r="BP44" i="37" s="1"/>
  <c r="BQ44" i="37" s="1"/>
  <c r="BR44" i="37" s="1"/>
  <c r="BO68" i="37"/>
  <c r="BP68" i="37" s="1"/>
  <c r="BQ68" i="37" s="1"/>
  <c r="BR68" i="37" s="1"/>
  <c r="BO57" i="37"/>
  <c r="BP57" i="37" s="1"/>
  <c r="BQ57" i="37" s="1"/>
  <c r="BR57" i="37" s="1"/>
  <c r="BO42" i="37"/>
  <c r="BP42" i="37" s="1"/>
  <c r="BQ42" i="37" s="1"/>
  <c r="BR42" i="37" s="1"/>
  <c r="BV38" i="37"/>
  <c r="BW38" i="37" s="1"/>
  <c r="BX38" i="37" s="1"/>
  <c r="BO69" i="37"/>
  <c r="BP69" i="37" s="1"/>
  <c r="BQ69" i="37" s="1"/>
  <c r="BR69" i="37" s="1"/>
  <c r="BO72" i="37"/>
  <c r="BP72" i="37" s="1"/>
  <c r="BQ72" i="37" s="1"/>
  <c r="BR72" i="37" s="1"/>
  <c r="BO34" i="37"/>
  <c r="BP34" i="37" s="1"/>
  <c r="BQ34" i="37" s="1"/>
  <c r="BR34" i="37" s="1"/>
  <c r="BO50" i="37"/>
  <c r="BP50" i="37" s="1"/>
  <c r="BQ50" i="37" s="1"/>
  <c r="BR50" i="37" s="1"/>
  <c r="BO78" i="37"/>
  <c r="BP78" i="37" s="1"/>
  <c r="BQ78" i="37" s="1"/>
  <c r="BR78" i="37" s="1"/>
  <c r="BO63" i="37"/>
  <c r="BP63" i="37" s="1"/>
  <c r="BQ63" i="37" s="1"/>
  <c r="BR63" i="37" s="1"/>
  <c r="BO71" i="37"/>
  <c r="BP71" i="37" s="1"/>
  <c r="BQ71" i="37" s="1"/>
  <c r="BR71" i="37" s="1"/>
  <c r="BO70" i="37"/>
  <c r="BP70" i="37" s="1"/>
  <c r="BQ70" i="37" s="1"/>
  <c r="BR70" i="37" s="1"/>
  <c r="BO73" i="37"/>
  <c r="BP73" i="37" s="1"/>
  <c r="BQ73" i="37" s="1"/>
  <c r="BR73" i="37" s="1"/>
  <c r="BO66" i="37"/>
  <c r="BP66" i="37" s="1"/>
  <c r="BQ66" i="37" s="1"/>
  <c r="BR66" i="37" s="1"/>
  <c r="BO47" i="37"/>
  <c r="BP47" i="37" s="1"/>
  <c r="BQ47" i="37" s="1"/>
  <c r="BR47" i="37" s="1"/>
  <c r="BO49" i="37"/>
  <c r="BP49" i="37" s="1"/>
  <c r="BQ49" i="37" s="1"/>
  <c r="BR49" i="37" s="1"/>
  <c r="BO37" i="37"/>
  <c r="BP37" i="37" s="1"/>
  <c r="BQ37" i="37" s="1"/>
  <c r="BR37" i="37" s="1"/>
  <c r="BO61" i="37"/>
  <c r="BP61" i="37" s="1"/>
  <c r="BQ61" i="37" s="1"/>
  <c r="BR61" i="37" s="1"/>
  <c r="BO80" i="37"/>
  <c r="BP80" i="37" s="1"/>
  <c r="BQ80" i="37" s="1"/>
  <c r="BR80" i="37" s="1"/>
  <c r="BO56" i="37"/>
  <c r="BP56" i="37" s="1"/>
  <c r="BQ56" i="37" s="1"/>
  <c r="BR56" i="37" s="1"/>
  <c r="BO53" i="37"/>
  <c r="BP53" i="37" s="1"/>
  <c r="BQ53" i="37" s="1"/>
  <c r="BR53" i="37" s="1"/>
  <c r="BO46" i="37"/>
  <c r="BP46" i="37" s="1"/>
  <c r="BQ46" i="37" s="1"/>
  <c r="BR46" i="37" s="1"/>
  <c r="BO40" i="37"/>
  <c r="BP40" i="37" s="1"/>
  <c r="BQ40" i="37" s="1"/>
  <c r="BR40" i="37" s="1"/>
  <c r="BV40" i="37"/>
  <c r="BW40" i="37" s="1"/>
  <c r="BV42" i="37"/>
  <c r="BW42" i="37" s="1"/>
  <c r="BX42" i="37" s="1"/>
  <c r="BO65" i="37"/>
  <c r="BP65" i="37" s="1"/>
  <c r="BQ65" i="37" s="1"/>
  <c r="BR65" i="37" s="1"/>
  <c r="BO32" i="37"/>
  <c r="BP32" i="37" s="1"/>
  <c r="BQ32" i="37" s="1"/>
  <c r="BV36" i="37"/>
  <c r="BW36" i="37" s="1"/>
  <c r="BV34" i="37"/>
  <c r="BW34" i="37" s="1"/>
  <c r="BO54" i="37"/>
  <c r="BP54" i="37" s="1"/>
  <c r="BQ54" i="37" s="1"/>
  <c r="BR54" i="37" s="1"/>
  <c r="BO35" i="37"/>
  <c r="BP35" i="37" s="1"/>
  <c r="BQ35" i="37" s="1"/>
  <c r="BR35" i="37" s="1"/>
  <c r="BO74" i="37"/>
  <c r="BP74" i="37" s="1"/>
  <c r="BQ74" i="37" s="1"/>
  <c r="BR74" i="37" s="1"/>
  <c r="BO60" i="37"/>
  <c r="BP60" i="37" s="1"/>
  <c r="BQ60" i="37" s="1"/>
  <c r="BR60" i="37" s="1"/>
  <c r="BO58" i="37"/>
  <c r="BP58" i="37" s="1"/>
  <c r="BQ58" i="37" s="1"/>
  <c r="BR58" i="37" s="1"/>
  <c r="AI37" i="41"/>
  <c r="AJ37" i="41" s="1"/>
  <c r="AI77" i="41"/>
  <c r="AJ77" i="41" s="1"/>
  <c r="AI61" i="41"/>
  <c r="AJ61" i="41" s="1"/>
  <c r="AI59" i="41"/>
  <c r="AJ59" i="41" s="1"/>
  <c r="AP43" i="41"/>
  <c r="AQ43" i="41" s="1"/>
  <c r="AR43" i="41" s="1"/>
  <c r="AP39" i="41"/>
  <c r="AQ39" i="41" s="1"/>
  <c r="AR39" i="41" s="1"/>
  <c r="AP34" i="41"/>
  <c r="AQ34" i="41" s="1"/>
  <c r="AR34" i="41" s="1"/>
  <c r="AP37" i="41"/>
  <c r="AQ37" i="41" s="1"/>
  <c r="AR37" i="41" s="1"/>
  <c r="AP35" i="41"/>
  <c r="AQ35" i="41" s="1"/>
  <c r="AR35" i="41" s="1"/>
  <c r="AP32" i="41"/>
  <c r="AQ32" i="41" s="1"/>
  <c r="AR32" i="41" s="1"/>
  <c r="AI55" i="41"/>
  <c r="AJ55" i="41" s="1"/>
  <c r="AP41" i="41"/>
  <c r="AQ41" i="41" s="1"/>
  <c r="AR41" i="41" s="1"/>
  <c r="AI58" i="41"/>
  <c r="AJ58" i="41" s="1"/>
  <c r="AK58" i="41" s="1"/>
  <c r="AL58" i="41" s="1"/>
  <c r="AP40" i="41"/>
  <c r="AQ40" i="41" s="1"/>
  <c r="AR40" i="41" s="1"/>
  <c r="AP38" i="41"/>
  <c r="AQ38" i="41" s="1"/>
  <c r="AR38" i="41" s="1"/>
  <c r="AP42" i="41"/>
  <c r="AQ42" i="41" s="1"/>
  <c r="AR42" i="41" s="1"/>
  <c r="AP33" i="41"/>
  <c r="AQ33" i="41" s="1"/>
  <c r="AR33" i="41" s="1"/>
  <c r="O7" i="41"/>
  <c r="G22" i="30" s="1"/>
  <c r="AI63" i="41"/>
  <c r="AJ63" i="41" s="1"/>
  <c r="AP36" i="41"/>
  <c r="AQ36" i="41" s="1"/>
  <c r="AR36" i="41" s="1"/>
  <c r="O7" i="37"/>
  <c r="G18" i="30" s="1"/>
  <c r="AI55" i="37"/>
  <c r="AJ55" i="37" s="1"/>
  <c r="AK55" i="37" s="1"/>
  <c r="AL55" i="37" s="1"/>
  <c r="AI60" i="37"/>
  <c r="AJ60" i="37" s="1"/>
  <c r="AK60" i="37" s="1"/>
  <c r="AL60" i="37" s="1"/>
  <c r="AI33" i="37"/>
  <c r="AJ33" i="37" s="1"/>
  <c r="AK33" i="37" s="1"/>
  <c r="AL33" i="37" s="1"/>
  <c r="AP42" i="37"/>
  <c r="AQ42" i="37" s="1"/>
  <c r="AR42" i="37" s="1"/>
  <c r="AP43" i="37"/>
  <c r="AQ43" i="37" s="1"/>
  <c r="AR43" i="37" s="1"/>
  <c r="AI35" i="37"/>
  <c r="AJ35" i="37" s="1"/>
  <c r="AK35" i="37" s="1"/>
  <c r="AL35" i="37" s="1"/>
  <c r="AI76" i="37"/>
  <c r="AJ76" i="37" s="1"/>
  <c r="AK76" i="37" s="1"/>
  <c r="AL76" i="37" s="1"/>
  <c r="AI42" i="37"/>
  <c r="AJ42" i="37" s="1"/>
  <c r="AK42" i="37" s="1"/>
  <c r="AL42" i="37" s="1"/>
  <c r="AI70" i="37"/>
  <c r="AJ70" i="37" s="1"/>
  <c r="AK70" i="37" s="1"/>
  <c r="AL70" i="37" s="1"/>
  <c r="AI66" i="37"/>
  <c r="AJ66" i="37" s="1"/>
  <c r="AK66" i="37" s="1"/>
  <c r="AL66" i="37" s="1"/>
  <c r="AI72" i="37"/>
  <c r="AJ72" i="37" s="1"/>
  <c r="AK72" i="37" s="1"/>
  <c r="AL72" i="37" s="1"/>
  <c r="AI54" i="37"/>
  <c r="AJ54" i="37" s="1"/>
  <c r="AK54" i="37" s="1"/>
  <c r="AL54" i="37" s="1"/>
  <c r="AI78" i="37"/>
  <c r="AJ78" i="37" s="1"/>
  <c r="AK78" i="37" s="1"/>
  <c r="AL78" i="37" s="1"/>
  <c r="AP33" i="37"/>
  <c r="AQ33" i="37" s="1"/>
  <c r="AR33" i="37" s="1"/>
  <c r="AI37" i="37"/>
  <c r="AJ37" i="37" s="1"/>
  <c r="AK37" i="37" s="1"/>
  <c r="AL37" i="37" s="1"/>
  <c r="AI75" i="37"/>
  <c r="AJ75" i="37" s="1"/>
  <c r="AK75" i="37" s="1"/>
  <c r="AL75" i="37" s="1"/>
  <c r="AI62" i="37"/>
  <c r="AJ62" i="37" s="1"/>
  <c r="AK62" i="37" s="1"/>
  <c r="AL62" i="37" s="1"/>
  <c r="AI79" i="37"/>
  <c r="AJ79" i="37" s="1"/>
  <c r="AK79" i="37" s="1"/>
  <c r="AL79" i="37" s="1"/>
  <c r="AP36" i="37"/>
  <c r="AQ36" i="37" s="1"/>
  <c r="AR36" i="37" s="1"/>
  <c r="AI74" i="37"/>
  <c r="AJ74" i="37" s="1"/>
  <c r="AK74" i="37" s="1"/>
  <c r="AL74" i="37" s="1"/>
  <c r="AI65" i="37"/>
  <c r="AJ65" i="37" s="1"/>
  <c r="AK65" i="37" s="1"/>
  <c r="AL65" i="37" s="1"/>
  <c r="AI49" i="37"/>
  <c r="AJ49" i="37" s="1"/>
  <c r="AK49" i="37" s="1"/>
  <c r="AL49" i="37" s="1"/>
  <c r="AI34" i="37"/>
  <c r="AJ34" i="37" s="1"/>
  <c r="AK34" i="37" s="1"/>
  <c r="AL34" i="37" s="1"/>
  <c r="AI64" i="37"/>
  <c r="AJ64" i="37" s="1"/>
  <c r="AK64" i="37" s="1"/>
  <c r="AL64" i="37" s="1"/>
  <c r="AI56" i="37"/>
  <c r="AJ56" i="37" s="1"/>
  <c r="AK56" i="37" s="1"/>
  <c r="AL56" i="37" s="1"/>
  <c r="AI80" i="37"/>
  <c r="AJ80" i="37" s="1"/>
  <c r="AK80" i="37" s="1"/>
  <c r="AL80" i="37" s="1"/>
  <c r="AI46" i="37"/>
  <c r="AJ46" i="37" s="1"/>
  <c r="AK46" i="37" s="1"/>
  <c r="AL46" i="37" s="1"/>
  <c r="AP40" i="37"/>
  <c r="AQ40" i="37" s="1"/>
  <c r="AI48" i="37"/>
  <c r="AJ48" i="37" s="1"/>
  <c r="AK48" i="37" s="1"/>
  <c r="AL48" i="37" s="1"/>
  <c r="AI51" i="37"/>
  <c r="AJ51" i="37" s="1"/>
  <c r="AK51" i="37" s="1"/>
  <c r="AL51" i="37" s="1"/>
  <c r="AP41" i="37"/>
  <c r="AQ41" i="37" s="1"/>
  <c r="AR41" i="37" s="1"/>
  <c r="AI81" i="37"/>
  <c r="AJ81" i="37" s="1"/>
  <c r="AK81" i="37" s="1"/>
  <c r="AL81" i="37" s="1"/>
  <c r="AI52" i="37"/>
  <c r="AJ52" i="37" s="1"/>
  <c r="AK52" i="37" s="1"/>
  <c r="AL52" i="37" s="1"/>
  <c r="AI58" i="37"/>
  <c r="AJ58" i="37" s="1"/>
  <c r="AK58" i="37" s="1"/>
  <c r="AL58" i="37" s="1"/>
  <c r="AI47" i="37"/>
  <c r="AJ47" i="37" s="1"/>
  <c r="AK47" i="37" s="1"/>
  <c r="AL47" i="37" s="1"/>
  <c r="AI39" i="37"/>
  <c r="AJ39" i="37" s="1"/>
  <c r="AK39" i="37" s="1"/>
  <c r="AL39" i="37" s="1"/>
  <c r="AI41" i="37"/>
  <c r="AJ41" i="37" s="1"/>
  <c r="AK41" i="37" s="1"/>
  <c r="AL41" i="37" s="1"/>
  <c r="AI32" i="37"/>
  <c r="AJ32" i="37" s="1"/>
  <c r="AK32" i="37" s="1"/>
  <c r="AI38" i="37"/>
  <c r="AJ38" i="37" s="1"/>
  <c r="AK38" i="37" s="1"/>
  <c r="AL38" i="37" s="1"/>
  <c r="AP37" i="37"/>
  <c r="AQ37" i="37" s="1"/>
  <c r="AR37" i="37" s="1"/>
  <c r="AI63" i="37"/>
  <c r="AJ63" i="37" s="1"/>
  <c r="AK63" i="37" s="1"/>
  <c r="AL63" i="37" s="1"/>
  <c r="AI59" i="37"/>
  <c r="AJ59" i="37" s="1"/>
  <c r="AK59" i="37" s="1"/>
  <c r="AL59" i="37" s="1"/>
  <c r="AI68" i="37"/>
  <c r="AJ68" i="37" s="1"/>
  <c r="AK68" i="37" s="1"/>
  <c r="AL68" i="37" s="1"/>
  <c r="AI67" i="37"/>
  <c r="AJ67" i="37" s="1"/>
  <c r="AK67" i="37" s="1"/>
  <c r="AL67" i="37" s="1"/>
  <c r="AP32" i="37"/>
  <c r="AQ32" i="37" s="1"/>
  <c r="AR32" i="37" s="1"/>
  <c r="AI36" i="37"/>
  <c r="AJ36" i="37" s="1"/>
  <c r="AK36" i="37" s="1"/>
  <c r="AL36" i="37" s="1"/>
  <c r="AI43" i="37"/>
  <c r="AJ43" i="37" s="1"/>
  <c r="AK43" i="37" s="1"/>
  <c r="AL43" i="37" s="1"/>
  <c r="AI40" i="37"/>
  <c r="AJ40" i="37" s="1"/>
  <c r="AK40" i="37" s="1"/>
  <c r="AL40" i="37" s="1"/>
  <c r="AI69" i="37"/>
  <c r="AJ69" i="37" s="1"/>
  <c r="AK69" i="37" s="1"/>
  <c r="AL69" i="37" s="1"/>
  <c r="AI71" i="37"/>
  <c r="AJ71" i="37" s="1"/>
  <c r="AK71" i="37" s="1"/>
  <c r="AL71" i="37" s="1"/>
  <c r="AI57" i="37"/>
  <c r="AJ57" i="37" s="1"/>
  <c r="AK57" i="37" s="1"/>
  <c r="AL57" i="37" s="1"/>
  <c r="AI44" i="37"/>
  <c r="AJ44" i="37" s="1"/>
  <c r="AK44" i="37" s="1"/>
  <c r="AL44" i="37" s="1"/>
  <c r="AP39" i="37"/>
  <c r="AQ39" i="37" s="1"/>
  <c r="AI53" i="37"/>
  <c r="AJ53" i="37" s="1"/>
  <c r="AK53" i="37" s="1"/>
  <c r="AL53" i="37" s="1"/>
  <c r="AI45" i="37"/>
  <c r="AJ45" i="37" s="1"/>
  <c r="AK45" i="37" s="1"/>
  <c r="AL45" i="37" s="1"/>
  <c r="AI77" i="37"/>
  <c r="AJ77" i="37" s="1"/>
  <c r="AK77" i="37" s="1"/>
  <c r="AL77" i="37" s="1"/>
  <c r="AP35" i="37"/>
  <c r="AQ35" i="37" s="1"/>
  <c r="AI73" i="37"/>
  <c r="AJ73" i="37" s="1"/>
  <c r="AK73" i="37" s="1"/>
  <c r="AL73" i="37" s="1"/>
  <c r="AI61" i="37"/>
  <c r="AJ61" i="37" s="1"/>
  <c r="AK61" i="37" s="1"/>
  <c r="AL61" i="37" s="1"/>
  <c r="AP34" i="37"/>
  <c r="AQ34" i="37" s="1"/>
  <c r="AI50" i="37"/>
  <c r="AJ50" i="37" s="1"/>
  <c r="AK50" i="37" s="1"/>
  <c r="AL50" i="37" s="1"/>
  <c r="AP38" i="37"/>
  <c r="AQ38" i="37" s="1"/>
  <c r="O5" i="41"/>
  <c r="O8" i="37"/>
  <c r="G19" i="30" s="1"/>
  <c r="AY74" i="37"/>
  <c r="AZ74" i="37" s="1"/>
  <c r="BA74" i="37" s="1"/>
  <c r="BB74" i="37" s="1"/>
  <c r="AY71" i="37"/>
  <c r="AZ71" i="37" s="1"/>
  <c r="BA71" i="37" s="1"/>
  <c r="BB71" i="37" s="1"/>
  <c r="AY52" i="37"/>
  <c r="AZ52" i="37" s="1"/>
  <c r="BA52" i="37" s="1"/>
  <c r="BB52" i="37" s="1"/>
  <c r="BF40" i="37"/>
  <c r="BG40" i="37" s="1"/>
  <c r="AY51" i="37"/>
  <c r="AZ51" i="37" s="1"/>
  <c r="BA51" i="37" s="1"/>
  <c r="BB51" i="37" s="1"/>
  <c r="AY54" i="37"/>
  <c r="AZ54" i="37" s="1"/>
  <c r="BA54" i="37" s="1"/>
  <c r="BB54" i="37" s="1"/>
  <c r="AY34" i="37"/>
  <c r="AZ34" i="37" s="1"/>
  <c r="BA34" i="37" s="1"/>
  <c r="BB34" i="37" s="1"/>
  <c r="AY76" i="37"/>
  <c r="AZ76" i="37" s="1"/>
  <c r="BA76" i="37" s="1"/>
  <c r="BB76" i="37" s="1"/>
  <c r="AY43" i="37"/>
  <c r="AZ43" i="37" s="1"/>
  <c r="BA43" i="37" s="1"/>
  <c r="BB43" i="37" s="1"/>
  <c r="AY53" i="37"/>
  <c r="AZ53" i="37" s="1"/>
  <c r="BA53" i="37" s="1"/>
  <c r="BB53" i="37" s="1"/>
  <c r="AY39" i="37"/>
  <c r="AZ39" i="37" s="1"/>
  <c r="BA39" i="37" s="1"/>
  <c r="BB39" i="37" s="1"/>
  <c r="BF39" i="37"/>
  <c r="BG39" i="37" s="1"/>
  <c r="AY65" i="37"/>
  <c r="AZ65" i="37" s="1"/>
  <c r="BA65" i="37" s="1"/>
  <c r="BB65" i="37" s="1"/>
  <c r="AY46" i="37"/>
  <c r="AZ46" i="37" s="1"/>
  <c r="BA46" i="37" s="1"/>
  <c r="BB46" i="37" s="1"/>
  <c r="AY42" i="37"/>
  <c r="AZ42" i="37" s="1"/>
  <c r="BA42" i="37" s="1"/>
  <c r="BB42" i="37" s="1"/>
  <c r="AY72" i="37"/>
  <c r="AZ72" i="37" s="1"/>
  <c r="BA72" i="37" s="1"/>
  <c r="BB72" i="37" s="1"/>
  <c r="AY70" i="37"/>
  <c r="AZ70" i="37" s="1"/>
  <c r="BA70" i="37" s="1"/>
  <c r="BB70" i="37" s="1"/>
  <c r="BF36" i="37"/>
  <c r="BG36" i="37" s="1"/>
  <c r="BF32" i="37"/>
  <c r="BG32" i="37" s="1"/>
  <c r="AY37" i="37"/>
  <c r="AZ37" i="37" s="1"/>
  <c r="BA37" i="37" s="1"/>
  <c r="BB37" i="37" s="1"/>
  <c r="BF42" i="37"/>
  <c r="BG42" i="37" s="1"/>
  <c r="AY45" i="37"/>
  <c r="AZ45" i="37" s="1"/>
  <c r="BA45" i="37" s="1"/>
  <c r="BB45" i="37" s="1"/>
  <c r="AY38" i="37"/>
  <c r="AZ38" i="37" s="1"/>
  <c r="BA38" i="37" s="1"/>
  <c r="BB38" i="37" s="1"/>
  <c r="BF35" i="37"/>
  <c r="BG35" i="37" s="1"/>
  <c r="AY49" i="37"/>
  <c r="AZ49" i="37" s="1"/>
  <c r="BA49" i="37" s="1"/>
  <c r="BB49" i="37" s="1"/>
  <c r="AY36" i="37"/>
  <c r="AZ36" i="37" s="1"/>
  <c r="BA36" i="37" s="1"/>
  <c r="BB36" i="37" s="1"/>
  <c r="AY56" i="37"/>
  <c r="AZ56" i="37" s="1"/>
  <c r="BA56" i="37" s="1"/>
  <c r="BB56" i="37" s="1"/>
  <c r="AY73" i="37"/>
  <c r="AZ73" i="37" s="1"/>
  <c r="BA73" i="37" s="1"/>
  <c r="BB73" i="37" s="1"/>
  <c r="AY40" i="37"/>
  <c r="AZ40" i="37" s="1"/>
  <c r="BA40" i="37" s="1"/>
  <c r="BB40" i="37" s="1"/>
  <c r="BF41" i="37"/>
  <c r="BG41" i="37" s="1"/>
  <c r="BH41" i="37" s="1"/>
  <c r="BF38" i="37"/>
  <c r="BG38" i="37" s="1"/>
  <c r="BH38" i="37" s="1"/>
  <c r="AY33" i="37"/>
  <c r="AZ33" i="37" s="1"/>
  <c r="BA33" i="37" s="1"/>
  <c r="BB33" i="37" s="1"/>
  <c r="BF34" i="37"/>
  <c r="BG34" i="37" s="1"/>
  <c r="BH34" i="37" s="1"/>
  <c r="AY68" i="37"/>
  <c r="AZ68" i="37" s="1"/>
  <c r="BA68" i="37" s="1"/>
  <c r="BB68" i="37" s="1"/>
  <c r="BF37" i="37"/>
  <c r="BG37" i="37" s="1"/>
  <c r="BF33" i="37"/>
  <c r="BG33" i="37" s="1"/>
  <c r="AY50" i="37"/>
  <c r="AZ50" i="37" s="1"/>
  <c r="BA50" i="37" s="1"/>
  <c r="BB50" i="37" s="1"/>
  <c r="AY62" i="37"/>
  <c r="AZ62" i="37" s="1"/>
  <c r="BA62" i="37" s="1"/>
  <c r="BB62" i="37" s="1"/>
  <c r="AY35" i="37"/>
  <c r="AZ35" i="37" s="1"/>
  <c r="BA35" i="37" s="1"/>
  <c r="BB35" i="37" s="1"/>
  <c r="AY58" i="37"/>
  <c r="AZ58" i="37" s="1"/>
  <c r="BA58" i="37" s="1"/>
  <c r="BB58" i="37" s="1"/>
  <c r="AY55" i="37"/>
  <c r="AZ55" i="37" s="1"/>
  <c r="BA55" i="37" s="1"/>
  <c r="BB55" i="37" s="1"/>
  <c r="AY41" i="37"/>
  <c r="AZ41" i="37" s="1"/>
  <c r="BA41" i="37" s="1"/>
  <c r="BB41" i="37" s="1"/>
  <c r="AY57" i="37"/>
  <c r="AZ57" i="37" s="1"/>
  <c r="BA57" i="37" s="1"/>
  <c r="BB57" i="37" s="1"/>
  <c r="AY47" i="37"/>
  <c r="AZ47" i="37" s="1"/>
  <c r="BA47" i="37" s="1"/>
  <c r="BB47" i="37" s="1"/>
  <c r="BF43" i="37"/>
  <c r="BG43" i="37" s="1"/>
  <c r="AY66" i="37"/>
  <c r="AZ66" i="37" s="1"/>
  <c r="BA66" i="37" s="1"/>
  <c r="BB66" i="37" s="1"/>
  <c r="AY61" i="37"/>
  <c r="AZ61" i="37" s="1"/>
  <c r="BA61" i="37" s="1"/>
  <c r="BB61" i="37" s="1"/>
  <c r="AY80" i="37"/>
  <c r="AZ80" i="37" s="1"/>
  <c r="BA80" i="37" s="1"/>
  <c r="BB80" i="37" s="1"/>
  <c r="AY78" i="37"/>
  <c r="AZ78" i="37" s="1"/>
  <c r="BA78" i="37" s="1"/>
  <c r="BB78" i="37" s="1"/>
  <c r="AY60" i="37"/>
  <c r="AZ60" i="37" s="1"/>
  <c r="BA60" i="37" s="1"/>
  <c r="BB60" i="37" s="1"/>
  <c r="AY32" i="37"/>
  <c r="AZ32" i="37" s="1"/>
  <c r="BA32" i="37" s="1"/>
  <c r="AY64" i="37"/>
  <c r="AZ64" i="37" s="1"/>
  <c r="BA64" i="37" s="1"/>
  <c r="BB64" i="37" s="1"/>
  <c r="AY79" i="37"/>
  <c r="AZ79" i="37" s="1"/>
  <c r="BA79" i="37" s="1"/>
  <c r="BB79" i="37" s="1"/>
  <c r="AY44" i="37"/>
  <c r="AZ44" i="37" s="1"/>
  <c r="BA44" i="37" s="1"/>
  <c r="BB44" i="37" s="1"/>
  <c r="AY75" i="37"/>
  <c r="AZ75" i="37" s="1"/>
  <c r="BA75" i="37" s="1"/>
  <c r="BB75" i="37" s="1"/>
  <c r="AY48" i="37"/>
  <c r="AZ48" i="37" s="1"/>
  <c r="BA48" i="37" s="1"/>
  <c r="BB48" i="37" s="1"/>
  <c r="AY63" i="37"/>
  <c r="AZ63" i="37" s="1"/>
  <c r="BA63" i="37" s="1"/>
  <c r="BB63" i="37" s="1"/>
  <c r="AY69" i="37"/>
  <c r="AZ69" i="37" s="1"/>
  <c r="BA69" i="37" s="1"/>
  <c r="BB69" i="37" s="1"/>
  <c r="AY59" i="37"/>
  <c r="AZ59" i="37" s="1"/>
  <c r="BA59" i="37" s="1"/>
  <c r="BB59" i="37" s="1"/>
  <c r="AY81" i="37"/>
  <c r="AZ81" i="37" s="1"/>
  <c r="BA81" i="37" s="1"/>
  <c r="BB81" i="37" s="1"/>
  <c r="AY67" i="37"/>
  <c r="AZ67" i="37" s="1"/>
  <c r="BA67" i="37" s="1"/>
  <c r="BB67" i="37" s="1"/>
  <c r="AY77" i="37"/>
  <c r="AZ77" i="37" s="1"/>
  <c r="BA77" i="37" s="1"/>
  <c r="BB77" i="37" s="1"/>
  <c r="D26" i="37"/>
  <c r="P5" i="37" s="1"/>
  <c r="H16" i="30" s="1"/>
  <c r="D25" i="37"/>
  <c r="O5" i="37" s="1"/>
  <c r="G16" i="30" s="1"/>
  <c r="H27" i="25"/>
  <c r="I27" i="25" s="1"/>
  <c r="H33" i="25"/>
  <c r="I33" i="25" s="1"/>
  <c r="H29" i="25"/>
  <c r="I29" i="25" s="1"/>
  <c r="H32" i="25"/>
  <c r="I32" i="25" s="1"/>
  <c r="H26" i="25"/>
  <c r="I26" i="25" s="1"/>
  <c r="H30" i="25"/>
  <c r="I30" i="25" s="1"/>
  <c r="H24" i="25"/>
  <c r="I24" i="25" s="1"/>
  <c r="H25" i="25"/>
  <c r="I25" i="25" s="1"/>
  <c r="H34" i="25"/>
  <c r="I34" i="25" s="1"/>
  <c r="H31" i="25"/>
  <c r="I31" i="25" s="1"/>
  <c r="I23" i="25"/>
  <c r="F55" i="20"/>
  <c r="F77" i="20"/>
  <c r="F45" i="20"/>
  <c r="K92" i="20"/>
  <c r="L92" i="20" s="1"/>
  <c r="M92" i="20" s="1"/>
  <c r="O92" i="20" s="1"/>
  <c r="C37" i="20"/>
  <c r="D37" i="20" s="1"/>
  <c r="C70" i="20"/>
  <c r="D70" i="20" s="1"/>
  <c r="F43" i="20"/>
  <c r="F40" i="20"/>
  <c r="C38" i="20"/>
  <c r="D38" i="20" s="1"/>
  <c r="C71" i="20"/>
  <c r="D71" i="20" s="1"/>
  <c r="C36" i="20"/>
  <c r="D36" i="20" s="1"/>
  <c r="F68" i="20"/>
  <c r="K87" i="20"/>
  <c r="L87" i="20" s="1"/>
  <c r="M87" i="20" s="1"/>
  <c r="O87" i="20" s="1"/>
  <c r="G22" i="37"/>
  <c r="G24" i="37" s="1"/>
  <c r="J4" i="37"/>
  <c r="K121" i="20"/>
  <c r="N68" i="20"/>
  <c r="F57" i="20"/>
  <c r="K31" i="20"/>
  <c r="F31" i="20"/>
  <c r="K100" i="20"/>
  <c r="M81" i="20"/>
  <c r="M63" i="20"/>
  <c r="O63" i="20" s="1"/>
  <c r="F39" i="20"/>
  <c r="K111" i="20"/>
  <c r="F58" i="20"/>
  <c r="F59" i="20"/>
  <c r="F35" i="20"/>
  <c r="F56" i="20"/>
  <c r="F46" i="20"/>
  <c r="F67" i="20"/>
  <c r="K71" i="20"/>
  <c r="F61" i="20"/>
  <c r="N81" i="20"/>
  <c r="F33" i="20"/>
  <c r="F72" i="20"/>
  <c r="F73" i="20"/>
  <c r="K41" i="20"/>
  <c r="F48" i="20"/>
  <c r="F52" i="20"/>
  <c r="F41" i="20"/>
  <c r="K76" i="20"/>
  <c r="F78" i="20"/>
  <c r="F53" i="20"/>
  <c r="F51" i="20"/>
  <c r="F74" i="20"/>
  <c r="F69" i="20"/>
  <c r="F44" i="20"/>
  <c r="K106" i="20"/>
  <c r="F42" i="20"/>
  <c r="K50" i="20"/>
  <c r="K34" i="20"/>
  <c r="K44" i="20"/>
  <c r="N44" i="20"/>
  <c r="K74" i="20"/>
  <c r="N74" i="20"/>
  <c r="F47" i="20"/>
  <c r="K95" i="20"/>
  <c r="K105" i="20"/>
  <c r="N105" i="20"/>
  <c r="M68" i="20"/>
  <c r="K108" i="20"/>
  <c r="N108" i="20"/>
  <c r="K57" i="20"/>
  <c r="N57" i="20"/>
  <c r="K52" i="20"/>
  <c r="K98" i="20"/>
  <c r="F54" i="20"/>
  <c r="K55" i="20"/>
  <c r="F75" i="20"/>
  <c r="F76" i="20"/>
  <c r="F63" i="20"/>
  <c r="K33" i="20"/>
  <c r="N33" i="20"/>
  <c r="F62" i="20"/>
  <c r="K58" i="20"/>
  <c r="F49" i="20"/>
  <c r="K113" i="20"/>
  <c r="F65" i="20"/>
  <c r="F32" i="20"/>
  <c r="F50" i="20"/>
  <c r="F34" i="20"/>
  <c r="F64" i="20"/>
  <c r="F66" i="20"/>
  <c r="K39" i="20"/>
  <c r="K122" i="20"/>
  <c r="F30" i="20"/>
  <c r="C30" i="20"/>
  <c r="D30" i="20" s="1"/>
  <c r="K89" i="20"/>
  <c r="K124" i="20"/>
  <c r="K86" i="20"/>
  <c r="K127" i="20"/>
  <c r="K35" i="20"/>
  <c r="K94" i="20"/>
  <c r="K65" i="20"/>
  <c r="K67" i="20"/>
  <c r="K53" i="20"/>
  <c r="K126" i="20"/>
  <c r="K109" i="20"/>
  <c r="K93" i="20"/>
  <c r="K47" i="20"/>
  <c r="K83" i="20"/>
  <c r="K46" i="20"/>
  <c r="K112" i="20"/>
  <c r="K43" i="20"/>
  <c r="K73" i="20"/>
  <c r="K51" i="20"/>
  <c r="K84" i="20"/>
  <c r="K69" i="20"/>
  <c r="K49" i="20"/>
  <c r="K85" i="20"/>
  <c r="K91" i="20"/>
  <c r="K114" i="20"/>
  <c r="K30" i="20"/>
  <c r="K32" i="20"/>
  <c r="K38" i="20"/>
  <c r="K40" i="20"/>
  <c r="K115" i="20"/>
  <c r="K80" i="20"/>
  <c r="K123" i="20"/>
  <c r="K54" i="20"/>
  <c r="K78" i="20"/>
  <c r="K120" i="20"/>
  <c r="K48" i="20"/>
  <c r="K90" i="20"/>
  <c r="K102" i="20"/>
  <c r="K97" i="20"/>
  <c r="K88" i="20"/>
  <c r="K36" i="20"/>
  <c r="K128" i="20"/>
  <c r="K56" i="20"/>
  <c r="K117" i="20"/>
  <c r="K116" i="20"/>
  <c r="K96" i="20"/>
  <c r="K29" i="20"/>
  <c r="N29" i="20"/>
  <c r="K62" i="20"/>
  <c r="K42" i="20"/>
  <c r="K119" i="20"/>
  <c r="K61" i="20"/>
  <c r="K103" i="20"/>
  <c r="K77" i="20"/>
  <c r="K66" i="20"/>
  <c r="K82" i="20"/>
  <c r="K64" i="20"/>
  <c r="K110" i="20"/>
  <c r="K60" i="20"/>
  <c r="K59" i="20"/>
  <c r="K118" i="20"/>
  <c r="K37" i="20"/>
  <c r="K75" i="20"/>
  <c r="K125" i="20"/>
  <c r="K101" i="20"/>
  <c r="K72" i="20"/>
  <c r="K99" i="20"/>
  <c r="K107" i="20"/>
  <c r="K79" i="20"/>
  <c r="K104" i="20"/>
  <c r="K45" i="20"/>
  <c r="K70" i="20"/>
  <c r="E29" i="20"/>
  <c r="F29" i="20"/>
  <c r="E66" i="20"/>
  <c r="E64" i="20"/>
  <c r="E49" i="20"/>
  <c r="E34" i="20"/>
  <c r="E62" i="44" l="1"/>
  <c r="F69" i="44"/>
  <c r="F62" i="44" s="1"/>
  <c r="R62" i="44"/>
  <c r="S63" i="44"/>
  <c r="S62" i="44" s="1"/>
  <c r="AY63" i="41"/>
  <c r="AZ63" i="41" s="1"/>
  <c r="BO32" i="42"/>
  <c r="BP32" i="42" s="1"/>
  <c r="BQ32" i="42" s="1"/>
  <c r="BH37" i="37"/>
  <c r="BI37" i="37" s="1"/>
  <c r="BJ37" i="37" s="1"/>
  <c r="BK37" i="37" s="1"/>
  <c r="AY37" i="41"/>
  <c r="AZ37" i="41" s="1"/>
  <c r="BA37" i="41" s="1"/>
  <c r="BB37" i="41" s="1"/>
  <c r="Z42" i="41"/>
  <c r="AA42" i="41" s="1"/>
  <c r="AB42" i="41" s="1"/>
  <c r="Z38" i="41"/>
  <c r="AA38" i="41" s="1"/>
  <c r="AB38" i="41" s="1"/>
  <c r="BX36" i="37"/>
  <c r="BY36" i="37" s="1"/>
  <c r="BZ36" i="37" s="1"/>
  <c r="CA36" i="37" s="1"/>
  <c r="BV35" i="42"/>
  <c r="BW35" i="42" s="1"/>
  <c r="BV36" i="42"/>
  <c r="BW36" i="42" s="1"/>
  <c r="BX36" i="42" s="1"/>
  <c r="Z43" i="41"/>
  <c r="AA43" i="41" s="1"/>
  <c r="AB43" i="41" s="1"/>
  <c r="BF34" i="41"/>
  <c r="BG34" i="41" s="1"/>
  <c r="BH34" i="41" s="1"/>
  <c r="CE40" i="42"/>
  <c r="CF40" i="42" s="1"/>
  <c r="CG40" i="42" s="1"/>
  <c r="CH40" i="42" s="1"/>
  <c r="CE63" i="42"/>
  <c r="CF63" i="42" s="1"/>
  <c r="CG63" i="42" s="1"/>
  <c r="CH63" i="42" s="1"/>
  <c r="EC51" i="42"/>
  <c r="ED51" i="42" s="1"/>
  <c r="BO71" i="42"/>
  <c r="BP71" i="42" s="1"/>
  <c r="BO47" i="42"/>
  <c r="BP47" i="42" s="1"/>
  <c r="BO33" i="42"/>
  <c r="BP33" i="42" s="1"/>
  <c r="EC39" i="42"/>
  <c r="ED39" i="42" s="1"/>
  <c r="EC38" i="42"/>
  <c r="ED38" i="42" s="1"/>
  <c r="EC72" i="42"/>
  <c r="ED72" i="42" s="1"/>
  <c r="BV34" i="41"/>
  <c r="BW34" i="41" s="1"/>
  <c r="BX34" i="41" s="1"/>
  <c r="O6" i="41"/>
  <c r="G21" i="30" s="1"/>
  <c r="AY60" i="41"/>
  <c r="AZ60" i="41" s="1"/>
  <c r="AB32" i="37"/>
  <c r="AC32" i="37" s="1"/>
  <c r="AD32" i="37" s="1"/>
  <c r="AE32" i="37" s="1"/>
  <c r="BO53" i="41"/>
  <c r="BP53" i="41" s="1"/>
  <c r="BQ53" i="41" s="1"/>
  <c r="BR53" i="41" s="1"/>
  <c r="AY61" i="41"/>
  <c r="AZ61" i="41" s="1"/>
  <c r="BA61" i="41" s="1"/>
  <c r="BB61" i="41" s="1"/>
  <c r="CE47" i="42"/>
  <c r="CF47" i="42" s="1"/>
  <c r="CG47" i="42" s="1"/>
  <c r="CH47" i="42" s="1"/>
  <c r="BO49" i="42"/>
  <c r="BP49" i="42" s="1"/>
  <c r="BQ49" i="42" s="1"/>
  <c r="BR49" i="42" s="1"/>
  <c r="BO48" i="42"/>
  <c r="BP48" i="42" s="1"/>
  <c r="BO81" i="42"/>
  <c r="BP81" i="42" s="1"/>
  <c r="BQ81" i="42" s="1"/>
  <c r="BR81" i="42" s="1"/>
  <c r="EC62" i="42"/>
  <c r="ED62" i="42" s="1"/>
  <c r="EC78" i="42"/>
  <c r="ED78" i="42" s="1"/>
  <c r="EC40" i="42"/>
  <c r="ED40" i="42" s="1"/>
  <c r="BO72" i="42"/>
  <c r="BP72" i="42" s="1"/>
  <c r="BQ72" i="42" s="1"/>
  <c r="BR72" i="42" s="1"/>
  <c r="BO76" i="42"/>
  <c r="BP76" i="42" s="1"/>
  <c r="BQ76" i="42" s="1"/>
  <c r="BR76" i="42" s="1"/>
  <c r="BF39" i="41"/>
  <c r="BG39" i="41" s="1"/>
  <c r="BH39" i="41" s="1"/>
  <c r="BO50" i="42"/>
  <c r="BP50" i="42" s="1"/>
  <c r="BO43" i="42"/>
  <c r="BP43" i="42" s="1"/>
  <c r="BQ43" i="42" s="1"/>
  <c r="BR43" i="42" s="1"/>
  <c r="BH32" i="37"/>
  <c r="BI32" i="37" s="1"/>
  <c r="BJ32" i="37" s="1"/>
  <c r="BK32" i="37" s="1"/>
  <c r="BO64" i="42"/>
  <c r="BP64" i="42" s="1"/>
  <c r="BQ64" i="42" s="1"/>
  <c r="BR64" i="42" s="1"/>
  <c r="BH36" i="37"/>
  <c r="BI36" i="37" s="1"/>
  <c r="BJ36" i="37" s="1"/>
  <c r="BK36" i="37" s="1"/>
  <c r="AC39" i="37"/>
  <c r="AD39" i="37" s="1"/>
  <c r="AE39" i="37" s="1"/>
  <c r="AB39" i="37"/>
  <c r="EK39" i="42"/>
  <c r="EL39" i="42" s="1"/>
  <c r="EM39" i="42" s="1"/>
  <c r="EJ39" i="42"/>
  <c r="BV34" i="42"/>
  <c r="BW34" i="42" s="1"/>
  <c r="BO69" i="42"/>
  <c r="BP69" i="42" s="1"/>
  <c r="BV36" i="41"/>
  <c r="BW36" i="41" s="1"/>
  <c r="BX36" i="41" s="1"/>
  <c r="AB36" i="37"/>
  <c r="AC36" i="37" s="1"/>
  <c r="AD36" i="37" s="1"/>
  <c r="AE36" i="37" s="1"/>
  <c r="AY66" i="41"/>
  <c r="AZ66" i="41" s="1"/>
  <c r="BA66" i="41" s="1"/>
  <c r="BB66" i="41" s="1"/>
  <c r="BO67" i="42"/>
  <c r="BP67" i="42" s="1"/>
  <c r="BQ67" i="42" s="1"/>
  <c r="BR67" i="42" s="1"/>
  <c r="AR38" i="37"/>
  <c r="AS38" i="37" s="1"/>
  <c r="AT38" i="37" s="1"/>
  <c r="AU38" i="37" s="1"/>
  <c r="BX40" i="37"/>
  <c r="BY40" i="37" s="1"/>
  <c r="BZ40" i="37" s="1"/>
  <c r="CA40" i="37" s="1"/>
  <c r="BX37" i="37"/>
  <c r="BY37" i="37" s="1"/>
  <c r="BZ37" i="37" s="1"/>
  <c r="CA37" i="37" s="1"/>
  <c r="AC38" i="37"/>
  <c r="AD38" i="37" s="1"/>
  <c r="AE38" i="37" s="1"/>
  <c r="AB38" i="37"/>
  <c r="BO62" i="42"/>
  <c r="BP62" i="42" s="1"/>
  <c r="BQ62" i="42" s="1"/>
  <c r="BR62" i="42" s="1"/>
  <c r="U55" i="37"/>
  <c r="V55" i="37" s="1"/>
  <c r="EK41" i="42"/>
  <c r="EL41" i="42" s="1"/>
  <c r="EM41" i="42" s="1"/>
  <c r="EJ41" i="42"/>
  <c r="BO41" i="42"/>
  <c r="BP41" i="42" s="1"/>
  <c r="BQ41" i="42" s="1"/>
  <c r="BR41" i="42" s="1"/>
  <c r="BO37" i="42"/>
  <c r="BP37" i="42" s="1"/>
  <c r="BQ37" i="42" s="1"/>
  <c r="BR37" i="42" s="1"/>
  <c r="BO66" i="42"/>
  <c r="BP66" i="42" s="1"/>
  <c r="BQ66" i="42" s="1"/>
  <c r="BR66" i="42" s="1"/>
  <c r="Z41" i="41"/>
  <c r="AA41" i="41" s="1"/>
  <c r="AB41" i="41" s="1"/>
  <c r="AY77" i="41"/>
  <c r="AZ77" i="41" s="1"/>
  <c r="BA77" i="41" s="1"/>
  <c r="BB77" i="41" s="1"/>
  <c r="AB35" i="37"/>
  <c r="AC35" i="37" s="1"/>
  <c r="BO60" i="42"/>
  <c r="BP60" i="42" s="1"/>
  <c r="BQ60" i="42" s="1"/>
  <c r="BR60" i="42" s="1"/>
  <c r="BO54" i="42"/>
  <c r="BP54" i="42" s="1"/>
  <c r="BQ54" i="42" s="1"/>
  <c r="BR54" i="42" s="1"/>
  <c r="EK33" i="42"/>
  <c r="EL33" i="42" s="1"/>
  <c r="EM33" i="42" s="1"/>
  <c r="EJ33" i="42"/>
  <c r="BO39" i="42"/>
  <c r="BP39" i="42" s="1"/>
  <c r="BQ39" i="42" s="1"/>
  <c r="BR39" i="42" s="1"/>
  <c r="BO68" i="42"/>
  <c r="BP68" i="42" s="1"/>
  <c r="BQ68" i="42" s="1"/>
  <c r="BR68" i="42" s="1"/>
  <c r="BH33" i="37"/>
  <c r="BI33" i="37" s="1"/>
  <c r="BJ33" i="37" s="1"/>
  <c r="BK33" i="37" s="1"/>
  <c r="BO53" i="42"/>
  <c r="BP53" i="42" s="1"/>
  <c r="BQ53" i="42" s="1"/>
  <c r="BR53" i="42" s="1"/>
  <c r="AR39" i="37"/>
  <c r="AS39" i="37" s="1"/>
  <c r="AT39" i="37" s="1"/>
  <c r="AU39" i="37" s="1"/>
  <c r="Z32" i="41"/>
  <c r="AA32" i="41" s="1"/>
  <c r="AB32" i="41" s="1"/>
  <c r="EK32" i="42"/>
  <c r="EL32" i="42" s="1"/>
  <c r="EJ32" i="42"/>
  <c r="BX39" i="37"/>
  <c r="BY39" i="37" s="1"/>
  <c r="BZ39" i="37" s="1"/>
  <c r="CA39" i="37" s="1"/>
  <c r="BO78" i="42"/>
  <c r="BP78" i="42" s="1"/>
  <c r="BX34" i="37"/>
  <c r="BY34" i="37" s="1"/>
  <c r="BZ34" i="37" s="1"/>
  <c r="CA34" i="37" s="1"/>
  <c r="BY43" i="37"/>
  <c r="BZ43" i="37" s="1"/>
  <c r="CA43" i="37" s="1"/>
  <c r="BX43" i="37"/>
  <c r="Z37" i="41"/>
  <c r="AA37" i="41" s="1"/>
  <c r="AB37" i="41" s="1"/>
  <c r="BX33" i="37"/>
  <c r="BY33" i="37" s="1"/>
  <c r="BZ33" i="37" s="1"/>
  <c r="CA33" i="37" s="1"/>
  <c r="Z34" i="41"/>
  <c r="AA34" i="41" s="1"/>
  <c r="AB34" i="41" s="1"/>
  <c r="AY44" i="41"/>
  <c r="AZ44" i="41" s="1"/>
  <c r="BA44" i="41" s="1"/>
  <c r="BB44" i="41" s="1"/>
  <c r="AY46" i="41"/>
  <c r="AZ46" i="41" s="1"/>
  <c r="BA46" i="41" s="1"/>
  <c r="BB46" i="41" s="1"/>
  <c r="BO65" i="42"/>
  <c r="BP65" i="42" s="1"/>
  <c r="BQ65" i="42" s="1"/>
  <c r="BR65" i="42" s="1"/>
  <c r="BO73" i="42"/>
  <c r="BP73" i="42" s="1"/>
  <c r="BQ73" i="42" s="1"/>
  <c r="BR73" i="42" s="1"/>
  <c r="BO51" i="42"/>
  <c r="BP51" i="42" s="1"/>
  <c r="BQ51" i="42" s="1"/>
  <c r="BR51" i="42" s="1"/>
  <c r="AY56" i="41"/>
  <c r="AZ56" i="41" s="1"/>
  <c r="BA56" i="41" s="1"/>
  <c r="BB56" i="41" s="1"/>
  <c r="AY40" i="41"/>
  <c r="AZ40" i="41" s="1"/>
  <c r="BA40" i="41" s="1"/>
  <c r="BB40" i="41" s="1"/>
  <c r="EK35" i="42"/>
  <c r="EJ35" i="42"/>
  <c r="BO75" i="42"/>
  <c r="BP75" i="42" s="1"/>
  <c r="BQ75" i="42" s="1"/>
  <c r="BR75" i="42" s="1"/>
  <c r="BV40" i="42"/>
  <c r="BW40" i="42" s="1"/>
  <c r="BX40" i="42" s="1"/>
  <c r="Z33" i="41"/>
  <c r="AA33" i="41" s="1"/>
  <c r="AB33" i="41" s="1"/>
  <c r="AB37" i="37"/>
  <c r="AC37" i="37" s="1"/>
  <c r="AD37" i="37" s="1"/>
  <c r="AE37" i="37" s="1"/>
  <c r="AY52" i="41"/>
  <c r="AZ52" i="41" s="1"/>
  <c r="BA52" i="41" s="1"/>
  <c r="BB52" i="41" s="1"/>
  <c r="BO40" i="42"/>
  <c r="BP40" i="42" s="1"/>
  <c r="BQ40" i="42" s="1"/>
  <c r="BR40" i="42" s="1"/>
  <c r="BO63" i="42"/>
  <c r="BP63" i="42" s="1"/>
  <c r="BQ63" i="42" s="1"/>
  <c r="BR63" i="42" s="1"/>
  <c r="Z35" i="41"/>
  <c r="AA35" i="41" s="1"/>
  <c r="AB35" i="41" s="1"/>
  <c r="BF41" i="41"/>
  <c r="BG41" i="41" s="1"/>
  <c r="BH41" i="41" s="1"/>
  <c r="BO58" i="42"/>
  <c r="BP58" i="42" s="1"/>
  <c r="BQ58" i="42" s="1"/>
  <c r="BR58" i="42" s="1"/>
  <c r="BH35" i="37"/>
  <c r="BI35" i="37" s="1"/>
  <c r="Z39" i="41"/>
  <c r="AA39" i="41" s="1"/>
  <c r="AB39" i="41" s="1"/>
  <c r="AB43" i="37"/>
  <c r="AC43" i="37" s="1"/>
  <c r="AD43" i="37" s="1"/>
  <c r="AE43" i="37" s="1"/>
  <c r="CL38" i="42"/>
  <c r="CM38" i="42" s="1"/>
  <c r="CN38" i="42" s="1"/>
  <c r="EC79" i="42"/>
  <c r="ED79" i="42" s="1"/>
  <c r="BV41" i="42"/>
  <c r="BW41" i="42" s="1"/>
  <c r="BV32" i="42"/>
  <c r="BW32" i="42" s="1"/>
  <c r="EC70" i="42"/>
  <c r="ED70" i="42" s="1"/>
  <c r="EC36" i="42"/>
  <c r="ED36" i="42" s="1"/>
  <c r="EK34" i="42"/>
  <c r="EL34" i="42" s="1"/>
  <c r="EM34" i="42" s="1"/>
  <c r="EJ34" i="42"/>
  <c r="BI42" i="37"/>
  <c r="BJ42" i="37" s="1"/>
  <c r="BK42" i="37" s="1"/>
  <c r="BH42" i="37"/>
  <c r="BH40" i="37"/>
  <c r="BI40" i="37" s="1"/>
  <c r="BJ40" i="37" s="1"/>
  <c r="BK40" i="37" s="1"/>
  <c r="AY79" i="41"/>
  <c r="AZ79" i="41" s="1"/>
  <c r="BA79" i="41" s="1"/>
  <c r="BB79" i="41" s="1"/>
  <c r="BO46" i="42"/>
  <c r="BP46" i="42" s="1"/>
  <c r="BQ46" i="42" s="1"/>
  <c r="BR46" i="42" s="1"/>
  <c r="BO61" i="42"/>
  <c r="BP61" i="42" s="1"/>
  <c r="BQ61" i="42" s="1"/>
  <c r="BR61" i="42" s="1"/>
  <c r="O8" i="41"/>
  <c r="G23" i="30" s="1"/>
  <c r="BF36" i="41"/>
  <c r="BG36" i="41" s="1"/>
  <c r="BH36" i="41" s="1"/>
  <c r="U46" i="37"/>
  <c r="V46" i="37" s="1"/>
  <c r="EK40" i="42"/>
  <c r="EL40" i="42" s="1"/>
  <c r="EM40" i="42" s="1"/>
  <c r="EJ40" i="42"/>
  <c r="BO70" i="42"/>
  <c r="BP70" i="42" s="1"/>
  <c r="BF35" i="41"/>
  <c r="BG35" i="41" s="1"/>
  <c r="BH35" i="41" s="1"/>
  <c r="BH43" i="37"/>
  <c r="BI43" i="37" s="1"/>
  <c r="BJ43" i="37" s="1"/>
  <c r="BK43" i="37" s="1"/>
  <c r="AY65" i="41"/>
  <c r="AZ65" i="41" s="1"/>
  <c r="BA65" i="41" s="1"/>
  <c r="BB65" i="41" s="1"/>
  <c r="BH39" i="37"/>
  <c r="BI39" i="37" s="1"/>
  <c r="BJ39" i="37" s="1"/>
  <c r="BK39" i="37" s="1"/>
  <c r="Z36" i="41"/>
  <c r="AA36" i="41" s="1"/>
  <c r="AB36" i="41" s="1"/>
  <c r="AY38" i="41"/>
  <c r="AZ38" i="41" s="1"/>
  <c r="BA38" i="41" s="1"/>
  <c r="BB38" i="41" s="1"/>
  <c r="BO80" i="42"/>
  <c r="BP80" i="42" s="1"/>
  <c r="BQ80" i="42" s="1"/>
  <c r="BR80" i="42" s="1"/>
  <c r="BF33" i="41"/>
  <c r="BG33" i="41" s="1"/>
  <c r="BH33" i="41" s="1"/>
  <c r="AY69" i="41"/>
  <c r="AZ69" i="41" s="1"/>
  <c r="BA69" i="41" s="1"/>
  <c r="BB69" i="41" s="1"/>
  <c r="AS34" i="37"/>
  <c r="AT34" i="37" s="1"/>
  <c r="AU34" i="37" s="1"/>
  <c r="AR34" i="37"/>
  <c r="AS40" i="37"/>
  <c r="AT40" i="37" s="1"/>
  <c r="AU40" i="37" s="1"/>
  <c r="AR40" i="37"/>
  <c r="BV39" i="42"/>
  <c r="BW39" i="42" s="1"/>
  <c r="BO77" i="42"/>
  <c r="BP77" i="42" s="1"/>
  <c r="AR35" i="37"/>
  <c r="AS35" i="37" s="1"/>
  <c r="AY53" i="41"/>
  <c r="AZ53" i="41" s="1"/>
  <c r="BA53" i="41" s="1"/>
  <c r="BB53" i="41" s="1"/>
  <c r="AY33" i="41"/>
  <c r="AZ33" i="41" s="1"/>
  <c r="CL39" i="42"/>
  <c r="CM39" i="42" s="1"/>
  <c r="CN39" i="42" s="1"/>
  <c r="EK36" i="42"/>
  <c r="EL36" i="42" s="1"/>
  <c r="EM36" i="42" s="1"/>
  <c r="EJ36" i="42"/>
  <c r="BO35" i="42"/>
  <c r="BP35" i="42" s="1"/>
  <c r="BQ35" i="42" s="1"/>
  <c r="BR35" i="42" s="1"/>
  <c r="EC68" i="42"/>
  <c r="ED68" i="42" s="1"/>
  <c r="EC71" i="42"/>
  <c r="ED71" i="42" s="1"/>
  <c r="EC37" i="42"/>
  <c r="ED37" i="42" s="1"/>
  <c r="BO34" i="42"/>
  <c r="BP34" i="42" s="1"/>
  <c r="BQ34" i="42" s="1"/>
  <c r="BR34" i="42" s="1"/>
  <c r="BO42" i="42"/>
  <c r="BP42" i="42" s="1"/>
  <c r="BQ42" i="42" s="1"/>
  <c r="BR42" i="42" s="1"/>
  <c r="E39" i="43"/>
  <c r="BO63" i="41"/>
  <c r="BP63" i="41" s="1"/>
  <c r="BQ63" i="41" s="1"/>
  <c r="BR63" i="41" s="1"/>
  <c r="U62" i="37"/>
  <c r="V62" i="37" s="1"/>
  <c r="U42" i="37"/>
  <c r="V42" i="37" s="1"/>
  <c r="BO48" i="41"/>
  <c r="BP48" i="41" s="1"/>
  <c r="BQ48" i="41" s="1"/>
  <c r="BR48" i="41" s="1"/>
  <c r="BO37" i="41"/>
  <c r="BP37" i="41" s="1"/>
  <c r="BQ37" i="41" s="1"/>
  <c r="BR37" i="41" s="1"/>
  <c r="U48" i="37"/>
  <c r="V48" i="37" s="1"/>
  <c r="BQ74" i="42"/>
  <c r="BR74" i="42" s="1"/>
  <c r="BF37" i="41"/>
  <c r="BG37" i="41" s="1"/>
  <c r="BO69" i="41"/>
  <c r="BP69" i="41" s="1"/>
  <c r="BQ69" i="41" s="1"/>
  <c r="BR69" i="41" s="1"/>
  <c r="AY76" i="41"/>
  <c r="AZ76" i="41" s="1"/>
  <c r="BA76" i="41" s="1"/>
  <c r="BB76" i="41" s="1"/>
  <c r="U44" i="37"/>
  <c r="V44" i="37" s="1"/>
  <c r="BQ50" i="42"/>
  <c r="BR50" i="42" s="1"/>
  <c r="BO38" i="41"/>
  <c r="BP38" i="41" s="1"/>
  <c r="BQ38" i="41" s="1"/>
  <c r="BR38" i="41" s="1"/>
  <c r="BV37" i="41"/>
  <c r="BW37" i="41" s="1"/>
  <c r="BX37" i="41" s="1"/>
  <c r="AY75" i="41"/>
  <c r="AZ75" i="41" s="1"/>
  <c r="AY32" i="41"/>
  <c r="AZ32" i="41" s="1"/>
  <c r="BA32" i="41" s="1"/>
  <c r="U74" i="37"/>
  <c r="V74" i="37" s="1"/>
  <c r="U47" i="37"/>
  <c r="V47" i="37" s="1"/>
  <c r="BO76" i="41"/>
  <c r="BP76" i="41" s="1"/>
  <c r="BQ76" i="41" s="1"/>
  <c r="BR76" i="41" s="1"/>
  <c r="BO79" i="41"/>
  <c r="BP79" i="41" s="1"/>
  <c r="BQ79" i="41" s="1"/>
  <c r="BR79" i="41" s="1"/>
  <c r="BO80" i="41"/>
  <c r="BP80" i="41" s="1"/>
  <c r="BQ80" i="41" s="1"/>
  <c r="BR80" i="41" s="1"/>
  <c r="AY49" i="41"/>
  <c r="AZ49" i="41" s="1"/>
  <c r="AY58" i="41"/>
  <c r="AZ58" i="41" s="1"/>
  <c r="AY48" i="41"/>
  <c r="AZ48" i="41" s="1"/>
  <c r="BA48" i="41" s="1"/>
  <c r="BB48" i="41" s="1"/>
  <c r="C48" i="41"/>
  <c r="D48" i="41" s="1"/>
  <c r="E48" i="41" s="1"/>
  <c r="F48" i="41" s="1"/>
  <c r="U39" i="37"/>
  <c r="V39" i="37" s="1"/>
  <c r="M42" i="43"/>
  <c r="N42" i="43" s="1"/>
  <c r="O42" i="43" s="1"/>
  <c r="EK43" i="42"/>
  <c r="EL43" i="42" s="1"/>
  <c r="EM43" i="42" s="1"/>
  <c r="BQ69" i="42"/>
  <c r="BR69" i="42" s="1"/>
  <c r="EC54" i="42"/>
  <c r="ED54" i="42" s="1"/>
  <c r="O11" i="42"/>
  <c r="G30" i="30" s="1"/>
  <c r="DB39" i="42"/>
  <c r="DC39" i="42" s="1"/>
  <c r="CU36" i="42"/>
  <c r="CV36" i="42" s="1"/>
  <c r="DB40" i="42"/>
  <c r="DC40" i="42" s="1"/>
  <c r="DD40" i="42" s="1"/>
  <c r="DB33" i="42"/>
  <c r="DC33" i="42" s="1"/>
  <c r="DB38" i="42"/>
  <c r="DC38" i="42" s="1"/>
  <c r="DB42" i="42"/>
  <c r="DC42" i="42" s="1"/>
  <c r="DD42" i="42" s="1"/>
  <c r="CU78" i="42"/>
  <c r="CV78" i="42" s="1"/>
  <c r="DB35" i="42"/>
  <c r="DC35" i="42" s="1"/>
  <c r="DB32" i="42"/>
  <c r="DC32" i="42" s="1"/>
  <c r="DB36" i="42"/>
  <c r="DC36" i="42" s="1"/>
  <c r="DD36" i="42" s="1"/>
  <c r="DB34" i="42"/>
  <c r="DC34" i="42" s="1"/>
  <c r="DB43" i="42"/>
  <c r="DC43" i="42" s="1"/>
  <c r="CU66" i="42"/>
  <c r="CV66" i="42" s="1"/>
  <c r="CU49" i="42"/>
  <c r="CV49" i="42" s="1"/>
  <c r="CU55" i="42"/>
  <c r="CV55" i="42" s="1"/>
  <c r="CW55" i="42" s="1"/>
  <c r="CX55" i="42" s="1"/>
  <c r="DB37" i="42"/>
  <c r="DC37" i="42" s="1"/>
  <c r="M44" i="43"/>
  <c r="N44" i="43" s="1"/>
  <c r="O44" i="43" s="1"/>
  <c r="C79" i="41"/>
  <c r="D79" i="41" s="1"/>
  <c r="E79" i="41" s="1"/>
  <c r="F79" i="41" s="1"/>
  <c r="BV43" i="41"/>
  <c r="BW43" i="41" s="1"/>
  <c r="BX43" i="41" s="1"/>
  <c r="BO75" i="41"/>
  <c r="BP75" i="41" s="1"/>
  <c r="BQ75" i="41" s="1"/>
  <c r="BR75" i="41" s="1"/>
  <c r="BO62" i="41"/>
  <c r="BP62" i="41" s="1"/>
  <c r="BQ62" i="41" s="1"/>
  <c r="BR62" i="41" s="1"/>
  <c r="U70" i="37"/>
  <c r="V70" i="37" s="1"/>
  <c r="EK37" i="42"/>
  <c r="EL37" i="42" s="1"/>
  <c r="EM37" i="42" s="1"/>
  <c r="BY40" i="42"/>
  <c r="BZ40" i="42" s="1"/>
  <c r="CA40" i="42" s="1"/>
  <c r="BV39" i="41"/>
  <c r="BW39" i="41" s="1"/>
  <c r="BO52" i="41"/>
  <c r="BP52" i="41" s="1"/>
  <c r="BQ52" i="41" s="1"/>
  <c r="BR52" i="41" s="1"/>
  <c r="AY68" i="41"/>
  <c r="AZ68" i="41" s="1"/>
  <c r="U51" i="37"/>
  <c r="V51" i="37" s="1"/>
  <c r="BO72" i="41"/>
  <c r="BP72" i="41" s="1"/>
  <c r="BQ72" i="41" s="1"/>
  <c r="BR72" i="41" s="1"/>
  <c r="BO81" i="41"/>
  <c r="BP81" i="41" s="1"/>
  <c r="BQ81" i="41" s="1"/>
  <c r="BR81" i="41" s="1"/>
  <c r="AY81" i="41"/>
  <c r="AZ81" i="41" s="1"/>
  <c r="U69" i="37"/>
  <c r="V69" i="37" s="1"/>
  <c r="BQ78" i="42"/>
  <c r="BR78" i="42" s="1"/>
  <c r="O9" i="41"/>
  <c r="G24" i="30" s="1"/>
  <c r="BV41" i="41"/>
  <c r="BW41" i="41" s="1"/>
  <c r="BX41" i="41" s="1"/>
  <c r="AY67" i="41"/>
  <c r="AZ67" i="41" s="1"/>
  <c r="BA67" i="41" s="1"/>
  <c r="BB67" i="41" s="1"/>
  <c r="BF43" i="41"/>
  <c r="BG43" i="41" s="1"/>
  <c r="BO35" i="41"/>
  <c r="BP35" i="41" s="1"/>
  <c r="BQ35" i="41" s="1"/>
  <c r="BR35" i="41" s="1"/>
  <c r="BO57" i="41"/>
  <c r="BP57" i="41" s="1"/>
  <c r="BQ57" i="41" s="1"/>
  <c r="BR57" i="41" s="1"/>
  <c r="AY34" i="41"/>
  <c r="AZ34" i="41" s="1"/>
  <c r="BA34" i="41" s="1"/>
  <c r="BB34" i="41" s="1"/>
  <c r="AY54" i="41"/>
  <c r="AZ54" i="41" s="1"/>
  <c r="AY43" i="41"/>
  <c r="AZ43" i="41" s="1"/>
  <c r="AI70" i="41"/>
  <c r="AJ70" i="41" s="1"/>
  <c r="U37" i="37"/>
  <c r="V37" i="37" s="1"/>
  <c r="M43" i="43"/>
  <c r="EC56" i="42"/>
  <c r="ED56" i="42" s="1"/>
  <c r="M48" i="43"/>
  <c r="N48" i="43" s="1"/>
  <c r="O48" i="43" s="1"/>
  <c r="BO60" i="41"/>
  <c r="BP60" i="41" s="1"/>
  <c r="BQ60" i="41" s="1"/>
  <c r="BR60" i="41" s="1"/>
  <c r="BO54" i="41"/>
  <c r="BP54" i="41" s="1"/>
  <c r="BQ54" i="41" s="1"/>
  <c r="BR54" i="41" s="1"/>
  <c r="BO41" i="41"/>
  <c r="BP41" i="41" s="1"/>
  <c r="BQ41" i="41" s="1"/>
  <c r="BR41" i="41" s="1"/>
  <c r="M46" i="43"/>
  <c r="N46" i="43" s="1"/>
  <c r="O46" i="43" s="1"/>
  <c r="EK42" i="42"/>
  <c r="EL42" i="42" s="1"/>
  <c r="EM42" i="42" s="1"/>
  <c r="BQ70" i="42"/>
  <c r="BR70" i="42" s="1"/>
  <c r="BO42" i="41"/>
  <c r="BP42" i="41" s="1"/>
  <c r="BQ42" i="41" s="1"/>
  <c r="BR42" i="41" s="1"/>
  <c r="BF40" i="41"/>
  <c r="BG40" i="41" s="1"/>
  <c r="BH40" i="41" s="1"/>
  <c r="J35" i="41"/>
  <c r="K35" i="41" s="1"/>
  <c r="L35" i="41" s="1"/>
  <c r="BO77" i="41"/>
  <c r="BP77" i="41" s="1"/>
  <c r="BQ77" i="41" s="1"/>
  <c r="BR77" i="41" s="1"/>
  <c r="AY74" i="41"/>
  <c r="AZ74" i="41" s="1"/>
  <c r="BA74" i="41" s="1"/>
  <c r="BB74" i="41" s="1"/>
  <c r="BF42" i="41"/>
  <c r="BG42" i="41" s="1"/>
  <c r="BH42" i="41" s="1"/>
  <c r="BO56" i="41"/>
  <c r="BP56" i="41" s="1"/>
  <c r="BQ56" i="41" s="1"/>
  <c r="BR56" i="41" s="1"/>
  <c r="BO74" i="41"/>
  <c r="BP74" i="41" s="1"/>
  <c r="BQ74" i="41" s="1"/>
  <c r="BR74" i="41" s="1"/>
  <c r="AY72" i="41"/>
  <c r="AZ72" i="41" s="1"/>
  <c r="BA72" i="41" s="1"/>
  <c r="BB72" i="41" s="1"/>
  <c r="EC81" i="42"/>
  <c r="ED81" i="42" s="1"/>
  <c r="BQ33" i="42"/>
  <c r="BR33" i="42" s="1"/>
  <c r="EC47" i="42"/>
  <c r="ED47" i="42" s="1"/>
  <c r="DB41" i="42"/>
  <c r="DC41" i="42" s="1"/>
  <c r="DD41" i="42" s="1"/>
  <c r="BO68" i="41"/>
  <c r="BP68" i="41" s="1"/>
  <c r="BQ68" i="41" s="1"/>
  <c r="BR68" i="41" s="1"/>
  <c r="U52" i="37"/>
  <c r="V52" i="37" s="1"/>
  <c r="BO71" i="41"/>
  <c r="BP71" i="41" s="1"/>
  <c r="BQ71" i="41" s="1"/>
  <c r="BR71" i="41" s="1"/>
  <c r="BQ47" i="42"/>
  <c r="BR47" i="42" s="1"/>
  <c r="U65" i="37"/>
  <c r="V65" i="37" s="1"/>
  <c r="BQ71" i="42"/>
  <c r="BR71" i="42" s="1"/>
  <c r="BO70" i="41"/>
  <c r="BP70" i="41" s="1"/>
  <c r="BQ70" i="41" s="1"/>
  <c r="BR70" i="41" s="1"/>
  <c r="J39" i="41"/>
  <c r="K39" i="41" s="1"/>
  <c r="L39" i="41" s="1"/>
  <c r="BV35" i="41"/>
  <c r="BW35" i="41" s="1"/>
  <c r="BX35" i="41" s="1"/>
  <c r="AY35" i="41"/>
  <c r="AZ35" i="41" s="1"/>
  <c r="BA35" i="41" s="1"/>
  <c r="BB35" i="41" s="1"/>
  <c r="AY71" i="41"/>
  <c r="AZ71" i="41" s="1"/>
  <c r="BA71" i="41" s="1"/>
  <c r="BB71" i="41" s="1"/>
  <c r="BO66" i="41"/>
  <c r="BP66" i="41" s="1"/>
  <c r="BO40" i="41"/>
  <c r="BP40" i="41" s="1"/>
  <c r="BO51" i="41"/>
  <c r="BP51" i="41" s="1"/>
  <c r="BO58" i="41"/>
  <c r="BP58" i="41" s="1"/>
  <c r="AY59" i="41"/>
  <c r="AZ59" i="41" s="1"/>
  <c r="BA59" i="41" s="1"/>
  <c r="BB59" i="41" s="1"/>
  <c r="AY55" i="41"/>
  <c r="AZ55" i="41" s="1"/>
  <c r="BA55" i="41" s="1"/>
  <c r="BB55" i="41" s="1"/>
  <c r="AI72" i="41"/>
  <c r="AJ72" i="41" s="1"/>
  <c r="M40" i="43"/>
  <c r="N40" i="43" s="1"/>
  <c r="M47" i="43"/>
  <c r="N47" i="43" s="1"/>
  <c r="O47" i="43" s="1"/>
  <c r="EC33" i="42"/>
  <c r="ED33" i="42" s="1"/>
  <c r="EC32" i="42"/>
  <c r="BQ77" i="42"/>
  <c r="BR77" i="42" s="1"/>
  <c r="EC34" i="42"/>
  <c r="ED34" i="42" s="1"/>
  <c r="BO65" i="41"/>
  <c r="BP65" i="41" s="1"/>
  <c r="BQ65" i="41" s="1"/>
  <c r="BR65" i="41" s="1"/>
  <c r="BO55" i="41"/>
  <c r="BP55" i="41" s="1"/>
  <c r="BQ55" i="41" s="1"/>
  <c r="BR55" i="41" s="1"/>
  <c r="U78" i="37"/>
  <c r="V78" i="37" s="1"/>
  <c r="BR32" i="42"/>
  <c r="BV40" i="41"/>
  <c r="BW40" i="41" s="1"/>
  <c r="BO47" i="41"/>
  <c r="BP47" i="41" s="1"/>
  <c r="BQ47" i="41" s="1"/>
  <c r="BR47" i="41" s="1"/>
  <c r="U68" i="37"/>
  <c r="V68" i="37" s="1"/>
  <c r="BO78" i="41"/>
  <c r="BP78" i="41" s="1"/>
  <c r="BQ78" i="41" s="1"/>
  <c r="BR78" i="41" s="1"/>
  <c r="EK38" i="42"/>
  <c r="EL38" i="42" s="1"/>
  <c r="EM38" i="42" s="1"/>
  <c r="EM32" i="42"/>
  <c r="AY41" i="41"/>
  <c r="AZ41" i="41" s="1"/>
  <c r="BA41" i="41" s="1"/>
  <c r="BB41" i="41" s="1"/>
  <c r="U81" i="37"/>
  <c r="V81" i="37" s="1"/>
  <c r="EC41" i="42"/>
  <c r="ED41" i="42" s="1"/>
  <c r="C74" i="41"/>
  <c r="D74" i="41" s="1"/>
  <c r="E74" i="41" s="1"/>
  <c r="F74" i="41" s="1"/>
  <c r="BO61" i="41"/>
  <c r="BP61" i="41" s="1"/>
  <c r="BQ61" i="41" s="1"/>
  <c r="BR61" i="41" s="1"/>
  <c r="AY42" i="41"/>
  <c r="AZ42" i="41" s="1"/>
  <c r="BA42" i="41" s="1"/>
  <c r="BB42" i="41" s="1"/>
  <c r="AY80" i="41"/>
  <c r="AZ80" i="41" s="1"/>
  <c r="BA80" i="41" s="1"/>
  <c r="BB80" i="41" s="1"/>
  <c r="BO43" i="41"/>
  <c r="BP43" i="41" s="1"/>
  <c r="BO32" i="41"/>
  <c r="BP32" i="41" s="1"/>
  <c r="BO67" i="41"/>
  <c r="BP67" i="41" s="1"/>
  <c r="AY62" i="41"/>
  <c r="AZ62" i="41" s="1"/>
  <c r="AY51" i="41"/>
  <c r="AZ51" i="41" s="1"/>
  <c r="AY78" i="41"/>
  <c r="AZ78" i="41" s="1"/>
  <c r="M49" i="43"/>
  <c r="N49" i="43" s="1"/>
  <c r="O49" i="43" s="1"/>
  <c r="EC59" i="42"/>
  <c r="ED59" i="42" s="1"/>
  <c r="BO59" i="42"/>
  <c r="BP59" i="42" s="1"/>
  <c r="BQ59" i="42" s="1"/>
  <c r="BR59" i="42" s="1"/>
  <c r="BO44" i="42"/>
  <c r="BP44" i="42" s="1"/>
  <c r="BQ44" i="42" s="1"/>
  <c r="BR44" i="42" s="1"/>
  <c r="BO52" i="42"/>
  <c r="BP52" i="42" s="1"/>
  <c r="BQ52" i="42" s="1"/>
  <c r="BR52" i="42" s="1"/>
  <c r="BO56" i="42"/>
  <c r="BP56" i="42" s="1"/>
  <c r="BQ56" i="42" s="1"/>
  <c r="BR56" i="42" s="1"/>
  <c r="EC77" i="42"/>
  <c r="ED77" i="42" s="1"/>
  <c r="BV38" i="41"/>
  <c r="BW38" i="41" s="1"/>
  <c r="U54" i="37"/>
  <c r="V54" i="37" s="1"/>
  <c r="F40" i="43"/>
  <c r="F39" i="43" s="1"/>
  <c r="BQ48" i="42"/>
  <c r="BR48" i="42" s="1"/>
  <c r="C76" i="41"/>
  <c r="D76" i="41" s="1"/>
  <c r="E76" i="41" s="1"/>
  <c r="F76" i="41" s="1"/>
  <c r="U33" i="37"/>
  <c r="V33" i="37" s="1"/>
  <c r="M50" i="43"/>
  <c r="N50" i="43" s="1"/>
  <c r="O50" i="43" s="1"/>
  <c r="BO73" i="41"/>
  <c r="BP73" i="41" s="1"/>
  <c r="BQ73" i="41" s="1"/>
  <c r="BR73" i="41" s="1"/>
  <c r="BV33" i="41"/>
  <c r="BW33" i="41" s="1"/>
  <c r="BO45" i="41"/>
  <c r="BP45" i="41" s="1"/>
  <c r="BQ45" i="41" s="1"/>
  <c r="BR45" i="41" s="1"/>
  <c r="BF32" i="41"/>
  <c r="BG32" i="41" s="1"/>
  <c r="BH32" i="41" s="1"/>
  <c r="AY57" i="41"/>
  <c r="AZ57" i="41" s="1"/>
  <c r="BA57" i="41" s="1"/>
  <c r="BB57" i="41" s="1"/>
  <c r="U80" i="37"/>
  <c r="V80" i="37" s="1"/>
  <c r="BO49" i="41"/>
  <c r="BP49" i="41" s="1"/>
  <c r="BO50" i="41"/>
  <c r="BP50" i="41" s="1"/>
  <c r="BQ50" i="41" s="1"/>
  <c r="BR50" i="41" s="1"/>
  <c r="BO59" i="41"/>
  <c r="BP59" i="41" s="1"/>
  <c r="BQ59" i="41" s="1"/>
  <c r="BR59" i="41" s="1"/>
  <c r="AY45" i="41"/>
  <c r="AZ45" i="41" s="1"/>
  <c r="BA45" i="41" s="1"/>
  <c r="BB45" i="41" s="1"/>
  <c r="AY39" i="41"/>
  <c r="AZ39" i="41" s="1"/>
  <c r="BA39" i="41" s="1"/>
  <c r="BB39" i="41" s="1"/>
  <c r="AY47" i="41"/>
  <c r="AZ47" i="41" s="1"/>
  <c r="BA47" i="41" s="1"/>
  <c r="BB47" i="41" s="1"/>
  <c r="AY36" i="41"/>
  <c r="AZ36" i="41" s="1"/>
  <c r="BA36" i="41" s="1"/>
  <c r="BB36" i="41" s="1"/>
  <c r="M41" i="43"/>
  <c r="N41" i="43" s="1"/>
  <c r="O41" i="43" s="1"/>
  <c r="DK43" i="42"/>
  <c r="DL43" i="42" s="1"/>
  <c r="DM43" i="42" s="1"/>
  <c r="DN43" i="42" s="1"/>
  <c r="EC80" i="42"/>
  <c r="ED80" i="42" s="1"/>
  <c r="BO79" i="42"/>
  <c r="BP79" i="42" s="1"/>
  <c r="BQ79" i="42" s="1"/>
  <c r="BR79" i="42" s="1"/>
  <c r="BV33" i="42"/>
  <c r="BW33" i="42" s="1"/>
  <c r="BO36" i="42"/>
  <c r="BP36" i="42" s="1"/>
  <c r="BQ36" i="42" s="1"/>
  <c r="BR36" i="42" s="1"/>
  <c r="BO38" i="42"/>
  <c r="BP38" i="42" s="1"/>
  <c r="BQ38" i="42" s="1"/>
  <c r="BR38" i="42" s="1"/>
  <c r="EC58" i="42"/>
  <c r="ED58" i="42" s="1"/>
  <c r="BO64" i="41"/>
  <c r="BP64" i="41" s="1"/>
  <c r="BQ64" i="41" s="1"/>
  <c r="BR64" i="41" s="1"/>
  <c r="BO39" i="41"/>
  <c r="BP39" i="41" s="1"/>
  <c r="BQ39" i="41" s="1"/>
  <c r="BR39" i="41" s="1"/>
  <c r="U59" i="37"/>
  <c r="V59" i="37" s="1"/>
  <c r="C54" i="41"/>
  <c r="D54" i="41" s="1"/>
  <c r="E54" i="41" s="1"/>
  <c r="F54" i="41" s="1"/>
  <c r="BO34" i="41"/>
  <c r="BP34" i="41" s="1"/>
  <c r="BQ34" i="41" s="1"/>
  <c r="BR34" i="41" s="1"/>
  <c r="BA73" i="41"/>
  <c r="BB73" i="41" s="1"/>
  <c r="BO36" i="41"/>
  <c r="BP36" i="41" s="1"/>
  <c r="BQ36" i="41" s="1"/>
  <c r="BR36" i="41" s="1"/>
  <c r="U64" i="37"/>
  <c r="V64" i="37" s="1"/>
  <c r="BO33" i="41"/>
  <c r="BP33" i="41" s="1"/>
  <c r="BQ33" i="41" s="1"/>
  <c r="BR33" i="41" s="1"/>
  <c r="BF38" i="41"/>
  <c r="BG38" i="41" s="1"/>
  <c r="U56" i="37"/>
  <c r="V56" i="37" s="1"/>
  <c r="BV42" i="41"/>
  <c r="BW42" i="41" s="1"/>
  <c r="BO44" i="41"/>
  <c r="BP44" i="41" s="1"/>
  <c r="BO46" i="41"/>
  <c r="BP46" i="41" s="1"/>
  <c r="BQ46" i="41" s="1"/>
  <c r="BR46" i="41" s="1"/>
  <c r="AY50" i="41"/>
  <c r="AZ50" i="41" s="1"/>
  <c r="BA50" i="41" s="1"/>
  <c r="BB50" i="41" s="1"/>
  <c r="AY70" i="41"/>
  <c r="AZ70" i="41" s="1"/>
  <c r="BA70" i="41" s="1"/>
  <c r="BB70" i="41" s="1"/>
  <c r="AY64" i="41"/>
  <c r="AZ64" i="41" s="1"/>
  <c r="BA64" i="41" s="1"/>
  <c r="BB64" i="41" s="1"/>
  <c r="C58" i="41"/>
  <c r="D58" i="41" s="1"/>
  <c r="E58" i="41" s="1"/>
  <c r="F58" i="41" s="1"/>
  <c r="U43" i="37"/>
  <c r="V43" i="37" s="1"/>
  <c r="U75" i="37"/>
  <c r="V75" i="37" s="1"/>
  <c r="U72" i="37"/>
  <c r="V72" i="37" s="1"/>
  <c r="CT32" i="42"/>
  <c r="CU32" i="42" s="1"/>
  <c r="CV32" i="42" s="1"/>
  <c r="CT34" i="42"/>
  <c r="CU34" i="42" s="1"/>
  <c r="CV34" i="42" s="1"/>
  <c r="CT46" i="42"/>
  <c r="CU46" i="42" s="1"/>
  <c r="CV46" i="42" s="1"/>
  <c r="CT65" i="42"/>
  <c r="CU65" i="42" s="1"/>
  <c r="CV65" i="42" s="1"/>
  <c r="CW65" i="42" s="1"/>
  <c r="CX65" i="42" s="1"/>
  <c r="CT58" i="42"/>
  <c r="CU58" i="42" s="1"/>
  <c r="CV58" i="42" s="1"/>
  <c r="CW58" i="42" s="1"/>
  <c r="CX58" i="42" s="1"/>
  <c r="CT79" i="42"/>
  <c r="CU79" i="42" s="1"/>
  <c r="CV79" i="42" s="1"/>
  <c r="CW79" i="42" s="1"/>
  <c r="CX79" i="42" s="1"/>
  <c r="CT73" i="42"/>
  <c r="CU73" i="42" s="1"/>
  <c r="CV73" i="42" s="1"/>
  <c r="CW73" i="42" s="1"/>
  <c r="CX73" i="42" s="1"/>
  <c r="CT35" i="42"/>
  <c r="CU35" i="42" s="1"/>
  <c r="CV35" i="42" s="1"/>
  <c r="CT55" i="42"/>
  <c r="CT45" i="42"/>
  <c r="CU45" i="42" s="1"/>
  <c r="CV45" i="42" s="1"/>
  <c r="CW45" i="42" s="1"/>
  <c r="CX45" i="42" s="1"/>
  <c r="CT68" i="42"/>
  <c r="CU68" i="42" s="1"/>
  <c r="CV68" i="42" s="1"/>
  <c r="CW68" i="42" s="1"/>
  <c r="CX68" i="42" s="1"/>
  <c r="CT51" i="42"/>
  <c r="CU51" i="42" s="1"/>
  <c r="CV51" i="42" s="1"/>
  <c r="CT48" i="42"/>
  <c r="CU48" i="42" s="1"/>
  <c r="CV48" i="42" s="1"/>
  <c r="CW48" i="42" s="1"/>
  <c r="CX48" i="42" s="1"/>
  <c r="CT80" i="42"/>
  <c r="CU80" i="42" s="1"/>
  <c r="CV80" i="42" s="1"/>
  <c r="CT59" i="42"/>
  <c r="CU59" i="42" s="1"/>
  <c r="CV59" i="42" s="1"/>
  <c r="CW59" i="42" s="1"/>
  <c r="CX59" i="42" s="1"/>
  <c r="CT78" i="42"/>
  <c r="CT76" i="42"/>
  <c r="CU76" i="42" s="1"/>
  <c r="CV76" i="42" s="1"/>
  <c r="CT70" i="42"/>
  <c r="CU70" i="42" s="1"/>
  <c r="CV70" i="42" s="1"/>
  <c r="CW70" i="42" s="1"/>
  <c r="CX70" i="42" s="1"/>
  <c r="CT49" i="42"/>
  <c r="CY26" i="42"/>
  <c r="CT52" i="42"/>
  <c r="CU52" i="42" s="1"/>
  <c r="CV52" i="42" s="1"/>
  <c r="CW52" i="42" s="1"/>
  <c r="CX52" i="42" s="1"/>
  <c r="CT53" i="42"/>
  <c r="CU53" i="42" s="1"/>
  <c r="CV53" i="42" s="1"/>
  <c r="CW53" i="42" s="1"/>
  <c r="CX53" i="42" s="1"/>
  <c r="CT41" i="42"/>
  <c r="CU41" i="42" s="1"/>
  <c r="CV41" i="42" s="1"/>
  <c r="CW41" i="42" s="1"/>
  <c r="CX41" i="42" s="1"/>
  <c r="CT36" i="42"/>
  <c r="CT54" i="42"/>
  <c r="CU54" i="42" s="1"/>
  <c r="CV54" i="42" s="1"/>
  <c r="CT47" i="42"/>
  <c r="CU47" i="42" s="1"/>
  <c r="CV47" i="42" s="1"/>
  <c r="CW47" i="42" s="1"/>
  <c r="CX47" i="42" s="1"/>
  <c r="CT37" i="42"/>
  <c r="CU37" i="42" s="1"/>
  <c r="CV37" i="42" s="1"/>
  <c r="CW37" i="42" s="1"/>
  <c r="CX37" i="42" s="1"/>
  <c r="CT81" i="42"/>
  <c r="CU81" i="42" s="1"/>
  <c r="CV81" i="42" s="1"/>
  <c r="CW81" i="42" s="1"/>
  <c r="CX81" i="42" s="1"/>
  <c r="CT57" i="42"/>
  <c r="CU57" i="42" s="1"/>
  <c r="CV57" i="42" s="1"/>
  <c r="CT40" i="42"/>
  <c r="CU40" i="42" s="1"/>
  <c r="CV40" i="42" s="1"/>
  <c r="CW40" i="42" s="1"/>
  <c r="CX40" i="42" s="1"/>
  <c r="CT69" i="42"/>
  <c r="CU69" i="42" s="1"/>
  <c r="CV69" i="42" s="1"/>
  <c r="CW69" i="42" s="1"/>
  <c r="CX69" i="42" s="1"/>
  <c r="CT66" i="42"/>
  <c r="CT77" i="42"/>
  <c r="CU77" i="42" s="1"/>
  <c r="CV77" i="42" s="1"/>
  <c r="CT75" i="42"/>
  <c r="CU75" i="42" s="1"/>
  <c r="CV75" i="42" s="1"/>
  <c r="CT62" i="42"/>
  <c r="CU62" i="42" s="1"/>
  <c r="CV62" i="42" s="1"/>
  <c r="CT50" i="42"/>
  <c r="CU50" i="42" s="1"/>
  <c r="CV50" i="42" s="1"/>
  <c r="CW50" i="42" s="1"/>
  <c r="CX50" i="42" s="1"/>
  <c r="CT33" i="42"/>
  <c r="CU33" i="42" s="1"/>
  <c r="CV33" i="42" s="1"/>
  <c r="CW33" i="42" s="1"/>
  <c r="CX33" i="42" s="1"/>
  <c r="CT56" i="42"/>
  <c r="CU56" i="42" s="1"/>
  <c r="CV56" i="42" s="1"/>
  <c r="CW56" i="42" s="1"/>
  <c r="CX56" i="42" s="1"/>
  <c r="CT64" i="42"/>
  <c r="CU64" i="42" s="1"/>
  <c r="CV64" i="42" s="1"/>
  <c r="CW64" i="42" s="1"/>
  <c r="CX64" i="42" s="1"/>
  <c r="CT39" i="42"/>
  <c r="CU39" i="42" s="1"/>
  <c r="CV39" i="42" s="1"/>
  <c r="CT61" i="42"/>
  <c r="CU61" i="42" s="1"/>
  <c r="CV61" i="42" s="1"/>
  <c r="CT44" i="42"/>
  <c r="CU44" i="42" s="1"/>
  <c r="CV44" i="42" s="1"/>
  <c r="CT67" i="42"/>
  <c r="CU67" i="42" s="1"/>
  <c r="CV67" i="42" s="1"/>
  <c r="CT71" i="42"/>
  <c r="CU71" i="42" s="1"/>
  <c r="CV71" i="42" s="1"/>
  <c r="CT43" i="42"/>
  <c r="CU43" i="42" s="1"/>
  <c r="CV43" i="42" s="1"/>
  <c r="CT63" i="42"/>
  <c r="CU63" i="42" s="1"/>
  <c r="CV63" i="42" s="1"/>
  <c r="CT38" i="42"/>
  <c r="CU38" i="42" s="1"/>
  <c r="CV38" i="42" s="1"/>
  <c r="CT72" i="42"/>
  <c r="CU72" i="42" s="1"/>
  <c r="CV72" i="42" s="1"/>
  <c r="CT74" i="42"/>
  <c r="CU74" i="42" s="1"/>
  <c r="CV74" i="42" s="1"/>
  <c r="CT60" i="42"/>
  <c r="CU60" i="42" s="1"/>
  <c r="CV60" i="42" s="1"/>
  <c r="CT42" i="42"/>
  <c r="CU42" i="42" s="1"/>
  <c r="CV42" i="42" s="1"/>
  <c r="M51" i="43"/>
  <c r="N51" i="43" s="1"/>
  <c r="O51" i="43" s="1"/>
  <c r="M45" i="43"/>
  <c r="N45" i="43" s="1"/>
  <c r="O45" i="43" s="1"/>
  <c r="EC60" i="42"/>
  <c r="ED60" i="42" s="1"/>
  <c r="EC52" i="42"/>
  <c r="ED52" i="42" s="1"/>
  <c r="BV42" i="42"/>
  <c r="BW42" i="42" s="1"/>
  <c r="BV38" i="42"/>
  <c r="BW38" i="42" s="1"/>
  <c r="BX38" i="42" s="1"/>
  <c r="BV37" i="42"/>
  <c r="BW37" i="42" s="1"/>
  <c r="BV43" i="42"/>
  <c r="BW43" i="42" s="1"/>
  <c r="EC74" i="42"/>
  <c r="ED74" i="42" s="1"/>
  <c r="EC61" i="42"/>
  <c r="ED61" i="42" s="1"/>
  <c r="DK56" i="42"/>
  <c r="DL56" i="42" s="1"/>
  <c r="DM56" i="42" s="1"/>
  <c r="DN56" i="42" s="1"/>
  <c r="DK72" i="42"/>
  <c r="DL72" i="42" s="1"/>
  <c r="DM72" i="42" s="1"/>
  <c r="DN72" i="42" s="1"/>
  <c r="DK77" i="42"/>
  <c r="DL77" i="42" s="1"/>
  <c r="DM77" i="42" s="1"/>
  <c r="DN77" i="42" s="1"/>
  <c r="DR32" i="42"/>
  <c r="DS32" i="42" s="1"/>
  <c r="DT32" i="42" s="1"/>
  <c r="DR39" i="42"/>
  <c r="DS39" i="42" s="1"/>
  <c r="DK76" i="42"/>
  <c r="DL76" i="42" s="1"/>
  <c r="DM76" i="42" s="1"/>
  <c r="DN76" i="42" s="1"/>
  <c r="DK68" i="42"/>
  <c r="DL68" i="42" s="1"/>
  <c r="DM68" i="42" s="1"/>
  <c r="DN68" i="42" s="1"/>
  <c r="DK44" i="42"/>
  <c r="DL44" i="42" s="1"/>
  <c r="DM44" i="42" s="1"/>
  <c r="DN44" i="42" s="1"/>
  <c r="DR43" i="42"/>
  <c r="DS43" i="42" s="1"/>
  <c r="DT43" i="42" s="1"/>
  <c r="DK60" i="42"/>
  <c r="DL60" i="42" s="1"/>
  <c r="DM60" i="42" s="1"/>
  <c r="DN60" i="42" s="1"/>
  <c r="DK50" i="42"/>
  <c r="DL50" i="42" s="1"/>
  <c r="DM50" i="42" s="1"/>
  <c r="DN50" i="42" s="1"/>
  <c r="DK65" i="42"/>
  <c r="DL65" i="42" s="1"/>
  <c r="DM65" i="42" s="1"/>
  <c r="DN65" i="42" s="1"/>
  <c r="DK38" i="42"/>
  <c r="DL38" i="42" s="1"/>
  <c r="DM38" i="42" s="1"/>
  <c r="DN38" i="42" s="1"/>
  <c r="DK45" i="42"/>
  <c r="DL45" i="42" s="1"/>
  <c r="DM45" i="42" s="1"/>
  <c r="DN45" i="42" s="1"/>
  <c r="DK79" i="42"/>
  <c r="DL79" i="42" s="1"/>
  <c r="DM79" i="42" s="1"/>
  <c r="DN79" i="42" s="1"/>
  <c r="DK36" i="42"/>
  <c r="DL36" i="42" s="1"/>
  <c r="DM36" i="42" s="1"/>
  <c r="DN36" i="42" s="1"/>
  <c r="DK46" i="42"/>
  <c r="DL46" i="42" s="1"/>
  <c r="DM46" i="42" s="1"/>
  <c r="DN46" i="42" s="1"/>
  <c r="DK54" i="42"/>
  <c r="DL54" i="42" s="1"/>
  <c r="DM54" i="42" s="1"/>
  <c r="DN54" i="42" s="1"/>
  <c r="DK62" i="42"/>
  <c r="DL62" i="42" s="1"/>
  <c r="DM62" i="42" s="1"/>
  <c r="DN62" i="42" s="1"/>
  <c r="DK39" i="42"/>
  <c r="DL39" i="42" s="1"/>
  <c r="DM39" i="42" s="1"/>
  <c r="DN39" i="42" s="1"/>
  <c r="DK70" i="42"/>
  <c r="DL70" i="42" s="1"/>
  <c r="DM70" i="42" s="1"/>
  <c r="DN70" i="42" s="1"/>
  <c r="DK58" i="42"/>
  <c r="DL58" i="42" s="1"/>
  <c r="DM58" i="42" s="1"/>
  <c r="DN58" i="42" s="1"/>
  <c r="DR38" i="42"/>
  <c r="DS38" i="42" s="1"/>
  <c r="DR40" i="42"/>
  <c r="DS40" i="42" s="1"/>
  <c r="DT40" i="42" s="1"/>
  <c r="DR36" i="42"/>
  <c r="DS36" i="42" s="1"/>
  <c r="DT36" i="42" s="1"/>
  <c r="DK61" i="42"/>
  <c r="DL61" i="42" s="1"/>
  <c r="DM61" i="42" s="1"/>
  <c r="DN61" i="42" s="1"/>
  <c r="DK40" i="42"/>
  <c r="DL40" i="42" s="1"/>
  <c r="DM40" i="42" s="1"/>
  <c r="DN40" i="42" s="1"/>
  <c r="DK35" i="42"/>
  <c r="DL35" i="42" s="1"/>
  <c r="DM35" i="42" s="1"/>
  <c r="DN35" i="42" s="1"/>
  <c r="DR33" i="42"/>
  <c r="DS33" i="42" s="1"/>
  <c r="DK55" i="42"/>
  <c r="DL55" i="42" s="1"/>
  <c r="DM55" i="42" s="1"/>
  <c r="DN55" i="42" s="1"/>
  <c r="DK71" i="42"/>
  <c r="DL71" i="42" s="1"/>
  <c r="DM71" i="42" s="1"/>
  <c r="DN71" i="42" s="1"/>
  <c r="DK47" i="42"/>
  <c r="DL47" i="42" s="1"/>
  <c r="DM47" i="42" s="1"/>
  <c r="DN47" i="42" s="1"/>
  <c r="DK78" i="42"/>
  <c r="DL78" i="42" s="1"/>
  <c r="DM78" i="42" s="1"/>
  <c r="DN78" i="42" s="1"/>
  <c r="DK42" i="42"/>
  <c r="DL42" i="42" s="1"/>
  <c r="DM42" i="42" s="1"/>
  <c r="DN42" i="42" s="1"/>
  <c r="DK69" i="42"/>
  <c r="DL69" i="42" s="1"/>
  <c r="DM69" i="42" s="1"/>
  <c r="DN69" i="42" s="1"/>
  <c r="DK80" i="42"/>
  <c r="DL80" i="42" s="1"/>
  <c r="DM80" i="42" s="1"/>
  <c r="DN80" i="42" s="1"/>
  <c r="DK63" i="42"/>
  <c r="DL63" i="42" s="1"/>
  <c r="DM63" i="42" s="1"/>
  <c r="DN63" i="42" s="1"/>
  <c r="DK48" i="42"/>
  <c r="DL48" i="42" s="1"/>
  <c r="DM48" i="42" s="1"/>
  <c r="DN48" i="42" s="1"/>
  <c r="DK57" i="42"/>
  <c r="DL57" i="42" s="1"/>
  <c r="DM57" i="42" s="1"/>
  <c r="DN57" i="42" s="1"/>
  <c r="DK33" i="42"/>
  <c r="DL33" i="42" s="1"/>
  <c r="DM33" i="42" s="1"/>
  <c r="DN33" i="42" s="1"/>
  <c r="DK34" i="42"/>
  <c r="DL34" i="42" s="1"/>
  <c r="DM34" i="42" s="1"/>
  <c r="DN34" i="42" s="1"/>
  <c r="DK64" i="42"/>
  <c r="DL64" i="42" s="1"/>
  <c r="DM64" i="42" s="1"/>
  <c r="DN64" i="42" s="1"/>
  <c r="DR35" i="42"/>
  <c r="DS35" i="42" s="1"/>
  <c r="DK75" i="42"/>
  <c r="DL75" i="42" s="1"/>
  <c r="DM75" i="42" s="1"/>
  <c r="DN75" i="42" s="1"/>
  <c r="DK51" i="42"/>
  <c r="DL51" i="42" s="1"/>
  <c r="DM51" i="42" s="1"/>
  <c r="DN51" i="42" s="1"/>
  <c r="DK53" i="42"/>
  <c r="DL53" i="42" s="1"/>
  <c r="DM53" i="42" s="1"/>
  <c r="DN53" i="42" s="1"/>
  <c r="DK81" i="42"/>
  <c r="DL81" i="42" s="1"/>
  <c r="DM81" i="42" s="1"/>
  <c r="DN81" i="42" s="1"/>
  <c r="DK52" i="42"/>
  <c r="DL52" i="42" s="1"/>
  <c r="DM52" i="42" s="1"/>
  <c r="DN52" i="42" s="1"/>
  <c r="DK59" i="42"/>
  <c r="DL59" i="42" s="1"/>
  <c r="DM59" i="42" s="1"/>
  <c r="DN59" i="42" s="1"/>
  <c r="DK74" i="42"/>
  <c r="DL74" i="42" s="1"/>
  <c r="DM74" i="42" s="1"/>
  <c r="DN74" i="42" s="1"/>
  <c r="DR34" i="42"/>
  <c r="DS34" i="42" s="1"/>
  <c r="DK66" i="42"/>
  <c r="DL66" i="42" s="1"/>
  <c r="DM66" i="42" s="1"/>
  <c r="DN66" i="42" s="1"/>
  <c r="DR41" i="42"/>
  <c r="DS41" i="42" s="1"/>
  <c r="DK37" i="42"/>
  <c r="DL37" i="42" s="1"/>
  <c r="DM37" i="42" s="1"/>
  <c r="DN37" i="42" s="1"/>
  <c r="DK32" i="42"/>
  <c r="DL32" i="42" s="1"/>
  <c r="DM32" i="42" s="1"/>
  <c r="DK49" i="42"/>
  <c r="DL49" i="42" s="1"/>
  <c r="DM49" i="42" s="1"/>
  <c r="DN49" i="42" s="1"/>
  <c r="DR42" i="42"/>
  <c r="DS42" i="42" s="1"/>
  <c r="DT42" i="42" s="1"/>
  <c r="DK73" i="42"/>
  <c r="DL73" i="42" s="1"/>
  <c r="DM73" i="42" s="1"/>
  <c r="DN73" i="42" s="1"/>
  <c r="O12" i="42"/>
  <c r="G31" i="30" s="1"/>
  <c r="DK41" i="42"/>
  <c r="DL41" i="42" s="1"/>
  <c r="DM41" i="42" s="1"/>
  <c r="DN41" i="42" s="1"/>
  <c r="DK67" i="42"/>
  <c r="DL67" i="42" s="1"/>
  <c r="DM67" i="42" s="1"/>
  <c r="DN67" i="42" s="1"/>
  <c r="DR37" i="42"/>
  <c r="DS37" i="42" s="1"/>
  <c r="BA81" i="41"/>
  <c r="BB81" i="41" s="1"/>
  <c r="U60" i="37"/>
  <c r="V60" i="37" s="1"/>
  <c r="BA49" i="41"/>
  <c r="BB49" i="41" s="1"/>
  <c r="U32" i="37"/>
  <c r="V32" i="37" s="1"/>
  <c r="U71" i="37"/>
  <c r="V71" i="37" s="1"/>
  <c r="AK52" i="41"/>
  <c r="AL52" i="41" s="1"/>
  <c r="CE49" i="42"/>
  <c r="CF49" i="42" s="1"/>
  <c r="AK62" i="41"/>
  <c r="AL62" i="41" s="1"/>
  <c r="CE32" i="42"/>
  <c r="CF32" i="42" s="1"/>
  <c r="CG32" i="42" s="1"/>
  <c r="CH32" i="42" s="1"/>
  <c r="U38" i="37"/>
  <c r="V38" i="37" s="1"/>
  <c r="AK56" i="41"/>
  <c r="AL56" i="41" s="1"/>
  <c r="CE64" i="42"/>
  <c r="CF64" i="42" s="1"/>
  <c r="CG64" i="42" s="1"/>
  <c r="CH64" i="42" s="1"/>
  <c r="J38" i="41"/>
  <c r="K38" i="41" s="1"/>
  <c r="U79" i="37"/>
  <c r="V79" i="37" s="1"/>
  <c r="AK49" i="41"/>
  <c r="AL49" i="41" s="1"/>
  <c r="CE81" i="42"/>
  <c r="CF81" i="42" s="1"/>
  <c r="CG81" i="42" s="1"/>
  <c r="CH81" i="42" s="1"/>
  <c r="U66" i="37"/>
  <c r="V66" i="37" s="1"/>
  <c r="BQ51" i="41"/>
  <c r="BR51" i="41" s="1"/>
  <c r="CL33" i="42"/>
  <c r="CM33" i="42" s="1"/>
  <c r="CE74" i="42"/>
  <c r="CF74" i="42" s="1"/>
  <c r="CG74" i="42" s="1"/>
  <c r="CH74" i="42" s="1"/>
  <c r="CE54" i="42"/>
  <c r="CF54" i="42" s="1"/>
  <c r="CG54" i="42" s="1"/>
  <c r="CH54" i="42" s="1"/>
  <c r="C33" i="41"/>
  <c r="D33" i="41" s="1"/>
  <c r="E33" i="41" s="1"/>
  <c r="F33" i="41" s="1"/>
  <c r="C46" i="41"/>
  <c r="D46" i="41" s="1"/>
  <c r="E46" i="41" s="1"/>
  <c r="F46" i="41" s="1"/>
  <c r="AK63" i="41"/>
  <c r="AL63" i="41" s="1"/>
  <c r="BQ43" i="41"/>
  <c r="BR43" i="41" s="1"/>
  <c r="BQ32" i="41"/>
  <c r="BQ67" i="41"/>
  <c r="BR67" i="41" s="1"/>
  <c r="BA62" i="41"/>
  <c r="BB62" i="41" s="1"/>
  <c r="BA51" i="41"/>
  <c r="BB51" i="41" s="1"/>
  <c r="BA78" i="41"/>
  <c r="BB78" i="41" s="1"/>
  <c r="CE37" i="42"/>
  <c r="CF37" i="42" s="1"/>
  <c r="CG37" i="42" s="1"/>
  <c r="CH37" i="42" s="1"/>
  <c r="CE51" i="42"/>
  <c r="CF51" i="42" s="1"/>
  <c r="CG51" i="42" s="1"/>
  <c r="CH51" i="42" s="1"/>
  <c r="AK35" i="41"/>
  <c r="AL35" i="41" s="1"/>
  <c r="AK50" i="41"/>
  <c r="AL50" i="41" s="1"/>
  <c r="CE59" i="42"/>
  <c r="CF59" i="42" s="1"/>
  <c r="CG59" i="42" s="1"/>
  <c r="CH59" i="42" s="1"/>
  <c r="CE66" i="42"/>
  <c r="CF66" i="42" s="1"/>
  <c r="U35" i="37"/>
  <c r="V35" i="37" s="1"/>
  <c r="U36" i="37"/>
  <c r="V36" i="37" s="1"/>
  <c r="C65" i="41"/>
  <c r="D65" i="41" s="1"/>
  <c r="E65" i="41" s="1"/>
  <c r="F65" i="41" s="1"/>
  <c r="AK70" i="41"/>
  <c r="AL70" i="41" s="1"/>
  <c r="C63" i="41"/>
  <c r="D63" i="41" s="1"/>
  <c r="E63" i="41" s="1"/>
  <c r="F63" i="41" s="1"/>
  <c r="U49" i="37"/>
  <c r="V49" i="37" s="1"/>
  <c r="AK41" i="41"/>
  <c r="AL41" i="41" s="1"/>
  <c r="CE52" i="42"/>
  <c r="CF52" i="42" s="1"/>
  <c r="CG52" i="42" s="1"/>
  <c r="CH52" i="42" s="1"/>
  <c r="J40" i="41"/>
  <c r="K40" i="41" s="1"/>
  <c r="L40" i="41" s="1"/>
  <c r="AK66" i="41"/>
  <c r="AL66" i="41" s="1"/>
  <c r="U57" i="37"/>
  <c r="V57" i="37" s="1"/>
  <c r="CL40" i="42"/>
  <c r="CM40" i="42" s="1"/>
  <c r="CN40" i="42" s="1"/>
  <c r="CL43" i="42"/>
  <c r="CM43" i="42" s="1"/>
  <c r="CL41" i="42"/>
  <c r="CM41" i="42" s="1"/>
  <c r="CE65" i="42"/>
  <c r="CF65" i="42" s="1"/>
  <c r="CG65" i="42" s="1"/>
  <c r="CH65" i="42" s="1"/>
  <c r="C49" i="41"/>
  <c r="D49" i="41" s="1"/>
  <c r="E49" i="41" s="1"/>
  <c r="F49" i="41" s="1"/>
  <c r="BQ58" i="41"/>
  <c r="BR58" i="41" s="1"/>
  <c r="AK65" i="41"/>
  <c r="AL65" i="41" s="1"/>
  <c r="CE58" i="42"/>
  <c r="CF58" i="42" s="1"/>
  <c r="CG58" i="42" s="1"/>
  <c r="CH58" i="42" s="1"/>
  <c r="C40" i="41"/>
  <c r="D40" i="41" s="1"/>
  <c r="E40" i="41" s="1"/>
  <c r="F40" i="41" s="1"/>
  <c r="AK59" i="41"/>
  <c r="AL59" i="41" s="1"/>
  <c r="U61" i="37"/>
  <c r="V61" i="37" s="1"/>
  <c r="BQ49" i="41"/>
  <c r="BR49" i="41" s="1"/>
  <c r="CE68" i="42"/>
  <c r="CF68" i="42" s="1"/>
  <c r="CG68" i="42" s="1"/>
  <c r="CH68" i="42" s="1"/>
  <c r="CE67" i="42"/>
  <c r="CF67" i="42" s="1"/>
  <c r="CG67" i="42" s="1"/>
  <c r="CH67" i="42" s="1"/>
  <c r="AK72" i="41"/>
  <c r="AL72" i="41" s="1"/>
  <c r="CE70" i="42"/>
  <c r="CF70" i="42" s="1"/>
  <c r="CG70" i="42" s="1"/>
  <c r="CH70" i="42" s="1"/>
  <c r="CE56" i="42"/>
  <c r="CF56" i="42" s="1"/>
  <c r="CG56" i="42" s="1"/>
  <c r="CH56" i="42" s="1"/>
  <c r="U40" i="37"/>
  <c r="V40" i="37" s="1"/>
  <c r="U53" i="37"/>
  <c r="V53" i="37" s="1"/>
  <c r="BA54" i="41"/>
  <c r="BB54" i="41" s="1"/>
  <c r="C43" i="41"/>
  <c r="D43" i="41" s="1"/>
  <c r="E43" i="41" s="1"/>
  <c r="F43" i="41" s="1"/>
  <c r="U34" i="37"/>
  <c r="V34" i="37" s="1"/>
  <c r="CL37" i="42"/>
  <c r="CM37" i="42" s="1"/>
  <c r="CN37" i="42" s="1"/>
  <c r="CL32" i="42"/>
  <c r="CM32" i="42" s="1"/>
  <c r="CN32" i="42" s="1"/>
  <c r="CE57" i="42"/>
  <c r="CF57" i="42" s="1"/>
  <c r="CG57" i="42" s="1"/>
  <c r="CH57" i="42" s="1"/>
  <c r="AK43" i="41"/>
  <c r="AL43" i="41" s="1"/>
  <c r="CL34" i="42"/>
  <c r="CM34" i="42" s="1"/>
  <c r="CN34" i="42" s="1"/>
  <c r="CL36" i="42"/>
  <c r="CM36" i="42" s="1"/>
  <c r="CE34" i="42"/>
  <c r="CF34" i="42" s="1"/>
  <c r="CG34" i="42" s="1"/>
  <c r="CH34" i="42" s="1"/>
  <c r="U63" i="37"/>
  <c r="V63" i="37" s="1"/>
  <c r="CL42" i="42"/>
  <c r="CM42" i="42" s="1"/>
  <c r="CN42" i="42" s="1"/>
  <c r="CE80" i="42"/>
  <c r="CF80" i="42" s="1"/>
  <c r="CG80" i="42" s="1"/>
  <c r="CH80" i="42" s="1"/>
  <c r="J43" i="41"/>
  <c r="K43" i="41" s="1"/>
  <c r="L43" i="41" s="1"/>
  <c r="AK53" i="41"/>
  <c r="AL53" i="41" s="1"/>
  <c r="C34" i="41"/>
  <c r="D34" i="41" s="1"/>
  <c r="E34" i="41" s="1"/>
  <c r="F34" i="41" s="1"/>
  <c r="C52" i="41"/>
  <c r="D52" i="41" s="1"/>
  <c r="E52" i="41" s="1"/>
  <c r="F52" i="41" s="1"/>
  <c r="BQ40" i="41"/>
  <c r="BR40" i="41" s="1"/>
  <c r="AK48" i="41"/>
  <c r="AL48" i="41" s="1"/>
  <c r="C59" i="41"/>
  <c r="D59" i="41" s="1"/>
  <c r="E59" i="41" s="1"/>
  <c r="F59" i="41" s="1"/>
  <c r="C64" i="41"/>
  <c r="D64" i="41" s="1"/>
  <c r="E64" i="41" s="1"/>
  <c r="F64" i="41" s="1"/>
  <c r="BQ44" i="41"/>
  <c r="BR44" i="41" s="1"/>
  <c r="CL35" i="42"/>
  <c r="CM35" i="42" s="1"/>
  <c r="CE39" i="42"/>
  <c r="CF39" i="42" s="1"/>
  <c r="CG39" i="42" s="1"/>
  <c r="CH39" i="42" s="1"/>
  <c r="CE36" i="42"/>
  <c r="CF36" i="42" s="1"/>
  <c r="CG36" i="42" s="1"/>
  <c r="CH36" i="42" s="1"/>
  <c r="CE61" i="42"/>
  <c r="CF61" i="42" s="1"/>
  <c r="CG61" i="42" s="1"/>
  <c r="CH61" i="42" s="1"/>
  <c r="BA63" i="41"/>
  <c r="BB63" i="41" s="1"/>
  <c r="BA58" i="41"/>
  <c r="BB58" i="41" s="1"/>
  <c r="BA75" i="41"/>
  <c r="BB75" i="41" s="1"/>
  <c r="U50" i="37"/>
  <c r="V50" i="37" s="1"/>
  <c r="BA43" i="41"/>
  <c r="BB43" i="41" s="1"/>
  <c r="BA60" i="41"/>
  <c r="BB60" i="41" s="1"/>
  <c r="U77" i="37"/>
  <c r="V77" i="37" s="1"/>
  <c r="BA33" i="41"/>
  <c r="BB33" i="41" s="1"/>
  <c r="C51" i="41"/>
  <c r="D51" i="41" s="1"/>
  <c r="E51" i="41" s="1"/>
  <c r="F51" i="41" s="1"/>
  <c r="U45" i="37"/>
  <c r="V45" i="37" s="1"/>
  <c r="AK33" i="41"/>
  <c r="AL33" i="41" s="1"/>
  <c r="CE42" i="42"/>
  <c r="CF42" i="42" s="1"/>
  <c r="CG42" i="42" s="1"/>
  <c r="CH42" i="42" s="1"/>
  <c r="J37" i="41"/>
  <c r="K37" i="41" s="1"/>
  <c r="L37" i="41" s="1"/>
  <c r="AK44" i="41"/>
  <c r="AL44" i="41" s="1"/>
  <c r="C75" i="41"/>
  <c r="D75" i="41" s="1"/>
  <c r="E75" i="41" s="1"/>
  <c r="F75" i="41" s="1"/>
  <c r="BA68" i="41"/>
  <c r="BB68" i="41" s="1"/>
  <c r="AK74" i="41"/>
  <c r="AL74" i="41" s="1"/>
  <c r="CE71" i="42"/>
  <c r="CF71" i="42" s="1"/>
  <c r="CG71" i="42" s="1"/>
  <c r="CH71" i="42" s="1"/>
  <c r="AK55" i="41"/>
  <c r="AL55" i="41" s="1"/>
  <c r="AK68" i="41"/>
  <c r="AL68" i="41" s="1"/>
  <c r="CE72" i="42"/>
  <c r="CF72" i="42" s="1"/>
  <c r="CG72" i="42" s="1"/>
  <c r="CH72" i="42" s="1"/>
  <c r="BQ66" i="41"/>
  <c r="BR66" i="41" s="1"/>
  <c r="AK54" i="41"/>
  <c r="AL54" i="41" s="1"/>
  <c r="C70" i="41"/>
  <c r="D70" i="41" s="1"/>
  <c r="E70" i="41" s="1"/>
  <c r="F70" i="41" s="1"/>
  <c r="C80" i="41"/>
  <c r="D80" i="41" s="1"/>
  <c r="E80" i="41" s="1"/>
  <c r="F80" i="41" s="1"/>
  <c r="CE77" i="42"/>
  <c r="CF77" i="42" s="1"/>
  <c r="CG77" i="42" s="1"/>
  <c r="CH77" i="42" s="1"/>
  <c r="AK64" i="41"/>
  <c r="AL64" i="41" s="1"/>
  <c r="CE38" i="42"/>
  <c r="CF38" i="42" s="1"/>
  <c r="CG38" i="42" s="1"/>
  <c r="CH38" i="42" s="1"/>
  <c r="CE43" i="42"/>
  <c r="CF43" i="42" s="1"/>
  <c r="CG43" i="42" s="1"/>
  <c r="CH43" i="42" s="1"/>
  <c r="AY56" i="42"/>
  <c r="AZ56" i="42" s="1"/>
  <c r="BA56" i="42" s="1"/>
  <c r="BB56" i="42" s="1"/>
  <c r="AY48" i="42"/>
  <c r="AZ48" i="42" s="1"/>
  <c r="BA48" i="42" s="1"/>
  <c r="BB48" i="42" s="1"/>
  <c r="AY71" i="42"/>
  <c r="AZ71" i="42" s="1"/>
  <c r="BA71" i="42" s="1"/>
  <c r="BB71" i="42" s="1"/>
  <c r="CG66" i="42"/>
  <c r="CH66" i="42" s="1"/>
  <c r="BF34" i="42"/>
  <c r="BG34" i="42" s="1"/>
  <c r="AY51" i="42"/>
  <c r="AZ51" i="42" s="1"/>
  <c r="BA51" i="42" s="1"/>
  <c r="BB51" i="42" s="1"/>
  <c r="CG60" i="42"/>
  <c r="CH60" i="42" s="1"/>
  <c r="CG46" i="42"/>
  <c r="CH46" i="42" s="1"/>
  <c r="CG45" i="42"/>
  <c r="CH45" i="42" s="1"/>
  <c r="CG76" i="42"/>
  <c r="CH76" i="42" s="1"/>
  <c r="CG48" i="42"/>
  <c r="CH48" i="42" s="1"/>
  <c r="AY58" i="42"/>
  <c r="AZ58" i="42" s="1"/>
  <c r="BA58" i="42" s="1"/>
  <c r="BB58" i="42" s="1"/>
  <c r="CG35" i="42"/>
  <c r="CH35" i="42" s="1"/>
  <c r="CG79" i="42"/>
  <c r="CH79" i="42" s="1"/>
  <c r="AY79" i="42"/>
  <c r="AZ79" i="42" s="1"/>
  <c r="BA79" i="42" s="1"/>
  <c r="BB79" i="42" s="1"/>
  <c r="AY54" i="42"/>
  <c r="AZ54" i="42" s="1"/>
  <c r="BA54" i="42" s="1"/>
  <c r="BB54" i="42" s="1"/>
  <c r="AY70" i="42"/>
  <c r="AZ70" i="42" s="1"/>
  <c r="BA70" i="42" s="1"/>
  <c r="BB70" i="42" s="1"/>
  <c r="CG41" i="42"/>
  <c r="CH41" i="42" s="1"/>
  <c r="CG69" i="42"/>
  <c r="CH69" i="42" s="1"/>
  <c r="AY38" i="42"/>
  <c r="AZ38" i="42" s="1"/>
  <c r="BA38" i="42" s="1"/>
  <c r="BB38" i="42" s="1"/>
  <c r="CG62" i="42"/>
  <c r="CH62" i="42" s="1"/>
  <c r="CG50" i="42"/>
  <c r="CH50" i="42" s="1"/>
  <c r="AY47" i="42"/>
  <c r="AZ47" i="42" s="1"/>
  <c r="BA47" i="42" s="1"/>
  <c r="BB47" i="42" s="1"/>
  <c r="CG75" i="42"/>
  <c r="CH75" i="42" s="1"/>
  <c r="BF40" i="42"/>
  <c r="BG40" i="42" s="1"/>
  <c r="AY72" i="42"/>
  <c r="AZ72" i="42" s="1"/>
  <c r="BA72" i="42" s="1"/>
  <c r="BB72" i="42" s="1"/>
  <c r="AY78" i="42"/>
  <c r="AZ78" i="42" s="1"/>
  <c r="BA78" i="42" s="1"/>
  <c r="BB78" i="42" s="1"/>
  <c r="CG49" i="42"/>
  <c r="CH49" i="42" s="1"/>
  <c r="AY33" i="42"/>
  <c r="AZ33" i="42" s="1"/>
  <c r="BA33" i="42" s="1"/>
  <c r="BB33" i="42" s="1"/>
  <c r="CG44" i="42"/>
  <c r="CH44" i="42" s="1"/>
  <c r="AY55" i="42"/>
  <c r="AZ55" i="42" s="1"/>
  <c r="BA55" i="42" s="1"/>
  <c r="BB55" i="42" s="1"/>
  <c r="R41" i="41"/>
  <c r="S41" i="41" s="1"/>
  <c r="T41" i="41" s="1"/>
  <c r="R56" i="41"/>
  <c r="S56" i="41" s="1"/>
  <c r="T56" i="41" s="1"/>
  <c r="U56" i="41" s="1"/>
  <c r="V56" i="41" s="1"/>
  <c r="R69" i="41"/>
  <c r="S69" i="41" s="1"/>
  <c r="T69" i="41" s="1"/>
  <c r="U69" i="41" s="1"/>
  <c r="V69" i="41" s="1"/>
  <c r="R37" i="41"/>
  <c r="S37" i="41" s="1"/>
  <c r="T37" i="41" s="1"/>
  <c r="R44" i="41"/>
  <c r="S44" i="41" s="1"/>
  <c r="T44" i="41" s="1"/>
  <c r="R50" i="41"/>
  <c r="S50" i="41" s="1"/>
  <c r="T50" i="41" s="1"/>
  <c r="R57" i="41"/>
  <c r="S57" i="41" s="1"/>
  <c r="T57" i="41" s="1"/>
  <c r="R35" i="41"/>
  <c r="S35" i="41" s="1"/>
  <c r="T35" i="41" s="1"/>
  <c r="R53" i="41"/>
  <c r="S53" i="41" s="1"/>
  <c r="T53" i="41" s="1"/>
  <c r="R34" i="41"/>
  <c r="S34" i="41" s="1"/>
  <c r="T34" i="41" s="1"/>
  <c r="R33" i="41"/>
  <c r="S33" i="41" s="1"/>
  <c r="T33" i="41" s="1"/>
  <c r="R54" i="41"/>
  <c r="S54" i="41" s="1"/>
  <c r="T54" i="41" s="1"/>
  <c r="R60" i="41"/>
  <c r="S60" i="41" s="1"/>
  <c r="T60" i="41" s="1"/>
  <c r="R62" i="41"/>
  <c r="S62" i="41" s="1"/>
  <c r="T62" i="41" s="1"/>
  <c r="R77" i="41"/>
  <c r="S77" i="41" s="1"/>
  <c r="T77" i="41" s="1"/>
  <c r="R51" i="41"/>
  <c r="S51" i="41" s="1"/>
  <c r="T51" i="41" s="1"/>
  <c r="R49" i="41"/>
  <c r="S49" i="41" s="1"/>
  <c r="T49" i="41" s="1"/>
  <c r="R63" i="41"/>
  <c r="S63" i="41" s="1"/>
  <c r="T63" i="41" s="1"/>
  <c r="U63" i="41" s="1"/>
  <c r="V63" i="41" s="1"/>
  <c r="R76" i="41"/>
  <c r="S76" i="41" s="1"/>
  <c r="T76" i="41" s="1"/>
  <c r="U76" i="41" s="1"/>
  <c r="V76" i="41" s="1"/>
  <c r="R79" i="41"/>
  <c r="S79" i="41" s="1"/>
  <c r="T79" i="41" s="1"/>
  <c r="R36" i="41"/>
  <c r="S36" i="41" s="1"/>
  <c r="T36" i="41" s="1"/>
  <c r="R64" i="41"/>
  <c r="S64" i="41" s="1"/>
  <c r="T64" i="41" s="1"/>
  <c r="R72" i="41"/>
  <c r="S72" i="41" s="1"/>
  <c r="T72" i="41" s="1"/>
  <c r="R67" i="41"/>
  <c r="S67" i="41" s="1"/>
  <c r="T67" i="41" s="1"/>
  <c r="R73" i="41"/>
  <c r="S73" i="41" s="1"/>
  <c r="T73" i="41" s="1"/>
  <c r="R47" i="41"/>
  <c r="S47" i="41" s="1"/>
  <c r="T47" i="41" s="1"/>
  <c r="R80" i="41"/>
  <c r="S80" i="41" s="1"/>
  <c r="T80" i="41" s="1"/>
  <c r="R46" i="41"/>
  <c r="S46" i="41" s="1"/>
  <c r="T46" i="41" s="1"/>
  <c r="R45" i="41"/>
  <c r="S45" i="41" s="1"/>
  <c r="T45" i="41" s="1"/>
  <c r="R42" i="41"/>
  <c r="S42" i="41" s="1"/>
  <c r="T42" i="41" s="1"/>
  <c r="R61" i="41"/>
  <c r="S61" i="41" s="1"/>
  <c r="T61" i="41" s="1"/>
  <c r="R78" i="41"/>
  <c r="S78" i="41" s="1"/>
  <c r="T78" i="41" s="1"/>
  <c r="W26" i="41"/>
  <c r="R58" i="41"/>
  <c r="S58" i="41" s="1"/>
  <c r="T58" i="41" s="1"/>
  <c r="U58" i="41" s="1"/>
  <c r="V58" i="41" s="1"/>
  <c r="R59" i="41"/>
  <c r="S59" i="41" s="1"/>
  <c r="T59" i="41" s="1"/>
  <c r="U59" i="41" s="1"/>
  <c r="V59" i="41" s="1"/>
  <c r="R70" i="41"/>
  <c r="S70" i="41" s="1"/>
  <c r="T70" i="41" s="1"/>
  <c r="R68" i="41"/>
  <c r="S68" i="41" s="1"/>
  <c r="T68" i="41" s="1"/>
  <c r="R52" i="41"/>
  <c r="S52" i="41" s="1"/>
  <c r="T52" i="41" s="1"/>
  <c r="R38" i="41"/>
  <c r="S38" i="41" s="1"/>
  <c r="T38" i="41" s="1"/>
  <c r="R39" i="41"/>
  <c r="S39" i="41" s="1"/>
  <c r="T39" i="41" s="1"/>
  <c r="R43" i="41"/>
  <c r="S43" i="41" s="1"/>
  <c r="T43" i="41" s="1"/>
  <c r="R75" i="41"/>
  <c r="S75" i="41" s="1"/>
  <c r="T75" i="41" s="1"/>
  <c r="R74" i="41"/>
  <c r="S74" i="41" s="1"/>
  <c r="T74" i="41" s="1"/>
  <c r="R32" i="41"/>
  <c r="S32" i="41" s="1"/>
  <c r="T32" i="41" s="1"/>
  <c r="R71" i="41"/>
  <c r="S71" i="41" s="1"/>
  <c r="T71" i="41" s="1"/>
  <c r="R81" i="41"/>
  <c r="S81" i="41" s="1"/>
  <c r="T81" i="41" s="1"/>
  <c r="R55" i="41"/>
  <c r="S55" i="41" s="1"/>
  <c r="T55" i="41" s="1"/>
  <c r="R65" i="41"/>
  <c r="S65" i="41" s="1"/>
  <c r="T65" i="41" s="1"/>
  <c r="R66" i="41"/>
  <c r="S66" i="41" s="1"/>
  <c r="T66" i="41" s="1"/>
  <c r="U66" i="41" s="1"/>
  <c r="V66" i="41" s="1"/>
  <c r="R40" i="41"/>
  <c r="S40" i="41" s="1"/>
  <c r="T40" i="41" s="1"/>
  <c r="U40" i="41" s="1"/>
  <c r="V40" i="41" s="1"/>
  <c r="R48" i="41"/>
  <c r="S48" i="41" s="1"/>
  <c r="T48" i="41" s="1"/>
  <c r="U48" i="41" s="1"/>
  <c r="V48" i="41" s="1"/>
  <c r="AY42" i="42"/>
  <c r="AZ42" i="42" s="1"/>
  <c r="BA42" i="42" s="1"/>
  <c r="BB42" i="42" s="1"/>
  <c r="AY52" i="42"/>
  <c r="AZ52" i="42" s="1"/>
  <c r="BA52" i="42" s="1"/>
  <c r="BB52" i="42" s="1"/>
  <c r="BF43" i="42"/>
  <c r="BG43" i="42" s="1"/>
  <c r="BH43" i="42" s="1"/>
  <c r="AY62" i="42"/>
  <c r="AZ62" i="42" s="1"/>
  <c r="BA62" i="42" s="1"/>
  <c r="BB62" i="42" s="1"/>
  <c r="C41" i="41"/>
  <c r="D41" i="41" s="1"/>
  <c r="E41" i="41" s="1"/>
  <c r="F41" i="41" s="1"/>
  <c r="C77" i="41"/>
  <c r="D77" i="41" s="1"/>
  <c r="E77" i="41" s="1"/>
  <c r="F77" i="41" s="1"/>
  <c r="C73" i="41"/>
  <c r="D73" i="41" s="1"/>
  <c r="E73" i="41" s="1"/>
  <c r="F73" i="41" s="1"/>
  <c r="J41" i="41"/>
  <c r="K41" i="41" s="1"/>
  <c r="AK75" i="41"/>
  <c r="AL75" i="41" s="1"/>
  <c r="AY61" i="42"/>
  <c r="AZ61" i="42" s="1"/>
  <c r="BA61" i="42" s="1"/>
  <c r="BB61" i="42" s="1"/>
  <c r="AY69" i="42"/>
  <c r="AZ69" i="42" s="1"/>
  <c r="BA69" i="42" s="1"/>
  <c r="BB69" i="42" s="1"/>
  <c r="AY59" i="42"/>
  <c r="AZ59" i="42" s="1"/>
  <c r="BA59" i="42" s="1"/>
  <c r="BB59" i="42" s="1"/>
  <c r="AY64" i="42"/>
  <c r="AZ64" i="42" s="1"/>
  <c r="BA64" i="42" s="1"/>
  <c r="BB64" i="42" s="1"/>
  <c r="AK34" i="41"/>
  <c r="AL34" i="41" s="1"/>
  <c r="AK69" i="41"/>
  <c r="AL69" i="41" s="1"/>
  <c r="BF32" i="42"/>
  <c r="BG32" i="42" s="1"/>
  <c r="BH32" i="42" s="1"/>
  <c r="AY32" i="42"/>
  <c r="AZ32" i="42" s="1"/>
  <c r="BA32" i="42" s="1"/>
  <c r="AY80" i="42"/>
  <c r="AZ80" i="42" s="1"/>
  <c r="BA80" i="42" s="1"/>
  <c r="BB80" i="42" s="1"/>
  <c r="C37" i="41"/>
  <c r="D37" i="41" s="1"/>
  <c r="E37" i="41" s="1"/>
  <c r="F37" i="41" s="1"/>
  <c r="C36" i="41"/>
  <c r="D36" i="41" s="1"/>
  <c r="E36" i="41" s="1"/>
  <c r="F36" i="41" s="1"/>
  <c r="C47" i="41"/>
  <c r="D47" i="41" s="1"/>
  <c r="E47" i="41" s="1"/>
  <c r="F47" i="41" s="1"/>
  <c r="C53" i="41"/>
  <c r="D53" i="41" s="1"/>
  <c r="E53" i="41" s="1"/>
  <c r="F53" i="41" s="1"/>
  <c r="AK36" i="41"/>
  <c r="AL36" i="41" s="1"/>
  <c r="AK81" i="41"/>
  <c r="AL81" i="41" s="1"/>
  <c r="AY35" i="42"/>
  <c r="AZ35" i="42" s="1"/>
  <c r="BA35" i="42" s="1"/>
  <c r="BB35" i="42" s="1"/>
  <c r="BF38" i="42"/>
  <c r="BG38" i="42" s="1"/>
  <c r="BH38" i="42" s="1"/>
  <c r="AY36" i="42"/>
  <c r="AZ36" i="42" s="1"/>
  <c r="BA36" i="42" s="1"/>
  <c r="BB36" i="42" s="1"/>
  <c r="AY40" i="42"/>
  <c r="AZ40" i="42" s="1"/>
  <c r="BA40" i="42" s="1"/>
  <c r="BB40" i="42" s="1"/>
  <c r="C67" i="41"/>
  <c r="D67" i="41" s="1"/>
  <c r="E67" i="41" s="1"/>
  <c r="F67" i="41" s="1"/>
  <c r="C66" i="41"/>
  <c r="D66" i="41" s="1"/>
  <c r="E66" i="41" s="1"/>
  <c r="F66" i="41" s="1"/>
  <c r="C68" i="41"/>
  <c r="D68" i="41" s="1"/>
  <c r="E68" i="41" s="1"/>
  <c r="F68" i="41" s="1"/>
  <c r="C69" i="41"/>
  <c r="D69" i="41" s="1"/>
  <c r="E69" i="41" s="1"/>
  <c r="F69" i="41" s="1"/>
  <c r="AY75" i="42"/>
  <c r="AZ75" i="42" s="1"/>
  <c r="BA75" i="42" s="1"/>
  <c r="BB75" i="42" s="1"/>
  <c r="AY43" i="42"/>
  <c r="AZ43" i="42" s="1"/>
  <c r="BA43" i="42" s="1"/>
  <c r="BB43" i="42" s="1"/>
  <c r="AY76" i="42"/>
  <c r="AZ76" i="42" s="1"/>
  <c r="BA76" i="42" s="1"/>
  <c r="BB76" i="42" s="1"/>
  <c r="AY57" i="42"/>
  <c r="AZ57" i="42" s="1"/>
  <c r="BA57" i="42" s="1"/>
  <c r="BB57" i="42" s="1"/>
  <c r="CO40" i="42"/>
  <c r="CP40" i="42" s="1"/>
  <c r="CQ40" i="42" s="1"/>
  <c r="C72" i="41"/>
  <c r="D72" i="41" s="1"/>
  <c r="E72" i="41" s="1"/>
  <c r="F72" i="41" s="1"/>
  <c r="C35" i="41"/>
  <c r="D35" i="41" s="1"/>
  <c r="E35" i="41" s="1"/>
  <c r="F35" i="41" s="1"/>
  <c r="C62" i="41"/>
  <c r="D62" i="41" s="1"/>
  <c r="E62" i="41" s="1"/>
  <c r="F62" i="41" s="1"/>
  <c r="AK47" i="41"/>
  <c r="AL47" i="41" s="1"/>
  <c r="AK71" i="41"/>
  <c r="AL71" i="41" s="1"/>
  <c r="BF35" i="42"/>
  <c r="BG35" i="42" s="1"/>
  <c r="BH35" i="42" s="1"/>
  <c r="CG73" i="42"/>
  <c r="CH73" i="42" s="1"/>
  <c r="J42" i="41"/>
  <c r="K42" i="41" s="1"/>
  <c r="AK76" i="41"/>
  <c r="AL76" i="41" s="1"/>
  <c r="AK77" i="41"/>
  <c r="AL77" i="41" s="1"/>
  <c r="AY41" i="42"/>
  <c r="AZ41" i="42" s="1"/>
  <c r="BA41" i="42" s="1"/>
  <c r="BB41" i="42" s="1"/>
  <c r="BF39" i="42"/>
  <c r="BG39" i="42" s="1"/>
  <c r="BH39" i="42" s="1"/>
  <c r="AY67" i="42"/>
  <c r="AZ67" i="42" s="1"/>
  <c r="BA67" i="42" s="1"/>
  <c r="BB67" i="42" s="1"/>
  <c r="AY53" i="42"/>
  <c r="AZ53" i="42" s="1"/>
  <c r="BA53" i="42" s="1"/>
  <c r="BB53" i="42" s="1"/>
  <c r="AK37" i="41"/>
  <c r="AL37" i="41" s="1"/>
  <c r="C56" i="41"/>
  <c r="D56" i="41" s="1"/>
  <c r="E56" i="41" s="1"/>
  <c r="F56" i="41" s="1"/>
  <c r="C61" i="41"/>
  <c r="D61" i="41" s="1"/>
  <c r="E61" i="41" s="1"/>
  <c r="F61" i="41" s="1"/>
  <c r="J32" i="41"/>
  <c r="K32" i="41" s="1"/>
  <c r="C71" i="41"/>
  <c r="D71" i="41" s="1"/>
  <c r="E71" i="41" s="1"/>
  <c r="F71" i="41" s="1"/>
  <c r="BF37" i="42"/>
  <c r="BG37" i="42" s="1"/>
  <c r="BH37" i="42" s="1"/>
  <c r="AY68" i="42"/>
  <c r="AZ68" i="42" s="1"/>
  <c r="BA68" i="42" s="1"/>
  <c r="BB68" i="42" s="1"/>
  <c r="AY60" i="42"/>
  <c r="AZ60" i="42" s="1"/>
  <c r="BA60" i="42" s="1"/>
  <c r="BB60" i="42" s="1"/>
  <c r="AY77" i="42"/>
  <c r="AZ77" i="42" s="1"/>
  <c r="BA77" i="42" s="1"/>
  <c r="BB77" i="42" s="1"/>
  <c r="CG55" i="42"/>
  <c r="CH55" i="42" s="1"/>
  <c r="AY37" i="42"/>
  <c r="AZ37" i="42" s="1"/>
  <c r="BA37" i="42" s="1"/>
  <c r="BB37" i="42" s="1"/>
  <c r="AY63" i="42"/>
  <c r="AZ63" i="42" s="1"/>
  <c r="BA63" i="42" s="1"/>
  <c r="BB63" i="42" s="1"/>
  <c r="BF36" i="42"/>
  <c r="BG36" i="42" s="1"/>
  <c r="BH36" i="42" s="1"/>
  <c r="AY65" i="42"/>
  <c r="AZ65" i="42" s="1"/>
  <c r="BA65" i="42" s="1"/>
  <c r="BB65" i="42" s="1"/>
  <c r="J34" i="41"/>
  <c r="K34" i="41" s="1"/>
  <c r="C81" i="41"/>
  <c r="D81" i="41" s="1"/>
  <c r="E81" i="41" s="1"/>
  <c r="F81" i="41" s="1"/>
  <c r="J36" i="41"/>
  <c r="K36" i="41" s="1"/>
  <c r="L36" i="41" s="1"/>
  <c r="C39" i="41"/>
  <c r="D39" i="41" s="1"/>
  <c r="E39" i="41" s="1"/>
  <c r="F39" i="41" s="1"/>
  <c r="AI70" i="42"/>
  <c r="AJ70" i="42" s="1"/>
  <c r="AK70" i="42" s="1"/>
  <c r="AL70" i="42" s="1"/>
  <c r="AI54" i="42"/>
  <c r="AJ54" i="42" s="1"/>
  <c r="AK54" i="42" s="1"/>
  <c r="AL54" i="42" s="1"/>
  <c r="AI41" i="42"/>
  <c r="AJ41" i="42" s="1"/>
  <c r="AK41" i="42" s="1"/>
  <c r="AL41" i="42" s="1"/>
  <c r="AI37" i="42"/>
  <c r="AJ37" i="42" s="1"/>
  <c r="AK37" i="42" s="1"/>
  <c r="AL37" i="42" s="1"/>
  <c r="AI77" i="42"/>
  <c r="AJ77" i="42" s="1"/>
  <c r="AK77" i="42" s="1"/>
  <c r="AL77" i="42" s="1"/>
  <c r="AI61" i="42"/>
  <c r="AJ61" i="42" s="1"/>
  <c r="AK61" i="42" s="1"/>
  <c r="AL61" i="42" s="1"/>
  <c r="AI45" i="42"/>
  <c r="AJ45" i="42" s="1"/>
  <c r="AK45" i="42" s="1"/>
  <c r="AL45" i="42" s="1"/>
  <c r="AI68" i="42"/>
  <c r="AJ68" i="42" s="1"/>
  <c r="AK68" i="42" s="1"/>
  <c r="AL68" i="42" s="1"/>
  <c r="AI52" i="42"/>
  <c r="AJ52" i="42" s="1"/>
  <c r="AK52" i="42" s="1"/>
  <c r="AL52" i="42" s="1"/>
  <c r="AI75" i="42"/>
  <c r="AJ75" i="42" s="1"/>
  <c r="AK75" i="42" s="1"/>
  <c r="AL75" i="42" s="1"/>
  <c r="AI59" i="42"/>
  <c r="AJ59" i="42" s="1"/>
  <c r="AK59" i="42" s="1"/>
  <c r="AL59" i="42" s="1"/>
  <c r="AP43" i="42"/>
  <c r="AQ43" i="42" s="1"/>
  <c r="AR43" i="42" s="1"/>
  <c r="AP39" i="42"/>
  <c r="AQ39" i="42" s="1"/>
  <c r="AR39" i="42" s="1"/>
  <c r="AI78" i="42"/>
  <c r="AJ78" i="42" s="1"/>
  <c r="AK78" i="42" s="1"/>
  <c r="AL78" i="42" s="1"/>
  <c r="AI66" i="42"/>
  <c r="AJ66" i="42" s="1"/>
  <c r="AK66" i="42" s="1"/>
  <c r="AL66" i="42" s="1"/>
  <c r="AP42" i="42"/>
  <c r="AQ42" i="42" s="1"/>
  <c r="AR42" i="42" s="1"/>
  <c r="AP34" i="42"/>
  <c r="AQ34" i="42" s="1"/>
  <c r="AR34" i="42" s="1"/>
  <c r="AI49" i="42"/>
  <c r="AJ49" i="42" s="1"/>
  <c r="AK49" i="42" s="1"/>
  <c r="AL49" i="42" s="1"/>
  <c r="AI43" i="42"/>
  <c r="AJ43" i="42" s="1"/>
  <c r="AK43" i="42" s="1"/>
  <c r="AL43" i="42" s="1"/>
  <c r="AI33" i="42"/>
  <c r="AJ33" i="42" s="1"/>
  <c r="AK33" i="42" s="1"/>
  <c r="AL33" i="42" s="1"/>
  <c r="AI72" i="42"/>
  <c r="AJ72" i="42" s="1"/>
  <c r="AK72" i="42" s="1"/>
  <c r="AL72" i="42" s="1"/>
  <c r="AI60" i="42"/>
  <c r="AJ60" i="42" s="1"/>
  <c r="AK60" i="42" s="1"/>
  <c r="AL60" i="42" s="1"/>
  <c r="AI48" i="42"/>
  <c r="AJ48" i="42" s="1"/>
  <c r="AK48" i="42" s="1"/>
  <c r="AL48" i="42" s="1"/>
  <c r="AP41" i="42"/>
  <c r="AQ41" i="42" s="1"/>
  <c r="AR41" i="42" s="1"/>
  <c r="AI71" i="42"/>
  <c r="AJ71" i="42" s="1"/>
  <c r="AK71" i="42" s="1"/>
  <c r="AL71" i="42" s="1"/>
  <c r="AI42" i="42"/>
  <c r="AJ42" i="42" s="1"/>
  <c r="AK42" i="42" s="1"/>
  <c r="AL42" i="42" s="1"/>
  <c r="AP40" i="42"/>
  <c r="AQ40" i="42" s="1"/>
  <c r="AR40" i="42" s="1"/>
  <c r="AI47" i="42"/>
  <c r="AJ47" i="42" s="1"/>
  <c r="AK47" i="42" s="1"/>
  <c r="AL47" i="42" s="1"/>
  <c r="AI80" i="42"/>
  <c r="AJ80" i="42" s="1"/>
  <c r="AK80" i="42" s="1"/>
  <c r="AL80" i="42" s="1"/>
  <c r="AI79" i="42"/>
  <c r="AJ79" i="42" s="1"/>
  <c r="AK79" i="42" s="1"/>
  <c r="AL79" i="42" s="1"/>
  <c r="AP37" i="42"/>
  <c r="AQ37" i="42" s="1"/>
  <c r="AR37" i="42" s="1"/>
  <c r="AI55" i="42"/>
  <c r="AJ55" i="42" s="1"/>
  <c r="AK55" i="42" s="1"/>
  <c r="AL55" i="42" s="1"/>
  <c r="AI40" i="42"/>
  <c r="AJ40" i="42" s="1"/>
  <c r="AK40" i="42" s="1"/>
  <c r="AL40" i="42" s="1"/>
  <c r="AI34" i="42"/>
  <c r="AJ34" i="42" s="1"/>
  <c r="AK34" i="42" s="1"/>
  <c r="AL34" i="42" s="1"/>
  <c r="AI65" i="42"/>
  <c r="AJ65" i="42" s="1"/>
  <c r="AK65" i="42" s="1"/>
  <c r="AL65" i="42" s="1"/>
  <c r="AI44" i="42"/>
  <c r="AJ44" i="42" s="1"/>
  <c r="AK44" i="42" s="1"/>
  <c r="AL44" i="42" s="1"/>
  <c r="AP35" i="42"/>
  <c r="AQ35" i="42" s="1"/>
  <c r="AR35" i="42" s="1"/>
  <c r="AI50" i="42"/>
  <c r="AJ50" i="42" s="1"/>
  <c r="AK50" i="42" s="1"/>
  <c r="AL50" i="42" s="1"/>
  <c r="AP32" i="42"/>
  <c r="AQ32" i="42" s="1"/>
  <c r="AR32" i="42" s="1"/>
  <c r="AI81" i="42"/>
  <c r="AJ81" i="42" s="1"/>
  <c r="AK81" i="42" s="1"/>
  <c r="AL81" i="42" s="1"/>
  <c r="AI76" i="42"/>
  <c r="AJ76" i="42" s="1"/>
  <c r="AK76" i="42" s="1"/>
  <c r="AL76" i="42" s="1"/>
  <c r="AI51" i="42"/>
  <c r="AJ51" i="42" s="1"/>
  <c r="AK51" i="42" s="1"/>
  <c r="AL51" i="42" s="1"/>
  <c r="AI39" i="42"/>
  <c r="AJ39" i="42" s="1"/>
  <c r="AK39" i="42" s="1"/>
  <c r="AL39" i="42" s="1"/>
  <c r="AP36" i="42"/>
  <c r="AQ36" i="42" s="1"/>
  <c r="AR36" i="42" s="1"/>
  <c r="AI57" i="42"/>
  <c r="AJ57" i="42" s="1"/>
  <c r="AK57" i="42" s="1"/>
  <c r="AL57" i="42" s="1"/>
  <c r="AI56" i="42"/>
  <c r="AJ56" i="42" s="1"/>
  <c r="AK56" i="42" s="1"/>
  <c r="AL56" i="42" s="1"/>
  <c r="AI46" i="42"/>
  <c r="AJ46" i="42" s="1"/>
  <c r="AK46" i="42" s="1"/>
  <c r="AL46" i="42" s="1"/>
  <c r="AP33" i="42"/>
  <c r="AQ33" i="42" s="1"/>
  <c r="AR33" i="42" s="1"/>
  <c r="AI32" i="42"/>
  <c r="AJ32" i="42" s="1"/>
  <c r="AK32" i="42" s="1"/>
  <c r="AI36" i="42"/>
  <c r="AJ36" i="42" s="1"/>
  <c r="AK36" i="42" s="1"/>
  <c r="AL36" i="42" s="1"/>
  <c r="AI73" i="42"/>
  <c r="AJ73" i="42" s="1"/>
  <c r="AK73" i="42" s="1"/>
  <c r="AL73" i="42" s="1"/>
  <c r="AI63" i="42"/>
  <c r="AJ63" i="42" s="1"/>
  <c r="AK63" i="42" s="1"/>
  <c r="AL63" i="42" s="1"/>
  <c r="AI67" i="42"/>
  <c r="AJ67" i="42" s="1"/>
  <c r="AK67" i="42" s="1"/>
  <c r="AL67" i="42" s="1"/>
  <c r="AI58" i="42"/>
  <c r="AJ58" i="42" s="1"/>
  <c r="AK58" i="42" s="1"/>
  <c r="AL58" i="42" s="1"/>
  <c r="O7" i="42"/>
  <c r="G26" i="30" s="1"/>
  <c r="AP38" i="42"/>
  <c r="AQ38" i="42" s="1"/>
  <c r="AR38" i="42" s="1"/>
  <c r="AI38" i="42"/>
  <c r="AJ38" i="42" s="1"/>
  <c r="AK38" i="42" s="1"/>
  <c r="AL38" i="42" s="1"/>
  <c r="AI64" i="42"/>
  <c r="AJ64" i="42" s="1"/>
  <c r="AK64" i="42" s="1"/>
  <c r="AL64" i="42" s="1"/>
  <c r="AI62" i="42"/>
  <c r="AJ62" i="42" s="1"/>
  <c r="AK62" i="42" s="1"/>
  <c r="AL62" i="42" s="1"/>
  <c r="AI74" i="42"/>
  <c r="AJ74" i="42" s="1"/>
  <c r="AK74" i="42" s="1"/>
  <c r="AL74" i="42" s="1"/>
  <c r="AI69" i="42"/>
  <c r="AJ69" i="42" s="1"/>
  <c r="AK69" i="42" s="1"/>
  <c r="AL69" i="42" s="1"/>
  <c r="AI35" i="42"/>
  <c r="AJ35" i="42" s="1"/>
  <c r="AK35" i="42" s="1"/>
  <c r="AL35" i="42" s="1"/>
  <c r="AI53" i="42"/>
  <c r="AJ53" i="42" s="1"/>
  <c r="AK53" i="42" s="1"/>
  <c r="AL53" i="42" s="1"/>
  <c r="AY44" i="42"/>
  <c r="AZ44" i="42" s="1"/>
  <c r="BA44" i="42" s="1"/>
  <c r="BB44" i="42" s="1"/>
  <c r="AY66" i="42"/>
  <c r="AZ66" i="42" s="1"/>
  <c r="BA66" i="42" s="1"/>
  <c r="BB66" i="42" s="1"/>
  <c r="AY81" i="42"/>
  <c r="AZ81" i="42" s="1"/>
  <c r="BA81" i="42" s="1"/>
  <c r="BB81" i="42" s="1"/>
  <c r="BF42" i="42"/>
  <c r="BG42" i="42" s="1"/>
  <c r="BH42" i="42" s="1"/>
  <c r="CG78" i="42"/>
  <c r="CH78" i="42" s="1"/>
  <c r="BF41" i="42"/>
  <c r="BG41" i="42" s="1"/>
  <c r="BH41" i="42" s="1"/>
  <c r="AY50" i="42"/>
  <c r="AZ50" i="42" s="1"/>
  <c r="BA50" i="42" s="1"/>
  <c r="BB50" i="42" s="1"/>
  <c r="BF33" i="42"/>
  <c r="BG33" i="42" s="1"/>
  <c r="BH33" i="42" s="1"/>
  <c r="AY73" i="42"/>
  <c r="AZ73" i="42" s="1"/>
  <c r="BA73" i="42" s="1"/>
  <c r="BB73" i="42" s="1"/>
  <c r="C32" i="41"/>
  <c r="D32" i="41" s="1"/>
  <c r="E32" i="41" s="1"/>
  <c r="F32" i="41" s="1"/>
  <c r="AK61" i="41"/>
  <c r="AL61" i="41" s="1"/>
  <c r="Z40" i="42"/>
  <c r="AA40" i="42" s="1"/>
  <c r="AB40" i="42" s="1"/>
  <c r="Z39" i="42"/>
  <c r="AA39" i="42" s="1"/>
  <c r="AB39" i="42" s="1"/>
  <c r="Z35" i="42"/>
  <c r="AA35" i="42" s="1"/>
  <c r="AB35" i="42" s="1"/>
  <c r="Z38" i="42"/>
  <c r="AA38" i="42" s="1"/>
  <c r="AB38" i="42" s="1"/>
  <c r="Z33" i="42"/>
  <c r="AA33" i="42" s="1"/>
  <c r="AB33" i="42" s="1"/>
  <c r="Z42" i="42"/>
  <c r="AA42" i="42" s="1"/>
  <c r="AB42" i="42" s="1"/>
  <c r="O6" i="42"/>
  <c r="G25" i="30" s="1"/>
  <c r="Z34" i="42"/>
  <c r="AA34" i="42" s="1"/>
  <c r="AB34" i="42" s="1"/>
  <c r="Z36" i="42"/>
  <c r="AA36" i="42" s="1"/>
  <c r="AB36" i="42" s="1"/>
  <c r="Z43" i="42"/>
  <c r="AA43" i="42" s="1"/>
  <c r="AB43" i="42" s="1"/>
  <c r="Z32" i="42"/>
  <c r="AA32" i="42" s="1"/>
  <c r="AB32" i="42" s="1"/>
  <c r="Z37" i="42"/>
  <c r="AA37" i="42" s="1"/>
  <c r="AB37" i="42" s="1"/>
  <c r="Z41" i="42"/>
  <c r="AA41" i="42" s="1"/>
  <c r="AB41" i="42" s="1"/>
  <c r="AY45" i="42"/>
  <c r="AZ45" i="42" s="1"/>
  <c r="BA45" i="42" s="1"/>
  <c r="BB45" i="42" s="1"/>
  <c r="AY39" i="42"/>
  <c r="AZ39" i="42" s="1"/>
  <c r="BA39" i="42" s="1"/>
  <c r="BB39" i="42" s="1"/>
  <c r="CG33" i="42"/>
  <c r="CH33" i="42" s="1"/>
  <c r="C38" i="41"/>
  <c r="D38" i="41" s="1"/>
  <c r="E38" i="41" s="1"/>
  <c r="F38" i="41" s="1"/>
  <c r="C45" i="41"/>
  <c r="D45" i="41" s="1"/>
  <c r="E45" i="41" s="1"/>
  <c r="F45" i="41" s="1"/>
  <c r="C78" i="41"/>
  <c r="D78" i="41" s="1"/>
  <c r="E78" i="41" s="1"/>
  <c r="F78" i="41" s="1"/>
  <c r="CG53" i="42"/>
  <c r="CH53" i="42" s="1"/>
  <c r="C44" i="41"/>
  <c r="D44" i="41" s="1"/>
  <c r="E44" i="41" s="1"/>
  <c r="F44" i="41" s="1"/>
  <c r="J33" i="41"/>
  <c r="K33" i="41" s="1"/>
  <c r="C57" i="41"/>
  <c r="D57" i="41" s="1"/>
  <c r="E57" i="41" s="1"/>
  <c r="F57" i="41" s="1"/>
  <c r="C55" i="41"/>
  <c r="D55" i="41" s="1"/>
  <c r="E55" i="41" s="1"/>
  <c r="F55" i="41" s="1"/>
  <c r="AK51" i="41"/>
  <c r="AL51" i="41" s="1"/>
  <c r="C60" i="41"/>
  <c r="D60" i="41" s="1"/>
  <c r="E60" i="41" s="1"/>
  <c r="F60" i="41" s="1"/>
  <c r="C50" i="41"/>
  <c r="D50" i="41" s="1"/>
  <c r="E50" i="41" s="1"/>
  <c r="F50" i="41" s="1"/>
  <c r="C42" i="41"/>
  <c r="D42" i="41" s="1"/>
  <c r="E42" i="41" s="1"/>
  <c r="F42" i="41" s="1"/>
  <c r="AY49" i="42"/>
  <c r="AZ49" i="42" s="1"/>
  <c r="BA49" i="42" s="1"/>
  <c r="BB49" i="42" s="1"/>
  <c r="AY34" i="42"/>
  <c r="AZ34" i="42" s="1"/>
  <c r="BA34" i="42" s="1"/>
  <c r="BB34" i="42" s="1"/>
  <c r="AY74" i="42"/>
  <c r="AZ74" i="42" s="1"/>
  <c r="BA74" i="42" s="1"/>
  <c r="BB74" i="42" s="1"/>
  <c r="AY46" i="42"/>
  <c r="AZ46" i="42" s="1"/>
  <c r="BA46" i="42" s="1"/>
  <c r="BB46" i="42" s="1"/>
  <c r="CO34" i="42"/>
  <c r="CP34" i="42" s="1"/>
  <c r="CQ34" i="42" s="1"/>
  <c r="C80" i="42"/>
  <c r="D80" i="42" s="1"/>
  <c r="E80" i="42" s="1"/>
  <c r="F80" i="42" s="1"/>
  <c r="C64" i="42"/>
  <c r="D64" i="42" s="1"/>
  <c r="E64" i="42" s="1"/>
  <c r="F64" i="42" s="1"/>
  <c r="C48" i="42"/>
  <c r="D48" i="42" s="1"/>
  <c r="E48" i="42" s="1"/>
  <c r="F48" i="42" s="1"/>
  <c r="C43" i="42"/>
  <c r="D43" i="42" s="1"/>
  <c r="E43" i="42" s="1"/>
  <c r="F43" i="42" s="1"/>
  <c r="C39" i="42"/>
  <c r="D39" i="42" s="1"/>
  <c r="E39" i="42" s="1"/>
  <c r="F39" i="42" s="1"/>
  <c r="C71" i="42"/>
  <c r="D71" i="42" s="1"/>
  <c r="E71" i="42" s="1"/>
  <c r="F71" i="42" s="1"/>
  <c r="C55" i="42"/>
  <c r="D55" i="42" s="1"/>
  <c r="E55" i="42" s="1"/>
  <c r="F55" i="42" s="1"/>
  <c r="C78" i="42"/>
  <c r="D78" i="42" s="1"/>
  <c r="E78" i="42" s="1"/>
  <c r="F78" i="42" s="1"/>
  <c r="C62" i="42"/>
  <c r="D62" i="42" s="1"/>
  <c r="E62" i="42" s="1"/>
  <c r="F62" i="42" s="1"/>
  <c r="C46" i="42"/>
  <c r="D46" i="42" s="1"/>
  <c r="E46" i="42" s="1"/>
  <c r="F46" i="42" s="1"/>
  <c r="C69" i="42"/>
  <c r="D69" i="42" s="1"/>
  <c r="E69" i="42" s="1"/>
  <c r="F69" i="42" s="1"/>
  <c r="C53" i="42"/>
  <c r="D53" i="42" s="1"/>
  <c r="E53" i="42" s="1"/>
  <c r="F53" i="42" s="1"/>
  <c r="J41" i="42"/>
  <c r="K41" i="42" s="1"/>
  <c r="L41" i="42" s="1"/>
  <c r="C52" i="42"/>
  <c r="D52" i="42" s="1"/>
  <c r="E52" i="42" s="1"/>
  <c r="F52" i="42" s="1"/>
  <c r="J36" i="42"/>
  <c r="K36" i="42" s="1"/>
  <c r="L36" i="42" s="1"/>
  <c r="C75" i="42"/>
  <c r="D75" i="42" s="1"/>
  <c r="E75" i="42" s="1"/>
  <c r="F75" i="42" s="1"/>
  <c r="C63" i="42"/>
  <c r="D63" i="42" s="1"/>
  <c r="E63" i="42" s="1"/>
  <c r="F63" i="42" s="1"/>
  <c r="C51" i="42"/>
  <c r="D51" i="42" s="1"/>
  <c r="E51" i="42" s="1"/>
  <c r="F51" i="42" s="1"/>
  <c r="C35" i="42"/>
  <c r="D35" i="42" s="1"/>
  <c r="E35" i="42" s="1"/>
  <c r="F35" i="42" s="1"/>
  <c r="C74" i="42"/>
  <c r="D74" i="42" s="1"/>
  <c r="E74" i="42" s="1"/>
  <c r="F74" i="42" s="1"/>
  <c r="J43" i="42"/>
  <c r="K43" i="42" s="1"/>
  <c r="L43" i="42" s="1"/>
  <c r="C57" i="42"/>
  <c r="D57" i="42" s="1"/>
  <c r="E57" i="42" s="1"/>
  <c r="F57" i="42" s="1"/>
  <c r="C45" i="42"/>
  <c r="D45" i="42" s="1"/>
  <c r="E45" i="42" s="1"/>
  <c r="F45" i="42" s="1"/>
  <c r="J42" i="42"/>
  <c r="K42" i="42" s="1"/>
  <c r="L42" i="42" s="1"/>
  <c r="C38" i="42"/>
  <c r="D38" i="42" s="1"/>
  <c r="E38" i="42" s="1"/>
  <c r="F38" i="42" s="1"/>
  <c r="C73" i="42"/>
  <c r="D73" i="42" s="1"/>
  <c r="E73" i="42" s="1"/>
  <c r="F73" i="42" s="1"/>
  <c r="C61" i="42"/>
  <c r="D61" i="42" s="1"/>
  <c r="E61" i="42" s="1"/>
  <c r="F61" i="42" s="1"/>
  <c r="C49" i="42"/>
  <c r="D49" i="42" s="1"/>
  <c r="E49" i="42" s="1"/>
  <c r="F49" i="42" s="1"/>
  <c r="C68" i="42"/>
  <c r="D68" i="42" s="1"/>
  <c r="E68" i="42" s="1"/>
  <c r="F68" i="42" s="1"/>
  <c r="C47" i="42"/>
  <c r="D47" i="42" s="1"/>
  <c r="E47" i="42" s="1"/>
  <c r="F47" i="42" s="1"/>
  <c r="C44" i="42"/>
  <c r="D44" i="42" s="1"/>
  <c r="E44" i="42" s="1"/>
  <c r="F44" i="42" s="1"/>
  <c r="C37" i="42"/>
  <c r="D37" i="42" s="1"/>
  <c r="E37" i="42" s="1"/>
  <c r="F37" i="42" s="1"/>
  <c r="C79" i="42"/>
  <c r="D79" i="42" s="1"/>
  <c r="E79" i="42" s="1"/>
  <c r="F79" i="42" s="1"/>
  <c r="C58" i="42"/>
  <c r="D58" i="42" s="1"/>
  <c r="E58" i="42" s="1"/>
  <c r="F58" i="42" s="1"/>
  <c r="C40" i="42"/>
  <c r="D40" i="42" s="1"/>
  <c r="E40" i="42" s="1"/>
  <c r="F40" i="42" s="1"/>
  <c r="J39" i="42"/>
  <c r="K39" i="42" s="1"/>
  <c r="L39" i="42" s="1"/>
  <c r="C34" i="42"/>
  <c r="D34" i="42" s="1"/>
  <c r="E34" i="42" s="1"/>
  <c r="F34" i="42" s="1"/>
  <c r="C65" i="42"/>
  <c r="D65" i="42" s="1"/>
  <c r="E65" i="42" s="1"/>
  <c r="F65" i="42" s="1"/>
  <c r="J32" i="42"/>
  <c r="K32" i="42" s="1"/>
  <c r="L32" i="42" s="1"/>
  <c r="C70" i="42"/>
  <c r="D70" i="42" s="1"/>
  <c r="E70" i="42" s="1"/>
  <c r="F70" i="42" s="1"/>
  <c r="O5" i="42"/>
  <c r="C41" i="42"/>
  <c r="D41" i="42" s="1"/>
  <c r="E41" i="42" s="1"/>
  <c r="F41" i="42" s="1"/>
  <c r="J38" i="42"/>
  <c r="K38" i="42" s="1"/>
  <c r="L38" i="42" s="1"/>
  <c r="C59" i="42"/>
  <c r="D59" i="42" s="1"/>
  <c r="E59" i="42" s="1"/>
  <c r="F59" i="42" s="1"/>
  <c r="C50" i="42"/>
  <c r="D50" i="42" s="1"/>
  <c r="E50" i="42" s="1"/>
  <c r="F50" i="42" s="1"/>
  <c r="C76" i="42"/>
  <c r="D76" i="42" s="1"/>
  <c r="E76" i="42" s="1"/>
  <c r="F76" i="42" s="1"/>
  <c r="C66" i="42"/>
  <c r="D66" i="42" s="1"/>
  <c r="E66" i="42" s="1"/>
  <c r="F66" i="42" s="1"/>
  <c r="C81" i="42"/>
  <c r="D81" i="42" s="1"/>
  <c r="E81" i="42" s="1"/>
  <c r="F81" i="42" s="1"/>
  <c r="J35" i="42"/>
  <c r="K35" i="42" s="1"/>
  <c r="L35" i="42" s="1"/>
  <c r="J40" i="42"/>
  <c r="K40" i="42" s="1"/>
  <c r="L40" i="42" s="1"/>
  <c r="C54" i="42"/>
  <c r="D54" i="42" s="1"/>
  <c r="E54" i="42" s="1"/>
  <c r="F54" i="42" s="1"/>
  <c r="C56" i="42"/>
  <c r="D56" i="42" s="1"/>
  <c r="E56" i="42" s="1"/>
  <c r="F56" i="42" s="1"/>
  <c r="J33" i="42"/>
  <c r="K33" i="42" s="1"/>
  <c r="L33" i="42" s="1"/>
  <c r="C72" i="42"/>
  <c r="D72" i="42" s="1"/>
  <c r="E72" i="42" s="1"/>
  <c r="F72" i="42" s="1"/>
  <c r="J37" i="42"/>
  <c r="K37" i="42" s="1"/>
  <c r="L37" i="42" s="1"/>
  <c r="C36" i="42"/>
  <c r="D36" i="42" s="1"/>
  <c r="E36" i="42" s="1"/>
  <c r="F36" i="42" s="1"/>
  <c r="C77" i="42"/>
  <c r="D77" i="42" s="1"/>
  <c r="E77" i="42" s="1"/>
  <c r="F77" i="42" s="1"/>
  <c r="C42" i="42"/>
  <c r="D42" i="42" s="1"/>
  <c r="E42" i="42" s="1"/>
  <c r="F42" i="42" s="1"/>
  <c r="C32" i="42"/>
  <c r="D32" i="42" s="1"/>
  <c r="E32" i="42" s="1"/>
  <c r="C67" i="42"/>
  <c r="D67" i="42" s="1"/>
  <c r="E67" i="42" s="1"/>
  <c r="F67" i="42" s="1"/>
  <c r="C60" i="42"/>
  <c r="D60" i="42" s="1"/>
  <c r="E60" i="42" s="1"/>
  <c r="F60" i="42" s="1"/>
  <c r="C33" i="42"/>
  <c r="D33" i="42" s="1"/>
  <c r="E33" i="42" s="1"/>
  <c r="F33" i="42" s="1"/>
  <c r="J34" i="42"/>
  <c r="K34" i="42" s="1"/>
  <c r="L34" i="42" s="1"/>
  <c r="R76" i="42"/>
  <c r="S76" i="42" s="1"/>
  <c r="T76" i="42" s="1"/>
  <c r="R60" i="42"/>
  <c r="S60" i="42" s="1"/>
  <c r="T60" i="42" s="1"/>
  <c r="R44" i="42"/>
  <c r="S44" i="42" s="1"/>
  <c r="T44" i="42" s="1"/>
  <c r="R67" i="42"/>
  <c r="S67" i="42" s="1"/>
  <c r="T67" i="42" s="1"/>
  <c r="R51" i="42"/>
  <c r="S51" i="42" s="1"/>
  <c r="T51" i="42" s="1"/>
  <c r="R74" i="42"/>
  <c r="S74" i="42" s="1"/>
  <c r="T74" i="42" s="1"/>
  <c r="R58" i="42"/>
  <c r="S58" i="42" s="1"/>
  <c r="T58" i="42" s="1"/>
  <c r="R81" i="42"/>
  <c r="S81" i="42" s="1"/>
  <c r="T81" i="42" s="1"/>
  <c r="R65" i="42"/>
  <c r="S65" i="42" s="1"/>
  <c r="T65" i="42" s="1"/>
  <c r="R49" i="42"/>
  <c r="S49" i="42" s="1"/>
  <c r="T49" i="42" s="1"/>
  <c r="R80" i="42"/>
  <c r="S80" i="42" s="1"/>
  <c r="T80" i="42" s="1"/>
  <c r="R68" i="42"/>
  <c r="S68" i="42" s="1"/>
  <c r="T68" i="42" s="1"/>
  <c r="R56" i="42"/>
  <c r="S56" i="42" s="1"/>
  <c r="T56" i="42" s="1"/>
  <c r="R79" i="42"/>
  <c r="S79" i="42" s="1"/>
  <c r="T79" i="42" s="1"/>
  <c r="R41" i="42"/>
  <c r="S41" i="42" s="1"/>
  <c r="T41" i="42" s="1"/>
  <c r="R62" i="42"/>
  <c r="S62" i="42" s="1"/>
  <c r="T62" i="42" s="1"/>
  <c r="R50" i="42"/>
  <c r="S50" i="42" s="1"/>
  <c r="T50" i="42" s="1"/>
  <c r="R40" i="42"/>
  <c r="S40" i="42" s="1"/>
  <c r="T40" i="42" s="1"/>
  <c r="R34" i="42"/>
  <c r="S34" i="42" s="1"/>
  <c r="T34" i="42" s="1"/>
  <c r="R73" i="42"/>
  <c r="S73" i="42" s="1"/>
  <c r="T73" i="42" s="1"/>
  <c r="R61" i="42"/>
  <c r="S61" i="42" s="1"/>
  <c r="T61" i="42" s="1"/>
  <c r="R77" i="42"/>
  <c r="S77" i="42" s="1"/>
  <c r="T77" i="42" s="1"/>
  <c r="R48" i="42"/>
  <c r="S48" i="42" s="1"/>
  <c r="T48" i="42" s="1"/>
  <c r="R35" i="42"/>
  <c r="S35" i="42" s="1"/>
  <c r="T35" i="42" s="1"/>
  <c r="R53" i="42"/>
  <c r="S53" i="42" s="1"/>
  <c r="T53" i="42" s="1"/>
  <c r="R43" i="42"/>
  <c r="S43" i="42" s="1"/>
  <c r="T43" i="42" s="1"/>
  <c r="R32" i="42"/>
  <c r="S32" i="42" s="1"/>
  <c r="T32" i="42" s="1"/>
  <c r="R70" i="42"/>
  <c r="S70" i="42" s="1"/>
  <c r="T70" i="42" s="1"/>
  <c r="R38" i="42"/>
  <c r="S38" i="42" s="1"/>
  <c r="T38" i="42" s="1"/>
  <c r="R36" i="42"/>
  <c r="S36" i="42" s="1"/>
  <c r="T36" i="42" s="1"/>
  <c r="R59" i="42"/>
  <c r="S59" i="42" s="1"/>
  <c r="T59" i="42" s="1"/>
  <c r="R54" i="42"/>
  <c r="S54" i="42" s="1"/>
  <c r="T54" i="42" s="1"/>
  <c r="R75" i="42"/>
  <c r="S75" i="42" s="1"/>
  <c r="T75" i="42" s="1"/>
  <c r="R64" i="42"/>
  <c r="S64" i="42" s="1"/>
  <c r="T64" i="42" s="1"/>
  <c r="R69" i="42"/>
  <c r="S69" i="42" s="1"/>
  <c r="T69" i="42" s="1"/>
  <c r="R42" i="42"/>
  <c r="S42" i="42" s="1"/>
  <c r="T42" i="42" s="1"/>
  <c r="W26" i="42"/>
  <c r="R71" i="42"/>
  <c r="S71" i="42" s="1"/>
  <c r="T71" i="42" s="1"/>
  <c r="R66" i="42"/>
  <c r="S66" i="42" s="1"/>
  <c r="T66" i="42" s="1"/>
  <c r="R45" i="42"/>
  <c r="S45" i="42" s="1"/>
  <c r="T45" i="42" s="1"/>
  <c r="R46" i="42"/>
  <c r="S46" i="42" s="1"/>
  <c r="T46" i="42" s="1"/>
  <c r="R55" i="42"/>
  <c r="S55" i="42" s="1"/>
  <c r="T55" i="42" s="1"/>
  <c r="R57" i="42"/>
  <c r="S57" i="42" s="1"/>
  <c r="T57" i="42" s="1"/>
  <c r="R78" i="42"/>
  <c r="S78" i="42" s="1"/>
  <c r="T78" i="42" s="1"/>
  <c r="R72" i="42"/>
  <c r="S72" i="42" s="1"/>
  <c r="T72" i="42" s="1"/>
  <c r="R33" i="42"/>
  <c r="S33" i="42" s="1"/>
  <c r="T33" i="42" s="1"/>
  <c r="R52" i="42"/>
  <c r="S52" i="42" s="1"/>
  <c r="T52" i="42" s="1"/>
  <c r="R63" i="42"/>
  <c r="S63" i="42" s="1"/>
  <c r="T63" i="42" s="1"/>
  <c r="R47" i="42"/>
  <c r="S47" i="42" s="1"/>
  <c r="T47" i="42" s="1"/>
  <c r="R37" i="42"/>
  <c r="S37" i="42" s="1"/>
  <c r="T37" i="42" s="1"/>
  <c r="R39" i="42"/>
  <c r="S39" i="42" s="1"/>
  <c r="T39" i="42" s="1"/>
  <c r="AS32" i="41"/>
  <c r="AT32" i="41" s="1"/>
  <c r="AS36" i="41"/>
  <c r="AT36" i="41" s="1"/>
  <c r="AU36" i="41" s="1"/>
  <c r="BY42" i="37"/>
  <c r="BZ42" i="37" s="1"/>
  <c r="CA42" i="37" s="1"/>
  <c r="AS42" i="41"/>
  <c r="AT42" i="41" s="1"/>
  <c r="AU42" i="41" s="1"/>
  <c r="AC34" i="41"/>
  <c r="AD34" i="41" s="1"/>
  <c r="AE34" i="41" s="1"/>
  <c r="BI35" i="41"/>
  <c r="AC32" i="41"/>
  <c r="AD32" i="41" s="1"/>
  <c r="BY41" i="37"/>
  <c r="BZ41" i="37" s="1"/>
  <c r="CA41" i="37" s="1"/>
  <c r="BI39" i="41"/>
  <c r="BJ39" i="41" s="1"/>
  <c r="BK39" i="41" s="1"/>
  <c r="BI40" i="41"/>
  <c r="BJ40" i="41" s="1"/>
  <c r="BK40" i="41" s="1"/>
  <c r="AC33" i="37"/>
  <c r="AD33" i="37" s="1"/>
  <c r="AS40" i="41"/>
  <c r="AT40" i="41" s="1"/>
  <c r="AU40" i="41" s="1"/>
  <c r="BI41" i="37"/>
  <c r="BJ41" i="37" s="1"/>
  <c r="BK41" i="37" s="1"/>
  <c r="BY41" i="41"/>
  <c r="BZ41" i="41" s="1"/>
  <c r="CA41" i="41" s="1"/>
  <c r="AC41" i="37"/>
  <c r="AD41" i="37" s="1"/>
  <c r="AE41" i="37" s="1"/>
  <c r="AC38" i="41"/>
  <c r="AD38" i="41" s="1"/>
  <c r="AE38" i="41" s="1"/>
  <c r="BQ31" i="37"/>
  <c r="BX23" i="37" s="1"/>
  <c r="Q9" i="37" s="1"/>
  <c r="BR32" i="37"/>
  <c r="BR31" i="37" s="1"/>
  <c r="BX24" i="37" s="1"/>
  <c r="BB32" i="37"/>
  <c r="BB31" i="37" s="1"/>
  <c r="BH24" i="37" s="1"/>
  <c r="S8" i="37" s="1"/>
  <c r="BA31" i="37"/>
  <c r="BH23" i="37" s="1"/>
  <c r="Q8" i="37" s="1"/>
  <c r="AS35" i="41"/>
  <c r="AS38" i="41"/>
  <c r="AT38" i="41" s="1"/>
  <c r="AU38" i="41" s="1"/>
  <c r="AS32" i="37"/>
  <c r="AT32" i="37" s="1"/>
  <c r="M43" i="41"/>
  <c r="N43" i="41" s="1"/>
  <c r="O43" i="41" s="1"/>
  <c r="BY37" i="41"/>
  <c r="BZ37" i="41" s="1"/>
  <c r="CA37" i="41" s="1"/>
  <c r="AS41" i="41"/>
  <c r="AT41" i="41" s="1"/>
  <c r="AU41" i="41" s="1"/>
  <c r="AL32" i="41"/>
  <c r="J33" i="30"/>
  <c r="O33" i="30" s="1"/>
  <c r="AL32" i="37"/>
  <c r="AL31" i="37" s="1"/>
  <c r="AR24" i="37" s="1"/>
  <c r="S7" i="37" s="1"/>
  <c r="AK31" i="37"/>
  <c r="AR23" i="37" s="1"/>
  <c r="Q7" i="37" s="1"/>
  <c r="AC33" i="41"/>
  <c r="AD33" i="41" s="1"/>
  <c r="AE33" i="41" s="1"/>
  <c r="BY32" i="37"/>
  <c r="BZ32" i="37" s="1"/>
  <c r="AS41" i="37"/>
  <c r="AT41" i="37" s="1"/>
  <c r="AU41" i="37" s="1"/>
  <c r="AC40" i="41"/>
  <c r="AD40" i="41" s="1"/>
  <c r="AE40" i="41" s="1"/>
  <c r="BI38" i="37"/>
  <c r="BJ38" i="37" s="1"/>
  <c r="BK38" i="37" s="1"/>
  <c r="AC36" i="41"/>
  <c r="AD36" i="41" s="1"/>
  <c r="AE36" i="41" s="1"/>
  <c r="M37" i="41"/>
  <c r="N37" i="41" s="1"/>
  <c r="O37" i="41" s="1"/>
  <c r="M39" i="41"/>
  <c r="N39" i="41" s="1"/>
  <c r="O39" i="41" s="1"/>
  <c r="AS37" i="41"/>
  <c r="AT37" i="41" s="1"/>
  <c r="AU37" i="41" s="1"/>
  <c r="AS43" i="37"/>
  <c r="AT43" i="37" s="1"/>
  <c r="AU43" i="37" s="1"/>
  <c r="AS34" i="41"/>
  <c r="AT34" i="41" s="1"/>
  <c r="AU34" i="41" s="1"/>
  <c r="AC41" i="41"/>
  <c r="AD41" i="41" s="1"/>
  <c r="AE41" i="41" s="1"/>
  <c r="M35" i="41"/>
  <c r="AS33" i="37"/>
  <c r="AT33" i="37" s="1"/>
  <c r="AU33" i="37" s="1"/>
  <c r="AC37" i="41"/>
  <c r="AD37" i="41" s="1"/>
  <c r="AE37" i="41" s="1"/>
  <c r="AC42" i="37"/>
  <c r="AD42" i="37" s="1"/>
  <c r="AE42" i="37" s="1"/>
  <c r="BY32" i="41"/>
  <c r="BZ32" i="41" s="1"/>
  <c r="AS42" i="37"/>
  <c r="AT42" i="37" s="1"/>
  <c r="AU42" i="37" s="1"/>
  <c r="BY35" i="37"/>
  <c r="BI34" i="37"/>
  <c r="BJ34" i="37" s="1"/>
  <c r="BK34" i="37" s="1"/>
  <c r="AC40" i="37"/>
  <c r="AD40" i="37" s="1"/>
  <c r="AE40" i="37" s="1"/>
  <c r="AS39" i="41"/>
  <c r="AT39" i="41" s="1"/>
  <c r="AU39" i="41" s="1"/>
  <c r="AS43" i="41"/>
  <c r="AT43" i="41" s="1"/>
  <c r="AU43" i="41" s="1"/>
  <c r="AS37" i="37"/>
  <c r="AT37" i="37" s="1"/>
  <c r="AU37" i="37" s="1"/>
  <c r="AC34" i="37"/>
  <c r="AD34" i="37" s="1"/>
  <c r="AE34" i="37" s="1"/>
  <c r="BY36" i="41"/>
  <c r="BZ36" i="41" s="1"/>
  <c r="CA36" i="41" s="1"/>
  <c r="AS36" i="37"/>
  <c r="AT36" i="37" s="1"/>
  <c r="AU36" i="37" s="1"/>
  <c r="AS33" i="41"/>
  <c r="AT33" i="41" s="1"/>
  <c r="AU33" i="41" s="1"/>
  <c r="BY38" i="37"/>
  <c r="BZ38" i="37" s="1"/>
  <c r="CA38" i="37" s="1"/>
  <c r="BI41" i="41"/>
  <c r="BJ41" i="41" s="1"/>
  <c r="BK41" i="41" s="1"/>
  <c r="J33" i="37"/>
  <c r="K33" i="37" s="1"/>
  <c r="J41" i="37"/>
  <c r="K41" i="37" s="1"/>
  <c r="J43" i="37"/>
  <c r="K43" i="37" s="1"/>
  <c r="J32" i="37"/>
  <c r="K32" i="37" s="1"/>
  <c r="J34" i="37"/>
  <c r="K34" i="37" s="1"/>
  <c r="J37" i="37"/>
  <c r="K37" i="37" s="1"/>
  <c r="J38" i="37"/>
  <c r="K38" i="37" s="1"/>
  <c r="J40" i="37"/>
  <c r="J35" i="37"/>
  <c r="K35" i="37" s="1"/>
  <c r="J39" i="37"/>
  <c r="K39" i="37" s="1"/>
  <c r="C32" i="37"/>
  <c r="J36" i="37"/>
  <c r="K36" i="37" s="1"/>
  <c r="J42" i="37"/>
  <c r="K42" i="37" s="1"/>
  <c r="K40" i="37"/>
  <c r="B35" i="37"/>
  <c r="C35" i="37" s="1"/>
  <c r="B51" i="37"/>
  <c r="C51" i="37" s="1"/>
  <c r="B67" i="37"/>
  <c r="C67" i="37" s="1"/>
  <c r="B53" i="37"/>
  <c r="C53" i="37" s="1"/>
  <c r="B70" i="37"/>
  <c r="C70" i="37" s="1"/>
  <c r="B39" i="37"/>
  <c r="C39" i="37" s="1"/>
  <c r="B56" i="37"/>
  <c r="C56" i="37" s="1"/>
  <c r="B73" i="37"/>
  <c r="C73" i="37" s="1"/>
  <c r="B61" i="37"/>
  <c r="C61" i="37" s="1"/>
  <c r="B63" i="37"/>
  <c r="C63" i="37" s="1"/>
  <c r="B79" i="37"/>
  <c r="C79" i="37" s="1"/>
  <c r="B80" i="37"/>
  <c r="C80" i="37" s="1"/>
  <c r="B65" i="37"/>
  <c r="C65" i="37" s="1"/>
  <c r="B36" i="37"/>
  <c r="C36" i="37" s="1"/>
  <c r="B52" i="37"/>
  <c r="C52" i="37" s="1"/>
  <c r="B68" i="37"/>
  <c r="C68" i="37" s="1"/>
  <c r="B69" i="37"/>
  <c r="B38" i="37"/>
  <c r="C38" i="37" s="1"/>
  <c r="B55" i="37"/>
  <c r="C55" i="37" s="1"/>
  <c r="B72" i="37"/>
  <c r="B41" i="37"/>
  <c r="C41" i="37" s="1"/>
  <c r="B62" i="37"/>
  <c r="C62" i="37" s="1"/>
  <c r="B64" i="37"/>
  <c r="C64" i="37" s="1"/>
  <c r="B33" i="37"/>
  <c r="C33" i="37" s="1"/>
  <c r="B42" i="37"/>
  <c r="C42" i="37" s="1"/>
  <c r="B58" i="37"/>
  <c r="B74" i="37"/>
  <c r="C74" i="37" s="1"/>
  <c r="B43" i="37"/>
  <c r="C43" i="37" s="1"/>
  <c r="B59" i="37"/>
  <c r="B75" i="37"/>
  <c r="B44" i="37"/>
  <c r="B60" i="37"/>
  <c r="C60" i="37" s="1"/>
  <c r="B76" i="37"/>
  <c r="C76" i="37" s="1"/>
  <c r="B45" i="37"/>
  <c r="C45" i="37" s="1"/>
  <c r="B46" i="37"/>
  <c r="C46" i="37" s="1"/>
  <c r="B47" i="37"/>
  <c r="C47" i="37" s="1"/>
  <c r="B48" i="37"/>
  <c r="C48" i="37" s="1"/>
  <c r="B49" i="37"/>
  <c r="C49" i="37" s="1"/>
  <c r="B34" i="37"/>
  <c r="C34" i="37" s="1"/>
  <c r="B50" i="37"/>
  <c r="C50" i="37" s="1"/>
  <c r="B66" i="37"/>
  <c r="C66" i="37" s="1"/>
  <c r="B32" i="37"/>
  <c r="B37" i="37"/>
  <c r="C37" i="37" s="1"/>
  <c r="B54" i="37"/>
  <c r="C54" i="37" s="1"/>
  <c r="B71" i="37"/>
  <c r="B40" i="37"/>
  <c r="C40" i="37" s="1"/>
  <c r="B57" i="37"/>
  <c r="C57" i="37" s="1"/>
  <c r="B77" i="37"/>
  <c r="C77" i="37" s="1"/>
  <c r="B78" i="37"/>
  <c r="C78" i="37" s="1"/>
  <c r="B81" i="37"/>
  <c r="C81" i="37" s="1"/>
  <c r="H22" i="25"/>
  <c r="L8" i="25" s="1"/>
  <c r="J15" i="30" s="1"/>
  <c r="I22" i="25"/>
  <c r="L9" i="25" s="1"/>
  <c r="L38" i="20"/>
  <c r="M38" i="20" s="1"/>
  <c r="O38" i="20" s="1"/>
  <c r="L56" i="20"/>
  <c r="M56" i="20" s="1"/>
  <c r="O56" i="20" s="1"/>
  <c r="L109" i="20"/>
  <c r="M109" i="20" s="1"/>
  <c r="O109" i="20" s="1"/>
  <c r="L30" i="20"/>
  <c r="M30" i="20" s="1"/>
  <c r="O30" i="20" s="1"/>
  <c r="L36" i="20"/>
  <c r="M36" i="20" s="1"/>
  <c r="O36" i="20" s="1"/>
  <c r="L122" i="20"/>
  <c r="M122" i="20" s="1"/>
  <c r="O122" i="20" s="1"/>
  <c r="L88" i="20"/>
  <c r="M88" i="20" s="1"/>
  <c r="O88" i="20" s="1"/>
  <c r="L97" i="20"/>
  <c r="M97" i="20" s="1"/>
  <c r="O97" i="20" s="1"/>
  <c r="L77" i="20"/>
  <c r="M77" i="20" s="1"/>
  <c r="O77" i="20" s="1"/>
  <c r="L61" i="20"/>
  <c r="M61" i="20" s="1"/>
  <c r="O61" i="20" s="1"/>
  <c r="L84" i="20"/>
  <c r="M84" i="20" s="1"/>
  <c r="O84" i="20" s="1"/>
  <c r="L39" i="20"/>
  <c r="M39" i="20" s="1"/>
  <c r="O39" i="20" s="1"/>
  <c r="L119" i="20"/>
  <c r="M119" i="20" s="1"/>
  <c r="O119" i="20" s="1"/>
  <c r="L51" i="20"/>
  <c r="M51" i="20" s="1"/>
  <c r="O51" i="20" s="1"/>
  <c r="L57" i="20"/>
  <c r="M57" i="20" s="1"/>
  <c r="O57" i="20" s="1"/>
  <c r="L44" i="20"/>
  <c r="M44" i="20" s="1"/>
  <c r="O44" i="20" s="1"/>
  <c r="L72" i="20"/>
  <c r="M72" i="20" s="1"/>
  <c r="O72" i="20" s="1"/>
  <c r="L42" i="20"/>
  <c r="M42" i="20" s="1"/>
  <c r="O42" i="20" s="1"/>
  <c r="L78" i="20"/>
  <c r="M78" i="20" s="1"/>
  <c r="O78" i="20" s="1"/>
  <c r="L73" i="20"/>
  <c r="M73" i="20" s="1"/>
  <c r="O73" i="20" s="1"/>
  <c r="L105" i="20"/>
  <c r="M105" i="20" s="1"/>
  <c r="O105" i="20" s="1"/>
  <c r="L34" i="20"/>
  <c r="M34" i="20" s="1"/>
  <c r="O34" i="20" s="1"/>
  <c r="L41" i="20"/>
  <c r="M41" i="20" s="1"/>
  <c r="O41" i="20" s="1"/>
  <c r="L100" i="20"/>
  <c r="M100" i="20" s="1"/>
  <c r="O100" i="20" s="1"/>
  <c r="L117" i="20"/>
  <c r="M117" i="20" s="1"/>
  <c r="O117" i="20" s="1"/>
  <c r="L55" i="20"/>
  <c r="M55" i="20" s="1"/>
  <c r="O55" i="20" s="1"/>
  <c r="L128" i="20"/>
  <c r="M128" i="20" s="1"/>
  <c r="O128" i="20" s="1"/>
  <c r="L98" i="20"/>
  <c r="M98" i="20" s="1"/>
  <c r="O98" i="20" s="1"/>
  <c r="L74" i="20"/>
  <c r="M74" i="20" s="1"/>
  <c r="O74" i="20" s="1"/>
  <c r="L114" i="20"/>
  <c r="M114" i="20" s="1"/>
  <c r="O114" i="20" s="1"/>
  <c r="L82" i="20"/>
  <c r="M82" i="20" s="1"/>
  <c r="O82" i="20" s="1"/>
  <c r="L67" i="20"/>
  <c r="M67" i="20" s="1"/>
  <c r="O67" i="20" s="1"/>
  <c r="L66" i="20"/>
  <c r="M66" i="20" s="1"/>
  <c r="O66" i="20" s="1"/>
  <c r="L65" i="20"/>
  <c r="M65" i="20" s="1"/>
  <c r="O65" i="20" s="1"/>
  <c r="L121" i="20"/>
  <c r="M121" i="20" s="1"/>
  <c r="O121" i="20" s="1"/>
  <c r="L102" i="20"/>
  <c r="M102" i="20" s="1"/>
  <c r="O102" i="20" s="1"/>
  <c r="L94" i="20"/>
  <c r="M94" i="20" s="1"/>
  <c r="O94" i="20" s="1"/>
  <c r="L79" i="20"/>
  <c r="M79" i="20" s="1"/>
  <c r="O79" i="20" s="1"/>
  <c r="L69" i="20"/>
  <c r="M69" i="20" s="1"/>
  <c r="O69" i="20" s="1"/>
  <c r="L107" i="20"/>
  <c r="M107" i="20" s="1"/>
  <c r="O107" i="20" s="1"/>
  <c r="L48" i="20"/>
  <c r="M48" i="20" s="1"/>
  <c r="O48" i="20" s="1"/>
  <c r="L127" i="20"/>
  <c r="M127" i="20" s="1"/>
  <c r="O127" i="20" s="1"/>
  <c r="L99" i="20"/>
  <c r="M99" i="20" s="1"/>
  <c r="O99" i="20" s="1"/>
  <c r="L120" i="20"/>
  <c r="M120" i="20" s="1"/>
  <c r="O120" i="20" s="1"/>
  <c r="L86" i="20"/>
  <c r="M86" i="20" s="1"/>
  <c r="O86" i="20" s="1"/>
  <c r="L101" i="20"/>
  <c r="M101" i="20" s="1"/>
  <c r="O101" i="20" s="1"/>
  <c r="L62" i="20"/>
  <c r="M62" i="20" s="1"/>
  <c r="O62" i="20" s="1"/>
  <c r="L54" i="20"/>
  <c r="M54" i="20" s="1"/>
  <c r="O54" i="20" s="1"/>
  <c r="L43" i="20"/>
  <c r="M43" i="20" s="1"/>
  <c r="O43" i="20" s="1"/>
  <c r="L113" i="20"/>
  <c r="M113" i="20" s="1"/>
  <c r="O113" i="20" s="1"/>
  <c r="L125" i="20"/>
  <c r="M125" i="20" s="1"/>
  <c r="O125" i="20" s="1"/>
  <c r="L123" i="20"/>
  <c r="M123" i="20" s="1"/>
  <c r="O123" i="20" s="1"/>
  <c r="L112" i="20"/>
  <c r="M112" i="20" s="1"/>
  <c r="O112" i="20" s="1"/>
  <c r="L58" i="20"/>
  <c r="M58" i="20" s="1"/>
  <c r="O58" i="20" s="1"/>
  <c r="L31" i="20"/>
  <c r="M31" i="20" s="1"/>
  <c r="O31" i="20" s="1"/>
  <c r="L59" i="20"/>
  <c r="M59" i="20" s="1"/>
  <c r="O59" i="20" s="1"/>
  <c r="L93" i="20"/>
  <c r="M93" i="20" s="1"/>
  <c r="O93" i="20" s="1"/>
  <c r="L60" i="20"/>
  <c r="M60" i="20" s="1"/>
  <c r="O60" i="20" s="1"/>
  <c r="L32" i="20"/>
  <c r="M32" i="20" s="1"/>
  <c r="O32" i="20" s="1"/>
  <c r="L110" i="20"/>
  <c r="M110" i="20" s="1"/>
  <c r="O110" i="20" s="1"/>
  <c r="L126" i="20"/>
  <c r="M126" i="20" s="1"/>
  <c r="O126" i="20" s="1"/>
  <c r="L106" i="20"/>
  <c r="M106" i="20" s="1"/>
  <c r="O106" i="20" s="1"/>
  <c r="L64" i="20"/>
  <c r="M64" i="20" s="1"/>
  <c r="O64" i="20" s="1"/>
  <c r="L53" i="20"/>
  <c r="M53" i="20" s="1"/>
  <c r="O53" i="20" s="1"/>
  <c r="L71" i="20"/>
  <c r="M71" i="20" s="1"/>
  <c r="O71" i="20" s="1"/>
  <c r="L70" i="20"/>
  <c r="M70" i="20" s="1"/>
  <c r="O70" i="20" s="1"/>
  <c r="L91" i="20"/>
  <c r="M91" i="20" s="1"/>
  <c r="O91" i="20" s="1"/>
  <c r="L45" i="20"/>
  <c r="M45" i="20" s="1"/>
  <c r="O45" i="20" s="1"/>
  <c r="L85" i="20"/>
  <c r="M85" i="20" s="1"/>
  <c r="O85" i="20" s="1"/>
  <c r="L76" i="20"/>
  <c r="M76" i="20" s="1"/>
  <c r="O76" i="20" s="1"/>
  <c r="L104" i="20"/>
  <c r="M104" i="20" s="1"/>
  <c r="O104" i="20" s="1"/>
  <c r="L49" i="20"/>
  <c r="M49" i="20" s="1"/>
  <c r="O49" i="20" s="1"/>
  <c r="L52" i="20"/>
  <c r="M52" i="20" s="1"/>
  <c r="O52" i="20" s="1"/>
  <c r="L103" i="20"/>
  <c r="M103" i="20" s="1"/>
  <c r="O103" i="20" s="1"/>
  <c r="L90" i="20"/>
  <c r="M90" i="20" s="1"/>
  <c r="O90" i="20" s="1"/>
  <c r="L35" i="20"/>
  <c r="M35" i="20" s="1"/>
  <c r="O35" i="20" s="1"/>
  <c r="L75" i="20"/>
  <c r="M75" i="20" s="1"/>
  <c r="O75" i="20" s="1"/>
  <c r="L29" i="20"/>
  <c r="M29" i="20" s="1"/>
  <c r="L80" i="20"/>
  <c r="M80" i="20" s="1"/>
  <c r="O80" i="20" s="1"/>
  <c r="L46" i="20"/>
  <c r="M46" i="20" s="1"/>
  <c r="O46" i="20" s="1"/>
  <c r="L124" i="20"/>
  <c r="M124" i="20" s="1"/>
  <c r="O124" i="20" s="1"/>
  <c r="L95" i="20"/>
  <c r="M95" i="20" s="1"/>
  <c r="O95" i="20" s="1"/>
  <c r="L50" i="20"/>
  <c r="M50" i="20" s="1"/>
  <c r="O50" i="20" s="1"/>
  <c r="L37" i="20"/>
  <c r="M37" i="20" s="1"/>
  <c r="O37" i="20" s="1"/>
  <c r="L96" i="20"/>
  <c r="M96" i="20" s="1"/>
  <c r="O96" i="20" s="1"/>
  <c r="L115" i="20"/>
  <c r="M115" i="20" s="1"/>
  <c r="O115" i="20" s="1"/>
  <c r="L83" i="20"/>
  <c r="M83" i="20" s="1"/>
  <c r="O83" i="20" s="1"/>
  <c r="L89" i="20"/>
  <c r="M89" i="20" s="1"/>
  <c r="O89" i="20" s="1"/>
  <c r="L108" i="20"/>
  <c r="M108" i="20" s="1"/>
  <c r="O108" i="20" s="1"/>
  <c r="L111" i="20"/>
  <c r="M111" i="20" s="1"/>
  <c r="O111" i="20" s="1"/>
  <c r="L118" i="20"/>
  <c r="M118" i="20" s="1"/>
  <c r="O118" i="20" s="1"/>
  <c r="L116" i="20"/>
  <c r="M116" i="20" s="1"/>
  <c r="O116" i="20" s="1"/>
  <c r="L40" i="20"/>
  <c r="M40" i="20" s="1"/>
  <c r="O40" i="20" s="1"/>
  <c r="L47" i="20"/>
  <c r="M47" i="20" s="1"/>
  <c r="O47" i="20" s="1"/>
  <c r="L33" i="20"/>
  <c r="M33" i="20" s="1"/>
  <c r="O33" i="20" s="1"/>
  <c r="G26" i="37"/>
  <c r="O68" i="20"/>
  <c r="O81" i="20"/>
  <c r="E71" i="20"/>
  <c r="G71" i="20" s="1"/>
  <c r="E65" i="20"/>
  <c r="G65" i="20" s="1"/>
  <c r="E61" i="20"/>
  <c r="G61" i="20" s="1"/>
  <c r="E35" i="20"/>
  <c r="G35" i="20" s="1"/>
  <c r="E68" i="20"/>
  <c r="G68" i="20" s="1"/>
  <c r="E31" i="20"/>
  <c r="G31" i="20" s="1"/>
  <c r="E30" i="20"/>
  <c r="G30" i="20" s="1"/>
  <c r="E70" i="20"/>
  <c r="G70" i="20" s="1"/>
  <c r="E53" i="20"/>
  <c r="G53" i="20" s="1"/>
  <c r="E47" i="20"/>
  <c r="G47" i="20" s="1"/>
  <c r="E73" i="20"/>
  <c r="G73" i="20" s="1"/>
  <c r="E46" i="20"/>
  <c r="G46" i="20" s="1"/>
  <c r="E59" i="20"/>
  <c r="G59" i="20" s="1"/>
  <c r="E58" i="20"/>
  <c r="G58" i="20" s="1"/>
  <c r="E75" i="20"/>
  <c r="G75" i="20" s="1"/>
  <c r="E32" i="20"/>
  <c r="G32" i="20" s="1"/>
  <c r="E72" i="20"/>
  <c r="G72" i="20" s="1"/>
  <c r="E77" i="20"/>
  <c r="G77" i="20" s="1"/>
  <c r="E52" i="20"/>
  <c r="G52" i="20" s="1"/>
  <c r="E60" i="20"/>
  <c r="G60" i="20" s="1"/>
  <c r="E41" i="20"/>
  <c r="G41" i="20" s="1"/>
  <c r="E63" i="20"/>
  <c r="G63" i="20" s="1"/>
  <c r="E67" i="20"/>
  <c r="G67" i="20" s="1"/>
  <c r="E51" i="20"/>
  <c r="G51" i="20" s="1"/>
  <c r="E36" i="20"/>
  <c r="G36" i="20" s="1"/>
  <c r="E62" i="20"/>
  <c r="G62" i="20" s="1"/>
  <c r="E37" i="20"/>
  <c r="G37" i="20" s="1"/>
  <c r="E44" i="20"/>
  <c r="G44" i="20" s="1"/>
  <c r="E57" i="20"/>
  <c r="G57" i="20" s="1"/>
  <c r="E74" i="20"/>
  <c r="G74" i="20" s="1"/>
  <c r="E39" i="20"/>
  <c r="G39" i="20" s="1"/>
  <c r="E33" i="20"/>
  <c r="G33" i="20" s="1"/>
  <c r="E56" i="20"/>
  <c r="G56" i="20" s="1"/>
  <c r="E78" i="20"/>
  <c r="G78" i="20" s="1"/>
  <c r="E40" i="20"/>
  <c r="G40" i="20" s="1"/>
  <c r="E45" i="20"/>
  <c r="G45" i="20" s="1"/>
  <c r="E54" i="20"/>
  <c r="G54" i="20" s="1"/>
  <c r="E38" i="20"/>
  <c r="G38" i="20" s="1"/>
  <c r="E42" i="20"/>
  <c r="G42" i="20" s="1"/>
  <c r="E69" i="20"/>
  <c r="G69" i="20" s="1"/>
  <c r="E76" i="20"/>
  <c r="G76" i="20" s="1"/>
  <c r="E55" i="20"/>
  <c r="G55" i="20" s="1"/>
  <c r="E43" i="20"/>
  <c r="G43" i="20" s="1"/>
  <c r="E48" i="20"/>
  <c r="G48" i="20" s="1"/>
  <c r="E50" i="20"/>
  <c r="G50" i="20" s="1"/>
  <c r="G34" i="20"/>
  <c r="G64" i="20"/>
  <c r="G66" i="20"/>
  <c r="G49" i="20"/>
  <c r="G29" i="20"/>
  <c r="E23" i="44" l="1"/>
  <c r="G23" i="44" s="1"/>
  <c r="D23" i="44"/>
  <c r="DE37" i="42"/>
  <c r="DF37" i="42" s="1"/>
  <c r="DG37" i="42" s="1"/>
  <c r="DD37" i="42"/>
  <c r="L42" i="37"/>
  <c r="M42" i="37" s="1"/>
  <c r="N42" i="37" s="1"/>
  <c r="O42" i="37" s="1"/>
  <c r="BI42" i="41"/>
  <c r="BJ42" i="41" s="1"/>
  <c r="BK42" i="41" s="1"/>
  <c r="BI37" i="41"/>
  <c r="BJ37" i="41" s="1"/>
  <c r="BK37" i="41" s="1"/>
  <c r="BH37" i="41"/>
  <c r="M35" i="37"/>
  <c r="N35" i="37" s="1"/>
  <c r="O35" i="37" s="1"/>
  <c r="L35" i="37"/>
  <c r="BX33" i="41"/>
  <c r="BY33" i="41" s="1"/>
  <c r="BZ33" i="41" s="1"/>
  <c r="L41" i="37"/>
  <c r="M41" i="37" s="1"/>
  <c r="N41" i="37" s="1"/>
  <c r="O41" i="37" s="1"/>
  <c r="BI36" i="41"/>
  <c r="BJ36" i="41" s="1"/>
  <c r="BK36" i="41" s="1"/>
  <c r="U52" i="41"/>
  <c r="V52" i="41" s="1"/>
  <c r="U64" i="41"/>
  <c r="V64" i="41" s="1"/>
  <c r="U50" i="41"/>
  <c r="V50" i="41" s="1"/>
  <c r="DU34" i="42"/>
  <c r="DV34" i="42" s="1"/>
  <c r="DW34" i="42" s="1"/>
  <c r="DT34" i="42"/>
  <c r="DE32" i="42"/>
  <c r="DF32" i="42" s="1"/>
  <c r="DG32" i="42" s="1"/>
  <c r="DG31" i="42" s="1"/>
  <c r="DE24" i="42" s="1"/>
  <c r="T11" i="42" s="1"/>
  <c r="L30" i="30" s="1"/>
  <c r="DD32" i="42"/>
  <c r="DE35" i="42"/>
  <c r="DD35" i="42"/>
  <c r="DE38" i="42"/>
  <c r="DF38" i="42" s="1"/>
  <c r="DG38" i="42" s="1"/>
  <c r="DD38" i="42"/>
  <c r="BY43" i="42"/>
  <c r="BZ43" i="42" s="1"/>
  <c r="CA43" i="42" s="1"/>
  <c r="BX43" i="42"/>
  <c r="CO32" i="42"/>
  <c r="CP32" i="42" s="1"/>
  <c r="L39" i="37"/>
  <c r="M39" i="37" s="1"/>
  <c r="N39" i="37" s="1"/>
  <c r="O39" i="37" s="1"/>
  <c r="AC35" i="41"/>
  <c r="CO37" i="42"/>
  <c r="CP37" i="42" s="1"/>
  <c r="CQ37" i="42" s="1"/>
  <c r="DU35" i="42"/>
  <c r="DT35" i="42"/>
  <c r="BY42" i="42"/>
  <c r="BZ42" i="42" s="1"/>
  <c r="CA42" i="42" s="1"/>
  <c r="BX42" i="42"/>
  <c r="BY36" i="42"/>
  <c r="BZ36" i="42" s="1"/>
  <c r="CA36" i="42" s="1"/>
  <c r="L33" i="37"/>
  <c r="M33" i="37" s="1"/>
  <c r="N33" i="37" s="1"/>
  <c r="O33" i="37" s="1"/>
  <c r="M38" i="41"/>
  <c r="N38" i="41" s="1"/>
  <c r="O38" i="41" s="1"/>
  <c r="L38" i="41"/>
  <c r="DU37" i="42"/>
  <c r="DV37" i="42" s="1"/>
  <c r="DW37" i="42" s="1"/>
  <c r="DT37" i="42"/>
  <c r="DE33" i="42"/>
  <c r="DF33" i="42" s="1"/>
  <c r="DG33" i="42" s="1"/>
  <c r="DD33" i="42"/>
  <c r="L32" i="41"/>
  <c r="M32" i="41" s="1"/>
  <c r="N32" i="41" s="1"/>
  <c r="M38" i="37"/>
  <c r="N38" i="37" s="1"/>
  <c r="O38" i="37" s="1"/>
  <c r="L38" i="37"/>
  <c r="BI38" i="41"/>
  <c r="BJ38" i="41" s="1"/>
  <c r="BK38" i="41" s="1"/>
  <c r="BH38" i="41"/>
  <c r="CO35" i="42"/>
  <c r="CN35" i="42"/>
  <c r="DU38" i="42"/>
  <c r="DV38" i="42" s="1"/>
  <c r="DW38" i="42" s="1"/>
  <c r="DT38" i="42"/>
  <c r="M34" i="37"/>
  <c r="L34" i="37"/>
  <c r="BY35" i="41"/>
  <c r="CN33" i="42"/>
  <c r="CO33" i="42" s="1"/>
  <c r="CP33" i="42" s="1"/>
  <c r="CW46" i="42"/>
  <c r="CX46" i="42" s="1"/>
  <c r="BY39" i="42"/>
  <c r="BZ39" i="42" s="1"/>
  <c r="CA39" i="42" s="1"/>
  <c r="BX39" i="42"/>
  <c r="BY34" i="42"/>
  <c r="BZ34" i="42" s="1"/>
  <c r="CA34" i="42" s="1"/>
  <c r="BX34" i="42"/>
  <c r="L40" i="37"/>
  <c r="M40" i="37" s="1"/>
  <c r="N40" i="37" s="1"/>
  <c r="O40" i="37" s="1"/>
  <c r="L36" i="37"/>
  <c r="M36" i="37" s="1"/>
  <c r="N36" i="37" s="1"/>
  <c r="O36" i="37" s="1"/>
  <c r="DU33" i="42"/>
  <c r="DV33" i="42" s="1"/>
  <c r="DW33" i="42" s="1"/>
  <c r="DT33" i="42"/>
  <c r="BY37" i="42"/>
  <c r="BZ37" i="42" s="1"/>
  <c r="CA37" i="42" s="1"/>
  <c r="BX37" i="42"/>
  <c r="BI34" i="41"/>
  <c r="BJ34" i="41" s="1"/>
  <c r="BK34" i="41" s="1"/>
  <c r="BY42" i="41"/>
  <c r="BZ42" i="41" s="1"/>
  <c r="CA42" i="41" s="1"/>
  <c r="BX42" i="41"/>
  <c r="L41" i="41"/>
  <c r="M41" i="41" s="1"/>
  <c r="N41" i="41" s="1"/>
  <c r="O41" i="41" s="1"/>
  <c r="BY39" i="41"/>
  <c r="BZ39" i="41" s="1"/>
  <c r="CA39" i="41" s="1"/>
  <c r="BX39" i="41"/>
  <c r="AC43" i="41"/>
  <c r="AD43" i="41" s="1"/>
  <c r="AE43" i="41" s="1"/>
  <c r="M37" i="37"/>
  <c r="N37" i="37" s="1"/>
  <c r="O37" i="37" s="1"/>
  <c r="L37" i="37"/>
  <c r="CO38" i="42"/>
  <c r="CP38" i="42" s="1"/>
  <c r="CQ38" i="42" s="1"/>
  <c r="BI40" i="42"/>
  <c r="BJ40" i="42" s="1"/>
  <c r="BK40" i="42" s="1"/>
  <c r="BH40" i="42"/>
  <c r="DE39" i="42"/>
  <c r="DF39" i="42" s="1"/>
  <c r="DG39" i="42" s="1"/>
  <c r="DD39" i="42"/>
  <c r="L32" i="37"/>
  <c r="M32" i="37" s="1"/>
  <c r="N32" i="37" s="1"/>
  <c r="O32" i="37" s="1"/>
  <c r="BY43" i="41"/>
  <c r="BZ43" i="41" s="1"/>
  <c r="CA43" i="41" s="1"/>
  <c r="AC42" i="41"/>
  <c r="AD42" i="41" s="1"/>
  <c r="AE42" i="41" s="1"/>
  <c r="CO39" i="42"/>
  <c r="CP39" i="42" s="1"/>
  <c r="CQ39" i="42" s="1"/>
  <c r="CO36" i="42"/>
  <c r="CP36" i="42" s="1"/>
  <c r="CQ36" i="42" s="1"/>
  <c r="CN36" i="42"/>
  <c r="DU41" i="42"/>
  <c r="DV41" i="42" s="1"/>
  <c r="DW41" i="42" s="1"/>
  <c r="DT41" i="42"/>
  <c r="DU39" i="42"/>
  <c r="DV39" i="42" s="1"/>
  <c r="DW39" i="42" s="1"/>
  <c r="DT39" i="42"/>
  <c r="CW75" i="42"/>
  <c r="CX75" i="42" s="1"/>
  <c r="CW34" i="42"/>
  <c r="CX34" i="42" s="1"/>
  <c r="BI43" i="41"/>
  <c r="BJ43" i="41" s="1"/>
  <c r="BK43" i="41" s="1"/>
  <c r="BH43" i="41"/>
  <c r="BY32" i="42"/>
  <c r="BZ32" i="42" s="1"/>
  <c r="CA32" i="42" s="1"/>
  <c r="BX32" i="42"/>
  <c r="BH34" i="42"/>
  <c r="BI34" i="42" s="1"/>
  <c r="BJ34" i="42" s="1"/>
  <c r="BK34" i="42" s="1"/>
  <c r="BY38" i="41"/>
  <c r="BZ38" i="41" s="1"/>
  <c r="CA38" i="41" s="1"/>
  <c r="BX38" i="41"/>
  <c r="L42" i="41"/>
  <c r="M42" i="41" s="1"/>
  <c r="N42" i="41" s="1"/>
  <c r="O42" i="41" s="1"/>
  <c r="M40" i="41"/>
  <c r="N40" i="41" s="1"/>
  <c r="O40" i="41" s="1"/>
  <c r="BY35" i="42"/>
  <c r="BX35" i="42"/>
  <c r="BX33" i="42"/>
  <c r="BY33" i="42" s="1"/>
  <c r="BZ33" i="42" s="1"/>
  <c r="CA33" i="42" s="1"/>
  <c r="L33" i="41"/>
  <c r="M33" i="41" s="1"/>
  <c r="N33" i="41" s="1"/>
  <c r="O33" i="41" s="1"/>
  <c r="CO41" i="42"/>
  <c r="CP41" i="42" s="1"/>
  <c r="CQ41" i="42" s="1"/>
  <c r="CN41" i="42"/>
  <c r="DE43" i="42"/>
  <c r="DF43" i="42" s="1"/>
  <c r="DG43" i="42" s="1"/>
  <c r="DD43" i="42"/>
  <c r="CO43" i="42"/>
  <c r="CP43" i="42" s="1"/>
  <c r="CQ43" i="42" s="1"/>
  <c r="CN43" i="42"/>
  <c r="DE34" i="42"/>
  <c r="DF34" i="42" s="1"/>
  <c r="DG34" i="42" s="1"/>
  <c r="DD34" i="42"/>
  <c r="BY34" i="41"/>
  <c r="BZ34" i="41" s="1"/>
  <c r="CA34" i="41" s="1"/>
  <c r="M43" i="37"/>
  <c r="N43" i="37" s="1"/>
  <c r="O43" i="37" s="1"/>
  <c r="L43" i="37"/>
  <c r="BI33" i="41"/>
  <c r="BJ33" i="41" s="1"/>
  <c r="BK33" i="41" s="1"/>
  <c r="AC39" i="41"/>
  <c r="AD39" i="41" s="1"/>
  <c r="AE39" i="41" s="1"/>
  <c r="L34" i="41"/>
  <c r="M34" i="41" s="1"/>
  <c r="N34" i="41" s="1"/>
  <c r="O34" i="41" s="1"/>
  <c r="U38" i="41"/>
  <c r="V38" i="41" s="1"/>
  <c r="U72" i="41"/>
  <c r="V72" i="41" s="1"/>
  <c r="U57" i="41"/>
  <c r="V57" i="41" s="1"/>
  <c r="CW77" i="42"/>
  <c r="CX77" i="42" s="1"/>
  <c r="CW76" i="42"/>
  <c r="CX76" i="42" s="1"/>
  <c r="CW32" i="42"/>
  <c r="CX32" i="42" s="1"/>
  <c r="BX40" i="41"/>
  <c r="BY40" i="41" s="1"/>
  <c r="BZ40" i="41" s="1"/>
  <c r="CA40" i="41" s="1"/>
  <c r="BY41" i="42"/>
  <c r="BZ41" i="42" s="1"/>
  <c r="CA41" i="42" s="1"/>
  <c r="BX41" i="42"/>
  <c r="N39" i="43"/>
  <c r="D15" i="43" s="1"/>
  <c r="I15" i="43" s="1"/>
  <c r="O40" i="43"/>
  <c r="O39" i="43" s="1"/>
  <c r="BA31" i="41"/>
  <c r="BH23" i="41" s="1"/>
  <c r="Q8" i="41" s="1"/>
  <c r="I23" i="30" s="1"/>
  <c r="BI32" i="41"/>
  <c r="BJ32" i="41" s="1"/>
  <c r="BK32" i="41" s="1"/>
  <c r="CW66" i="42"/>
  <c r="CX66" i="42" s="1"/>
  <c r="CW60" i="42"/>
  <c r="CX60" i="42" s="1"/>
  <c r="U49" i="41"/>
  <c r="V49" i="41" s="1"/>
  <c r="U41" i="41"/>
  <c r="V41" i="41" s="1"/>
  <c r="CW74" i="42"/>
  <c r="CX74" i="42" s="1"/>
  <c r="EM31" i="42"/>
  <c r="EK24" i="42" s="1"/>
  <c r="T13" i="42" s="1"/>
  <c r="L32" i="30" s="1"/>
  <c r="CW42" i="42"/>
  <c r="CX42" i="42" s="1"/>
  <c r="DE36" i="42"/>
  <c r="DF36" i="42" s="1"/>
  <c r="DG36" i="42" s="1"/>
  <c r="BY38" i="42"/>
  <c r="BZ38" i="42" s="1"/>
  <c r="CA38" i="42" s="1"/>
  <c r="CW43" i="42"/>
  <c r="CX43" i="42" s="1"/>
  <c r="CW51" i="42"/>
  <c r="CX51" i="42" s="1"/>
  <c r="EL31" i="42"/>
  <c r="EK23" i="42" s="1"/>
  <c r="R13" i="42" s="1"/>
  <c r="J32" i="30" s="1"/>
  <c r="DE40" i="42"/>
  <c r="DF40" i="42" s="1"/>
  <c r="DG40" i="42" s="1"/>
  <c r="DU42" i="42"/>
  <c r="DV42" i="42" s="1"/>
  <c r="DW42" i="42" s="1"/>
  <c r="DU36" i="42"/>
  <c r="DV36" i="42" s="1"/>
  <c r="DW36" i="42" s="1"/>
  <c r="DU43" i="42"/>
  <c r="DV43" i="42" s="1"/>
  <c r="DW43" i="42" s="1"/>
  <c r="CW71" i="42"/>
  <c r="CX71" i="42" s="1"/>
  <c r="CW57" i="42"/>
  <c r="CX57" i="42" s="1"/>
  <c r="DU40" i="42"/>
  <c r="DV40" i="42" s="1"/>
  <c r="DW40" i="42" s="1"/>
  <c r="CW67" i="42"/>
  <c r="CX67" i="42" s="1"/>
  <c r="CW78" i="42"/>
  <c r="CX78" i="42" s="1"/>
  <c r="BQ31" i="41"/>
  <c r="BX23" i="41" s="1"/>
  <c r="DN32" i="42"/>
  <c r="DN31" i="42" s="1"/>
  <c r="DT24" i="42" s="1"/>
  <c r="DM31" i="42"/>
  <c r="DT23" i="42" s="1"/>
  <c r="CW44" i="42"/>
  <c r="CX44" i="42" s="1"/>
  <c r="CW54" i="42"/>
  <c r="CX54" i="42" s="1"/>
  <c r="DU32" i="42"/>
  <c r="DV32" i="42" s="1"/>
  <c r="BQ31" i="42"/>
  <c r="BX23" i="42" s="1"/>
  <c r="CW49" i="42"/>
  <c r="CX49" i="42" s="1"/>
  <c r="BR31" i="42"/>
  <c r="BX24" i="42" s="1"/>
  <c r="CW80" i="42"/>
  <c r="CX80" i="42" s="1"/>
  <c r="CW72" i="42"/>
  <c r="CX72" i="42" s="1"/>
  <c r="CW38" i="42"/>
  <c r="CX38" i="42" s="1"/>
  <c r="CW35" i="42"/>
  <c r="CX35" i="42" s="1"/>
  <c r="CW61" i="42"/>
  <c r="CX61" i="42" s="1"/>
  <c r="CW62" i="42"/>
  <c r="CX62" i="42" s="1"/>
  <c r="DE42" i="42"/>
  <c r="DF42" i="42" s="1"/>
  <c r="DG42" i="42" s="1"/>
  <c r="CW63" i="42"/>
  <c r="CX63" i="42" s="1"/>
  <c r="CW36" i="42"/>
  <c r="CX36" i="42" s="1"/>
  <c r="CW39" i="42"/>
  <c r="CX39" i="42" s="1"/>
  <c r="ED32" i="42"/>
  <c r="ED31" i="42" s="1"/>
  <c r="EJ24" i="42" s="1"/>
  <c r="EC31" i="42"/>
  <c r="EJ23" i="42" s="1"/>
  <c r="DE41" i="42"/>
  <c r="DF41" i="42" s="1"/>
  <c r="DG41" i="42" s="1"/>
  <c r="U31" i="37"/>
  <c r="AB23" i="37" s="1"/>
  <c r="Q6" i="37" s="1"/>
  <c r="BB32" i="41"/>
  <c r="BB31" i="41" s="1"/>
  <c r="BH24" i="41" s="1"/>
  <c r="S8" i="41" s="1"/>
  <c r="K23" i="30" s="1"/>
  <c r="U32" i="41"/>
  <c r="V32" i="41" s="1"/>
  <c r="U74" i="41"/>
  <c r="V74" i="41" s="1"/>
  <c r="U80" i="41"/>
  <c r="V80" i="41" s="1"/>
  <c r="U33" i="41"/>
  <c r="V33" i="41" s="1"/>
  <c r="BR32" i="41"/>
  <c r="BR31" i="41" s="1"/>
  <c r="BX24" i="41" s="1"/>
  <c r="S9" i="41" s="1"/>
  <c r="K24" i="30" s="1"/>
  <c r="U54" i="41"/>
  <c r="V54" i="41" s="1"/>
  <c r="U75" i="41"/>
  <c r="V75" i="41" s="1"/>
  <c r="U47" i="41"/>
  <c r="V47" i="41" s="1"/>
  <c r="U34" i="41"/>
  <c r="V34" i="41" s="1"/>
  <c r="V31" i="37"/>
  <c r="AB24" i="37" s="1"/>
  <c r="S6" i="37" s="1"/>
  <c r="CO42" i="42"/>
  <c r="CP42" i="42" s="1"/>
  <c r="CQ42" i="42" s="1"/>
  <c r="U43" i="41"/>
  <c r="V43" i="41" s="1"/>
  <c r="U73" i="41"/>
  <c r="V73" i="41" s="1"/>
  <c r="U53" i="41"/>
  <c r="V53" i="41" s="1"/>
  <c r="U46" i="41"/>
  <c r="V46" i="41" s="1"/>
  <c r="U39" i="41"/>
  <c r="V39" i="41" s="1"/>
  <c r="U67" i="41"/>
  <c r="V67" i="41" s="1"/>
  <c r="U35" i="41"/>
  <c r="V35" i="41" s="1"/>
  <c r="U34" i="42"/>
  <c r="V34" i="42" s="1"/>
  <c r="U37" i="42"/>
  <c r="V37" i="42" s="1"/>
  <c r="U64" i="42"/>
  <c r="V64" i="42" s="1"/>
  <c r="U40" i="42"/>
  <c r="V40" i="42" s="1"/>
  <c r="U50" i="42"/>
  <c r="V50" i="42" s="1"/>
  <c r="U59" i="42"/>
  <c r="V59" i="42" s="1"/>
  <c r="U61" i="42"/>
  <c r="V61" i="42" s="1"/>
  <c r="U51" i="42"/>
  <c r="V51" i="42" s="1"/>
  <c r="U42" i="42"/>
  <c r="V42" i="42" s="1"/>
  <c r="U67" i="42"/>
  <c r="V67" i="42" s="1"/>
  <c r="U54" i="42"/>
  <c r="V54" i="42" s="1"/>
  <c r="U62" i="42"/>
  <c r="V62" i="42" s="1"/>
  <c r="U38" i="42"/>
  <c r="V38" i="42" s="1"/>
  <c r="U63" i="42"/>
  <c r="V63" i="42" s="1"/>
  <c r="U79" i="42"/>
  <c r="V79" i="42" s="1"/>
  <c r="U72" i="42"/>
  <c r="V72" i="42" s="1"/>
  <c r="U56" i="42"/>
  <c r="V56" i="42" s="1"/>
  <c r="U35" i="42"/>
  <c r="V35" i="42" s="1"/>
  <c r="U33" i="42"/>
  <c r="V33" i="42" s="1"/>
  <c r="U78" i="42"/>
  <c r="V78" i="42" s="1"/>
  <c r="U70" i="42"/>
  <c r="V70" i="42" s="1"/>
  <c r="U68" i="42"/>
  <c r="V68" i="42" s="1"/>
  <c r="U73" i="42"/>
  <c r="V73" i="42" s="1"/>
  <c r="U39" i="42"/>
  <c r="V39" i="42" s="1"/>
  <c r="U57" i="42"/>
  <c r="V57" i="42" s="1"/>
  <c r="U32" i="42"/>
  <c r="V32" i="42" s="1"/>
  <c r="U80" i="42"/>
  <c r="V80" i="42" s="1"/>
  <c r="U69" i="42"/>
  <c r="V69" i="42" s="1"/>
  <c r="U55" i="42"/>
  <c r="V55" i="42" s="1"/>
  <c r="U43" i="42"/>
  <c r="V43" i="42" s="1"/>
  <c r="U49" i="42"/>
  <c r="V49" i="42" s="1"/>
  <c r="U53" i="42"/>
  <c r="V53" i="42" s="1"/>
  <c r="U65" i="42"/>
  <c r="V65" i="42" s="1"/>
  <c r="U45" i="42"/>
  <c r="V45" i="42" s="1"/>
  <c r="U81" i="42"/>
  <c r="V81" i="42" s="1"/>
  <c r="U36" i="42"/>
  <c r="V36" i="42" s="1"/>
  <c r="U58" i="42"/>
  <c r="V58" i="42" s="1"/>
  <c r="U44" i="42"/>
  <c r="V44" i="42" s="1"/>
  <c r="U46" i="42"/>
  <c r="V46" i="42" s="1"/>
  <c r="U74" i="42"/>
  <c r="V74" i="42" s="1"/>
  <c r="CQ32" i="42"/>
  <c r="BI37" i="42"/>
  <c r="BJ37" i="42" s="1"/>
  <c r="BK37" i="42" s="1"/>
  <c r="AK31" i="42"/>
  <c r="AR23" i="42" s="1"/>
  <c r="AL32" i="42"/>
  <c r="AL31" i="42" s="1"/>
  <c r="AR24" i="42" s="1"/>
  <c r="AL31" i="41"/>
  <c r="AR24" i="41" s="1"/>
  <c r="S7" i="41" s="1"/>
  <c r="K22" i="30" s="1"/>
  <c r="M37" i="42"/>
  <c r="N37" i="42" s="1"/>
  <c r="O37" i="42" s="1"/>
  <c r="M32" i="42"/>
  <c r="N32" i="42" s="1"/>
  <c r="AC41" i="42"/>
  <c r="AD41" i="42" s="1"/>
  <c r="AE41" i="42" s="1"/>
  <c r="U76" i="42"/>
  <c r="V76" i="42" s="1"/>
  <c r="AC33" i="42"/>
  <c r="AD33" i="42" s="1"/>
  <c r="AE33" i="42" s="1"/>
  <c r="U41" i="42"/>
  <c r="V41" i="42" s="1"/>
  <c r="AS36" i="42"/>
  <c r="AT36" i="42" s="1"/>
  <c r="AU36" i="42" s="1"/>
  <c r="AS43" i="42"/>
  <c r="AT43" i="42" s="1"/>
  <c r="AU43" i="42" s="1"/>
  <c r="BI43" i="42"/>
  <c r="BJ43" i="42" s="1"/>
  <c r="BK43" i="42" s="1"/>
  <c r="U77" i="42"/>
  <c r="V77" i="42" s="1"/>
  <c r="AC34" i="42"/>
  <c r="AD34" i="42" s="1"/>
  <c r="AE34" i="42" s="1"/>
  <c r="AC38" i="42"/>
  <c r="AD38" i="42" s="1"/>
  <c r="AE38" i="42" s="1"/>
  <c r="BI33" i="42"/>
  <c r="BJ33" i="42" s="1"/>
  <c r="BK33" i="42" s="1"/>
  <c r="AS40" i="42"/>
  <c r="AT40" i="42" s="1"/>
  <c r="AU40" i="42" s="1"/>
  <c r="U68" i="41"/>
  <c r="V68" i="41" s="1"/>
  <c r="U36" i="41"/>
  <c r="V36" i="41" s="1"/>
  <c r="U44" i="41"/>
  <c r="V44" i="41" s="1"/>
  <c r="M33" i="42"/>
  <c r="N33" i="42" s="1"/>
  <c r="O33" i="42" s="1"/>
  <c r="M43" i="42"/>
  <c r="N43" i="42" s="1"/>
  <c r="O43" i="42" s="1"/>
  <c r="AC40" i="42"/>
  <c r="AD40" i="42" s="1"/>
  <c r="AE40" i="42" s="1"/>
  <c r="BI39" i="42"/>
  <c r="BJ39" i="42" s="1"/>
  <c r="BK39" i="42" s="1"/>
  <c r="U70" i="41"/>
  <c r="V70" i="41" s="1"/>
  <c r="U79" i="41"/>
  <c r="V79" i="41" s="1"/>
  <c r="U37" i="41"/>
  <c r="V37" i="41" s="1"/>
  <c r="AC42" i="42"/>
  <c r="AD42" i="42" s="1"/>
  <c r="AE42" i="42" s="1"/>
  <c r="M38" i="42"/>
  <c r="N38" i="42" s="1"/>
  <c r="O38" i="42" s="1"/>
  <c r="F31" i="41"/>
  <c r="L24" i="41" s="1"/>
  <c r="S5" i="41" s="1"/>
  <c r="AS39" i="42"/>
  <c r="AT39" i="42" s="1"/>
  <c r="AU39" i="42" s="1"/>
  <c r="U66" i="42"/>
  <c r="V66" i="42" s="1"/>
  <c r="BI41" i="42"/>
  <c r="BJ41" i="42" s="1"/>
  <c r="BK41" i="42" s="1"/>
  <c r="M40" i="42"/>
  <c r="N40" i="42" s="1"/>
  <c r="O40" i="42" s="1"/>
  <c r="U60" i="42"/>
  <c r="V60" i="42" s="1"/>
  <c r="U52" i="42"/>
  <c r="V52" i="42" s="1"/>
  <c r="AS35" i="42"/>
  <c r="BA31" i="42"/>
  <c r="BH23" i="42" s="1"/>
  <c r="BB32" i="42"/>
  <c r="BB31" i="42" s="1"/>
  <c r="BH24" i="42" s="1"/>
  <c r="U55" i="41"/>
  <c r="V55" i="41" s="1"/>
  <c r="U61" i="41"/>
  <c r="V61" i="41" s="1"/>
  <c r="U77" i="41"/>
  <c r="V77" i="41" s="1"/>
  <c r="E31" i="41"/>
  <c r="L23" i="41" s="1"/>
  <c r="Q5" i="41" s="1"/>
  <c r="E31" i="42"/>
  <c r="L23" i="42" s="1"/>
  <c r="F32" i="42"/>
  <c r="F31" i="42" s="1"/>
  <c r="L24" i="42" s="1"/>
  <c r="AS42" i="42"/>
  <c r="AT42" i="42" s="1"/>
  <c r="AU42" i="42" s="1"/>
  <c r="AC35" i="42"/>
  <c r="AC39" i="42"/>
  <c r="AD39" i="42" s="1"/>
  <c r="AE39" i="42" s="1"/>
  <c r="M39" i="42"/>
  <c r="N39" i="42" s="1"/>
  <c r="O39" i="42" s="1"/>
  <c r="U47" i="42"/>
  <c r="V47" i="42" s="1"/>
  <c r="U48" i="42"/>
  <c r="V48" i="42" s="1"/>
  <c r="AS38" i="42"/>
  <c r="AT38" i="42" s="1"/>
  <c r="AU38" i="42" s="1"/>
  <c r="AC37" i="42"/>
  <c r="AD37" i="42" s="1"/>
  <c r="AE37" i="42" s="1"/>
  <c r="M35" i="42"/>
  <c r="U65" i="41"/>
  <c r="V65" i="41" s="1"/>
  <c r="U51" i="41"/>
  <c r="V51" i="41" s="1"/>
  <c r="M34" i="42"/>
  <c r="N34" i="42" s="1"/>
  <c r="O34" i="42" s="1"/>
  <c r="M36" i="42"/>
  <c r="N36" i="42" s="1"/>
  <c r="O36" i="42" s="1"/>
  <c r="BI35" i="42"/>
  <c r="BI32" i="42"/>
  <c r="BJ32" i="42" s="1"/>
  <c r="U81" i="41"/>
  <c r="V81" i="41" s="1"/>
  <c r="U42" i="41"/>
  <c r="V42" i="41" s="1"/>
  <c r="U62" i="41"/>
  <c r="V62" i="41" s="1"/>
  <c r="CG31" i="42"/>
  <c r="CN23" i="42" s="1"/>
  <c r="Q10" i="42" s="1"/>
  <c r="I29" i="30" s="1"/>
  <c r="M41" i="42"/>
  <c r="N41" i="42" s="1"/>
  <c r="O41" i="42" s="1"/>
  <c r="AC43" i="42"/>
  <c r="AD43" i="42" s="1"/>
  <c r="AE43" i="42" s="1"/>
  <c r="AS34" i="42"/>
  <c r="AT34" i="42" s="1"/>
  <c r="AU34" i="42" s="1"/>
  <c r="AS33" i="42"/>
  <c r="AT33" i="42" s="1"/>
  <c r="AU33" i="42" s="1"/>
  <c r="AC36" i="42"/>
  <c r="AD36" i="42" s="1"/>
  <c r="AE36" i="42" s="1"/>
  <c r="AS37" i="42"/>
  <c r="AT37" i="42" s="1"/>
  <c r="AU37" i="42" s="1"/>
  <c r="M36" i="41"/>
  <c r="N36" i="41" s="1"/>
  <c r="O36" i="41" s="1"/>
  <c r="BI38" i="42"/>
  <c r="BJ38" i="42" s="1"/>
  <c r="BK38" i="42" s="1"/>
  <c r="AK31" i="41"/>
  <c r="AR23" i="41" s="1"/>
  <c r="Q7" i="41" s="1"/>
  <c r="I22" i="30" s="1"/>
  <c r="M42" i="42"/>
  <c r="N42" i="42" s="1"/>
  <c r="O42" i="42" s="1"/>
  <c r="BI36" i="42"/>
  <c r="BJ36" i="42" s="1"/>
  <c r="BK36" i="42" s="1"/>
  <c r="U71" i="42"/>
  <c r="V71" i="42" s="1"/>
  <c r="AS41" i="42"/>
  <c r="AT41" i="42" s="1"/>
  <c r="AU41" i="42" s="1"/>
  <c r="U75" i="42"/>
  <c r="V75" i="42" s="1"/>
  <c r="AS32" i="42"/>
  <c r="AT32" i="42" s="1"/>
  <c r="U78" i="41"/>
  <c r="V78" i="41" s="1"/>
  <c r="AC32" i="42"/>
  <c r="AD32" i="42" s="1"/>
  <c r="BI42" i="42"/>
  <c r="BJ42" i="42" s="1"/>
  <c r="BK42" i="42" s="1"/>
  <c r="U71" i="41"/>
  <c r="V71" i="41" s="1"/>
  <c r="U45" i="41"/>
  <c r="V45" i="41" s="1"/>
  <c r="U60" i="41"/>
  <c r="V60" i="41" s="1"/>
  <c r="CH31" i="42"/>
  <c r="CN24" i="42" s="1"/>
  <c r="S10" i="42" s="1"/>
  <c r="K29" i="30" s="1"/>
  <c r="AT31" i="41"/>
  <c r="AS23" i="41" s="1"/>
  <c r="R7" i="41" s="1"/>
  <c r="J22" i="30" s="1"/>
  <c r="AU32" i="41"/>
  <c r="AU31" i="41" s="1"/>
  <c r="AS24" i="41" s="1"/>
  <c r="T7" i="41" s="1"/>
  <c r="L22" i="30" s="1"/>
  <c r="AE32" i="41"/>
  <c r="AE33" i="37"/>
  <c r="AE31" i="37" s="1"/>
  <c r="AC24" i="37" s="1"/>
  <c r="T6" i="37" s="1"/>
  <c r="AD31" i="37"/>
  <c r="AC23" i="37" s="1"/>
  <c r="R6" i="37" s="1"/>
  <c r="BZ31" i="37"/>
  <c r="BY23" i="37" s="1"/>
  <c r="CA32" i="37"/>
  <c r="CA31" i="37" s="1"/>
  <c r="BY24" i="37" s="1"/>
  <c r="T9" i="37" s="1"/>
  <c r="BK31" i="37"/>
  <c r="BI24" i="37" s="1"/>
  <c r="M33" i="30"/>
  <c r="S9" i="37"/>
  <c r="CA32" i="41"/>
  <c r="Q9" i="41"/>
  <c r="I24" i="30" s="1"/>
  <c r="BJ31" i="37"/>
  <c r="BI23" i="37" s="1"/>
  <c r="AU32" i="37"/>
  <c r="AU31" i="37" s="1"/>
  <c r="AS24" i="37" s="1"/>
  <c r="AT31" i="37"/>
  <c r="AS23" i="37" s="1"/>
  <c r="D35" i="37"/>
  <c r="E35" i="37" s="1"/>
  <c r="F35" i="37" s="1"/>
  <c r="D52" i="37"/>
  <c r="E52" i="37" s="1"/>
  <c r="F52" i="37" s="1"/>
  <c r="C44" i="37"/>
  <c r="D44" i="37" s="1"/>
  <c r="E44" i="37" s="1"/>
  <c r="F44" i="37" s="1"/>
  <c r="D49" i="37"/>
  <c r="E49" i="37" s="1"/>
  <c r="F49" i="37" s="1"/>
  <c r="D80" i="37"/>
  <c r="E80" i="37" s="1"/>
  <c r="F80" i="37" s="1"/>
  <c r="C75" i="37"/>
  <c r="D75" i="37" s="1"/>
  <c r="E75" i="37" s="1"/>
  <c r="F75" i="37" s="1"/>
  <c r="D63" i="37"/>
  <c r="E63" i="37" s="1"/>
  <c r="F63" i="37" s="1"/>
  <c r="C58" i="37"/>
  <c r="D58" i="37" s="1"/>
  <c r="E58" i="37" s="1"/>
  <c r="F58" i="37" s="1"/>
  <c r="C69" i="37"/>
  <c r="D69" i="37" s="1"/>
  <c r="E69" i="37" s="1"/>
  <c r="F69" i="37" s="1"/>
  <c r="C59" i="37"/>
  <c r="D59" i="37" s="1"/>
  <c r="E59" i="37" s="1"/>
  <c r="F59" i="37" s="1"/>
  <c r="D53" i="37"/>
  <c r="E53" i="37" s="1"/>
  <c r="F53" i="37" s="1"/>
  <c r="C72" i="37"/>
  <c r="D72" i="37" s="1"/>
  <c r="E72" i="37" s="1"/>
  <c r="F72" i="37" s="1"/>
  <c r="C71" i="37"/>
  <c r="D71" i="37" s="1"/>
  <c r="E71" i="37" s="1"/>
  <c r="F71" i="37" s="1"/>
  <c r="D79" i="37"/>
  <c r="E79" i="37" s="1"/>
  <c r="F79" i="37" s="1"/>
  <c r="D62" i="37"/>
  <c r="E62" i="37" s="1"/>
  <c r="F62" i="37" s="1"/>
  <c r="D77" i="37"/>
  <c r="E77" i="37" s="1"/>
  <c r="F77" i="37" s="1"/>
  <c r="N34" i="37"/>
  <c r="O34" i="37" s="1"/>
  <c r="M8" i="25"/>
  <c r="L15" i="30"/>
  <c r="M9" i="25"/>
  <c r="L33" i="30"/>
  <c r="M15" i="25"/>
  <c r="O29" i="20"/>
  <c r="O28" i="20" s="1"/>
  <c r="L11" i="20" s="1"/>
  <c r="M28" i="20"/>
  <c r="K11" i="20" s="1"/>
  <c r="D57" i="37"/>
  <c r="E57" i="37" s="1"/>
  <c r="F57" i="37" s="1"/>
  <c r="D51" i="37"/>
  <c r="E51" i="37" s="1"/>
  <c r="F51" i="37" s="1"/>
  <c r="D60" i="37"/>
  <c r="E60" i="37" s="1"/>
  <c r="F60" i="37" s="1"/>
  <c r="D73" i="37"/>
  <c r="E73" i="37" s="1"/>
  <c r="F73" i="37" s="1"/>
  <c r="D40" i="37"/>
  <c r="E40" i="37" s="1"/>
  <c r="F40" i="37" s="1"/>
  <c r="D33" i="37"/>
  <c r="E33" i="37" s="1"/>
  <c r="F33" i="37" s="1"/>
  <c r="D65" i="37"/>
  <c r="E65" i="37" s="1"/>
  <c r="F65" i="37" s="1"/>
  <c r="E28" i="20"/>
  <c r="K10" i="20" s="1"/>
  <c r="G28" i="20"/>
  <c r="L10" i="20" s="1"/>
  <c r="Q17" i="3"/>
  <c r="P17" i="3"/>
  <c r="Q16" i="3"/>
  <c r="P16" i="3"/>
  <c r="Q15" i="3"/>
  <c r="Q14" i="3"/>
  <c r="Q18" i="3" s="1"/>
  <c r="P15" i="3"/>
  <c r="P14" i="3"/>
  <c r="P18" i="3" s="1"/>
  <c r="F23" i="44" l="1"/>
  <c r="N31" i="41"/>
  <c r="M23" i="41" s="1"/>
  <c r="R5" i="41" s="1"/>
  <c r="O32" i="41"/>
  <c r="O31" i="41" s="1"/>
  <c r="M24" i="41" s="1"/>
  <c r="T5" i="41" s="1"/>
  <c r="CA33" i="41"/>
  <c r="BZ31" i="41"/>
  <c r="BY23" i="41" s="1"/>
  <c r="R9" i="41" s="1"/>
  <c r="J24" i="30" s="1"/>
  <c r="CQ33" i="42"/>
  <c r="CQ31" i="42" s="1"/>
  <c r="CO24" i="42" s="1"/>
  <c r="T10" i="42" s="1"/>
  <c r="L29" i="30" s="1"/>
  <c r="CP31" i="42"/>
  <c r="CO23" i="42" s="1"/>
  <c r="R10" i="42" s="1"/>
  <c r="J29" i="30" s="1"/>
  <c r="CA31" i="42"/>
  <c r="BY24" i="42" s="1"/>
  <c r="T9" i="42" s="1"/>
  <c r="L28" i="30" s="1"/>
  <c r="BJ31" i="41"/>
  <c r="BI23" i="41" s="1"/>
  <c r="R8" i="41" s="1"/>
  <c r="J23" i="30" s="1"/>
  <c r="AD31" i="41"/>
  <c r="AC23" i="41" s="1"/>
  <c r="R6" i="41" s="1"/>
  <c r="J21" i="30" s="1"/>
  <c r="AE31" i="41"/>
  <c r="AC24" i="41" s="1"/>
  <c r="T6" i="41" s="1"/>
  <c r="L21" i="30" s="1"/>
  <c r="CA31" i="41"/>
  <c r="BY24" i="41" s="1"/>
  <c r="T9" i="41" s="1"/>
  <c r="L24" i="30" s="1"/>
  <c r="BK31" i="41"/>
  <c r="BI24" i="41" s="1"/>
  <c r="T8" i="41" s="1"/>
  <c r="L23" i="30" s="1"/>
  <c r="BZ31" i="42"/>
  <c r="BY23" i="42" s="1"/>
  <c r="R9" i="42" s="1"/>
  <c r="J28" i="30" s="1"/>
  <c r="BZ23" i="41"/>
  <c r="D16" i="43"/>
  <c r="I16" i="43" s="1"/>
  <c r="H18" i="43" s="1"/>
  <c r="DF31" i="42"/>
  <c r="DE23" i="42" s="1"/>
  <c r="R11" i="42" s="1"/>
  <c r="J30" i="30" s="1"/>
  <c r="Q12" i="42"/>
  <c r="I31" i="30" s="1"/>
  <c r="CX31" i="42"/>
  <c r="DD24" i="42" s="1"/>
  <c r="S9" i="42"/>
  <c r="K28" i="30" s="1"/>
  <c r="Q13" i="42"/>
  <c r="I32" i="30" s="1"/>
  <c r="EL23" i="42"/>
  <c r="BZ24" i="37"/>
  <c r="S12" i="42"/>
  <c r="K31" i="30" s="1"/>
  <c r="EL24" i="42"/>
  <c r="S13" i="42"/>
  <c r="K32" i="30" s="1"/>
  <c r="Q9" i="42"/>
  <c r="I28" i="30" s="1"/>
  <c r="CW31" i="42"/>
  <c r="DD23" i="42" s="1"/>
  <c r="DW32" i="42"/>
  <c r="DW31" i="42" s="1"/>
  <c r="DU24" i="42" s="1"/>
  <c r="T12" i="42" s="1"/>
  <c r="L31" i="30" s="1"/>
  <c r="DV31" i="42"/>
  <c r="DU23" i="42" s="1"/>
  <c r="R12" i="42" s="1"/>
  <c r="J31" i="30" s="1"/>
  <c r="AD23" i="37"/>
  <c r="AT24" i="41"/>
  <c r="V31" i="41"/>
  <c r="AB24" i="41" s="1"/>
  <c r="N23" i="41"/>
  <c r="S6" i="41"/>
  <c r="K21" i="30" s="1"/>
  <c r="AD24" i="41"/>
  <c r="O32" i="42"/>
  <c r="O31" i="42" s="1"/>
  <c r="M24" i="42" s="1"/>
  <c r="T5" i="42" s="1"/>
  <c r="N31" i="42"/>
  <c r="M23" i="42" s="1"/>
  <c r="R5" i="42" s="1"/>
  <c r="AU32" i="42"/>
  <c r="AU31" i="42" s="1"/>
  <c r="AS24" i="42" s="1"/>
  <c r="T7" i="42" s="1"/>
  <c r="L26" i="30" s="1"/>
  <c r="AT31" i="42"/>
  <c r="AS23" i="42" s="1"/>
  <c r="R7" i="42" s="1"/>
  <c r="J26" i="30" s="1"/>
  <c r="BK32" i="42"/>
  <c r="BK31" i="42" s="1"/>
  <c r="BI24" i="42" s="1"/>
  <c r="T8" i="42" s="1"/>
  <c r="L27" i="30" s="1"/>
  <c r="BJ31" i="42"/>
  <c r="BI23" i="42" s="1"/>
  <c r="R8" i="42" s="1"/>
  <c r="J27" i="30" s="1"/>
  <c r="AE32" i="42"/>
  <c r="AE31" i="42" s="1"/>
  <c r="AC24" i="42" s="1"/>
  <c r="T6" i="42" s="1"/>
  <c r="L25" i="30" s="1"/>
  <c r="AD31" i="42"/>
  <c r="AC23" i="42" s="1"/>
  <c r="R6" i="42" s="1"/>
  <c r="J25" i="30" s="1"/>
  <c r="AT23" i="41"/>
  <c r="S5" i="42"/>
  <c r="S7" i="42"/>
  <c r="K26" i="30" s="1"/>
  <c r="Q5" i="42"/>
  <c r="Q7" i="42"/>
  <c r="I26" i="30" s="1"/>
  <c r="U31" i="41"/>
  <c r="AB23" i="41" s="1"/>
  <c r="Q6" i="41" s="1"/>
  <c r="I21" i="30" s="1"/>
  <c r="S8" i="42"/>
  <c r="K27" i="30" s="1"/>
  <c r="Q8" i="42"/>
  <c r="I27" i="30" s="1"/>
  <c r="V31" i="42"/>
  <c r="AB24" i="42" s="1"/>
  <c r="U31" i="42"/>
  <c r="AB23" i="42" s="1"/>
  <c r="N24" i="41"/>
  <c r="BZ23" i="37"/>
  <c r="R9" i="37"/>
  <c r="J20" i="30" s="1"/>
  <c r="BJ23" i="41"/>
  <c r="AT24" i="37"/>
  <c r="T7" i="37"/>
  <c r="L18" i="30" s="1"/>
  <c r="BJ24" i="37"/>
  <c r="T8" i="37"/>
  <c r="L19" i="30" s="1"/>
  <c r="AD24" i="37"/>
  <c r="BJ23" i="37"/>
  <c r="R8" i="37"/>
  <c r="J19" i="30" s="1"/>
  <c r="AT23" i="37"/>
  <c r="R7" i="37"/>
  <c r="J18" i="30" s="1"/>
  <c r="J17" i="30"/>
  <c r="L20" i="30"/>
  <c r="L17" i="30"/>
  <c r="N31" i="37"/>
  <c r="M23" i="37" s="1"/>
  <c r="R5" i="37" s="1"/>
  <c r="J16" i="30" s="1"/>
  <c r="O31" i="37"/>
  <c r="M24" i="37" s="1"/>
  <c r="T5" i="37" s="1"/>
  <c r="L16" i="30" s="1"/>
  <c r="O15" i="30"/>
  <c r="M15" i="30"/>
  <c r="N33" i="30"/>
  <c r="P33" i="30"/>
  <c r="P15" i="30"/>
  <c r="N15" i="30"/>
  <c r="M10" i="20"/>
  <c r="I20" i="30"/>
  <c r="I19" i="30"/>
  <c r="I18" i="30"/>
  <c r="I17" i="30"/>
  <c r="D67" i="37"/>
  <c r="E67" i="37" s="1"/>
  <c r="F67" i="37" s="1"/>
  <c r="D56" i="37"/>
  <c r="E56" i="37" s="1"/>
  <c r="F56" i="37" s="1"/>
  <c r="D50" i="37"/>
  <c r="E50" i="37" s="1"/>
  <c r="F50" i="37" s="1"/>
  <c r="D74" i="37"/>
  <c r="E74" i="37" s="1"/>
  <c r="F74" i="37" s="1"/>
  <c r="D66" i="37"/>
  <c r="E66" i="37" s="1"/>
  <c r="F66" i="37" s="1"/>
  <c r="D42" i="37"/>
  <c r="E42" i="37" s="1"/>
  <c r="F42" i="37" s="1"/>
  <c r="D38" i="37"/>
  <c r="E38" i="37" s="1"/>
  <c r="F38" i="37" s="1"/>
  <c r="D61" i="37"/>
  <c r="E61" i="37" s="1"/>
  <c r="F61" i="37" s="1"/>
  <c r="D81" i="37"/>
  <c r="E81" i="37" s="1"/>
  <c r="F81" i="37" s="1"/>
  <c r="D68" i="37"/>
  <c r="E68" i="37" s="1"/>
  <c r="F68" i="37" s="1"/>
  <c r="D76" i="37"/>
  <c r="E76" i="37" s="1"/>
  <c r="F76" i="37" s="1"/>
  <c r="D64" i="37"/>
  <c r="E64" i="37" s="1"/>
  <c r="F64" i="37" s="1"/>
  <c r="D70" i="37"/>
  <c r="E70" i="37" s="1"/>
  <c r="F70" i="37" s="1"/>
  <c r="D46" i="37"/>
  <c r="E46" i="37" s="1"/>
  <c r="F46" i="37" s="1"/>
  <c r="D55" i="37"/>
  <c r="E55" i="37" s="1"/>
  <c r="F55" i="37" s="1"/>
  <c r="D39" i="37"/>
  <c r="E39" i="37" s="1"/>
  <c r="F39" i="37" s="1"/>
  <c r="D34" i="37"/>
  <c r="E34" i="37" s="1"/>
  <c r="F34" i="37" s="1"/>
  <c r="D36" i="37"/>
  <c r="E36" i="37" s="1"/>
  <c r="F36" i="37" s="1"/>
  <c r="D48" i="37"/>
  <c r="E48" i="37" s="1"/>
  <c r="F48" i="37" s="1"/>
  <c r="D54" i="37"/>
  <c r="E54" i="37" s="1"/>
  <c r="F54" i="37" s="1"/>
  <c r="D41" i="37"/>
  <c r="E41" i="37" s="1"/>
  <c r="F41" i="37" s="1"/>
  <c r="D37" i="37"/>
  <c r="E37" i="37" s="1"/>
  <c r="F37" i="37" s="1"/>
  <c r="D32" i="37"/>
  <c r="E32" i="37" s="1"/>
  <c r="F32" i="37" s="1"/>
  <c r="D43" i="37"/>
  <c r="E43" i="37" s="1"/>
  <c r="F43" i="37" s="1"/>
  <c r="D78" i="37"/>
  <c r="E78" i="37" s="1"/>
  <c r="F78" i="37" s="1"/>
  <c r="D47" i="37"/>
  <c r="E47" i="37" s="1"/>
  <c r="F47" i="37" s="1"/>
  <c r="D45" i="37"/>
  <c r="E45" i="37" s="1"/>
  <c r="F45" i="37" s="1"/>
  <c r="N10" i="20"/>
  <c r="M23" i="44" l="1"/>
  <c r="B24" i="44" s="1"/>
  <c r="Z56" i="44" s="1"/>
  <c r="N23" i="44"/>
  <c r="C24" i="44" s="1"/>
  <c r="Z57" i="44" s="1"/>
  <c r="DV24" i="42"/>
  <c r="CP23" i="42"/>
  <c r="BZ23" i="42"/>
  <c r="BJ24" i="41"/>
  <c r="BZ24" i="41"/>
  <c r="BZ24" i="42"/>
  <c r="CP24" i="42"/>
  <c r="S11" i="42"/>
  <c r="K30" i="30" s="1"/>
  <c r="DF24" i="42"/>
  <c r="N24" i="42"/>
  <c r="DV23" i="42"/>
  <c r="Q11" i="42"/>
  <c r="I30" i="30" s="1"/>
  <c r="DF23" i="42"/>
  <c r="AD23" i="41"/>
  <c r="O29" i="30"/>
  <c r="BJ23" i="42"/>
  <c r="AT23" i="42"/>
  <c r="N23" i="42"/>
  <c r="Q6" i="42"/>
  <c r="I25" i="30" s="1"/>
  <c r="O25" i="30" s="1"/>
  <c r="AD23" i="42"/>
  <c r="AD24" i="42"/>
  <c r="S6" i="42"/>
  <c r="K25" i="30" s="1"/>
  <c r="P25" i="30" s="1"/>
  <c r="BJ24" i="42"/>
  <c r="AT24" i="42"/>
  <c r="O19" i="30"/>
  <c r="O20" i="30"/>
  <c r="O22" i="30"/>
  <c r="O17" i="30"/>
  <c r="O18" i="30"/>
  <c r="F15" i="30"/>
  <c r="P21" i="30"/>
  <c r="O10" i="20"/>
  <c r="K18" i="30"/>
  <c r="P18" i="30" s="1"/>
  <c r="K19" i="30"/>
  <c r="P19" i="30" s="1"/>
  <c r="M20" i="30"/>
  <c r="M29" i="30"/>
  <c r="N21" i="30"/>
  <c r="M22" i="30"/>
  <c r="M18" i="30"/>
  <c r="M19" i="30"/>
  <c r="M17" i="30"/>
  <c r="O24" i="30"/>
  <c r="O23" i="30"/>
  <c r="O21" i="30"/>
  <c r="F31" i="37"/>
  <c r="L24" i="37" s="1"/>
  <c r="S5" i="37" s="1"/>
  <c r="K16" i="30" s="1"/>
  <c r="P16" i="30" s="1"/>
  <c r="E31" i="37"/>
  <c r="L23" i="37" s="1"/>
  <c r="Q5" i="37" s="1"/>
  <c r="I16" i="30" s="1"/>
  <c r="O16" i="30" s="1"/>
  <c r="P24" i="30"/>
  <c r="K17" i="30"/>
  <c r="P17" i="30" s="1"/>
  <c r="P23" i="30"/>
  <c r="K20" i="30"/>
  <c r="P20" i="30" s="1"/>
  <c r="P22" i="30"/>
  <c r="O30" i="30" l="1"/>
  <c r="O31" i="30"/>
  <c r="O28" i="30"/>
  <c r="N23" i="30"/>
  <c r="M16" i="30"/>
  <c r="N19" i="30"/>
  <c r="F19" i="30" s="1"/>
  <c r="N17" i="30"/>
  <c r="F17" i="30" s="1"/>
  <c r="M31" i="30"/>
  <c r="N20" i="30"/>
  <c r="F20" i="30" s="1"/>
  <c r="N18" i="30"/>
  <c r="F18" i="30" s="1"/>
  <c r="M21" i="30"/>
  <c r="F21" i="30" s="1"/>
  <c r="M30" i="30"/>
  <c r="M23" i="30"/>
  <c r="M25" i="30"/>
  <c r="M24" i="30"/>
  <c r="N16" i="30"/>
  <c r="N22" i="30"/>
  <c r="F22" i="30" s="1"/>
  <c r="N25" i="30"/>
  <c r="P29" i="30"/>
  <c r="N23" i="37"/>
  <c r="N24" i="30"/>
  <c r="O26" i="30"/>
  <c r="M28" i="30"/>
  <c r="O27" i="30"/>
  <c r="P28" i="30"/>
  <c r="P26" i="30"/>
  <c r="P27" i="30"/>
  <c r="N24" i="37"/>
  <c r="O32" i="30" l="1"/>
  <c r="P31" i="30"/>
  <c r="F16" i="30"/>
  <c r="F24" i="30"/>
  <c r="P30" i="30"/>
  <c r="F23" i="30"/>
  <c r="F25" i="30"/>
  <c r="M32" i="30"/>
  <c r="M27" i="30"/>
  <c r="N26" i="30"/>
  <c r="M26" i="30"/>
  <c r="N27" i="30"/>
  <c r="F27" i="30" s="1"/>
  <c r="N28" i="30"/>
  <c r="F28" i="30" s="1"/>
  <c r="N29" i="30"/>
  <c r="F29" i="30" s="1"/>
  <c r="P32" i="30"/>
  <c r="N31" i="30" l="1"/>
  <c r="F31" i="30" s="1"/>
  <c r="N30" i="30"/>
  <c r="F30" i="30" s="1"/>
  <c r="F26" i="30"/>
  <c r="N32" i="30"/>
  <c r="F32" i="30" s="1"/>
  <c r="AL63" i="44"/>
  <c r="AR63" i="44" s="1"/>
  <c r="AS63" i="44" s="1"/>
  <c r="AT63" i="44" s="1"/>
  <c r="AA115" i="44"/>
  <c r="AB115" i="44" s="1"/>
  <c r="AC115" i="44" s="1"/>
  <c r="AD115" i="44" s="1"/>
  <c r="AA93" i="44"/>
  <c r="AB93" i="44" s="1"/>
  <c r="AC93" i="44" s="1"/>
  <c r="AD93" i="44" s="1"/>
  <c r="AA125" i="44"/>
  <c r="AB125" i="44" s="1"/>
  <c r="AC125" i="44" s="1"/>
  <c r="AD125" i="44" s="1"/>
  <c r="AA118" i="44"/>
  <c r="AB118" i="44" s="1"/>
  <c r="AC118" i="44" s="1"/>
  <c r="AD118" i="44" s="1"/>
  <c r="AA121" i="44"/>
  <c r="AB121" i="44" s="1"/>
  <c r="AC121" i="44" s="1"/>
  <c r="AD121" i="44" s="1"/>
  <c r="AE121" i="44"/>
  <c r="AF121" i="44" s="1"/>
  <c r="AG121" i="44" s="1"/>
  <c r="AH121" i="44" s="1"/>
  <c r="AA67" i="44"/>
  <c r="AE67" i="44" s="1"/>
  <c r="AF67" i="44" s="1"/>
  <c r="AG67" i="44" s="1"/>
  <c r="AH67" i="44" s="1"/>
  <c r="AA138" i="44"/>
  <c r="AL74" i="44"/>
  <c r="AM74" i="44" s="1"/>
  <c r="AO74" i="44" s="1"/>
  <c r="AP74" i="44" s="1"/>
  <c r="AQ74" i="44" s="1"/>
  <c r="AA127" i="44"/>
  <c r="AE127" i="44" s="1"/>
  <c r="AF127" i="44" s="1"/>
  <c r="AG127" i="44" s="1"/>
  <c r="AH127" i="44" s="1"/>
  <c r="AA98" i="44"/>
  <c r="AB98" i="44" s="1"/>
  <c r="AC98" i="44" s="1"/>
  <c r="AD98" i="44" s="1"/>
  <c r="AA65" i="44"/>
  <c r="AB65" i="44" s="1"/>
  <c r="AC65" i="44" s="1"/>
  <c r="AD65" i="44" s="1"/>
  <c r="AA96" i="44"/>
  <c r="AB96" i="44" s="1"/>
  <c r="AC96" i="44" s="1"/>
  <c r="AD96" i="44" s="1"/>
  <c r="AA151" i="44"/>
  <c r="AE151" i="44" s="1"/>
  <c r="AF151" i="44" s="1"/>
  <c r="AG151" i="44" s="1"/>
  <c r="AH151" i="44" s="1"/>
  <c r="AA113" i="44"/>
  <c r="AE113" i="44" s="1"/>
  <c r="AF113" i="44" s="1"/>
  <c r="AG113" i="44" s="1"/>
  <c r="AH113" i="44" s="1"/>
  <c r="AA66" i="44"/>
  <c r="AB66" i="44" s="1"/>
  <c r="AC66" i="44" s="1"/>
  <c r="AD66" i="44" s="1"/>
  <c r="AA144" i="44"/>
  <c r="AB144" i="44" s="1"/>
  <c r="AC144" i="44" s="1"/>
  <c r="AD144" i="44" s="1"/>
  <c r="AA87" i="44"/>
  <c r="AA109" i="44"/>
  <c r="AB109" i="44" s="1"/>
  <c r="AC109" i="44" s="1"/>
  <c r="AD109" i="44" s="1"/>
  <c r="AA77" i="44"/>
  <c r="AE77" i="44" s="1"/>
  <c r="AF77" i="44" s="1"/>
  <c r="AG77" i="44" s="1"/>
  <c r="AH77" i="44" s="1"/>
  <c r="AA99" i="44"/>
  <c r="AB99" i="44" s="1"/>
  <c r="AC99" i="44" s="1"/>
  <c r="AD99" i="44" s="1"/>
  <c r="AA97" i="44"/>
  <c r="AB97" i="44" s="1"/>
  <c r="AC97" i="44" s="1"/>
  <c r="AD97" i="44" s="1"/>
  <c r="AA159" i="44"/>
  <c r="AE159" i="44" s="1"/>
  <c r="AF159" i="44" s="1"/>
  <c r="AG159" i="44" s="1"/>
  <c r="AH159" i="44" s="1"/>
  <c r="AA68" i="44"/>
  <c r="AA91" i="44"/>
  <c r="AB91" i="44" s="1"/>
  <c r="AC91" i="44" s="1"/>
  <c r="AD91" i="44" s="1"/>
  <c r="AA136" i="44"/>
  <c r="AB136" i="44" s="1"/>
  <c r="AC136" i="44" s="1"/>
  <c r="AD136" i="44" s="1"/>
  <c r="AA83" i="44"/>
  <c r="AB83" i="44" s="1"/>
  <c r="AC83" i="44" s="1"/>
  <c r="AD83" i="44" s="1"/>
  <c r="AA85" i="44"/>
  <c r="AB85" i="44" s="1"/>
  <c r="AC85" i="44" s="1"/>
  <c r="AD85" i="44" s="1"/>
  <c r="AA134" i="44"/>
  <c r="AE134" i="44" s="1"/>
  <c r="AF134" i="44" s="1"/>
  <c r="AG134" i="44" s="1"/>
  <c r="AH134" i="44" s="1"/>
  <c r="AA135" i="44"/>
  <c r="AA95" i="44"/>
  <c r="AB95" i="44" s="1"/>
  <c r="AC95" i="44" s="1"/>
  <c r="AD95" i="44" s="1"/>
  <c r="AA140" i="44"/>
  <c r="AE140" i="44" s="1"/>
  <c r="AF140" i="44" s="1"/>
  <c r="AG140" i="44" s="1"/>
  <c r="AH140" i="44" s="1"/>
  <c r="AA145" i="44"/>
  <c r="AE145" i="44" s="1"/>
  <c r="AF145" i="44" s="1"/>
  <c r="AG145" i="44" s="1"/>
  <c r="AH145" i="44" s="1"/>
  <c r="AA82" i="44"/>
  <c r="AE82" i="44" s="1"/>
  <c r="AF82" i="44" s="1"/>
  <c r="AG82" i="44" s="1"/>
  <c r="AH82" i="44" s="1"/>
  <c r="AA148" i="44"/>
  <c r="AB148" i="44" s="1"/>
  <c r="AC148" i="44" s="1"/>
  <c r="AD148" i="44" s="1"/>
  <c r="AE148" i="44"/>
  <c r="AF148" i="44" s="1"/>
  <c r="AG148" i="44" s="1"/>
  <c r="AH148" i="44" s="1"/>
  <c r="AA132" i="44"/>
  <c r="AB132" i="44" s="1"/>
  <c r="AC132" i="44" s="1"/>
  <c r="AD132" i="44" s="1"/>
  <c r="AE132" i="44"/>
  <c r="AF132" i="44" s="1"/>
  <c r="AG132" i="44" s="1"/>
  <c r="AH132" i="44" s="1"/>
  <c r="AA88" i="44"/>
  <c r="AA108" i="44"/>
  <c r="AE108" i="44" s="1"/>
  <c r="AF108" i="44" s="1"/>
  <c r="AG108" i="44" s="1"/>
  <c r="AH108" i="44" s="1"/>
  <c r="AA101" i="44"/>
  <c r="AB101" i="44" s="1"/>
  <c r="AC101" i="44" s="1"/>
  <c r="AD101" i="44" s="1"/>
  <c r="AA137" i="44"/>
  <c r="AB137" i="44" s="1"/>
  <c r="AC137" i="44" s="1"/>
  <c r="AD137" i="44" s="1"/>
  <c r="AA128" i="44"/>
  <c r="AE128" i="44" s="1"/>
  <c r="AF128" i="44" s="1"/>
  <c r="AG128" i="44" s="1"/>
  <c r="AH128" i="44" s="1"/>
  <c r="AL69" i="44"/>
  <c r="AA120" i="44"/>
  <c r="AE120" i="44" s="1"/>
  <c r="AF120" i="44" s="1"/>
  <c r="AG120" i="44" s="1"/>
  <c r="AH120" i="44" s="1"/>
  <c r="AA105" i="44"/>
  <c r="AE105" i="44" s="1"/>
  <c r="AF105" i="44" s="1"/>
  <c r="AG105" i="44" s="1"/>
  <c r="AH105" i="44" s="1"/>
  <c r="AA64" i="44"/>
  <c r="AE64" i="44" s="1"/>
  <c r="AF64" i="44" s="1"/>
  <c r="AG64" i="44" s="1"/>
  <c r="AH64" i="44" s="1"/>
  <c r="AL70" i="44"/>
  <c r="AM70" i="44" s="1"/>
  <c r="AO70" i="44" s="1"/>
  <c r="AP70" i="44" s="1"/>
  <c r="AQ70" i="44" s="1"/>
  <c r="AA161" i="44"/>
  <c r="AB161" i="44" s="1"/>
  <c r="AC161" i="44" s="1"/>
  <c r="AD161" i="44" s="1"/>
  <c r="AA131" i="44"/>
  <c r="AB131" i="44" s="1"/>
  <c r="AC131" i="44" s="1"/>
  <c r="AD131" i="44" s="1"/>
  <c r="AA81" i="44"/>
  <c r="AB81" i="44" s="1"/>
  <c r="AC81" i="44" s="1"/>
  <c r="AD81" i="44" s="1"/>
  <c r="AA156" i="44"/>
  <c r="AB156" i="44" s="1"/>
  <c r="AC156" i="44" s="1"/>
  <c r="AD156" i="44" s="1"/>
  <c r="AA129" i="44"/>
  <c r="AB129" i="44" s="1"/>
  <c r="AC129" i="44" s="1"/>
  <c r="AD129" i="44" s="1"/>
  <c r="AE129" i="44"/>
  <c r="AF129" i="44" s="1"/>
  <c r="AG129" i="44" s="1"/>
  <c r="AH129" i="44" s="1"/>
  <c r="AA90" i="44"/>
  <c r="AE90" i="44" s="1"/>
  <c r="AF90" i="44" s="1"/>
  <c r="AG90" i="44" s="1"/>
  <c r="AH90" i="44" s="1"/>
  <c r="AA122" i="44"/>
  <c r="AB122" i="44" s="1"/>
  <c r="AC122" i="44" s="1"/>
  <c r="AD122" i="44" s="1"/>
  <c r="AA152" i="44"/>
  <c r="AB152" i="44" s="1"/>
  <c r="AC152" i="44" s="1"/>
  <c r="AD152" i="44" s="1"/>
  <c r="AA104" i="44"/>
  <c r="AE104" i="44" s="1"/>
  <c r="AF104" i="44" s="1"/>
  <c r="AG104" i="44" s="1"/>
  <c r="AH104" i="44" s="1"/>
  <c r="AA73" i="44"/>
  <c r="AE73" i="44" s="1"/>
  <c r="AF73" i="44" s="1"/>
  <c r="AG73" i="44" s="1"/>
  <c r="AH73" i="44" s="1"/>
  <c r="AA143" i="44"/>
  <c r="AB143" i="44" s="1"/>
  <c r="AC143" i="44" s="1"/>
  <c r="AD143" i="44" s="1"/>
  <c r="AA141" i="44"/>
  <c r="AB141" i="44" s="1"/>
  <c r="AC141" i="44" s="1"/>
  <c r="AD141" i="44" s="1"/>
  <c r="AA124" i="44"/>
  <c r="AE124" i="44" s="1"/>
  <c r="AF124" i="44" s="1"/>
  <c r="AG124" i="44" s="1"/>
  <c r="AH124" i="44" s="1"/>
  <c r="AA112" i="44"/>
  <c r="AE112" i="44" s="1"/>
  <c r="AF112" i="44" s="1"/>
  <c r="AG112" i="44" s="1"/>
  <c r="AH112" i="44" s="1"/>
  <c r="AA154" i="44"/>
  <c r="AB154" i="44" s="1"/>
  <c r="AC154" i="44" s="1"/>
  <c r="AD154" i="44" s="1"/>
  <c r="AA76" i="44"/>
  <c r="AA89" i="44"/>
  <c r="AB89" i="44" s="1"/>
  <c r="AC89" i="44" s="1"/>
  <c r="AD89" i="44" s="1"/>
  <c r="AA94" i="44"/>
  <c r="AB94" i="44" s="1"/>
  <c r="AC94" i="44" s="1"/>
  <c r="AD94" i="44" s="1"/>
  <c r="AA72" i="44"/>
  <c r="AE72" i="44" s="1"/>
  <c r="AF72" i="44" s="1"/>
  <c r="AG72" i="44" s="1"/>
  <c r="AH72" i="44" s="1"/>
  <c r="AA150" i="44"/>
  <c r="AE150" i="44" s="1"/>
  <c r="AF150" i="44" s="1"/>
  <c r="AG150" i="44" s="1"/>
  <c r="AH150" i="44" s="1"/>
  <c r="AA106" i="44"/>
  <c r="AE106" i="44" s="1"/>
  <c r="AF106" i="44" s="1"/>
  <c r="AG106" i="44" s="1"/>
  <c r="AH106" i="44" s="1"/>
  <c r="AA158" i="44"/>
  <c r="AE158" i="44" s="1"/>
  <c r="AF158" i="44" s="1"/>
  <c r="AG158" i="44" s="1"/>
  <c r="AH158" i="44" s="1"/>
  <c r="AA149" i="44"/>
  <c r="AB149" i="44" s="1"/>
  <c r="AC149" i="44" s="1"/>
  <c r="AD149" i="44" s="1"/>
  <c r="AA69" i="44"/>
  <c r="AB69" i="44" s="1"/>
  <c r="AC69" i="44" s="1"/>
  <c r="AD69" i="44" s="1"/>
  <c r="AA155" i="44"/>
  <c r="AA142" i="44"/>
  <c r="AB142" i="44" s="1"/>
  <c r="AC142" i="44" s="1"/>
  <c r="AD142" i="44" s="1"/>
  <c r="AA102" i="44"/>
  <c r="AE102" i="44" s="1"/>
  <c r="AF102" i="44" s="1"/>
  <c r="AG102" i="44" s="1"/>
  <c r="AH102" i="44" s="1"/>
  <c r="AL72" i="44"/>
  <c r="AM72" i="44" s="1"/>
  <c r="AN72" i="44" s="1"/>
  <c r="AA133" i="44"/>
  <c r="AB133" i="44" s="1"/>
  <c r="AC133" i="44" s="1"/>
  <c r="AD133" i="44" s="1"/>
  <c r="AA100" i="44"/>
  <c r="AE100" i="44" s="1"/>
  <c r="AF100" i="44" s="1"/>
  <c r="AG100" i="44" s="1"/>
  <c r="AH100" i="44" s="1"/>
  <c r="AL66" i="44"/>
  <c r="AM66" i="44" s="1"/>
  <c r="AN66" i="44" s="1"/>
  <c r="AA116" i="44"/>
  <c r="AE116" i="44" s="1"/>
  <c r="AF116" i="44" s="1"/>
  <c r="AG116" i="44" s="1"/>
  <c r="AH116" i="44" s="1"/>
  <c r="AA86" i="44"/>
  <c r="AE86" i="44" s="1"/>
  <c r="AF86" i="44" s="1"/>
  <c r="AG86" i="44" s="1"/>
  <c r="AH86" i="44" s="1"/>
  <c r="AL64" i="44"/>
  <c r="AM64" i="44" s="1"/>
  <c r="AN64" i="44" s="1"/>
  <c r="AA111" i="44"/>
  <c r="AB111" i="44" s="1"/>
  <c r="AC111" i="44" s="1"/>
  <c r="AD111" i="44" s="1"/>
  <c r="AA74" i="44"/>
  <c r="AB74" i="44" s="1"/>
  <c r="AC74" i="44" s="1"/>
  <c r="AD74" i="44" s="1"/>
  <c r="AA147" i="44"/>
  <c r="AB147" i="44" s="1"/>
  <c r="AC147" i="44" s="1"/>
  <c r="AD147" i="44" s="1"/>
  <c r="AA75" i="44"/>
  <c r="AE75" i="44" s="1"/>
  <c r="AF75" i="44" s="1"/>
  <c r="AG75" i="44" s="1"/>
  <c r="AH75" i="44" s="1"/>
  <c r="AL67" i="44"/>
  <c r="AR67" i="44" s="1"/>
  <c r="AS67" i="44" s="1"/>
  <c r="AT67" i="44" s="1"/>
  <c r="AU67" i="44" s="1"/>
  <c r="AA160" i="44"/>
  <c r="AE160" i="44" s="1"/>
  <c r="AF160" i="44" s="1"/>
  <c r="AG160" i="44" s="1"/>
  <c r="AH160" i="44" s="1"/>
  <c r="AA153" i="44"/>
  <c r="AE153" i="44" s="1"/>
  <c r="AF153" i="44" s="1"/>
  <c r="AG153" i="44" s="1"/>
  <c r="AH153" i="44" s="1"/>
  <c r="AA78" i="44"/>
  <c r="AB78" i="44" s="1"/>
  <c r="AC78" i="44" s="1"/>
  <c r="AD78" i="44" s="1"/>
  <c r="AL71" i="44"/>
  <c r="AM71" i="44" s="1"/>
  <c r="AA103" i="44"/>
  <c r="AE103" i="44" s="1"/>
  <c r="AF103" i="44" s="1"/>
  <c r="AG103" i="44" s="1"/>
  <c r="AH103" i="44" s="1"/>
  <c r="AA92" i="44"/>
  <c r="AE92" i="44" s="1"/>
  <c r="AF92" i="44" s="1"/>
  <c r="AG92" i="44" s="1"/>
  <c r="AH92" i="44" s="1"/>
  <c r="AA157" i="44"/>
  <c r="AE157" i="44" s="1"/>
  <c r="AF157" i="44" s="1"/>
  <c r="AG157" i="44" s="1"/>
  <c r="AH157" i="44" s="1"/>
  <c r="AL73" i="44"/>
  <c r="AA79" i="44"/>
  <c r="AB79" i="44" s="1"/>
  <c r="AC79" i="44" s="1"/>
  <c r="AD79" i="44" s="1"/>
  <c r="AA80" i="44"/>
  <c r="AE80" i="44" s="1"/>
  <c r="AF80" i="44" s="1"/>
  <c r="AG80" i="44" s="1"/>
  <c r="AH80" i="44" s="1"/>
  <c r="AA110" i="44"/>
  <c r="AB110" i="44" s="1"/>
  <c r="AC110" i="44" s="1"/>
  <c r="AD110" i="44" s="1"/>
  <c r="AA119" i="44"/>
  <c r="AE119" i="44" s="1"/>
  <c r="AF119" i="44" s="1"/>
  <c r="AG119" i="44" s="1"/>
  <c r="AH119" i="44" s="1"/>
  <c r="AA130" i="44"/>
  <c r="AB130" i="44" s="1"/>
  <c r="AC130" i="44" s="1"/>
  <c r="AD130" i="44" s="1"/>
  <c r="AA114" i="44"/>
  <c r="AB114" i="44" s="1"/>
  <c r="AC114" i="44" s="1"/>
  <c r="AD114" i="44" s="1"/>
  <c r="AL68" i="44"/>
  <c r="AM68" i="44" s="1"/>
  <c r="AA84" i="44"/>
  <c r="AE84" i="44" s="1"/>
  <c r="AF84" i="44" s="1"/>
  <c r="AG84" i="44" s="1"/>
  <c r="AH84" i="44" s="1"/>
  <c r="AA71" i="44"/>
  <c r="AB71" i="44" s="1"/>
  <c r="AC71" i="44" s="1"/>
  <c r="AD71" i="44" s="1"/>
  <c r="AA126" i="44"/>
  <c r="AB126" i="44" s="1"/>
  <c r="AC126" i="44" s="1"/>
  <c r="AD126" i="44" s="1"/>
  <c r="AA123" i="44"/>
  <c r="AB123" i="44" s="1"/>
  <c r="AC123" i="44" s="1"/>
  <c r="AD123" i="44" s="1"/>
  <c r="AA117" i="44"/>
  <c r="AB117" i="44" s="1"/>
  <c r="AC117" i="44" s="1"/>
  <c r="AD117" i="44" s="1"/>
  <c r="AA162" i="44"/>
  <c r="AB162" i="44" s="1"/>
  <c r="AC162" i="44" s="1"/>
  <c r="AD162" i="44" s="1"/>
  <c r="AA70" i="44"/>
  <c r="AE70" i="44" s="1"/>
  <c r="AF70" i="44" s="1"/>
  <c r="AG70" i="44" s="1"/>
  <c r="AH70" i="44" s="1"/>
  <c r="AA146" i="44"/>
  <c r="AB146" i="44" s="1"/>
  <c r="AC146" i="44" s="1"/>
  <c r="AD146" i="44" s="1"/>
  <c r="AL65" i="44"/>
  <c r="AM65" i="44" s="1"/>
  <c r="AA139" i="44"/>
  <c r="AB139" i="44" s="1"/>
  <c r="AC139" i="44" s="1"/>
  <c r="AD139" i="44" s="1"/>
  <c r="AA107" i="44"/>
  <c r="AB107" i="44" s="1"/>
  <c r="AC107" i="44" s="1"/>
  <c r="AD107" i="44" s="1"/>
  <c r="AA63" i="44"/>
  <c r="AB63" i="44" s="1"/>
  <c r="AC63" i="44" s="1"/>
  <c r="AD63" i="44" s="1"/>
  <c r="AR72" i="44" l="1"/>
  <c r="AS72" i="44" s="1"/>
  <c r="AT72" i="44" s="1"/>
  <c r="AU72" i="44" s="1"/>
  <c r="AR71" i="44"/>
  <c r="AS71" i="44" s="1"/>
  <c r="AT71" i="44" s="1"/>
  <c r="AU71" i="44" s="1"/>
  <c r="AE133" i="44"/>
  <c r="AF133" i="44" s="1"/>
  <c r="AG133" i="44" s="1"/>
  <c r="AH133" i="44" s="1"/>
  <c r="AE147" i="44"/>
  <c r="AF147" i="44" s="1"/>
  <c r="AG147" i="44" s="1"/>
  <c r="AH147" i="44" s="1"/>
  <c r="AE69" i="44"/>
  <c r="AF69" i="44" s="1"/>
  <c r="AG69" i="44" s="1"/>
  <c r="AH69" i="44" s="1"/>
  <c r="AE78" i="44"/>
  <c r="AF78" i="44" s="1"/>
  <c r="AG78" i="44" s="1"/>
  <c r="AH78" i="44" s="1"/>
  <c r="AR68" i="44"/>
  <c r="AS68" i="44" s="1"/>
  <c r="AT68" i="44" s="1"/>
  <c r="AU68" i="44" s="1"/>
  <c r="AB113" i="44"/>
  <c r="AC113" i="44" s="1"/>
  <c r="AD113" i="44" s="1"/>
  <c r="AB127" i="44"/>
  <c r="AC127" i="44" s="1"/>
  <c r="AD127" i="44" s="1"/>
  <c r="AM63" i="44"/>
  <c r="AN63" i="44" s="1"/>
  <c r="AO63" i="44" s="1"/>
  <c r="AP63" i="44" s="1"/>
  <c r="AQ63" i="44" s="1"/>
  <c r="AE111" i="44"/>
  <c r="AF111" i="44" s="1"/>
  <c r="AG111" i="44" s="1"/>
  <c r="AH111" i="44" s="1"/>
  <c r="AB92" i="44"/>
  <c r="AC92" i="44" s="1"/>
  <c r="AD92" i="44" s="1"/>
  <c r="AB150" i="44"/>
  <c r="AC150" i="44" s="1"/>
  <c r="AD150" i="44" s="1"/>
  <c r="AB120" i="44"/>
  <c r="AC120" i="44" s="1"/>
  <c r="AD120" i="44" s="1"/>
  <c r="AE118" i="44"/>
  <c r="AF118" i="44" s="1"/>
  <c r="AG118" i="44" s="1"/>
  <c r="AH118" i="44" s="1"/>
  <c r="AR66" i="44"/>
  <c r="AE122" i="44"/>
  <c r="AF122" i="44" s="1"/>
  <c r="AG122" i="44" s="1"/>
  <c r="AH122" i="44" s="1"/>
  <c r="AE125" i="44"/>
  <c r="AF125" i="44" s="1"/>
  <c r="AG125" i="44" s="1"/>
  <c r="AH125" i="44" s="1"/>
  <c r="AE83" i="44"/>
  <c r="AF83" i="44" s="1"/>
  <c r="AG83" i="44" s="1"/>
  <c r="AH83" i="44" s="1"/>
  <c r="AE131" i="44"/>
  <c r="AF131" i="44" s="1"/>
  <c r="AG131" i="44" s="1"/>
  <c r="AH131" i="44" s="1"/>
  <c r="AE96" i="44"/>
  <c r="AF96" i="44" s="1"/>
  <c r="AG96" i="44" s="1"/>
  <c r="AH96" i="44" s="1"/>
  <c r="AB102" i="44"/>
  <c r="AC102" i="44" s="1"/>
  <c r="AD102" i="44" s="1"/>
  <c r="AR64" i="44"/>
  <c r="AS64" i="44" s="1"/>
  <c r="AT64" i="44" s="1"/>
  <c r="AU64" i="44" s="1"/>
  <c r="AR70" i="44"/>
  <c r="AS70" i="44" s="1"/>
  <c r="AT70" i="44" s="1"/>
  <c r="AU70" i="44" s="1"/>
  <c r="AE65" i="44"/>
  <c r="AF65" i="44" s="1"/>
  <c r="AG65" i="44" s="1"/>
  <c r="AH65" i="44" s="1"/>
  <c r="AE154" i="44"/>
  <c r="AF154" i="44" s="1"/>
  <c r="AG154" i="44" s="1"/>
  <c r="AH154" i="44" s="1"/>
  <c r="AE98" i="44"/>
  <c r="AF98" i="44" s="1"/>
  <c r="AG98" i="44" s="1"/>
  <c r="AH98" i="44" s="1"/>
  <c r="AE130" i="44"/>
  <c r="AF130" i="44" s="1"/>
  <c r="AG130" i="44" s="1"/>
  <c r="AH130" i="44" s="1"/>
  <c r="AB86" i="44"/>
  <c r="AC86" i="44" s="1"/>
  <c r="AD86" i="44" s="1"/>
  <c r="AE143" i="44"/>
  <c r="AF143" i="44" s="1"/>
  <c r="AG143" i="44" s="1"/>
  <c r="AH143" i="44" s="1"/>
  <c r="AE81" i="44"/>
  <c r="AF81" i="44" s="1"/>
  <c r="AG81" i="44" s="1"/>
  <c r="AH81" i="44" s="1"/>
  <c r="AB128" i="44"/>
  <c r="AC128" i="44" s="1"/>
  <c r="AD128" i="44" s="1"/>
  <c r="AB77" i="44"/>
  <c r="AC77" i="44" s="1"/>
  <c r="AD77" i="44" s="1"/>
  <c r="AR65" i="44"/>
  <c r="AS65" i="44" s="1"/>
  <c r="AT65" i="44" s="1"/>
  <c r="AU65" i="44" s="1"/>
  <c r="AB160" i="44"/>
  <c r="AC160" i="44" s="1"/>
  <c r="AD160" i="44" s="1"/>
  <c r="AE117" i="44"/>
  <c r="AF117" i="44" s="1"/>
  <c r="AG117" i="44" s="1"/>
  <c r="AH117" i="44" s="1"/>
  <c r="AB103" i="44"/>
  <c r="AC103" i="44" s="1"/>
  <c r="AD103" i="44" s="1"/>
  <c r="AB75" i="44"/>
  <c r="AC75" i="44" s="1"/>
  <c r="AD75" i="44" s="1"/>
  <c r="AB116" i="44"/>
  <c r="AC116" i="44" s="1"/>
  <c r="AD116" i="44" s="1"/>
  <c r="AB140" i="44"/>
  <c r="AC140" i="44" s="1"/>
  <c r="AD140" i="44" s="1"/>
  <c r="AE91" i="44"/>
  <c r="AF91" i="44" s="1"/>
  <c r="AG91" i="44" s="1"/>
  <c r="AH91" i="44" s="1"/>
  <c r="AE66" i="44"/>
  <c r="AF66" i="44" s="1"/>
  <c r="AG66" i="44" s="1"/>
  <c r="AH66" i="44" s="1"/>
  <c r="AE126" i="44"/>
  <c r="AF126" i="44" s="1"/>
  <c r="AG126" i="44" s="1"/>
  <c r="AH126" i="44" s="1"/>
  <c r="AE101" i="44"/>
  <c r="AF101" i="44" s="1"/>
  <c r="AG101" i="44" s="1"/>
  <c r="AH101" i="44" s="1"/>
  <c r="AB67" i="44"/>
  <c r="AC67" i="44" s="1"/>
  <c r="AD67" i="44" s="1"/>
  <c r="AE110" i="44"/>
  <c r="AF110" i="44" s="1"/>
  <c r="AG110" i="44" s="1"/>
  <c r="AH110" i="44" s="1"/>
  <c r="AB112" i="44"/>
  <c r="AC112" i="44" s="1"/>
  <c r="AD112" i="44" s="1"/>
  <c r="AE95" i="44"/>
  <c r="AF95" i="44" s="1"/>
  <c r="AG95" i="44" s="1"/>
  <c r="AH95" i="44" s="1"/>
  <c r="AE97" i="44"/>
  <c r="AF97" i="44" s="1"/>
  <c r="AG97" i="44" s="1"/>
  <c r="AH97" i="44" s="1"/>
  <c r="AN74" i="44"/>
  <c r="AB70" i="44"/>
  <c r="AC70" i="44" s="1"/>
  <c r="AD70" i="44" s="1"/>
  <c r="AE94" i="44"/>
  <c r="AF94" i="44" s="1"/>
  <c r="AG94" i="44" s="1"/>
  <c r="AH94" i="44" s="1"/>
  <c r="AB64" i="44"/>
  <c r="AC64" i="44" s="1"/>
  <c r="AD64" i="44" s="1"/>
  <c r="AB84" i="44"/>
  <c r="AC84" i="44" s="1"/>
  <c r="AD84" i="44" s="1"/>
  <c r="AB80" i="44"/>
  <c r="AC80" i="44" s="1"/>
  <c r="AD80" i="44" s="1"/>
  <c r="AE114" i="44"/>
  <c r="AF114" i="44" s="1"/>
  <c r="AG114" i="44" s="1"/>
  <c r="AH114" i="44" s="1"/>
  <c r="AE79" i="44"/>
  <c r="AF79" i="44" s="1"/>
  <c r="AG79" i="44" s="1"/>
  <c r="AH79" i="44" s="1"/>
  <c r="AE156" i="44"/>
  <c r="AF156" i="44" s="1"/>
  <c r="AG156" i="44" s="1"/>
  <c r="AH156" i="44" s="1"/>
  <c r="AB105" i="44"/>
  <c r="AC105" i="44" s="1"/>
  <c r="AD105" i="44" s="1"/>
  <c r="AN71" i="44"/>
  <c r="AO71" i="44" s="1"/>
  <c r="AP71" i="44" s="1"/>
  <c r="AQ71" i="44" s="1"/>
  <c r="AB82" i="44"/>
  <c r="AC82" i="44" s="1"/>
  <c r="AD82" i="44" s="1"/>
  <c r="AE63" i="44"/>
  <c r="AF63" i="44" s="1"/>
  <c r="AG63" i="44" s="1"/>
  <c r="AH63" i="44" s="1"/>
  <c r="AE162" i="44"/>
  <c r="AF162" i="44" s="1"/>
  <c r="AG162" i="44" s="1"/>
  <c r="AH162" i="44" s="1"/>
  <c r="AB157" i="44"/>
  <c r="AC157" i="44" s="1"/>
  <c r="AD157" i="44" s="1"/>
  <c r="AB73" i="44"/>
  <c r="AC73" i="44" s="1"/>
  <c r="AD73" i="44" s="1"/>
  <c r="AE161" i="44"/>
  <c r="AF161" i="44" s="1"/>
  <c r="AG161" i="44" s="1"/>
  <c r="AH161" i="44" s="1"/>
  <c r="AB108" i="44"/>
  <c r="AC108" i="44" s="1"/>
  <c r="AD108" i="44" s="1"/>
  <c r="AE85" i="44"/>
  <c r="AF85" i="44" s="1"/>
  <c r="AG85" i="44" s="1"/>
  <c r="AH85" i="44" s="1"/>
  <c r="AE109" i="44"/>
  <c r="AF109" i="44" s="1"/>
  <c r="AG109" i="44" s="1"/>
  <c r="AH109" i="44" s="1"/>
  <c r="AB151" i="44"/>
  <c r="AC151" i="44" s="1"/>
  <c r="AD151" i="44" s="1"/>
  <c r="AB90" i="44"/>
  <c r="AC90" i="44" s="1"/>
  <c r="AD90" i="44" s="1"/>
  <c r="AN70" i="44"/>
  <c r="AE146" i="44"/>
  <c r="AF146" i="44" s="1"/>
  <c r="AG146" i="44" s="1"/>
  <c r="AH146" i="44" s="1"/>
  <c r="AE123" i="44"/>
  <c r="AF123" i="44" s="1"/>
  <c r="AG123" i="44" s="1"/>
  <c r="AH123" i="44" s="1"/>
  <c r="AE74" i="44"/>
  <c r="AF74" i="44" s="1"/>
  <c r="AG74" i="44" s="1"/>
  <c r="AH74" i="44" s="1"/>
  <c r="AB104" i="44"/>
  <c r="AC104" i="44" s="1"/>
  <c r="AD104" i="44" s="1"/>
  <c r="AE137" i="44"/>
  <c r="AF137" i="44" s="1"/>
  <c r="AG137" i="44" s="1"/>
  <c r="AH137" i="44" s="1"/>
  <c r="AE99" i="44"/>
  <c r="AF99" i="44" s="1"/>
  <c r="AG99" i="44" s="1"/>
  <c r="AH99" i="44" s="1"/>
  <c r="AE144" i="44"/>
  <c r="AF144" i="44" s="1"/>
  <c r="AG144" i="44" s="1"/>
  <c r="AH144" i="44" s="1"/>
  <c r="AR74" i="44"/>
  <c r="AS74" i="44" s="1"/>
  <c r="AT74" i="44" s="1"/>
  <c r="AU74" i="44" s="1"/>
  <c r="AE107" i="44"/>
  <c r="AF107" i="44" s="1"/>
  <c r="AG107" i="44" s="1"/>
  <c r="AH107" i="44" s="1"/>
  <c r="AE149" i="44"/>
  <c r="AF149" i="44" s="1"/>
  <c r="AG149" i="44" s="1"/>
  <c r="AH149" i="44" s="1"/>
  <c r="AE89" i="44"/>
  <c r="AF89" i="44" s="1"/>
  <c r="AG89" i="44" s="1"/>
  <c r="AH89" i="44" s="1"/>
  <c r="AE136" i="44"/>
  <c r="AF136" i="44" s="1"/>
  <c r="AG136" i="44" s="1"/>
  <c r="AH136" i="44" s="1"/>
  <c r="AE142" i="44"/>
  <c r="AF142" i="44" s="1"/>
  <c r="AG142" i="44" s="1"/>
  <c r="AH142" i="44" s="1"/>
  <c r="AB158" i="44"/>
  <c r="AC158" i="44" s="1"/>
  <c r="AD158" i="44" s="1"/>
  <c r="AB106" i="44"/>
  <c r="AC106" i="44" s="1"/>
  <c r="AD106" i="44" s="1"/>
  <c r="AE139" i="44"/>
  <c r="AF139" i="44" s="1"/>
  <c r="AG139" i="44" s="1"/>
  <c r="AH139" i="44" s="1"/>
  <c r="AM67" i="44"/>
  <c r="AN67" i="44" s="1"/>
  <c r="AE152" i="44"/>
  <c r="AF152" i="44" s="1"/>
  <c r="AG152" i="44" s="1"/>
  <c r="AH152" i="44" s="1"/>
  <c r="AE93" i="44"/>
  <c r="AF93" i="44" s="1"/>
  <c r="AG93" i="44" s="1"/>
  <c r="AH93" i="44" s="1"/>
  <c r="AN68" i="44"/>
  <c r="AO68" i="44"/>
  <c r="AP68" i="44" s="1"/>
  <c r="AQ68" i="44" s="1"/>
  <c r="AE135" i="44"/>
  <c r="AF135" i="44" s="1"/>
  <c r="AG135" i="44" s="1"/>
  <c r="AH135" i="44" s="1"/>
  <c r="AB135" i="44"/>
  <c r="AC135" i="44" s="1"/>
  <c r="AD135" i="44" s="1"/>
  <c r="AM73" i="44"/>
  <c r="AR73" i="44"/>
  <c r="AS73" i="44" s="1"/>
  <c r="AT73" i="44" s="1"/>
  <c r="AU73" i="44" s="1"/>
  <c r="AO64" i="44"/>
  <c r="AP64" i="44" s="1"/>
  <c r="AQ64" i="44" s="1"/>
  <c r="AE71" i="44"/>
  <c r="AF71" i="44" s="1"/>
  <c r="AG71" i="44" s="1"/>
  <c r="AH71" i="44" s="1"/>
  <c r="AB68" i="44"/>
  <c r="AC68" i="44" s="1"/>
  <c r="AD68" i="44" s="1"/>
  <c r="AE68" i="44"/>
  <c r="AF68" i="44" s="1"/>
  <c r="AG68" i="44" s="1"/>
  <c r="AH68" i="44" s="1"/>
  <c r="AO66" i="44"/>
  <c r="AE76" i="44"/>
  <c r="AF76" i="44" s="1"/>
  <c r="AG76" i="44" s="1"/>
  <c r="AH76" i="44" s="1"/>
  <c r="AB76" i="44"/>
  <c r="AC76" i="44" s="1"/>
  <c r="AD76" i="44" s="1"/>
  <c r="AU63" i="44"/>
  <c r="AE141" i="44"/>
  <c r="AF141" i="44" s="1"/>
  <c r="AG141" i="44" s="1"/>
  <c r="AH141" i="44" s="1"/>
  <c r="AM69" i="44"/>
  <c r="AR69" i="44"/>
  <c r="AS69" i="44" s="1"/>
  <c r="AT69" i="44" s="1"/>
  <c r="AU69" i="44" s="1"/>
  <c r="AB100" i="44"/>
  <c r="AC100" i="44" s="1"/>
  <c r="AD100" i="44" s="1"/>
  <c r="AE155" i="44"/>
  <c r="AF155" i="44" s="1"/>
  <c r="AG155" i="44" s="1"/>
  <c r="AH155" i="44" s="1"/>
  <c r="AB155" i="44"/>
  <c r="AC155" i="44" s="1"/>
  <c r="AD155" i="44" s="1"/>
  <c r="AB138" i="44"/>
  <c r="AC138" i="44" s="1"/>
  <c r="AD138" i="44" s="1"/>
  <c r="AE138" i="44"/>
  <c r="AF138" i="44" s="1"/>
  <c r="AG138" i="44" s="1"/>
  <c r="AH138" i="44" s="1"/>
  <c r="AE115" i="44"/>
  <c r="AF115" i="44" s="1"/>
  <c r="AG115" i="44" s="1"/>
  <c r="AH115" i="44" s="1"/>
  <c r="AB124" i="44"/>
  <c r="AC124" i="44" s="1"/>
  <c r="AD124" i="44" s="1"/>
  <c r="AB145" i="44"/>
  <c r="AC145" i="44" s="1"/>
  <c r="AD145" i="44" s="1"/>
  <c r="AE87" i="44"/>
  <c r="AF87" i="44" s="1"/>
  <c r="AG87" i="44" s="1"/>
  <c r="AH87" i="44" s="1"/>
  <c r="AB87" i="44"/>
  <c r="AC87" i="44" s="1"/>
  <c r="AD87" i="44" s="1"/>
  <c r="AB72" i="44"/>
  <c r="AC72" i="44" s="1"/>
  <c r="AD72" i="44" s="1"/>
  <c r="AB153" i="44"/>
  <c r="AC153" i="44" s="1"/>
  <c r="AD153" i="44" s="1"/>
  <c r="AN65" i="44"/>
  <c r="AO65" i="44" s="1"/>
  <c r="AP65" i="44" s="1"/>
  <c r="AQ65" i="44" s="1"/>
  <c r="AB88" i="44"/>
  <c r="AC88" i="44" s="1"/>
  <c r="AD88" i="44" s="1"/>
  <c r="AE88" i="44"/>
  <c r="AF88" i="44" s="1"/>
  <c r="AG88" i="44" s="1"/>
  <c r="AH88" i="44" s="1"/>
  <c r="AB159" i="44"/>
  <c r="AC159" i="44" s="1"/>
  <c r="AD159" i="44" s="1"/>
  <c r="AO72" i="44"/>
  <c r="AP72" i="44" s="1"/>
  <c r="AQ72" i="44" s="1"/>
  <c r="AB119" i="44"/>
  <c r="AC119" i="44" s="1"/>
  <c r="AD119" i="44" s="1"/>
  <c r="AB134" i="44"/>
  <c r="AC134" i="44" s="1"/>
  <c r="AD134" i="44" s="1"/>
  <c r="AS62" i="44" l="1"/>
  <c r="AH62" i="44"/>
  <c r="AO67" i="44"/>
  <c r="AP67" i="44" s="1"/>
  <c r="AQ67" i="44" s="1"/>
  <c r="AD62" i="44"/>
  <c r="AC62" i="44"/>
  <c r="AN73" i="44"/>
  <c r="AO73" i="44"/>
  <c r="AP73" i="44" s="1"/>
  <c r="AQ73" i="44" s="1"/>
  <c r="AO69" i="44"/>
  <c r="AP69" i="44" s="1"/>
  <c r="AQ69" i="44" s="1"/>
  <c r="AN69" i="44"/>
  <c r="AF62" i="44"/>
  <c r="AG62" i="44"/>
  <c r="AT62" i="44"/>
  <c r="AU62" i="44"/>
  <c r="K24" i="44" s="1"/>
  <c r="H24" i="44" l="1"/>
  <c r="AQ62" i="44"/>
  <c r="E24" i="44" s="1"/>
  <c r="G24" i="44" s="1"/>
  <c r="AP62" i="44"/>
  <c r="D24" i="44" s="1"/>
  <c r="F24" i="44" s="1"/>
  <c r="I24" i="44"/>
  <c r="J24" i="44" l="1"/>
  <c r="L24" i="44" s="1"/>
  <c r="M24" i="44" s="1"/>
  <c r="B25" i="44" s="1"/>
  <c r="AX56" i="44" l="1"/>
  <c r="N24" i="44"/>
  <c r="C25" i="44" s="1"/>
  <c r="AX57" i="44" l="1"/>
  <c r="AY110" i="44" l="1"/>
  <c r="BJ72" i="44"/>
  <c r="AY94" i="44"/>
  <c r="AY105" i="44"/>
  <c r="AY118" i="44"/>
  <c r="BJ73" i="44"/>
  <c r="AY71" i="44"/>
  <c r="AY104" i="44"/>
  <c r="BJ65" i="44"/>
  <c r="AY113" i="44"/>
  <c r="AY135" i="44"/>
  <c r="AY131" i="44"/>
  <c r="BJ63" i="44"/>
  <c r="BJ70" i="44"/>
  <c r="AY152" i="44"/>
  <c r="AY120" i="44"/>
  <c r="AY70" i="44"/>
  <c r="AY116" i="44"/>
  <c r="AY88" i="44"/>
  <c r="AY117" i="44"/>
  <c r="AY77" i="44"/>
  <c r="AY100" i="44"/>
  <c r="AY67" i="44"/>
  <c r="AY107" i="44"/>
  <c r="AY145" i="44"/>
  <c r="AY103" i="44"/>
  <c r="AY141" i="44"/>
  <c r="AY96" i="44"/>
  <c r="AY122" i="44"/>
  <c r="AY143" i="44"/>
  <c r="AY142" i="44"/>
  <c r="AY109" i="44"/>
  <c r="AY74" i="44"/>
  <c r="AY155" i="44"/>
  <c r="AY140" i="44"/>
  <c r="AY130" i="44"/>
  <c r="BJ71" i="44"/>
  <c r="AY154" i="44"/>
  <c r="AY115" i="44"/>
  <c r="BJ69" i="44"/>
  <c r="AY134" i="44"/>
  <c r="AY126" i="44"/>
  <c r="AY85" i="44"/>
  <c r="AY133" i="44"/>
  <c r="AY72" i="44"/>
  <c r="AY80" i="44"/>
  <c r="AY119" i="44"/>
  <c r="AY78" i="44"/>
  <c r="AY75" i="44"/>
  <c r="AY83" i="44"/>
  <c r="AY161" i="44"/>
  <c r="AY125" i="44"/>
  <c r="AY123" i="44"/>
  <c r="AY160" i="44"/>
  <c r="AY147" i="44"/>
  <c r="AY112" i="44"/>
  <c r="BJ66" i="44"/>
  <c r="BJ74" i="44"/>
  <c r="AY146" i="44"/>
  <c r="AY73" i="44"/>
  <c r="AY158" i="44"/>
  <c r="AY144" i="44"/>
  <c r="AY99" i="44"/>
  <c r="AY157" i="44"/>
  <c r="AY102" i="44"/>
  <c r="AY97" i="44"/>
  <c r="AY132" i="44"/>
  <c r="AY159" i="44"/>
  <c r="AY156" i="44"/>
  <c r="AY139" i="44"/>
  <c r="AY153" i="44"/>
  <c r="AY86" i="44"/>
  <c r="AY65" i="44"/>
  <c r="AY68" i="44"/>
  <c r="AY121" i="44"/>
  <c r="AY106" i="44"/>
  <c r="AY124" i="44"/>
  <c r="AY136" i="44"/>
  <c r="AY151" i="44"/>
  <c r="AY76" i="44"/>
  <c r="AY108" i="44"/>
  <c r="AY111" i="44"/>
  <c r="AY64" i="44"/>
  <c r="AY138" i="44"/>
  <c r="BJ64" i="44"/>
  <c r="AY150" i="44"/>
  <c r="AY89" i="44"/>
  <c r="AY84" i="44"/>
  <c r="AY87" i="44"/>
  <c r="AY79" i="44"/>
  <c r="AY101" i="44"/>
  <c r="AY162" i="44"/>
  <c r="AY148" i="44"/>
  <c r="BJ68" i="44"/>
  <c r="AY129" i="44"/>
  <c r="AY95" i="44"/>
  <c r="AY93" i="44"/>
  <c r="AY63" i="44"/>
  <c r="BJ67" i="44"/>
  <c r="AY137" i="44"/>
  <c r="AY69" i="44"/>
  <c r="AY98" i="44"/>
  <c r="AY81" i="44"/>
  <c r="AY90" i="44"/>
  <c r="AY66" i="44"/>
  <c r="AY82" i="44"/>
  <c r="AY128" i="44"/>
  <c r="AY149" i="44"/>
  <c r="AY127" i="44"/>
  <c r="AY92" i="44"/>
  <c r="AY91" i="44"/>
  <c r="AY114" i="44"/>
  <c r="BC95" i="44" l="1"/>
  <c r="BD95" i="44" s="1"/>
  <c r="BE95" i="44" s="1"/>
  <c r="BF95" i="44" s="1"/>
  <c r="AZ95" i="44"/>
  <c r="BA95" i="44" s="1"/>
  <c r="BB95" i="44" s="1"/>
  <c r="AZ152" i="44"/>
  <c r="BA152" i="44" s="1"/>
  <c r="BB152" i="44" s="1"/>
  <c r="BC152" i="44"/>
  <c r="BD152" i="44" s="1"/>
  <c r="BE152" i="44" s="1"/>
  <c r="BF152" i="44" s="1"/>
  <c r="BC136" i="44"/>
  <c r="BD136" i="44" s="1"/>
  <c r="BE136" i="44" s="1"/>
  <c r="BF136" i="44" s="1"/>
  <c r="AZ136" i="44"/>
  <c r="BA136" i="44" s="1"/>
  <c r="BB136" i="44" s="1"/>
  <c r="AZ72" i="44"/>
  <c r="BA72" i="44" s="1"/>
  <c r="BB72" i="44" s="1"/>
  <c r="BC72" i="44"/>
  <c r="BD72" i="44" s="1"/>
  <c r="BE72" i="44" s="1"/>
  <c r="BF72" i="44" s="1"/>
  <c r="BC149" i="44"/>
  <c r="BD149" i="44" s="1"/>
  <c r="BE149" i="44" s="1"/>
  <c r="BF149" i="44" s="1"/>
  <c r="AZ149" i="44"/>
  <c r="BA149" i="44" s="1"/>
  <c r="BB149" i="44" s="1"/>
  <c r="AZ101" i="44"/>
  <c r="BA101" i="44" s="1"/>
  <c r="BB101" i="44" s="1"/>
  <c r="BC101" i="44"/>
  <c r="BD101" i="44" s="1"/>
  <c r="BE101" i="44" s="1"/>
  <c r="BF101" i="44" s="1"/>
  <c r="BC78" i="44"/>
  <c r="BD78" i="44" s="1"/>
  <c r="BE78" i="44" s="1"/>
  <c r="BF78" i="44" s="1"/>
  <c r="AZ78" i="44"/>
  <c r="BA78" i="44" s="1"/>
  <c r="BB78" i="44" s="1"/>
  <c r="BC119" i="44"/>
  <c r="BD119" i="44" s="1"/>
  <c r="BE119" i="44" s="1"/>
  <c r="BF119" i="44" s="1"/>
  <c r="AZ119" i="44"/>
  <c r="BA119" i="44" s="1"/>
  <c r="BB119" i="44" s="1"/>
  <c r="BP68" i="44"/>
  <c r="BQ68" i="44" s="1"/>
  <c r="BR68" i="44" s="1"/>
  <c r="BS68" i="44" s="1"/>
  <c r="BK68" i="44"/>
  <c r="AZ148" i="44"/>
  <c r="BA148" i="44" s="1"/>
  <c r="BB148" i="44" s="1"/>
  <c r="BC148" i="44"/>
  <c r="BD148" i="44" s="1"/>
  <c r="BE148" i="44" s="1"/>
  <c r="BF148" i="44" s="1"/>
  <c r="AZ73" i="44"/>
  <c r="BA73" i="44" s="1"/>
  <c r="BB73" i="44" s="1"/>
  <c r="BC73" i="44"/>
  <c r="BD73" i="44" s="1"/>
  <c r="BE73" i="44" s="1"/>
  <c r="BF73" i="44" s="1"/>
  <c r="BC121" i="44"/>
  <c r="BD121" i="44" s="1"/>
  <c r="BE121" i="44" s="1"/>
  <c r="BF121" i="44" s="1"/>
  <c r="AZ121" i="44"/>
  <c r="BA121" i="44" s="1"/>
  <c r="BB121" i="44" s="1"/>
  <c r="AZ68" i="44"/>
  <c r="BA68" i="44" s="1"/>
  <c r="BB68" i="44" s="1"/>
  <c r="BC68" i="44"/>
  <c r="BD68" i="44" s="1"/>
  <c r="BE68" i="44" s="1"/>
  <c r="BF68" i="44" s="1"/>
  <c r="AZ145" i="44"/>
  <c r="BA145" i="44" s="1"/>
  <c r="BB145" i="44" s="1"/>
  <c r="BC145" i="44"/>
  <c r="BD145" i="44" s="1"/>
  <c r="BE145" i="44" s="1"/>
  <c r="BF145" i="44" s="1"/>
  <c r="AZ147" i="44"/>
  <c r="BA147" i="44" s="1"/>
  <c r="BB147" i="44" s="1"/>
  <c r="BC147" i="44"/>
  <c r="BD147" i="44" s="1"/>
  <c r="BE147" i="44" s="1"/>
  <c r="BF147" i="44" s="1"/>
  <c r="AZ139" i="44"/>
  <c r="BA139" i="44" s="1"/>
  <c r="BB139" i="44" s="1"/>
  <c r="BC139" i="44"/>
  <c r="BD139" i="44" s="1"/>
  <c r="BE139" i="44" s="1"/>
  <c r="BF139" i="44" s="1"/>
  <c r="BK73" i="44"/>
  <c r="BL73" i="44" s="1"/>
  <c r="BM73" i="44" s="1"/>
  <c r="BN73" i="44" s="1"/>
  <c r="BO73" i="44" s="1"/>
  <c r="BP73" i="44"/>
  <c r="BQ73" i="44" s="1"/>
  <c r="BR73" i="44" s="1"/>
  <c r="BS73" i="44" s="1"/>
  <c r="AZ76" i="44"/>
  <c r="BA76" i="44" s="1"/>
  <c r="BB76" i="44" s="1"/>
  <c r="BC76" i="44"/>
  <c r="BD76" i="44" s="1"/>
  <c r="BE76" i="44" s="1"/>
  <c r="BF76" i="44" s="1"/>
  <c r="BK70" i="44"/>
  <c r="BP70" i="44"/>
  <c r="BQ70" i="44" s="1"/>
  <c r="BR70" i="44" s="1"/>
  <c r="BS70" i="44" s="1"/>
  <c r="AZ131" i="44"/>
  <c r="BA131" i="44" s="1"/>
  <c r="BB131" i="44" s="1"/>
  <c r="BC131" i="44"/>
  <c r="BD131" i="44" s="1"/>
  <c r="BE131" i="44" s="1"/>
  <c r="BF131" i="44" s="1"/>
  <c r="BC128" i="44"/>
  <c r="BD128" i="44" s="1"/>
  <c r="BE128" i="44" s="1"/>
  <c r="BF128" i="44" s="1"/>
  <c r="AZ128" i="44"/>
  <c r="BA128" i="44" s="1"/>
  <c r="BB128" i="44" s="1"/>
  <c r="AZ113" i="44"/>
  <c r="BA113" i="44" s="1"/>
  <c r="BB113" i="44" s="1"/>
  <c r="BC113" i="44"/>
  <c r="BD113" i="44" s="1"/>
  <c r="BE113" i="44" s="1"/>
  <c r="BF113" i="44" s="1"/>
  <c r="BP66" i="44"/>
  <c r="BK66" i="44"/>
  <c r="BP69" i="44"/>
  <c r="BQ69" i="44" s="1"/>
  <c r="BR69" i="44" s="1"/>
  <c r="BS69" i="44" s="1"/>
  <c r="BK69" i="44"/>
  <c r="BP64" i="44"/>
  <c r="BQ64" i="44" s="1"/>
  <c r="BR64" i="44" s="1"/>
  <c r="BS64" i="44" s="1"/>
  <c r="BK64" i="44"/>
  <c r="BL64" i="44" s="1"/>
  <c r="BM64" i="44" s="1"/>
  <c r="BN64" i="44" s="1"/>
  <c r="BO64" i="44" s="1"/>
  <c r="BP71" i="44"/>
  <c r="BQ71" i="44" s="1"/>
  <c r="BR71" i="44" s="1"/>
  <c r="BS71" i="44" s="1"/>
  <c r="BK71" i="44"/>
  <c r="BL71" i="44" s="1"/>
  <c r="BM71" i="44" s="1"/>
  <c r="BN71" i="44" s="1"/>
  <c r="BO71" i="44" s="1"/>
  <c r="AZ77" i="44"/>
  <c r="BA77" i="44" s="1"/>
  <c r="BB77" i="44" s="1"/>
  <c r="BC77" i="44"/>
  <c r="BD77" i="44" s="1"/>
  <c r="BE77" i="44" s="1"/>
  <c r="BF77" i="44" s="1"/>
  <c r="BC118" i="44"/>
  <c r="BD118" i="44" s="1"/>
  <c r="BE118" i="44" s="1"/>
  <c r="BF118" i="44" s="1"/>
  <c r="AZ118" i="44"/>
  <c r="BA118" i="44" s="1"/>
  <c r="BB118" i="44" s="1"/>
  <c r="BC157" i="44"/>
  <c r="BD157" i="44" s="1"/>
  <c r="BE157" i="44" s="1"/>
  <c r="BF157" i="44" s="1"/>
  <c r="AZ157" i="44"/>
  <c r="BA157" i="44" s="1"/>
  <c r="BB157" i="44" s="1"/>
  <c r="AZ129" i="44"/>
  <c r="BA129" i="44" s="1"/>
  <c r="BB129" i="44" s="1"/>
  <c r="BC129" i="44"/>
  <c r="BD129" i="44" s="1"/>
  <c r="BE129" i="44" s="1"/>
  <c r="BF129" i="44" s="1"/>
  <c r="AZ99" i="44"/>
  <c r="BA99" i="44" s="1"/>
  <c r="BB99" i="44" s="1"/>
  <c r="BC99" i="44"/>
  <c r="BD99" i="44" s="1"/>
  <c r="BE99" i="44" s="1"/>
  <c r="BF99" i="44" s="1"/>
  <c r="AZ80" i="44"/>
  <c r="BA80" i="44" s="1"/>
  <c r="BB80" i="44" s="1"/>
  <c r="BC80" i="44"/>
  <c r="BD80" i="44" s="1"/>
  <c r="BE80" i="44" s="1"/>
  <c r="BF80" i="44" s="1"/>
  <c r="BC127" i="44"/>
  <c r="BD127" i="44" s="1"/>
  <c r="BE127" i="44" s="1"/>
  <c r="BF127" i="44" s="1"/>
  <c r="AZ127" i="44"/>
  <c r="BA127" i="44" s="1"/>
  <c r="BB127" i="44" s="1"/>
  <c r="BC158" i="44"/>
  <c r="BD158" i="44" s="1"/>
  <c r="BE158" i="44" s="1"/>
  <c r="BF158" i="44" s="1"/>
  <c r="AZ158" i="44"/>
  <c r="BA158" i="44" s="1"/>
  <c r="BB158" i="44" s="1"/>
  <c r="BC133" i="44"/>
  <c r="BD133" i="44" s="1"/>
  <c r="BE133" i="44" s="1"/>
  <c r="BF133" i="44" s="1"/>
  <c r="AZ133" i="44"/>
  <c r="BA133" i="44" s="1"/>
  <c r="BB133" i="44" s="1"/>
  <c r="BC141" i="44"/>
  <c r="BD141" i="44" s="1"/>
  <c r="BE141" i="44" s="1"/>
  <c r="BF141" i="44" s="1"/>
  <c r="AZ141" i="44"/>
  <c r="BA141" i="44" s="1"/>
  <c r="BB141" i="44" s="1"/>
  <c r="AZ126" i="44"/>
  <c r="BA126" i="44" s="1"/>
  <c r="BB126" i="44" s="1"/>
  <c r="BC126" i="44"/>
  <c r="BD126" i="44" s="1"/>
  <c r="BE126" i="44" s="1"/>
  <c r="BF126" i="44" s="1"/>
  <c r="BC87" i="44"/>
  <c r="BD87" i="44" s="1"/>
  <c r="BE87" i="44" s="1"/>
  <c r="BF87" i="44" s="1"/>
  <c r="AZ87" i="44"/>
  <c r="BA87" i="44" s="1"/>
  <c r="BB87" i="44" s="1"/>
  <c r="AZ107" i="44"/>
  <c r="BA107" i="44" s="1"/>
  <c r="BB107" i="44" s="1"/>
  <c r="BC107" i="44"/>
  <c r="BD107" i="44" s="1"/>
  <c r="BE107" i="44" s="1"/>
  <c r="BF107" i="44" s="1"/>
  <c r="AZ153" i="44"/>
  <c r="BA153" i="44" s="1"/>
  <c r="BB153" i="44" s="1"/>
  <c r="BC153" i="44"/>
  <c r="BD153" i="44" s="1"/>
  <c r="BE153" i="44" s="1"/>
  <c r="BF153" i="44" s="1"/>
  <c r="AZ154" i="44"/>
  <c r="BA154" i="44" s="1"/>
  <c r="BB154" i="44" s="1"/>
  <c r="BC154" i="44"/>
  <c r="BD154" i="44" s="1"/>
  <c r="BE154" i="44" s="1"/>
  <c r="BF154" i="44" s="1"/>
  <c r="AZ137" i="44"/>
  <c r="BA137" i="44" s="1"/>
  <c r="BB137" i="44" s="1"/>
  <c r="BC137" i="44"/>
  <c r="BD137" i="44" s="1"/>
  <c r="BE137" i="44" s="1"/>
  <c r="BF137" i="44" s="1"/>
  <c r="BC138" i="44"/>
  <c r="BD138" i="44" s="1"/>
  <c r="BE138" i="44" s="1"/>
  <c r="BF138" i="44" s="1"/>
  <c r="AZ138" i="44"/>
  <c r="BA138" i="44" s="1"/>
  <c r="BB138" i="44" s="1"/>
  <c r="AZ159" i="44"/>
  <c r="BA159" i="44" s="1"/>
  <c r="BB159" i="44" s="1"/>
  <c r="BC159" i="44"/>
  <c r="BD159" i="44" s="1"/>
  <c r="BE159" i="44" s="1"/>
  <c r="BF159" i="44" s="1"/>
  <c r="BC125" i="44"/>
  <c r="BD125" i="44" s="1"/>
  <c r="BE125" i="44" s="1"/>
  <c r="BF125" i="44" s="1"/>
  <c r="AZ125" i="44"/>
  <c r="BA125" i="44" s="1"/>
  <c r="BB125" i="44" s="1"/>
  <c r="BC130" i="44"/>
  <c r="BD130" i="44" s="1"/>
  <c r="BE130" i="44" s="1"/>
  <c r="BF130" i="44" s="1"/>
  <c r="AZ130" i="44"/>
  <c r="BA130" i="44" s="1"/>
  <c r="BB130" i="44" s="1"/>
  <c r="BC117" i="44"/>
  <c r="BD117" i="44" s="1"/>
  <c r="BE117" i="44" s="1"/>
  <c r="BF117" i="44" s="1"/>
  <c r="AZ117" i="44"/>
  <c r="BA117" i="44" s="1"/>
  <c r="BB117" i="44" s="1"/>
  <c r="BC105" i="44"/>
  <c r="BD105" i="44" s="1"/>
  <c r="BE105" i="44" s="1"/>
  <c r="BF105" i="44" s="1"/>
  <c r="AZ105" i="44"/>
  <c r="BA105" i="44" s="1"/>
  <c r="BB105" i="44" s="1"/>
  <c r="BC109" i="44"/>
  <c r="BD109" i="44" s="1"/>
  <c r="BE109" i="44" s="1"/>
  <c r="BF109" i="44" s="1"/>
  <c r="AZ109" i="44"/>
  <c r="BA109" i="44" s="1"/>
  <c r="BB109" i="44" s="1"/>
  <c r="AZ151" i="44"/>
  <c r="BA151" i="44" s="1"/>
  <c r="BB151" i="44" s="1"/>
  <c r="BC151" i="44"/>
  <c r="BD151" i="44" s="1"/>
  <c r="BE151" i="44" s="1"/>
  <c r="BF151" i="44" s="1"/>
  <c r="BC92" i="44"/>
  <c r="BD92" i="44" s="1"/>
  <c r="BE92" i="44" s="1"/>
  <c r="BF92" i="44" s="1"/>
  <c r="AZ92" i="44"/>
  <c r="BA92" i="44" s="1"/>
  <c r="BB92" i="44" s="1"/>
  <c r="BK63" i="44"/>
  <c r="BL63" i="44" s="1"/>
  <c r="BM63" i="44" s="1"/>
  <c r="BN63" i="44" s="1"/>
  <c r="BO63" i="44" s="1"/>
  <c r="BP63" i="44"/>
  <c r="BQ63" i="44" s="1"/>
  <c r="AZ106" i="44"/>
  <c r="BA106" i="44" s="1"/>
  <c r="BB106" i="44" s="1"/>
  <c r="BC106" i="44"/>
  <c r="BD106" i="44" s="1"/>
  <c r="BE106" i="44" s="1"/>
  <c r="BF106" i="44" s="1"/>
  <c r="BC85" i="44"/>
  <c r="BD85" i="44" s="1"/>
  <c r="BE85" i="44" s="1"/>
  <c r="BF85" i="44" s="1"/>
  <c r="AZ85" i="44"/>
  <c r="BA85" i="44" s="1"/>
  <c r="BB85" i="44" s="1"/>
  <c r="AZ79" i="44"/>
  <c r="BA79" i="44" s="1"/>
  <c r="BB79" i="44" s="1"/>
  <c r="BC79" i="44"/>
  <c r="BD79" i="44" s="1"/>
  <c r="BE79" i="44" s="1"/>
  <c r="BF79" i="44" s="1"/>
  <c r="AZ134" i="44"/>
  <c r="BA134" i="44" s="1"/>
  <c r="BB134" i="44" s="1"/>
  <c r="BC134" i="44"/>
  <c r="BD134" i="44" s="1"/>
  <c r="BE134" i="44" s="1"/>
  <c r="BF134" i="44" s="1"/>
  <c r="BC90" i="44"/>
  <c r="BD90" i="44" s="1"/>
  <c r="BE90" i="44" s="1"/>
  <c r="BF90" i="44" s="1"/>
  <c r="AZ90" i="44"/>
  <c r="BA90" i="44" s="1"/>
  <c r="BB90" i="44" s="1"/>
  <c r="AZ112" i="44"/>
  <c r="BA112" i="44" s="1"/>
  <c r="BB112" i="44" s="1"/>
  <c r="BC112" i="44"/>
  <c r="BD112" i="44" s="1"/>
  <c r="BE112" i="44" s="1"/>
  <c r="BF112" i="44" s="1"/>
  <c r="AZ89" i="44"/>
  <c r="BA89" i="44" s="1"/>
  <c r="BB89" i="44" s="1"/>
  <c r="BC89" i="44"/>
  <c r="BD89" i="44" s="1"/>
  <c r="BE89" i="44" s="1"/>
  <c r="BF89" i="44" s="1"/>
  <c r="AZ67" i="44"/>
  <c r="BA67" i="44" s="1"/>
  <c r="BB67" i="44" s="1"/>
  <c r="BC67" i="44"/>
  <c r="BD67" i="44" s="1"/>
  <c r="BE67" i="44" s="1"/>
  <c r="BF67" i="44" s="1"/>
  <c r="AZ98" i="44"/>
  <c r="BA98" i="44" s="1"/>
  <c r="BB98" i="44" s="1"/>
  <c r="BC98" i="44"/>
  <c r="BD98" i="44" s="1"/>
  <c r="BE98" i="44" s="1"/>
  <c r="BF98" i="44" s="1"/>
  <c r="AZ100" i="44"/>
  <c r="BA100" i="44" s="1"/>
  <c r="BB100" i="44" s="1"/>
  <c r="BC100" i="44"/>
  <c r="BD100" i="44" s="1"/>
  <c r="BE100" i="44" s="1"/>
  <c r="BF100" i="44" s="1"/>
  <c r="AZ69" i="44"/>
  <c r="BA69" i="44" s="1"/>
  <c r="BB69" i="44" s="1"/>
  <c r="BC69" i="44"/>
  <c r="BD69" i="44" s="1"/>
  <c r="BE69" i="44" s="1"/>
  <c r="BF69" i="44" s="1"/>
  <c r="BK67" i="44"/>
  <c r="BL67" i="44" s="1"/>
  <c r="BM67" i="44" s="1"/>
  <c r="BN67" i="44" s="1"/>
  <c r="BO67" i="44" s="1"/>
  <c r="BP67" i="44"/>
  <c r="BQ67" i="44" s="1"/>
  <c r="BR67" i="44" s="1"/>
  <c r="BS67" i="44" s="1"/>
  <c r="BC64" i="44"/>
  <c r="BD64" i="44" s="1"/>
  <c r="BE64" i="44" s="1"/>
  <c r="BF64" i="44" s="1"/>
  <c r="AZ64" i="44"/>
  <c r="BA64" i="44" s="1"/>
  <c r="BB64" i="44" s="1"/>
  <c r="AZ132" i="44"/>
  <c r="BA132" i="44" s="1"/>
  <c r="BB132" i="44" s="1"/>
  <c r="BC132" i="44"/>
  <c r="BD132" i="44" s="1"/>
  <c r="BE132" i="44" s="1"/>
  <c r="BF132" i="44" s="1"/>
  <c r="BC161" i="44"/>
  <c r="BD161" i="44" s="1"/>
  <c r="BE161" i="44" s="1"/>
  <c r="BF161" i="44" s="1"/>
  <c r="AZ161" i="44"/>
  <c r="BA161" i="44" s="1"/>
  <c r="BB161" i="44" s="1"/>
  <c r="AZ140" i="44"/>
  <c r="BA140" i="44" s="1"/>
  <c r="BB140" i="44" s="1"/>
  <c r="BC140" i="44"/>
  <c r="BD140" i="44" s="1"/>
  <c r="BE140" i="44" s="1"/>
  <c r="BF140" i="44" s="1"/>
  <c r="BC88" i="44"/>
  <c r="BD88" i="44" s="1"/>
  <c r="BE88" i="44" s="1"/>
  <c r="BF88" i="44" s="1"/>
  <c r="AZ88" i="44"/>
  <c r="BA88" i="44" s="1"/>
  <c r="BB88" i="44" s="1"/>
  <c r="AZ94" i="44"/>
  <c r="BA94" i="44" s="1"/>
  <c r="BB94" i="44" s="1"/>
  <c r="BC94" i="44"/>
  <c r="BD94" i="44" s="1"/>
  <c r="BE94" i="44" s="1"/>
  <c r="BF94" i="44" s="1"/>
  <c r="AZ114" i="44"/>
  <c r="BA114" i="44" s="1"/>
  <c r="BB114" i="44" s="1"/>
  <c r="BC114" i="44"/>
  <c r="BD114" i="44" s="1"/>
  <c r="BE114" i="44" s="1"/>
  <c r="BF114" i="44" s="1"/>
  <c r="AZ91" i="44"/>
  <c r="BA91" i="44" s="1"/>
  <c r="BB91" i="44" s="1"/>
  <c r="BC91" i="44"/>
  <c r="BD91" i="44" s="1"/>
  <c r="BE91" i="44" s="1"/>
  <c r="BF91" i="44" s="1"/>
  <c r="AZ142" i="44"/>
  <c r="BA142" i="44" s="1"/>
  <c r="BB142" i="44" s="1"/>
  <c r="BC142" i="44"/>
  <c r="BD142" i="44" s="1"/>
  <c r="BE142" i="44" s="1"/>
  <c r="BF142" i="44" s="1"/>
  <c r="BC144" i="44"/>
  <c r="BD144" i="44" s="1"/>
  <c r="BE144" i="44" s="1"/>
  <c r="BF144" i="44" s="1"/>
  <c r="AZ144" i="44"/>
  <c r="BA144" i="44" s="1"/>
  <c r="BB144" i="44" s="1"/>
  <c r="BC122" i="44"/>
  <c r="BD122" i="44" s="1"/>
  <c r="BE122" i="44" s="1"/>
  <c r="BF122" i="44" s="1"/>
  <c r="AZ122" i="44"/>
  <c r="BA122" i="44" s="1"/>
  <c r="BB122" i="44" s="1"/>
  <c r="AZ162" i="44"/>
  <c r="BA162" i="44" s="1"/>
  <c r="BB162" i="44" s="1"/>
  <c r="BC162" i="44"/>
  <c r="BD162" i="44" s="1"/>
  <c r="BE162" i="44" s="1"/>
  <c r="BF162" i="44" s="1"/>
  <c r="AZ135" i="44"/>
  <c r="BA135" i="44" s="1"/>
  <c r="BB135" i="44" s="1"/>
  <c r="BC135" i="44"/>
  <c r="BD135" i="44" s="1"/>
  <c r="BE135" i="44" s="1"/>
  <c r="BF135" i="44" s="1"/>
  <c r="AZ103" i="44"/>
  <c r="BA103" i="44" s="1"/>
  <c r="BB103" i="44" s="1"/>
  <c r="BC103" i="44"/>
  <c r="BD103" i="44" s="1"/>
  <c r="BE103" i="44" s="1"/>
  <c r="BF103" i="44" s="1"/>
  <c r="AZ65" i="44"/>
  <c r="BA65" i="44" s="1"/>
  <c r="BB65" i="44" s="1"/>
  <c r="BC65" i="44"/>
  <c r="BD65" i="44" s="1"/>
  <c r="BE65" i="44" s="1"/>
  <c r="BF65" i="44" s="1"/>
  <c r="BC104" i="44"/>
  <c r="BD104" i="44" s="1"/>
  <c r="BE104" i="44" s="1"/>
  <c r="BF104" i="44" s="1"/>
  <c r="AZ104" i="44"/>
  <c r="BA104" i="44" s="1"/>
  <c r="BB104" i="44" s="1"/>
  <c r="AZ115" i="44"/>
  <c r="BA115" i="44" s="1"/>
  <c r="BB115" i="44" s="1"/>
  <c r="BC115" i="44"/>
  <c r="BD115" i="44" s="1"/>
  <c r="BE115" i="44" s="1"/>
  <c r="BF115" i="44" s="1"/>
  <c r="AZ150" i="44"/>
  <c r="BA150" i="44" s="1"/>
  <c r="BB150" i="44" s="1"/>
  <c r="BC150" i="44"/>
  <c r="BD150" i="44" s="1"/>
  <c r="BE150" i="44" s="1"/>
  <c r="BF150" i="44" s="1"/>
  <c r="AZ160" i="44"/>
  <c r="BA160" i="44" s="1"/>
  <c r="BB160" i="44" s="1"/>
  <c r="BC160" i="44"/>
  <c r="BD160" i="44" s="1"/>
  <c r="BE160" i="44" s="1"/>
  <c r="BF160" i="44" s="1"/>
  <c r="AZ156" i="44"/>
  <c r="BA156" i="44" s="1"/>
  <c r="BB156" i="44" s="1"/>
  <c r="BC156" i="44"/>
  <c r="BD156" i="44" s="1"/>
  <c r="BE156" i="44" s="1"/>
  <c r="BF156" i="44" s="1"/>
  <c r="BC63" i="44"/>
  <c r="BD63" i="44" s="1"/>
  <c r="AZ63" i="44"/>
  <c r="BA63" i="44" s="1"/>
  <c r="AZ111" i="44"/>
  <c r="BA111" i="44" s="1"/>
  <c r="BB111" i="44" s="1"/>
  <c r="BC111" i="44"/>
  <c r="BD111" i="44" s="1"/>
  <c r="BE111" i="44" s="1"/>
  <c r="BF111" i="44" s="1"/>
  <c r="AZ97" i="44"/>
  <c r="BA97" i="44" s="1"/>
  <c r="BB97" i="44" s="1"/>
  <c r="BC97" i="44"/>
  <c r="BD97" i="44" s="1"/>
  <c r="BE97" i="44" s="1"/>
  <c r="BF97" i="44" s="1"/>
  <c r="BC83" i="44"/>
  <c r="BD83" i="44" s="1"/>
  <c r="BE83" i="44" s="1"/>
  <c r="BF83" i="44" s="1"/>
  <c r="AZ83" i="44"/>
  <c r="BA83" i="44" s="1"/>
  <c r="BB83" i="44" s="1"/>
  <c r="BC155" i="44"/>
  <c r="BD155" i="44" s="1"/>
  <c r="BE155" i="44" s="1"/>
  <c r="BF155" i="44" s="1"/>
  <c r="AZ155" i="44"/>
  <c r="BA155" i="44" s="1"/>
  <c r="BB155" i="44" s="1"/>
  <c r="AZ116" i="44"/>
  <c r="BA116" i="44" s="1"/>
  <c r="BB116" i="44" s="1"/>
  <c r="BC116" i="44"/>
  <c r="BD116" i="44" s="1"/>
  <c r="BE116" i="44" s="1"/>
  <c r="BF116" i="44" s="1"/>
  <c r="BK72" i="44"/>
  <c r="BL72" i="44" s="1"/>
  <c r="BM72" i="44" s="1"/>
  <c r="BN72" i="44" s="1"/>
  <c r="BO72" i="44" s="1"/>
  <c r="BP72" i="44"/>
  <c r="BQ72" i="44" s="1"/>
  <c r="BR72" i="44" s="1"/>
  <c r="BS72" i="44" s="1"/>
  <c r="AZ120" i="44"/>
  <c r="BA120" i="44" s="1"/>
  <c r="BB120" i="44" s="1"/>
  <c r="BC120" i="44"/>
  <c r="BD120" i="44" s="1"/>
  <c r="BE120" i="44" s="1"/>
  <c r="BF120" i="44" s="1"/>
  <c r="AZ143" i="44"/>
  <c r="BA143" i="44" s="1"/>
  <c r="BB143" i="44" s="1"/>
  <c r="BC143" i="44"/>
  <c r="BD143" i="44" s="1"/>
  <c r="BE143" i="44" s="1"/>
  <c r="BF143" i="44" s="1"/>
  <c r="BC124" i="44"/>
  <c r="BD124" i="44" s="1"/>
  <c r="BE124" i="44" s="1"/>
  <c r="BF124" i="44" s="1"/>
  <c r="AZ124" i="44"/>
  <c r="BA124" i="44" s="1"/>
  <c r="BB124" i="44" s="1"/>
  <c r="BC96" i="44"/>
  <c r="BD96" i="44" s="1"/>
  <c r="BE96" i="44" s="1"/>
  <c r="BF96" i="44" s="1"/>
  <c r="AZ96" i="44"/>
  <c r="BA96" i="44" s="1"/>
  <c r="BB96" i="44" s="1"/>
  <c r="AZ146" i="44"/>
  <c r="BA146" i="44" s="1"/>
  <c r="BB146" i="44" s="1"/>
  <c r="BC146" i="44"/>
  <c r="BD146" i="44" s="1"/>
  <c r="BE146" i="44" s="1"/>
  <c r="BF146" i="44" s="1"/>
  <c r="AZ82" i="44"/>
  <c r="BA82" i="44" s="1"/>
  <c r="BB82" i="44" s="1"/>
  <c r="BC82" i="44"/>
  <c r="BD82" i="44" s="1"/>
  <c r="BE82" i="44" s="1"/>
  <c r="BF82" i="44" s="1"/>
  <c r="BP74" i="44"/>
  <c r="BQ74" i="44" s="1"/>
  <c r="BR74" i="44" s="1"/>
  <c r="BS74" i="44" s="1"/>
  <c r="BK74" i="44"/>
  <c r="BC66" i="44"/>
  <c r="BD66" i="44" s="1"/>
  <c r="BE66" i="44" s="1"/>
  <c r="BF66" i="44" s="1"/>
  <c r="AZ66" i="44"/>
  <c r="BA66" i="44" s="1"/>
  <c r="BB66" i="44" s="1"/>
  <c r="BK65" i="44"/>
  <c r="BL65" i="44" s="1"/>
  <c r="BM65" i="44" s="1"/>
  <c r="BN65" i="44" s="1"/>
  <c r="BO65" i="44" s="1"/>
  <c r="BP65" i="44"/>
  <c r="BQ65" i="44" s="1"/>
  <c r="BR65" i="44" s="1"/>
  <c r="BS65" i="44" s="1"/>
  <c r="AZ84" i="44"/>
  <c r="BA84" i="44" s="1"/>
  <c r="BB84" i="44" s="1"/>
  <c r="BC84" i="44"/>
  <c r="BD84" i="44" s="1"/>
  <c r="BE84" i="44" s="1"/>
  <c r="BF84" i="44" s="1"/>
  <c r="AZ86" i="44"/>
  <c r="BA86" i="44" s="1"/>
  <c r="BB86" i="44" s="1"/>
  <c r="BC86" i="44"/>
  <c r="BD86" i="44" s="1"/>
  <c r="BE86" i="44" s="1"/>
  <c r="BF86" i="44" s="1"/>
  <c r="AZ81" i="44"/>
  <c r="BA81" i="44" s="1"/>
  <c r="BB81" i="44" s="1"/>
  <c r="BC81" i="44"/>
  <c r="BD81" i="44" s="1"/>
  <c r="BE81" i="44" s="1"/>
  <c r="BF81" i="44" s="1"/>
  <c r="BC71" i="44"/>
  <c r="BD71" i="44" s="1"/>
  <c r="BE71" i="44" s="1"/>
  <c r="BF71" i="44" s="1"/>
  <c r="AZ71" i="44"/>
  <c r="BA71" i="44" s="1"/>
  <c r="BB71" i="44" s="1"/>
  <c r="BC123" i="44"/>
  <c r="BD123" i="44" s="1"/>
  <c r="BE123" i="44" s="1"/>
  <c r="BF123" i="44" s="1"/>
  <c r="AZ123" i="44"/>
  <c r="BA123" i="44" s="1"/>
  <c r="BB123" i="44" s="1"/>
  <c r="BC93" i="44"/>
  <c r="BD93" i="44" s="1"/>
  <c r="BE93" i="44" s="1"/>
  <c r="BF93" i="44" s="1"/>
  <c r="AZ93" i="44"/>
  <c r="BA93" i="44" s="1"/>
  <c r="BB93" i="44" s="1"/>
  <c r="BC108" i="44"/>
  <c r="BD108" i="44" s="1"/>
  <c r="BE108" i="44" s="1"/>
  <c r="BF108" i="44" s="1"/>
  <c r="AZ108" i="44"/>
  <c r="BA108" i="44" s="1"/>
  <c r="BB108" i="44" s="1"/>
  <c r="BC102" i="44"/>
  <c r="BD102" i="44" s="1"/>
  <c r="BE102" i="44" s="1"/>
  <c r="BF102" i="44" s="1"/>
  <c r="AZ102" i="44"/>
  <c r="BA102" i="44" s="1"/>
  <c r="BB102" i="44" s="1"/>
  <c r="AZ75" i="44"/>
  <c r="BA75" i="44" s="1"/>
  <c r="BB75" i="44" s="1"/>
  <c r="BC75" i="44"/>
  <c r="BD75" i="44" s="1"/>
  <c r="BE75" i="44" s="1"/>
  <c r="BF75" i="44" s="1"/>
  <c r="AZ74" i="44"/>
  <c r="BA74" i="44" s="1"/>
  <c r="BB74" i="44" s="1"/>
  <c r="BC74" i="44"/>
  <c r="BD74" i="44" s="1"/>
  <c r="BE74" i="44" s="1"/>
  <c r="BF74" i="44" s="1"/>
  <c r="AZ70" i="44"/>
  <c r="BA70" i="44" s="1"/>
  <c r="BB70" i="44" s="1"/>
  <c r="BC70" i="44"/>
  <c r="BD70" i="44" s="1"/>
  <c r="BE70" i="44" s="1"/>
  <c r="BF70" i="44" s="1"/>
  <c r="BC110" i="44"/>
  <c r="BD110" i="44" s="1"/>
  <c r="BE110" i="44" s="1"/>
  <c r="BF110" i="44" s="1"/>
  <c r="AZ110" i="44"/>
  <c r="BA110" i="44" s="1"/>
  <c r="BB110" i="44" s="1"/>
  <c r="BA62" i="44" l="1"/>
  <c r="BB63" i="44"/>
  <c r="BB62" i="44" s="1"/>
  <c r="BL69" i="44"/>
  <c r="BM69" i="44"/>
  <c r="BN69" i="44" s="1"/>
  <c r="BO69" i="44" s="1"/>
  <c r="BE63" i="44"/>
  <c r="BD62" i="44"/>
  <c r="BL70" i="44"/>
  <c r="BM70" i="44"/>
  <c r="BN70" i="44" s="1"/>
  <c r="BO70" i="44" s="1"/>
  <c r="BL66" i="44"/>
  <c r="BM66" i="44" s="1"/>
  <c r="BL74" i="44"/>
  <c r="BM74" i="44"/>
  <c r="BN74" i="44" s="1"/>
  <c r="BO74" i="44" s="1"/>
  <c r="BR63" i="44"/>
  <c r="BQ62" i="44"/>
  <c r="BL68" i="44"/>
  <c r="BM68" i="44"/>
  <c r="BN68" i="44" s="1"/>
  <c r="BO68" i="44" s="1"/>
  <c r="BO62" i="44" l="1"/>
  <c r="E25" i="44" s="1"/>
  <c r="G25" i="44" s="1"/>
  <c r="BS63" i="44"/>
  <c r="BS62" i="44" s="1"/>
  <c r="BR62" i="44"/>
  <c r="H25" i="44"/>
  <c r="BF63" i="44"/>
  <c r="BF62" i="44" s="1"/>
  <c r="BE62" i="44"/>
  <c r="I25" i="44" s="1"/>
  <c r="BN62" i="44"/>
  <c r="D25" i="44" s="1"/>
  <c r="F25" i="44" s="1"/>
  <c r="K25" i="44" l="1"/>
  <c r="J25" i="44"/>
  <c r="L25" i="44" l="1"/>
  <c r="N25" i="44" s="1"/>
  <c r="C26" i="44" s="1"/>
  <c r="BV57" i="44" s="1"/>
  <c r="M25" i="44" l="1"/>
  <c r="B26" i="44" s="1"/>
  <c r="BV56" i="44" l="1"/>
  <c r="CH71" i="44" s="1"/>
  <c r="CH63" i="44"/>
  <c r="CH68" i="44"/>
  <c r="BW98" i="44"/>
  <c r="BW141" i="44"/>
  <c r="BW136" i="44"/>
  <c r="BW153" i="44"/>
  <c r="BW112" i="44"/>
  <c r="BW81" i="44"/>
  <c r="CH69" i="44"/>
  <c r="BW95" i="44"/>
  <c r="CH72" i="44"/>
  <c r="BW89" i="44"/>
  <c r="CH74" i="44"/>
  <c r="BW77" i="44"/>
  <c r="BW104" i="44"/>
  <c r="BW101" i="44"/>
  <c r="BW157" i="44"/>
  <c r="CH67" i="44"/>
  <c r="CH73" i="44"/>
  <c r="CH66" i="44"/>
  <c r="CH65" i="44"/>
  <c r="BW102" i="44"/>
  <c r="BW145" i="44"/>
  <c r="BW160" i="44"/>
  <c r="BW118" i="44"/>
  <c r="BW72" i="44"/>
  <c r="BW111" i="44"/>
  <c r="BW161" i="44"/>
  <c r="CH70" i="44"/>
  <c r="BW132" i="44"/>
  <c r="BW108" i="44"/>
  <c r="BW134" i="44"/>
  <c r="BW150" i="44"/>
  <c r="BW64" i="44"/>
  <c r="BW67" i="44"/>
  <c r="BW124" i="44"/>
  <c r="BW79" i="44"/>
  <c r="BW90" i="44"/>
  <c r="BW106" i="44"/>
  <c r="BW92" i="44"/>
  <c r="CH64" i="44"/>
  <c r="BW109" i="44"/>
  <c r="BW120" i="44"/>
  <c r="BW105" i="44"/>
  <c r="BW119" i="44"/>
  <c r="BW123" i="44"/>
  <c r="BW115" i="44"/>
  <c r="BW121" i="44"/>
  <c r="BW127" i="44"/>
  <c r="BW100" i="44"/>
  <c r="BW113" i="44"/>
  <c r="BW144" i="44"/>
  <c r="BW69" i="44"/>
  <c r="BW142" i="44"/>
  <c r="BW151" i="44"/>
  <c r="BW76" i="44"/>
  <c r="BW75" i="44"/>
  <c r="BW158" i="44"/>
  <c r="BW70" i="44"/>
  <c r="BW97" i="44"/>
  <c r="BW159" i="44"/>
  <c r="BW146" i="44"/>
  <c r="BW91" i="44"/>
  <c r="BW130" i="44"/>
  <c r="BW125" i="44"/>
  <c r="BW110" i="44"/>
  <c r="BW74" i="44"/>
  <c r="BW99" i="44"/>
  <c r="BW140" i="44"/>
  <c r="BW63" i="44"/>
  <c r="BW94" i="44"/>
  <c r="BW117" i="44"/>
  <c r="BW84" i="44"/>
  <c r="BW86" i="44"/>
  <c r="BW129" i="44"/>
  <c r="BW149" i="44"/>
  <c r="BW133" i="44"/>
  <c r="BW78" i="44"/>
  <c r="BW96" i="44"/>
  <c r="BW122" i="44"/>
  <c r="BW71" i="44"/>
  <c r="BW137" i="44"/>
  <c r="BW73" i="44"/>
  <c r="BW135" i="44"/>
  <c r="BW114" i="44"/>
  <c r="BW83" i="44"/>
  <c r="BW87" i="44"/>
  <c r="BW68" i="44"/>
  <c r="BW88" i="44"/>
  <c r="BW116" i="44"/>
  <c r="BW128" i="44"/>
  <c r="BW155" i="44"/>
  <c r="BW93" i="44"/>
  <c r="BW82" i="44"/>
  <c r="BW80" i="44"/>
  <c r="BW66" i="44"/>
  <c r="BW148" i="44"/>
  <c r="BW131" i="44"/>
  <c r="BW162" i="44"/>
  <c r="BW107" i="44"/>
  <c r="BW139" i="44"/>
  <c r="BW85" i="44"/>
  <c r="BW143" i="44"/>
  <c r="BW147" i="44"/>
  <c r="BW156" i="44"/>
  <c r="BW154" i="44"/>
  <c r="BW103" i="44"/>
  <c r="BW126" i="44"/>
  <c r="BW138" i="44"/>
  <c r="BW65" i="44"/>
  <c r="BW152" i="44" l="1"/>
  <c r="BX104" i="44"/>
  <c r="BY104" i="44" s="1"/>
  <c r="BZ104" i="44" s="1"/>
  <c r="CA104" i="44"/>
  <c r="CB104" i="44" s="1"/>
  <c r="CC104" i="44" s="1"/>
  <c r="CD104" i="44" s="1"/>
  <c r="CA119" i="44"/>
  <c r="CB119" i="44" s="1"/>
  <c r="CC119" i="44" s="1"/>
  <c r="CD119" i="44" s="1"/>
  <c r="BX119" i="44"/>
  <c r="BY119" i="44" s="1"/>
  <c r="BZ119" i="44" s="1"/>
  <c r="CA97" i="44"/>
  <c r="CB97" i="44" s="1"/>
  <c r="CC97" i="44" s="1"/>
  <c r="CD97" i="44" s="1"/>
  <c r="BX97" i="44"/>
  <c r="BY97" i="44" s="1"/>
  <c r="BZ97" i="44" s="1"/>
  <c r="BX111" i="44"/>
  <c r="BY111" i="44" s="1"/>
  <c r="BZ111" i="44" s="1"/>
  <c r="CA111" i="44"/>
  <c r="CB111" i="44" s="1"/>
  <c r="CC111" i="44" s="1"/>
  <c r="CD111" i="44" s="1"/>
  <c r="BX86" i="44"/>
  <c r="BY86" i="44" s="1"/>
  <c r="BZ86" i="44" s="1"/>
  <c r="CA86" i="44"/>
  <c r="CB86" i="44" s="1"/>
  <c r="CC86" i="44" s="1"/>
  <c r="CD86" i="44" s="1"/>
  <c r="CA95" i="44"/>
  <c r="CB95" i="44" s="1"/>
  <c r="CC95" i="44" s="1"/>
  <c r="CD95" i="44" s="1"/>
  <c r="BX95" i="44"/>
  <c r="BY95" i="44" s="1"/>
  <c r="BZ95" i="44" s="1"/>
  <c r="BX132" i="44"/>
  <c r="BY132" i="44" s="1"/>
  <c r="BZ132" i="44" s="1"/>
  <c r="CA132" i="44"/>
  <c r="CB132" i="44" s="1"/>
  <c r="CC132" i="44" s="1"/>
  <c r="CD132" i="44" s="1"/>
  <c r="CA133" i="44"/>
  <c r="CB133" i="44" s="1"/>
  <c r="CC133" i="44" s="1"/>
  <c r="CD133" i="44" s="1"/>
  <c r="BX133" i="44"/>
  <c r="BY133" i="44" s="1"/>
  <c r="BZ133" i="44" s="1"/>
  <c r="CA105" i="44"/>
  <c r="CB105" i="44" s="1"/>
  <c r="CC105" i="44" s="1"/>
  <c r="CD105" i="44" s="1"/>
  <c r="BX105" i="44"/>
  <c r="BY105" i="44" s="1"/>
  <c r="BZ105" i="44" s="1"/>
  <c r="BX129" i="44"/>
  <c r="BY129" i="44" s="1"/>
  <c r="BZ129" i="44" s="1"/>
  <c r="CA129" i="44"/>
  <c r="CB129" i="44" s="1"/>
  <c r="CC129" i="44" s="1"/>
  <c r="CD129" i="44" s="1"/>
  <c r="BX154" i="44"/>
  <c r="BY154" i="44" s="1"/>
  <c r="BZ154" i="44" s="1"/>
  <c r="CA154" i="44"/>
  <c r="CB154" i="44" s="1"/>
  <c r="CC154" i="44" s="1"/>
  <c r="CD154" i="44" s="1"/>
  <c r="BX116" i="44"/>
  <c r="BY116" i="44" s="1"/>
  <c r="BZ116" i="44" s="1"/>
  <c r="CA116" i="44"/>
  <c r="CB116" i="44" s="1"/>
  <c r="CC116" i="44" s="1"/>
  <c r="CD116" i="44" s="1"/>
  <c r="CA156" i="44"/>
  <c r="CB156" i="44" s="1"/>
  <c r="CC156" i="44" s="1"/>
  <c r="CD156" i="44" s="1"/>
  <c r="BX156" i="44"/>
  <c r="BY156" i="44" s="1"/>
  <c r="BZ156" i="44" s="1"/>
  <c r="CN64" i="44"/>
  <c r="CO64" i="44" s="1"/>
  <c r="CP64" i="44" s="1"/>
  <c r="CQ64" i="44" s="1"/>
  <c r="CI64" i="44"/>
  <c r="BX117" i="44"/>
  <c r="BY117" i="44" s="1"/>
  <c r="BZ117" i="44" s="1"/>
  <c r="CA117" i="44"/>
  <c r="CB117" i="44" s="1"/>
  <c r="CC117" i="44" s="1"/>
  <c r="CD117" i="44" s="1"/>
  <c r="BX81" i="44"/>
  <c r="BY81" i="44" s="1"/>
  <c r="BZ81" i="44" s="1"/>
  <c r="CA81" i="44"/>
  <c r="CB81" i="44" s="1"/>
  <c r="CC81" i="44" s="1"/>
  <c r="CD81" i="44" s="1"/>
  <c r="CA63" i="44"/>
  <c r="CB63" i="44" s="1"/>
  <c r="BX63" i="44"/>
  <c r="BY63" i="44" s="1"/>
  <c r="CA114" i="44"/>
  <c r="CB114" i="44" s="1"/>
  <c r="CC114" i="44" s="1"/>
  <c r="CD114" i="44" s="1"/>
  <c r="BX114" i="44"/>
  <c r="BY114" i="44" s="1"/>
  <c r="BZ114" i="44" s="1"/>
  <c r="CA78" i="44"/>
  <c r="CB78" i="44" s="1"/>
  <c r="CC78" i="44" s="1"/>
  <c r="CD78" i="44" s="1"/>
  <c r="BX78" i="44"/>
  <c r="BY78" i="44" s="1"/>
  <c r="BZ78" i="44" s="1"/>
  <c r="BX93" i="44"/>
  <c r="BY93" i="44" s="1"/>
  <c r="BZ93" i="44" s="1"/>
  <c r="CA93" i="44"/>
  <c r="CB93" i="44" s="1"/>
  <c r="CC93" i="44" s="1"/>
  <c r="CD93" i="44" s="1"/>
  <c r="BX155" i="44"/>
  <c r="BY155" i="44" s="1"/>
  <c r="BZ155" i="44" s="1"/>
  <c r="CA155" i="44"/>
  <c r="CB155" i="44" s="1"/>
  <c r="CC155" i="44" s="1"/>
  <c r="CD155" i="44" s="1"/>
  <c r="CA103" i="44"/>
  <c r="CB103" i="44" s="1"/>
  <c r="CC103" i="44" s="1"/>
  <c r="CD103" i="44" s="1"/>
  <c r="BX103" i="44"/>
  <c r="BY103" i="44" s="1"/>
  <c r="BZ103" i="44" s="1"/>
  <c r="CA120" i="44"/>
  <c r="CB120" i="44" s="1"/>
  <c r="CC120" i="44" s="1"/>
  <c r="CD120" i="44" s="1"/>
  <c r="BX120" i="44"/>
  <c r="BY120" i="44" s="1"/>
  <c r="BZ120" i="44" s="1"/>
  <c r="CA109" i="44"/>
  <c r="CB109" i="44" s="1"/>
  <c r="CC109" i="44" s="1"/>
  <c r="CD109" i="44" s="1"/>
  <c r="BX109" i="44"/>
  <c r="BY109" i="44" s="1"/>
  <c r="BZ109" i="44" s="1"/>
  <c r="CA118" i="44"/>
  <c r="CB118" i="44" s="1"/>
  <c r="CC118" i="44" s="1"/>
  <c r="CD118" i="44" s="1"/>
  <c r="BX118" i="44"/>
  <c r="BY118" i="44" s="1"/>
  <c r="BZ118" i="44" s="1"/>
  <c r="CN69" i="44"/>
  <c r="CO69" i="44" s="1"/>
  <c r="CP69" i="44" s="1"/>
  <c r="CQ69" i="44" s="1"/>
  <c r="CI69" i="44"/>
  <c r="CJ69" i="44" s="1"/>
  <c r="CK69" i="44" s="1"/>
  <c r="CL69" i="44" s="1"/>
  <c r="CM69" i="44" s="1"/>
  <c r="CA94" i="44"/>
  <c r="CB94" i="44" s="1"/>
  <c r="CC94" i="44" s="1"/>
  <c r="CD94" i="44" s="1"/>
  <c r="BX94" i="44"/>
  <c r="BY94" i="44" s="1"/>
  <c r="BZ94" i="44" s="1"/>
  <c r="BX83" i="44"/>
  <c r="BY83" i="44" s="1"/>
  <c r="BZ83" i="44" s="1"/>
  <c r="CA83" i="44"/>
  <c r="CB83" i="44" s="1"/>
  <c r="CC83" i="44" s="1"/>
  <c r="CD83" i="44" s="1"/>
  <c r="BX112" i="44"/>
  <c r="BY112" i="44" s="1"/>
  <c r="BZ112" i="44" s="1"/>
  <c r="CA112" i="44"/>
  <c r="CB112" i="44" s="1"/>
  <c r="CC112" i="44" s="1"/>
  <c r="CD112" i="44" s="1"/>
  <c r="CA153" i="44"/>
  <c r="CB153" i="44" s="1"/>
  <c r="CC153" i="44" s="1"/>
  <c r="CD153" i="44" s="1"/>
  <c r="BX153" i="44"/>
  <c r="BY153" i="44" s="1"/>
  <c r="BZ153" i="44" s="1"/>
  <c r="BX135" i="44"/>
  <c r="BY135" i="44" s="1"/>
  <c r="BZ135" i="44" s="1"/>
  <c r="CA135" i="44"/>
  <c r="CB135" i="44" s="1"/>
  <c r="CC135" i="44" s="1"/>
  <c r="CD135" i="44" s="1"/>
  <c r="CN66" i="44"/>
  <c r="CI66" i="44"/>
  <c r="CJ66" i="44" s="1"/>
  <c r="CK66" i="44" s="1"/>
  <c r="BX73" i="44"/>
  <c r="BY73" i="44" s="1"/>
  <c r="BZ73" i="44" s="1"/>
  <c r="CA73" i="44"/>
  <c r="CB73" i="44" s="1"/>
  <c r="CC73" i="44" s="1"/>
  <c r="CD73" i="44" s="1"/>
  <c r="CA100" i="44"/>
  <c r="CB100" i="44" s="1"/>
  <c r="CC100" i="44" s="1"/>
  <c r="CD100" i="44" s="1"/>
  <c r="BX100" i="44"/>
  <c r="BY100" i="44" s="1"/>
  <c r="BZ100" i="44" s="1"/>
  <c r="BX146" i="44"/>
  <c r="BY146" i="44" s="1"/>
  <c r="BZ146" i="44" s="1"/>
  <c r="CA146" i="44"/>
  <c r="CB146" i="44" s="1"/>
  <c r="CC146" i="44" s="1"/>
  <c r="CD146" i="44" s="1"/>
  <c r="CA77" i="44"/>
  <c r="CB77" i="44" s="1"/>
  <c r="CC77" i="44" s="1"/>
  <c r="CD77" i="44" s="1"/>
  <c r="BX77" i="44"/>
  <c r="BY77" i="44" s="1"/>
  <c r="BZ77" i="44" s="1"/>
  <c r="CN74" i="44"/>
  <c r="CO74" i="44" s="1"/>
  <c r="CP74" i="44" s="1"/>
  <c r="CQ74" i="44" s="1"/>
  <c r="CI74" i="44"/>
  <c r="CJ74" i="44" s="1"/>
  <c r="CK74" i="44" s="1"/>
  <c r="CL74" i="44" s="1"/>
  <c r="CM74" i="44" s="1"/>
  <c r="BX128" i="44"/>
  <c r="BY128" i="44" s="1"/>
  <c r="BZ128" i="44" s="1"/>
  <c r="CA128" i="44"/>
  <c r="CB128" i="44" s="1"/>
  <c r="CC128" i="44" s="1"/>
  <c r="CD128" i="44" s="1"/>
  <c r="CN72" i="44"/>
  <c r="CO72" i="44" s="1"/>
  <c r="CP72" i="44" s="1"/>
  <c r="CQ72" i="44" s="1"/>
  <c r="CI72" i="44"/>
  <c r="CA75" i="44"/>
  <c r="CB75" i="44" s="1"/>
  <c r="CC75" i="44" s="1"/>
  <c r="CD75" i="44" s="1"/>
  <c r="BX75" i="44"/>
  <c r="BY75" i="44" s="1"/>
  <c r="BZ75" i="44" s="1"/>
  <c r="BX92" i="44"/>
  <c r="BY92" i="44" s="1"/>
  <c r="BZ92" i="44" s="1"/>
  <c r="CA92" i="44"/>
  <c r="CB92" i="44" s="1"/>
  <c r="CC92" i="44" s="1"/>
  <c r="CD92" i="44" s="1"/>
  <c r="CA143" i="44"/>
  <c r="CB143" i="44" s="1"/>
  <c r="CC143" i="44" s="1"/>
  <c r="CD143" i="44" s="1"/>
  <c r="BX143" i="44"/>
  <c r="BY143" i="44" s="1"/>
  <c r="BZ143" i="44" s="1"/>
  <c r="BX145" i="44"/>
  <c r="BY145" i="44" s="1"/>
  <c r="BZ145" i="44" s="1"/>
  <c r="CA145" i="44"/>
  <c r="CB145" i="44" s="1"/>
  <c r="CC145" i="44" s="1"/>
  <c r="CD145" i="44" s="1"/>
  <c r="CA90" i="44"/>
  <c r="CB90" i="44" s="1"/>
  <c r="CC90" i="44" s="1"/>
  <c r="CD90" i="44" s="1"/>
  <c r="BX90" i="44"/>
  <c r="BY90" i="44" s="1"/>
  <c r="BZ90" i="44" s="1"/>
  <c r="BX69" i="44"/>
  <c r="BY69" i="44" s="1"/>
  <c r="BZ69" i="44" s="1"/>
  <c r="CA69" i="44"/>
  <c r="CB69" i="44" s="1"/>
  <c r="CC69" i="44" s="1"/>
  <c r="CD69" i="44" s="1"/>
  <c r="BX136" i="44"/>
  <c r="BY136" i="44" s="1"/>
  <c r="BZ136" i="44" s="1"/>
  <c r="CA136" i="44"/>
  <c r="CB136" i="44" s="1"/>
  <c r="CC136" i="44" s="1"/>
  <c r="CD136" i="44" s="1"/>
  <c r="CA127" i="44"/>
  <c r="CB127" i="44" s="1"/>
  <c r="CC127" i="44" s="1"/>
  <c r="CD127" i="44" s="1"/>
  <c r="BX127" i="44"/>
  <c r="BY127" i="44" s="1"/>
  <c r="BZ127" i="44" s="1"/>
  <c r="CN71" i="44"/>
  <c r="CO71" i="44" s="1"/>
  <c r="CP71" i="44" s="1"/>
  <c r="CQ71" i="44" s="1"/>
  <c r="CI71" i="44"/>
  <c r="BX65" i="44"/>
  <c r="BY65" i="44" s="1"/>
  <c r="BZ65" i="44" s="1"/>
  <c r="CA65" i="44"/>
  <c r="CB65" i="44" s="1"/>
  <c r="CC65" i="44" s="1"/>
  <c r="CD65" i="44" s="1"/>
  <c r="CA138" i="44"/>
  <c r="CB138" i="44" s="1"/>
  <c r="CC138" i="44" s="1"/>
  <c r="CD138" i="44" s="1"/>
  <c r="BX138" i="44"/>
  <c r="BY138" i="44" s="1"/>
  <c r="BZ138" i="44" s="1"/>
  <c r="CI70" i="44"/>
  <c r="CN70" i="44"/>
  <c r="CO70" i="44" s="1"/>
  <c r="CP70" i="44" s="1"/>
  <c r="CQ70" i="44" s="1"/>
  <c r="CA149" i="44"/>
  <c r="CB149" i="44" s="1"/>
  <c r="CC149" i="44" s="1"/>
  <c r="CD149" i="44" s="1"/>
  <c r="BX149" i="44"/>
  <c r="BY149" i="44" s="1"/>
  <c r="BZ149" i="44" s="1"/>
  <c r="CA89" i="44"/>
  <c r="CB89" i="44" s="1"/>
  <c r="CC89" i="44" s="1"/>
  <c r="CD89" i="44" s="1"/>
  <c r="BX89" i="44"/>
  <c r="BY89" i="44" s="1"/>
  <c r="BZ89" i="44" s="1"/>
  <c r="BX72" i="44"/>
  <c r="BY72" i="44" s="1"/>
  <c r="BZ72" i="44" s="1"/>
  <c r="CA72" i="44"/>
  <c r="CB72" i="44" s="1"/>
  <c r="CC72" i="44" s="1"/>
  <c r="CD72" i="44" s="1"/>
  <c r="BX88" i="44"/>
  <c r="BY88" i="44" s="1"/>
  <c r="BZ88" i="44" s="1"/>
  <c r="CA88" i="44"/>
  <c r="CB88" i="44" s="1"/>
  <c r="CC88" i="44" s="1"/>
  <c r="CD88" i="44" s="1"/>
  <c r="BX147" i="44"/>
  <c r="BY147" i="44" s="1"/>
  <c r="BZ147" i="44" s="1"/>
  <c r="CA147" i="44"/>
  <c r="CB147" i="44" s="1"/>
  <c r="CC147" i="44" s="1"/>
  <c r="CD147" i="44" s="1"/>
  <c r="CA76" i="44"/>
  <c r="CB76" i="44" s="1"/>
  <c r="CC76" i="44" s="1"/>
  <c r="CD76" i="44" s="1"/>
  <c r="BX76" i="44"/>
  <c r="BY76" i="44" s="1"/>
  <c r="BZ76" i="44" s="1"/>
  <c r="BX151" i="44"/>
  <c r="BY151" i="44" s="1"/>
  <c r="BZ151" i="44" s="1"/>
  <c r="CA151" i="44"/>
  <c r="CB151" i="44" s="1"/>
  <c r="CC151" i="44" s="1"/>
  <c r="CD151" i="44" s="1"/>
  <c r="BX85" i="44"/>
  <c r="BY85" i="44" s="1"/>
  <c r="BZ85" i="44" s="1"/>
  <c r="CA85" i="44"/>
  <c r="CB85" i="44" s="1"/>
  <c r="CC85" i="44" s="1"/>
  <c r="CD85" i="44" s="1"/>
  <c r="CA102" i="44"/>
  <c r="CB102" i="44" s="1"/>
  <c r="CC102" i="44" s="1"/>
  <c r="CD102" i="44" s="1"/>
  <c r="BX102" i="44"/>
  <c r="BY102" i="44" s="1"/>
  <c r="BZ102" i="44" s="1"/>
  <c r="CA140" i="44"/>
  <c r="CB140" i="44" s="1"/>
  <c r="CC140" i="44" s="1"/>
  <c r="CD140" i="44" s="1"/>
  <c r="BX140" i="44"/>
  <c r="BY140" i="44" s="1"/>
  <c r="BZ140" i="44" s="1"/>
  <c r="CA79" i="44"/>
  <c r="CB79" i="44" s="1"/>
  <c r="CC79" i="44" s="1"/>
  <c r="CD79" i="44" s="1"/>
  <c r="BX79" i="44"/>
  <c r="BY79" i="44" s="1"/>
  <c r="BZ79" i="44" s="1"/>
  <c r="BX99" i="44"/>
  <c r="BY99" i="44" s="1"/>
  <c r="BZ99" i="44" s="1"/>
  <c r="CA99" i="44"/>
  <c r="CB99" i="44" s="1"/>
  <c r="CC99" i="44" s="1"/>
  <c r="CD99" i="44" s="1"/>
  <c r="BX124" i="44"/>
  <c r="BY124" i="44" s="1"/>
  <c r="BZ124" i="44" s="1"/>
  <c r="CA124" i="44"/>
  <c r="CB124" i="44" s="1"/>
  <c r="CC124" i="44" s="1"/>
  <c r="CD124" i="44" s="1"/>
  <c r="CA162" i="44"/>
  <c r="CB162" i="44" s="1"/>
  <c r="CC162" i="44" s="1"/>
  <c r="CD162" i="44" s="1"/>
  <c r="BX162" i="44"/>
  <c r="BY162" i="44" s="1"/>
  <c r="BZ162" i="44" s="1"/>
  <c r="CA74" i="44"/>
  <c r="CB74" i="44" s="1"/>
  <c r="CC74" i="44" s="1"/>
  <c r="CD74" i="44" s="1"/>
  <c r="BX74" i="44"/>
  <c r="BY74" i="44" s="1"/>
  <c r="BZ74" i="44" s="1"/>
  <c r="CA67" i="44"/>
  <c r="CB67" i="44" s="1"/>
  <c r="CC67" i="44" s="1"/>
  <c r="CD67" i="44" s="1"/>
  <c r="BX67" i="44"/>
  <c r="BY67" i="44" s="1"/>
  <c r="BZ67" i="44" s="1"/>
  <c r="BX141" i="44"/>
  <c r="BY141" i="44" s="1"/>
  <c r="BZ141" i="44" s="1"/>
  <c r="CA141" i="44"/>
  <c r="CB141" i="44" s="1"/>
  <c r="CC141" i="44" s="1"/>
  <c r="CD141" i="44" s="1"/>
  <c r="BX137" i="44"/>
  <c r="BY137" i="44" s="1"/>
  <c r="BZ137" i="44" s="1"/>
  <c r="CA137" i="44"/>
  <c r="CB137" i="44" s="1"/>
  <c r="CC137" i="44" s="1"/>
  <c r="CD137" i="44" s="1"/>
  <c r="CA98" i="44"/>
  <c r="CB98" i="44" s="1"/>
  <c r="CC98" i="44" s="1"/>
  <c r="CD98" i="44" s="1"/>
  <c r="BX98" i="44"/>
  <c r="BY98" i="44" s="1"/>
  <c r="BZ98" i="44" s="1"/>
  <c r="BX71" i="44"/>
  <c r="BY71" i="44" s="1"/>
  <c r="BZ71" i="44" s="1"/>
  <c r="CA71" i="44"/>
  <c r="CB71" i="44" s="1"/>
  <c r="CC71" i="44" s="1"/>
  <c r="CD71" i="44" s="1"/>
  <c r="CA125" i="44"/>
  <c r="CB125" i="44" s="1"/>
  <c r="CC125" i="44" s="1"/>
  <c r="CD125" i="44" s="1"/>
  <c r="BX125" i="44"/>
  <c r="BY125" i="44" s="1"/>
  <c r="BZ125" i="44" s="1"/>
  <c r="BX150" i="44"/>
  <c r="BY150" i="44" s="1"/>
  <c r="BZ150" i="44" s="1"/>
  <c r="CA150" i="44"/>
  <c r="CB150" i="44" s="1"/>
  <c r="CC150" i="44" s="1"/>
  <c r="CD150" i="44" s="1"/>
  <c r="CA122" i="44"/>
  <c r="CB122" i="44" s="1"/>
  <c r="CC122" i="44" s="1"/>
  <c r="CD122" i="44" s="1"/>
  <c r="BX122" i="44"/>
  <c r="BY122" i="44" s="1"/>
  <c r="BZ122" i="44" s="1"/>
  <c r="CA130" i="44"/>
  <c r="CB130" i="44" s="1"/>
  <c r="CC130" i="44" s="1"/>
  <c r="CD130" i="44" s="1"/>
  <c r="BX130" i="44"/>
  <c r="BY130" i="44" s="1"/>
  <c r="BZ130" i="44" s="1"/>
  <c r="CA121" i="44"/>
  <c r="CB121" i="44" s="1"/>
  <c r="CC121" i="44" s="1"/>
  <c r="CD121" i="44" s="1"/>
  <c r="BX121" i="44"/>
  <c r="BY121" i="44" s="1"/>
  <c r="BZ121" i="44" s="1"/>
  <c r="BX134" i="44"/>
  <c r="BY134" i="44" s="1"/>
  <c r="BZ134" i="44" s="1"/>
  <c r="CA134" i="44"/>
  <c r="CB134" i="44" s="1"/>
  <c r="CC134" i="44" s="1"/>
  <c r="CD134" i="44" s="1"/>
  <c r="BX157" i="44"/>
  <c r="BY157" i="44" s="1"/>
  <c r="BZ157" i="44" s="1"/>
  <c r="CA157" i="44"/>
  <c r="CB157" i="44" s="1"/>
  <c r="CC157" i="44" s="1"/>
  <c r="CD157" i="44" s="1"/>
  <c r="CN68" i="44"/>
  <c r="CO68" i="44" s="1"/>
  <c r="CP68" i="44" s="1"/>
  <c r="CQ68" i="44" s="1"/>
  <c r="CI68" i="44"/>
  <c r="BX82" i="44"/>
  <c r="BY82" i="44" s="1"/>
  <c r="BZ82" i="44" s="1"/>
  <c r="CA82" i="44"/>
  <c r="CB82" i="44" s="1"/>
  <c r="CC82" i="44" s="1"/>
  <c r="CD82" i="44" s="1"/>
  <c r="CA123" i="44"/>
  <c r="CB123" i="44" s="1"/>
  <c r="CC123" i="44" s="1"/>
  <c r="CD123" i="44" s="1"/>
  <c r="BX123" i="44"/>
  <c r="BY123" i="44" s="1"/>
  <c r="BZ123" i="44" s="1"/>
  <c r="CA159" i="44"/>
  <c r="CB159" i="44" s="1"/>
  <c r="CC159" i="44" s="1"/>
  <c r="CD159" i="44" s="1"/>
  <c r="BX159" i="44"/>
  <c r="BY159" i="44" s="1"/>
  <c r="BZ159" i="44" s="1"/>
  <c r="BX126" i="44"/>
  <c r="BY126" i="44" s="1"/>
  <c r="BZ126" i="44" s="1"/>
  <c r="CA126" i="44"/>
  <c r="CB126" i="44" s="1"/>
  <c r="CC126" i="44" s="1"/>
  <c r="CD126" i="44" s="1"/>
  <c r="BX161" i="44"/>
  <c r="BY161" i="44" s="1"/>
  <c r="BZ161" i="44" s="1"/>
  <c r="CA161" i="44"/>
  <c r="CB161" i="44" s="1"/>
  <c r="CC161" i="44" s="1"/>
  <c r="CD161" i="44" s="1"/>
  <c r="BX70" i="44"/>
  <c r="BY70" i="44" s="1"/>
  <c r="BZ70" i="44" s="1"/>
  <c r="CA70" i="44"/>
  <c r="CB70" i="44" s="1"/>
  <c r="CC70" i="44" s="1"/>
  <c r="CD70" i="44" s="1"/>
  <c r="CA158" i="44"/>
  <c r="CB158" i="44" s="1"/>
  <c r="CC158" i="44" s="1"/>
  <c r="CD158" i="44" s="1"/>
  <c r="BX158" i="44"/>
  <c r="BY158" i="44" s="1"/>
  <c r="BZ158" i="44" s="1"/>
  <c r="CA84" i="44"/>
  <c r="CB84" i="44" s="1"/>
  <c r="CC84" i="44" s="1"/>
  <c r="CD84" i="44" s="1"/>
  <c r="BX84" i="44"/>
  <c r="BY84" i="44" s="1"/>
  <c r="BZ84" i="44" s="1"/>
  <c r="BX68" i="44"/>
  <c r="BY68" i="44" s="1"/>
  <c r="BZ68" i="44" s="1"/>
  <c r="CA68" i="44"/>
  <c r="CB68" i="44" s="1"/>
  <c r="CC68" i="44" s="1"/>
  <c r="CD68" i="44" s="1"/>
  <c r="CA160" i="44"/>
  <c r="CB160" i="44" s="1"/>
  <c r="CC160" i="44" s="1"/>
  <c r="CD160" i="44" s="1"/>
  <c r="BX160" i="44"/>
  <c r="BY160" i="44" s="1"/>
  <c r="BZ160" i="44" s="1"/>
  <c r="BX87" i="44"/>
  <c r="BY87" i="44" s="1"/>
  <c r="BZ87" i="44" s="1"/>
  <c r="CA87" i="44"/>
  <c r="CB87" i="44" s="1"/>
  <c r="CC87" i="44" s="1"/>
  <c r="CD87" i="44" s="1"/>
  <c r="BX106" i="44"/>
  <c r="BY106" i="44" s="1"/>
  <c r="BZ106" i="44" s="1"/>
  <c r="CA106" i="44"/>
  <c r="CB106" i="44" s="1"/>
  <c r="CC106" i="44" s="1"/>
  <c r="CD106" i="44" s="1"/>
  <c r="CA142" i="44"/>
  <c r="CB142" i="44" s="1"/>
  <c r="CC142" i="44" s="1"/>
  <c r="CD142" i="44" s="1"/>
  <c r="BX142" i="44"/>
  <c r="BY142" i="44" s="1"/>
  <c r="BZ142" i="44" s="1"/>
  <c r="CA139" i="44"/>
  <c r="CB139" i="44" s="1"/>
  <c r="CC139" i="44" s="1"/>
  <c r="CD139" i="44" s="1"/>
  <c r="BX139" i="44"/>
  <c r="BY139" i="44" s="1"/>
  <c r="BZ139" i="44" s="1"/>
  <c r="CI65" i="44"/>
  <c r="CJ65" i="44" s="1"/>
  <c r="CK65" i="44" s="1"/>
  <c r="CL65" i="44" s="1"/>
  <c r="CM65" i="44" s="1"/>
  <c r="CN65" i="44"/>
  <c r="CO65" i="44" s="1"/>
  <c r="CP65" i="44" s="1"/>
  <c r="CQ65" i="44" s="1"/>
  <c r="CA107" i="44"/>
  <c r="CB107" i="44" s="1"/>
  <c r="CC107" i="44" s="1"/>
  <c r="CD107" i="44" s="1"/>
  <c r="BX107" i="44"/>
  <c r="BY107" i="44" s="1"/>
  <c r="BZ107" i="44" s="1"/>
  <c r="CA144" i="44"/>
  <c r="CB144" i="44" s="1"/>
  <c r="CC144" i="44" s="1"/>
  <c r="CD144" i="44" s="1"/>
  <c r="BX144" i="44"/>
  <c r="BY144" i="44" s="1"/>
  <c r="BZ144" i="44" s="1"/>
  <c r="CA113" i="44"/>
  <c r="CB113" i="44" s="1"/>
  <c r="CC113" i="44" s="1"/>
  <c r="CD113" i="44" s="1"/>
  <c r="BX113" i="44"/>
  <c r="BY113" i="44" s="1"/>
  <c r="BZ113" i="44" s="1"/>
  <c r="CN73" i="44"/>
  <c r="CO73" i="44" s="1"/>
  <c r="CP73" i="44" s="1"/>
  <c r="CQ73" i="44" s="1"/>
  <c r="CI73" i="44"/>
  <c r="CJ73" i="44" s="1"/>
  <c r="CK73" i="44" s="1"/>
  <c r="CL73" i="44" s="1"/>
  <c r="CM73" i="44" s="1"/>
  <c r="BX131" i="44"/>
  <c r="BY131" i="44" s="1"/>
  <c r="BZ131" i="44" s="1"/>
  <c r="CA131" i="44"/>
  <c r="CB131" i="44" s="1"/>
  <c r="CC131" i="44" s="1"/>
  <c r="CD131" i="44" s="1"/>
  <c r="CA110" i="44"/>
  <c r="CB110" i="44" s="1"/>
  <c r="CC110" i="44" s="1"/>
  <c r="CD110" i="44" s="1"/>
  <c r="BX110" i="44"/>
  <c r="BY110" i="44" s="1"/>
  <c r="BZ110" i="44" s="1"/>
  <c r="CA64" i="44"/>
  <c r="CB64" i="44" s="1"/>
  <c r="CC64" i="44" s="1"/>
  <c r="CD64" i="44" s="1"/>
  <c r="BX64" i="44"/>
  <c r="BY64" i="44" s="1"/>
  <c r="BZ64" i="44" s="1"/>
  <c r="CN67" i="44"/>
  <c r="CO67" i="44" s="1"/>
  <c r="CP67" i="44" s="1"/>
  <c r="CQ67" i="44" s="1"/>
  <c r="CI67" i="44"/>
  <c r="CJ67" i="44" s="1"/>
  <c r="CK67" i="44" s="1"/>
  <c r="CL67" i="44" s="1"/>
  <c r="CM67" i="44" s="1"/>
  <c r="CA148" i="44"/>
  <c r="CB148" i="44" s="1"/>
  <c r="CC148" i="44" s="1"/>
  <c r="CD148" i="44" s="1"/>
  <c r="BX148" i="44"/>
  <c r="BY148" i="44" s="1"/>
  <c r="BZ148" i="44" s="1"/>
  <c r="BX152" i="44"/>
  <c r="BY152" i="44" s="1"/>
  <c r="BZ152" i="44" s="1"/>
  <c r="CA152" i="44"/>
  <c r="CB152" i="44" s="1"/>
  <c r="CC152" i="44" s="1"/>
  <c r="CD152" i="44" s="1"/>
  <c r="BX66" i="44"/>
  <c r="BY66" i="44" s="1"/>
  <c r="BZ66" i="44" s="1"/>
  <c r="CA66" i="44"/>
  <c r="CB66" i="44" s="1"/>
  <c r="CC66" i="44" s="1"/>
  <c r="CD66" i="44" s="1"/>
  <c r="BX80" i="44"/>
  <c r="BY80" i="44" s="1"/>
  <c r="BZ80" i="44" s="1"/>
  <c r="CA80" i="44"/>
  <c r="CB80" i="44" s="1"/>
  <c r="CC80" i="44" s="1"/>
  <c r="CD80" i="44" s="1"/>
  <c r="CA96" i="44"/>
  <c r="CB96" i="44" s="1"/>
  <c r="CC96" i="44" s="1"/>
  <c r="CD96" i="44" s="1"/>
  <c r="BX96" i="44"/>
  <c r="BY96" i="44" s="1"/>
  <c r="BZ96" i="44" s="1"/>
  <c r="BX91" i="44"/>
  <c r="BY91" i="44" s="1"/>
  <c r="BZ91" i="44" s="1"/>
  <c r="CA91" i="44"/>
  <c r="CB91" i="44" s="1"/>
  <c r="CC91" i="44" s="1"/>
  <c r="CD91" i="44" s="1"/>
  <c r="CA115" i="44"/>
  <c r="CB115" i="44" s="1"/>
  <c r="CC115" i="44" s="1"/>
  <c r="CD115" i="44" s="1"/>
  <c r="BX115" i="44"/>
  <c r="BY115" i="44" s="1"/>
  <c r="BZ115" i="44" s="1"/>
  <c r="BX108" i="44"/>
  <c r="BY108" i="44" s="1"/>
  <c r="BZ108" i="44" s="1"/>
  <c r="CA108" i="44"/>
  <c r="CB108" i="44" s="1"/>
  <c r="CC108" i="44" s="1"/>
  <c r="CD108" i="44" s="1"/>
  <c r="CA101" i="44"/>
  <c r="CB101" i="44" s="1"/>
  <c r="CC101" i="44" s="1"/>
  <c r="CD101" i="44" s="1"/>
  <c r="BX101" i="44"/>
  <c r="BY101" i="44" s="1"/>
  <c r="BZ101" i="44" s="1"/>
  <c r="CN63" i="44"/>
  <c r="CO63" i="44" s="1"/>
  <c r="CI63" i="44"/>
  <c r="CJ63" i="44" s="1"/>
  <c r="CK63" i="44" s="1"/>
  <c r="CL63" i="44" s="1"/>
  <c r="CK68" i="44" l="1"/>
  <c r="CL68" i="44" s="1"/>
  <c r="CM68" i="44" s="1"/>
  <c r="CJ68" i="44"/>
  <c r="CJ71" i="44"/>
  <c r="CK71" i="44" s="1"/>
  <c r="CL71" i="44" s="1"/>
  <c r="CM71" i="44" s="1"/>
  <c r="CJ72" i="44"/>
  <c r="CK72" i="44" s="1"/>
  <c r="CL72" i="44" s="1"/>
  <c r="CM72" i="44" s="1"/>
  <c r="CK70" i="44"/>
  <c r="CL70" i="44" s="1"/>
  <c r="CM70" i="44" s="1"/>
  <c r="CJ70" i="44"/>
  <c r="CJ64" i="44"/>
  <c r="CK64" i="44" s="1"/>
  <c r="CL64" i="44" s="1"/>
  <c r="BZ63" i="44"/>
  <c r="BZ62" i="44" s="1"/>
  <c r="BY62" i="44"/>
  <c r="CM63" i="44"/>
  <c r="CP63" i="44"/>
  <c r="CO62" i="44"/>
  <c r="CB62" i="44"/>
  <c r="CC63" i="44"/>
  <c r="CM64" i="44" l="1"/>
  <c r="CM62" i="44" s="1"/>
  <c r="E26" i="44" s="1"/>
  <c r="G26" i="44" s="1"/>
  <c r="CL62" i="44"/>
  <c r="D26" i="44" s="1"/>
  <c r="F26" i="44" s="1"/>
  <c r="CQ63" i="44"/>
  <c r="CQ62" i="44" s="1"/>
  <c r="CP62" i="44"/>
  <c r="CC62" i="44"/>
  <c r="I26" i="44" s="1"/>
  <c r="CD63" i="44"/>
  <c r="CD62" i="44" s="1"/>
  <c r="K26" i="44" s="1"/>
  <c r="H26" i="44"/>
  <c r="J26" i="44" l="1"/>
  <c r="L26" i="44" s="1"/>
  <c r="M26" i="44" l="1"/>
  <c r="N26" i="44"/>
  <c r="C27" i="44" s="1"/>
  <c r="CT57" i="44" s="1"/>
  <c r="B27" i="44" l="1"/>
  <c r="CT56" i="44" s="1"/>
  <c r="CU158" i="44" l="1"/>
  <c r="CU147" i="44"/>
  <c r="DF63" i="44"/>
  <c r="CU129" i="44"/>
  <c r="CU73" i="44"/>
  <c r="CU77" i="44"/>
  <c r="CY77" i="44" s="1"/>
  <c r="CZ77" i="44" s="1"/>
  <c r="DA77" i="44" s="1"/>
  <c r="DB77" i="44" s="1"/>
  <c r="CU100" i="44"/>
  <c r="CV100" i="44" s="1"/>
  <c r="CW100" i="44" s="1"/>
  <c r="CX100" i="44" s="1"/>
  <c r="CU151" i="44"/>
  <c r="CV151" i="44" s="1"/>
  <c r="CW151" i="44" s="1"/>
  <c r="CX151" i="44" s="1"/>
  <c r="DF71" i="44"/>
  <c r="DG71" i="44" s="1"/>
  <c r="DH71" i="44" s="1"/>
  <c r="DI71" i="44" s="1"/>
  <c r="DJ71" i="44" s="1"/>
  <c r="DK71" i="44" s="1"/>
  <c r="CU122" i="44"/>
  <c r="CV122" i="44" s="1"/>
  <c r="CW122" i="44" s="1"/>
  <c r="CX122" i="44" s="1"/>
  <c r="DF74" i="44"/>
  <c r="DG74" i="44" s="1"/>
  <c r="CU104" i="44"/>
  <c r="CY104" i="44" s="1"/>
  <c r="CZ104" i="44" s="1"/>
  <c r="DA104" i="44" s="1"/>
  <c r="DB104" i="44" s="1"/>
  <c r="CU137" i="44"/>
  <c r="CV137" i="44" s="1"/>
  <c r="CW137" i="44" s="1"/>
  <c r="CX137" i="44" s="1"/>
  <c r="CU149" i="44"/>
  <c r="CV149" i="44" s="1"/>
  <c r="CW149" i="44" s="1"/>
  <c r="CX149" i="44" s="1"/>
  <c r="CU161" i="44"/>
  <c r="CY161" i="44" s="1"/>
  <c r="CZ161" i="44" s="1"/>
  <c r="DA161" i="44" s="1"/>
  <c r="DB161" i="44" s="1"/>
  <c r="CU117" i="44"/>
  <c r="CY117" i="44" s="1"/>
  <c r="CZ117" i="44" s="1"/>
  <c r="DA117" i="44" s="1"/>
  <c r="DB117" i="44" s="1"/>
  <c r="CU87" i="44"/>
  <c r="CU127" i="44"/>
  <c r="CU136" i="44"/>
  <c r="CU96" i="44"/>
  <c r="CU132" i="44"/>
  <c r="CU84" i="44"/>
  <c r="CY84" i="44" s="1"/>
  <c r="CZ84" i="44" s="1"/>
  <c r="DA84" i="44" s="1"/>
  <c r="DB84" i="44" s="1"/>
  <c r="CU97" i="44"/>
  <c r="CY97" i="44" s="1"/>
  <c r="CZ97" i="44" s="1"/>
  <c r="DA97" i="44" s="1"/>
  <c r="DB97" i="44" s="1"/>
  <c r="DF69" i="44"/>
  <c r="CU110" i="44"/>
  <c r="CU125" i="44"/>
  <c r="CV125" i="44" s="1"/>
  <c r="CW125" i="44" s="1"/>
  <c r="CX125" i="44" s="1"/>
  <c r="CU106" i="44"/>
  <c r="CY106" i="44" s="1"/>
  <c r="CZ106" i="44" s="1"/>
  <c r="DA106" i="44" s="1"/>
  <c r="DB106" i="44" s="1"/>
  <c r="CU75" i="44"/>
  <c r="CY75" i="44" s="1"/>
  <c r="CZ75" i="44" s="1"/>
  <c r="DA75" i="44" s="1"/>
  <c r="DB75" i="44" s="1"/>
  <c r="CU123" i="44"/>
  <c r="CY123" i="44" s="1"/>
  <c r="CZ123" i="44" s="1"/>
  <c r="DA123" i="44" s="1"/>
  <c r="DB123" i="44" s="1"/>
  <c r="DF65" i="44"/>
  <c r="DL65" i="44" s="1"/>
  <c r="DM65" i="44" s="1"/>
  <c r="DN65" i="44" s="1"/>
  <c r="DO65" i="44" s="1"/>
  <c r="CU156" i="44"/>
  <c r="CY156" i="44" s="1"/>
  <c r="CZ156" i="44" s="1"/>
  <c r="DA156" i="44" s="1"/>
  <c r="DB156" i="44" s="1"/>
  <c r="CU99" i="44"/>
  <c r="CV99" i="44" s="1"/>
  <c r="CW99" i="44" s="1"/>
  <c r="CX99" i="44" s="1"/>
  <c r="CU157" i="44"/>
  <c r="CU68" i="44"/>
  <c r="CU128" i="44"/>
  <c r="CU92" i="44"/>
  <c r="CU152" i="44"/>
  <c r="CU70" i="44"/>
  <c r="CV70" i="44" s="1"/>
  <c r="CW70" i="44" s="1"/>
  <c r="CX70" i="44" s="1"/>
  <c r="CU101" i="44"/>
  <c r="CY101" i="44" s="1"/>
  <c r="CZ101" i="44" s="1"/>
  <c r="DA101" i="44" s="1"/>
  <c r="DB101" i="44" s="1"/>
  <c r="CU80" i="44"/>
  <c r="CV80" i="44" s="1"/>
  <c r="CW80" i="44" s="1"/>
  <c r="CX80" i="44" s="1"/>
  <c r="CU135" i="44"/>
  <c r="CU98" i="44"/>
  <c r="CY98" i="44" s="1"/>
  <c r="CZ98" i="44" s="1"/>
  <c r="DA98" i="44" s="1"/>
  <c r="DB98" i="44" s="1"/>
  <c r="CU103" i="44"/>
  <c r="CV103" i="44" s="1"/>
  <c r="CW103" i="44" s="1"/>
  <c r="CX103" i="44" s="1"/>
  <c r="CU160" i="44"/>
  <c r="CV160" i="44" s="1"/>
  <c r="CW160" i="44" s="1"/>
  <c r="CX160" i="44" s="1"/>
  <c r="DF72" i="44"/>
  <c r="DL72" i="44" s="1"/>
  <c r="DM72" i="44" s="1"/>
  <c r="DN72" i="44" s="1"/>
  <c r="DO72" i="44" s="1"/>
  <c r="CU64" i="44"/>
  <c r="CV64" i="44" s="1"/>
  <c r="CW64" i="44" s="1"/>
  <c r="CX64" i="44" s="1"/>
  <c r="CU153" i="44"/>
  <c r="CY153" i="44" s="1"/>
  <c r="CZ153" i="44" s="1"/>
  <c r="DA153" i="44" s="1"/>
  <c r="DB153" i="44" s="1"/>
  <c r="CU76" i="44"/>
  <c r="CY76" i="44" s="1"/>
  <c r="CZ76" i="44" s="1"/>
  <c r="DA76" i="44" s="1"/>
  <c r="DB76" i="44" s="1"/>
  <c r="CU143" i="44"/>
  <c r="CU95" i="44"/>
  <c r="CU146" i="44"/>
  <c r="CU74" i="44"/>
  <c r="CU83" i="44"/>
  <c r="CU85" i="44"/>
  <c r="CU118" i="44"/>
  <c r="CV118" i="44" s="1"/>
  <c r="CW118" i="44" s="1"/>
  <c r="CX118" i="44" s="1"/>
  <c r="CU66" i="44"/>
  <c r="CV66" i="44" s="1"/>
  <c r="CW66" i="44" s="1"/>
  <c r="CX66" i="44" s="1"/>
  <c r="CU159" i="44"/>
  <c r="CY159" i="44" s="1"/>
  <c r="CZ159" i="44" s="1"/>
  <c r="DA159" i="44" s="1"/>
  <c r="DB159" i="44" s="1"/>
  <c r="DF68" i="44"/>
  <c r="DL68" i="44" s="1"/>
  <c r="DM68" i="44" s="1"/>
  <c r="DN68" i="44" s="1"/>
  <c r="DO68" i="44" s="1"/>
  <c r="CU113" i="44"/>
  <c r="CV113" i="44" s="1"/>
  <c r="CW113" i="44" s="1"/>
  <c r="CX113" i="44" s="1"/>
  <c r="CU82" i="44"/>
  <c r="CY82" i="44" s="1"/>
  <c r="CZ82" i="44" s="1"/>
  <c r="DA82" i="44" s="1"/>
  <c r="DB82" i="44" s="1"/>
  <c r="CU79" i="44"/>
  <c r="CY79" i="44" s="1"/>
  <c r="CZ79" i="44" s="1"/>
  <c r="DA79" i="44" s="1"/>
  <c r="DB79" i="44" s="1"/>
  <c r="CU148" i="44"/>
  <c r="CY148" i="44" s="1"/>
  <c r="CZ148" i="44" s="1"/>
  <c r="DA148" i="44" s="1"/>
  <c r="DB148" i="44" s="1"/>
  <c r="CU81" i="44"/>
  <c r="CV81" i="44" s="1"/>
  <c r="CW81" i="44" s="1"/>
  <c r="CX81" i="44" s="1"/>
  <c r="CU162" i="44"/>
  <c r="CY162" i="44" s="1"/>
  <c r="CZ162" i="44" s="1"/>
  <c r="DA162" i="44" s="1"/>
  <c r="DB162" i="44" s="1"/>
  <c r="CU94" i="44"/>
  <c r="CU142" i="44"/>
  <c r="CU121" i="44"/>
  <c r="CU105" i="44"/>
  <c r="CU111" i="44"/>
  <c r="CU90" i="44"/>
  <c r="CU88" i="44"/>
  <c r="CV88" i="44" s="1"/>
  <c r="CW88" i="44" s="1"/>
  <c r="CX88" i="44" s="1"/>
  <c r="CU154" i="44"/>
  <c r="CU69" i="44"/>
  <c r="CV69" i="44" s="1"/>
  <c r="CW69" i="44" s="1"/>
  <c r="CX69" i="44" s="1"/>
  <c r="DF64" i="44"/>
  <c r="DL64" i="44" s="1"/>
  <c r="DM64" i="44" s="1"/>
  <c r="DN64" i="44" s="1"/>
  <c r="DO64" i="44" s="1"/>
  <c r="CU150" i="44"/>
  <c r="CY150" i="44" s="1"/>
  <c r="CZ150" i="44" s="1"/>
  <c r="DA150" i="44" s="1"/>
  <c r="DB150" i="44" s="1"/>
  <c r="CU116" i="44"/>
  <c r="CV116" i="44" s="1"/>
  <c r="CW116" i="44" s="1"/>
  <c r="CX116" i="44" s="1"/>
  <c r="CU139" i="44"/>
  <c r="CY139" i="44" s="1"/>
  <c r="CZ139" i="44" s="1"/>
  <c r="DA139" i="44" s="1"/>
  <c r="DB139" i="44" s="1"/>
  <c r="CU131" i="44"/>
  <c r="CY131" i="44" s="1"/>
  <c r="CZ131" i="44" s="1"/>
  <c r="DA131" i="44" s="1"/>
  <c r="DB131" i="44" s="1"/>
  <c r="CU108" i="44"/>
  <c r="CV108" i="44" s="1"/>
  <c r="CW108" i="44" s="1"/>
  <c r="CX108" i="44" s="1"/>
  <c r="CU119" i="44"/>
  <c r="CY119" i="44" s="1"/>
  <c r="CZ119" i="44" s="1"/>
  <c r="DA119" i="44" s="1"/>
  <c r="DB119" i="44" s="1"/>
  <c r="DF66" i="44"/>
  <c r="CU114" i="44"/>
  <c r="CU102" i="44"/>
  <c r="CU134" i="44"/>
  <c r="CU72" i="44"/>
  <c r="CU120" i="44"/>
  <c r="CY120" i="44" s="1"/>
  <c r="CZ120" i="44" s="1"/>
  <c r="DA120" i="44" s="1"/>
  <c r="DB120" i="44" s="1"/>
  <c r="CU65" i="44"/>
  <c r="CV65" i="44" s="1"/>
  <c r="CW65" i="44" s="1"/>
  <c r="CX65" i="44" s="1"/>
  <c r="DF73" i="44"/>
  <c r="DG73" i="44" s="1"/>
  <c r="DH73" i="44" s="1"/>
  <c r="DI73" i="44" s="1"/>
  <c r="DJ73" i="44" s="1"/>
  <c r="DK73" i="44" s="1"/>
  <c r="CU93" i="44"/>
  <c r="CV93" i="44" s="1"/>
  <c r="CW93" i="44" s="1"/>
  <c r="CX93" i="44" s="1"/>
  <c r="CU67" i="44"/>
  <c r="CY67" i="44" s="1"/>
  <c r="CZ67" i="44" s="1"/>
  <c r="DA67" i="44" s="1"/>
  <c r="DB67" i="44" s="1"/>
  <c r="DF70" i="44"/>
  <c r="DG70" i="44" s="1"/>
  <c r="CU141" i="44"/>
  <c r="CY141" i="44" s="1"/>
  <c r="CZ141" i="44" s="1"/>
  <c r="DA141" i="44" s="1"/>
  <c r="DB141" i="44" s="1"/>
  <c r="CU130" i="44"/>
  <c r="CY130" i="44" s="1"/>
  <c r="CZ130" i="44" s="1"/>
  <c r="DA130" i="44" s="1"/>
  <c r="DB130" i="44" s="1"/>
  <c r="CU140" i="44"/>
  <c r="CY140" i="44" s="1"/>
  <c r="CZ140" i="44" s="1"/>
  <c r="DA140" i="44" s="1"/>
  <c r="DB140" i="44" s="1"/>
  <c r="CU145" i="44"/>
  <c r="CV145" i="44" s="1"/>
  <c r="CW145" i="44" s="1"/>
  <c r="CX145" i="44" s="1"/>
  <c r="DF67" i="44"/>
  <c r="DG67" i="44" s="1"/>
  <c r="DH67" i="44" s="1"/>
  <c r="DI67" i="44" s="1"/>
  <c r="DJ67" i="44" s="1"/>
  <c r="DK67" i="44" s="1"/>
  <c r="CU109" i="44"/>
  <c r="CU86" i="44"/>
  <c r="CU138" i="44"/>
  <c r="CU126" i="44"/>
  <c r="CU107" i="44"/>
  <c r="CU78" i="44"/>
  <c r="CU63" i="44"/>
  <c r="CV63" i="44" s="1"/>
  <c r="CW63" i="44" s="1"/>
  <c r="CU89" i="44"/>
  <c r="CY89" i="44" s="1"/>
  <c r="CZ89" i="44" s="1"/>
  <c r="DA89" i="44" s="1"/>
  <c r="DB89" i="44" s="1"/>
  <c r="CU144" i="44"/>
  <c r="CV144" i="44" s="1"/>
  <c r="CW144" i="44" s="1"/>
  <c r="CX144" i="44" s="1"/>
  <c r="CU133" i="44"/>
  <c r="CV133" i="44" s="1"/>
  <c r="CW133" i="44" s="1"/>
  <c r="CX133" i="44" s="1"/>
  <c r="CU112" i="44"/>
  <c r="CY112" i="44" s="1"/>
  <c r="CZ112" i="44" s="1"/>
  <c r="DA112" i="44" s="1"/>
  <c r="DB112" i="44" s="1"/>
  <c r="CU155" i="44"/>
  <c r="CV155" i="44" s="1"/>
  <c r="CW155" i="44" s="1"/>
  <c r="CX155" i="44" s="1"/>
  <c r="CU71" i="44"/>
  <c r="CY71" i="44" s="1"/>
  <c r="CZ71" i="44" s="1"/>
  <c r="DA71" i="44" s="1"/>
  <c r="DB71" i="44" s="1"/>
  <c r="CU124" i="44"/>
  <c r="CV124" i="44" s="1"/>
  <c r="CW124" i="44" s="1"/>
  <c r="CX124" i="44" s="1"/>
  <c r="CU115" i="44"/>
  <c r="CV115" i="44" s="1"/>
  <c r="CW115" i="44" s="1"/>
  <c r="CX115" i="44" s="1"/>
  <c r="CU91" i="44"/>
  <c r="CY91" i="44" s="1"/>
  <c r="CZ91" i="44" s="1"/>
  <c r="DA91" i="44" s="1"/>
  <c r="DB91" i="44" s="1"/>
  <c r="CV129" i="44"/>
  <c r="CW129" i="44" s="1"/>
  <c r="CX129" i="44" s="1"/>
  <c r="CY129" i="44"/>
  <c r="CZ129" i="44" s="1"/>
  <c r="DA129" i="44" s="1"/>
  <c r="DB129" i="44" s="1"/>
  <c r="CV158" i="44"/>
  <c r="CW158" i="44" s="1"/>
  <c r="CX158" i="44" s="1"/>
  <c r="CY158" i="44"/>
  <c r="CZ158" i="44" s="1"/>
  <c r="DA158" i="44" s="1"/>
  <c r="DB158" i="44" s="1"/>
  <c r="CV136" i="44"/>
  <c r="CW136" i="44" s="1"/>
  <c r="CX136" i="44" s="1"/>
  <c r="CY136" i="44"/>
  <c r="CZ136" i="44" s="1"/>
  <c r="DA136" i="44" s="1"/>
  <c r="DB136" i="44" s="1"/>
  <c r="CV127" i="44"/>
  <c r="CW127" i="44" s="1"/>
  <c r="CX127" i="44" s="1"/>
  <c r="CY127" i="44"/>
  <c r="CZ127" i="44" s="1"/>
  <c r="DA127" i="44" s="1"/>
  <c r="DB127" i="44" s="1"/>
  <c r="CV89" i="44"/>
  <c r="CW89" i="44" s="1"/>
  <c r="CX89" i="44" s="1"/>
  <c r="CY83" i="44"/>
  <c r="CZ83" i="44" s="1"/>
  <c r="DA83" i="44" s="1"/>
  <c r="DB83" i="44" s="1"/>
  <c r="CV83" i="44"/>
  <c r="CW83" i="44" s="1"/>
  <c r="CX83" i="44" s="1"/>
  <c r="CY157" i="44"/>
  <c r="CZ157" i="44" s="1"/>
  <c r="DA157" i="44" s="1"/>
  <c r="DB157" i="44" s="1"/>
  <c r="CV157" i="44"/>
  <c r="CW157" i="44" s="1"/>
  <c r="CX157" i="44" s="1"/>
  <c r="CV143" i="44"/>
  <c r="CW143" i="44" s="1"/>
  <c r="CX143" i="44" s="1"/>
  <c r="CY143" i="44"/>
  <c r="CZ143" i="44" s="1"/>
  <c r="DA143" i="44" s="1"/>
  <c r="DB143" i="44" s="1"/>
  <c r="CY151" i="44"/>
  <c r="CZ151" i="44" s="1"/>
  <c r="DA151" i="44" s="1"/>
  <c r="DB151" i="44" s="1"/>
  <c r="CV86" i="44"/>
  <c r="CW86" i="44" s="1"/>
  <c r="CX86" i="44" s="1"/>
  <c r="CY86" i="44"/>
  <c r="CZ86" i="44" s="1"/>
  <c r="DA86" i="44" s="1"/>
  <c r="DB86" i="44" s="1"/>
  <c r="CY109" i="44"/>
  <c r="CZ109" i="44" s="1"/>
  <c r="DA109" i="44" s="1"/>
  <c r="DB109" i="44" s="1"/>
  <c r="CV109" i="44"/>
  <c r="CW109" i="44" s="1"/>
  <c r="CX109" i="44" s="1"/>
  <c r="DL69" i="44"/>
  <c r="DM69" i="44" s="1"/>
  <c r="DN69" i="44" s="1"/>
  <c r="DO69" i="44" s="1"/>
  <c r="DG69" i="44"/>
  <c r="DH69" i="44" s="1"/>
  <c r="DI69" i="44" s="1"/>
  <c r="DJ69" i="44" s="1"/>
  <c r="DK69" i="44" s="1"/>
  <c r="CV73" i="44"/>
  <c r="CW73" i="44" s="1"/>
  <c r="CX73" i="44" s="1"/>
  <c r="CY73" i="44"/>
  <c r="CZ73" i="44" s="1"/>
  <c r="DA73" i="44" s="1"/>
  <c r="DB73" i="44" s="1"/>
  <c r="CV128" i="44"/>
  <c r="CW128" i="44" s="1"/>
  <c r="CX128" i="44" s="1"/>
  <c r="CY128" i="44"/>
  <c r="CZ128" i="44" s="1"/>
  <c r="DA128" i="44" s="1"/>
  <c r="DB128" i="44" s="1"/>
  <c r="CY68" i="44"/>
  <c r="CZ68" i="44" s="1"/>
  <c r="DA68" i="44" s="1"/>
  <c r="DB68" i="44" s="1"/>
  <c r="CV68" i="44"/>
  <c r="CW68" i="44" s="1"/>
  <c r="CX68" i="44" s="1"/>
  <c r="DL73" i="44"/>
  <c r="DM73" i="44" s="1"/>
  <c r="DN73" i="44" s="1"/>
  <c r="DO73" i="44" s="1"/>
  <c r="CV154" i="44"/>
  <c r="CW154" i="44" s="1"/>
  <c r="CX154" i="44" s="1"/>
  <c r="CY154" i="44"/>
  <c r="CZ154" i="44" s="1"/>
  <c r="DA154" i="44" s="1"/>
  <c r="DB154" i="44" s="1"/>
  <c r="CV74" i="44"/>
  <c r="CW74" i="44" s="1"/>
  <c r="CX74" i="44" s="1"/>
  <c r="CY74" i="44"/>
  <c r="CZ74" i="44" s="1"/>
  <c r="DA74" i="44" s="1"/>
  <c r="DB74" i="44" s="1"/>
  <c r="CY146" i="44"/>
  <c r="CZ146" i="44" s="1"/>
  <c r="DA146" i="44" s="1"/>
  <c r="DB146" i="44" s="1"/>
  <c r="CV146" i="44"/>
  <c r="CW146" i="44" s="1"/>
  <c r="CX146" i="44" s="1"/>
  <c r="CY95" i="44"/>
  <c r="CZ95" i="44" s="1"/>
  <c r="DA95" i="44" s="1"/>
  <c r="DB95" i="44" s="1"/>
  <c r="CV95" i="44"/>
  <c r="CW95" i="44" s="1"/>
  <c r="CX95" i="44" s="1"/>
  <c r="CV72" i="44"/>
  <c r="CW72" i="44" s="1"/>
  <c r="CX72" i="44" s="1"/>
  <c r="CY72" i="44"/>
  <c r="CZ72" i="44" s="1"/>
  <c r="DA72" i="44" s="1"/>
  <c r="DB72" i="44" s="1"/>
  <c r="CV102" i="44"/>
  <c r="CW102" i="44" s="1"/>
  <c r="CX102" i="44" s="1"/>
  <c r="CY102" i="44"/>
  <c r="CZ102" i="44" s="1"/>
  <c r="DA102" i="44" s="1"/>
  <c r="DB102" i="44" s="1"/>
  <c r="CY114" i="44"/>
  <c r="CZ114" i="44" s="1"/>
  <c r="DA114" i="44" s="1"/>
  <c r="DB114" i="44" s="1"/>
  <c r="CV114" i="44"/>
  <c r="CW114" i="44" s="1"/>
  <c r="CX114" i="44" s="1"/>
  <c r="DG66" i="44"/>
  <c r="DH66" i="44" s="1"/>
  <c r="DI66" i="44" s="1"/>
  <c r="DL66" i="44"/>
  <c r="CY110" i="44"/>
  <c r="CZ110" i="44" s="1"/>
  <c r="DA110" i="44" s="1"/>
  <c r="DB110" i="44" s="1"/>
  <c r="CV110" i="44"/>
  <c r="CW110" i="44" s="1"/>
  <c r="CX110" i="44" s="1"/>
  <c r="DG63" i="44"/>
  <c r="DH63" i="44" s="1"/>
  <c r="DI63" i="44" s="1"/>
  <c r="DJ63" i="44" s="1"/>
  <c r="DL63" i="44"/>
  <c r="DM63" i="44" s="1"/>
  <c r="CY96" i="44"/>
  <c r="CZ96" i="44" s="1"/>
  <c r="DA96" i="44" s="1"/>
  <c r="DB96" i="44" s="1"/>
  <c r="CV96" i="44"/>
  <c r="CW96" i="44" s="1"/>
  <c r="CX96" i="44" s="1"/>
  <c r="CY152" i="44"/>
  <c r="CZ152" i="44" s="1"/>
  <c r="DA152" i="44" s="1"/>
  <c r="DB152" i="44" s="1"/>
  <c r="CV152" i="44"/>
  <c r="CW152" i="44" s="1"/>
  <c r="CX152" i="44" s="1"/>
  <c r="CV87" i="44"/>
  <c r="CW87" i="44" s="1"/>
  <c r="CX87" i="44" s="1"/>
  <c r="CY87" i="44"/>
  <c r="CZ87" i="44" s="1"/>
  <c r="DA87" i="44" s="1"/>
  <c r="DB87" i="44" s="1"/>
  <c r="CV85" i="44"/>
  <c r="CW85" i="44" s="1"/>
  <c r="CX85" i="44" s="1"/>
  <c r="CY85" i="44"/>
  <c r="CZ85" i="44" s="1"/>
  <c r="DA85" i="44" s="1"/>
  <c r="DB85" i="44" s="1"/>
  <c r="CY78" i="44"/>
  <c r="CZ78" i="44" s="1"/>
  <c r="DA78" i="44" s="1"/>
  <c r="DB78" i="44" s="1"/>
  <c r="CV78" i="44"/>
  <c r="CW78" i="44" s="1"/>
  <c r="CX78" i="44" s="1"/>
  <c r="CY88" i="44"/>
  <c r="CZ88" i="44" s="1"/>
  <c r="DA88" i="44" s="1"/>
  <c r="DB88" i="44" s="1"/>
  <c r="CY107" i="44"/>
  <c r="CZ107" i="44" s="1"/>
  <c r="DA107" i="44" s="1"/>
  <c r="DB107" i="44" s="1"/>
  <c r="CV107" i="44"/>
  <c r="CW107" i="44" s="1"/>
  <c r="CX107" i="44" s="1"/>
  <c r="CV126" i="44"/>
  <c r="CW126" i="44" s="1"/>
  <c r="CX126" i="44" s="1"/>
  <c r="CY126" i="44"/>
  <c r="CZ126" i="44" s="1"/>
  <c r="DA126" i="44" s="1"/>
  <c r="DB126" i="44" s="1"/>
  <c r="CV111" i="44"/>
  <c r="CW111" i="44" s="1"/>
  <c r="CX111" i="44" s="1"/>
  <c r="CY111" i="44"/>
  <c r="CZ111" i="44" s="1"/>
  <c r="DA111" i="44" s="1"/>
  <c r="DB111" i="44" s="1"/>
  <c r="CY105" i="44"/>
  <c r="CZ105" i="44" s="1"/>
  <c r="DA105" i="44" s="1"/>
  <c r="DB105" i="44" s="1"/>
  <c r="CV105" i="44"/>
  <c r="CW105" i="44" s="1"/>
  <c r="CX105" i="44" s="1"/>
  <c r="CY121" i="44"/>
  <c r="CZ121" i="44" s="1"/>
  <c r="DA121" i="44" s="1"/>
  <c r="DB121" i="44" s="1"/>
  <c r="CV121" i="44"/>
  <c r="CW121" i="44" s="1"/>
  <c r="CX121" i="44" s="1"/>
  <c r="CY94" i="44"/>
  <c r="CZ94" i="44" s="1"/>
  <c r="DA94" i="44" s="1"/>
  <c r="DB94" i="44" s="1"/>
  <c r="CV94" i="44"/>
  <c r="CW94" i="44" s="1"/>
  <c r="CX94" i="44" s="1"/>
  <c r="CV147" i="44"/>
  <c r="CW147" i="44" s="1"/>
  <c r="CX147" i="44" s="1"/>
  <c r="CY147" i="44"/>
  <c r="CZ147" i="44" s="1"/>
  <c r="DA147" i="44" s="1"/>
  <c r="DB147" i="44" s="1"/>
  <c r="CY132" i="44"/>
  <c r="CZ132" i="44" s="1"/>
  <c r="DA132" i="44" s="1"/>
  <c r="DB132" i="44" s="1"/>
  <c r="CV132" i="44"/>
  <c r="CW132" i="44" s="1"/>
  <c r="CX132" i="44" s="1"/>
  <c r="CY92" i="44"/>
  <c r="CZ92" i="44" s="1"/>
  <c r="DA92" i="44" s="1"/>
  <c r="DB92" i="44" s="1"/>
  <c r="CV92" i="44"/>
  <c r="CW92" i="44" s="1"/>
  <c r="CX92" i="44" s="1"/>
  <c r="DG64" i="44"/>
  <c r="DH64" i="44" s="1"/>
  <c r="DI64" i="44" s="1"/>
  <c r="DJ64" i="44" s="1"/>
  <c r="DK64" i="44" s="1"/>
  <c r="CV90" i="44"/>
  <c r="CW90" i="44" s="1"/>
  <c r="CX90" i="44" s="1"/>
  <c r="CY90" i="44"/>
  <c r="CZ90" i="44" s="1"/>
  <c r="DA90" i="44" s="1"/>
  <c r="DB90" i="44" s="1"/>
  <c r="CV138" i="44"/>
  <c r="CW138" i="44" s="1"/>
  <c r="CX138" i="44" s="1"/>
  <c r="CY138" i="44"/>
  <c r="CZ138" i="44" s="1"/>
  <c r="DA138" i="44" s="1"/>
  <c r="DB138" i="44" s="1"/>
  <c r="CY134" i="44"/>
  <c r="CZ134" i="44" s="1"/>
  <c r="DA134" i="44" s="1"/>
  <c r="DB134" i="44" s="1"/>
  <c r="CV134" i="44"/>
  <c r="CW134" i="44" s="1"/>
  <c r="CX134" i="44" s="1"/>
  <c r="CY142" i="44"/>
  <c r="CZ142" i="44" s="1"/>
  <c r="DA142" i="44" s="1"/>
  <c r="DB142" i="44" s="1"/>
  <c r="CV142" i="44"/>
  <c r="CW142" i="44" s="1"/>
  <c r="CX142" i="44" s="1"/>
  <c r="CY103" i="44"/>
  <c r="CZ103" i="44" s="1"/>
  <c r="DA103" i="44" s="1"/>
  <c r="DB103" i="44" s="1"/>
  <c r="CY93" i="44" l="1"/>
  <c r="CZ93" i="44" s="1"/>
  <c r="DA93" i="44" s="1"/>
  <c r="DB93" i="44" s="1"/>
  <c r="CV148" i="44"/>
  <c r="CW148" i="44" s="1"/>
  <c r="CX148" i="44" s="1"/>
  <c r="CV120" i="44"/>
  <c r="CW120" i="44" s="1"/>
  <c r="CX120" i="44" s="1"/>
  <c r="CV67" i="44"/>
  <c r="CW67" i="44" s="1"/>
  <c r="CX67" i="44" s="1"/>
  <c r="CY116" i="44"/>
  <c r="CZ116" i="44" s="1"/>
  <c r="DA116" i="44" s="1"/>
  <c r="DB116" i="44" s="1"/>
  <c r="CV131" i="44"/>
  <c r="CW131" i="44" s="1"/>
  <c r="CX131" i="44" s="1"/>
  <c r="CV139" i="44"/>
  <c r="CW139" i="44" s="1"/>
  <c r="CX139" i="44" s="1"/>
  <c r="DL70" i="44"/>
  <c r="DM70" i="44" s="1"/>
  <c r="DN70" i="44" s="1"/>
  <c r="DO70" i="44" s="1"/>
  <c r="CV104" i="44"/>
  <c r="CW104" i="44" s="1"/>
  <c r="CX104" i="44" s="1"/>
  <c r="CV97" i="44"/>
  <c r="CW97" i="44" s="1"/>
  <c r="CX97" i="44" s="1"/>
  <c r="DG68" i="44"/>
  <c r="DH68" i="44" s="1"/>
  <c r="DI68" i="44" s="1"/>
  <c r="DJ68" i="44" s="1"/>
  <c r="DK68" i="44" s="1"/>
  <c r="CY66" i="44"/>
  <c r="CZ66" i="44" s="1"/>
  <c r="DA66" i="44" s="1"/>
  <c r="DB66" i="44" s="1"/>
  <c r="CY99" i="44"/>
  <c r="CZ99" i="44" s="1"/>
  <c r="DA99" i="44" s="1"/>
  <c r="DB99" i="44" s="1"/>
  <c r="CV141" i="44"/>
  <c r="CW141" i="44" s="1"/>
  <c r="CX141" i="44" s="1"/>
  <c r="CY137" i="44"/>
  <c r="CZ137" i="44" s="1"/>
  <c r="DA137" i="44" s="1"/>
  <c r="DB137" i="44" s="1"/>
  <c r="CY133" i="44"/>
  <c r="CZ133" i="44" s="1"/>
  <c r="DA133" i="44" s="1"/>
  <c r="DB133" i="44" s="1"/>
  <c r="CY125" i="44"/>
  <c r="CZ125" i="44" s="1"/>
  <c r="DA125" i="44" s="1"/>
  <c r="DB125" i="44" s="1"/>
  <c r="CV98" i="44"/>
  <c r="CW98" i="44" s="1"/>
  <c r="CX98" i="44" s="1"/>
  <c r="CY63" i="44"/>
  <c r="CZ63" i="44" s="1"/>
  <c r="DA63" i="44" s="1"/>
  <c r="CV101" i="44"/>
  <c r="CW101" i="44" s="1"/>
  <c r="CX101" i="44" s="1"/>
  <c r="CV82" i="44"/>
  <c r="CW82" i="44" s="1"/>
  <c r="CX82" i="44" s="1"/>
  <c r="CV79" i="44"/>
  <c r="CW79" i="44" s="1"/>
  <c r="CX79" i="44" s="1"/>
  <c r="CY70" i="44"/>
  <c r="CZ70" i="44" s="1"/>
  <c r="DA70" i="44" s="1"/>
  <c r="DB70" i="44" s="1"/>
  <c r="DL67" i="44"/>
  <c r="DM67" i="44" s="1"/>
  <c r="DN67" i="44" s="1"/>
  <c r="DO67" i="44" s="1"/>
  <c r="CY81" i="44"/>
  <c r="CZ81" i="44" s="1"/>
  <c r="DA81" i="44" s="1"/>
  <c r="DB81" i="44" s="1"/>
  <c r="CY108" i="44"/>
  <c r="CZ108" i="44" s="1"/>
  <c r="DA108" i="44" s="1"/>
  <c r="DB108" i="44" s="1"/>
  <c r="CY160" i="44"/>
  <c r="CZ160" i="44" s="1"/>
  <c r="DA160" i="44" s="1"/>
  <c r="DB160" i="44" s="1"/>
  <c r="DG65" i="44"/>
  <c r="DH65" i="44" s="1"/>
  <c r="DI65" i="44" s="1"/>
  <c r="DJ65" i="44" s="1"/>
  <c r="DK65" i="44" s="1"/>
  <c r="CV130" i="44"/>
  <c r="CW130" i="44" s="1"/>
  <c r="CX130" i="44" s="1"/>
  <c r="CV162" i="44"/>
  <c r="CW162" i="44" s="1"/>
  <c r="CX162" i="44" s="1"/>
  <c r="CY155" i="44"/>
  <c r="CZ155" i="44" s="1"/>
  <c r="DA155" i="44" s="1"/>
  <c r="DB155" i="44" s="1"/>
  <c r="CV123" i="44"/>
  <c r="CW123" i="44" s="1"/>
  <c r="CX123" i="44" s="1"/>
  <c r="CV140" i="44"/>
  <c r="CW140" i="44" s="1"/>
  <c r="CX140" i="44" s="1"/>
  <c r="CY118" i="44"/>
  <c r="CZ118" i="44" s="1"/>
  <c r="DA118" i="44" s="1"/>
  <c r="DB118" i="44" s="1"/>
  <c r="CV112" i="44"/>
  <c r="CW112" i="44" s="1"/>
  <c r="CX112" i="44" s="1"/>
  <c r="CY145" i="44"/>
  <c r="CZ145" i="44" s="1"/>
  <c r="DA145" i="44" s="1"/>
  <c r="DB145" i="44" s="1"/>
  <c r="CY115" i="44"/>
  <c r="CZ115" i="44" s="1"/>
  <c r="DA115" i="44" s="1"/>
  <c r="DB115" i="44" s="1"/>
  <c r="CY64" i="44"/>
  <c r="CZ64" i="44" s="1"/>
  <c r="DA64" i="44" s="1"/>
  <c r="DB64" i="44" s="1"/>
  <c r="CV161" i="44"/>
  <c r="CW161" i="44" s="1"/>
  <c r="CX161" i="44" s="1"/>
  <c r="CY69" i="44"/>
  <c r="CZ69" i="44" s="1"/>
  <c r="DA69" i="44" s="1"/>
  <c r="DB69" i="44" s="1"/>
  <c r="CV71" i="44"/>
  <c r="CW71" i="44" s="1"/>
  <c r="CX71" i="44" s="1"/>
  <c r="DL74" i="44"/>
  <c r="DM74" i="44" s="1"/>
  <c r="DN74" i="44" s="1"/>
  <c r="DO74" i="44" s="1"/>
  <c r="CY80" i="44"/>
  <c r="CZ80" i="44" s="1"/>
  <c r="DA80" i="44" s="1"/>
  <c r="DB80" i="44" s="1"/>
  <c r="CY144" i="44"/>
  <c r="CZ144" i="44" s="1"/>
  <c r="DA144" i="44" s="1"/>
  <c r="DB144" i="44" s="1"/>
  <c r="CV91" i="44"/>
  <c r="CW91" i="44" s="1"/>
  <c r="CX91" i="44" s="1"/>
  <c r="CY65" i="44"/>
  <c r="CZ65" i="44" s="1"/>
  <c r="DA65" i="44" s="1"/>
  <c r="DB65" i="44" s="1"/>
  <c r="CY124" i="44"/>
  <c r="CZ124" i="44" s="1"/>
  <c r="DA124" i="44" s="1"/>
  <c r="DB124" i="44" s="1"/>
  <c r="CV77" i="44"/>
  <c r="CW77" i="44" s="1"/>
  <c r="CX77" i="44" s="1"/>
  <c r="CV135" i="44"/>
  <c r="CW135" i="44" s="1"/>
  <c r="CX135" i="44" s="1"/>
  <c r="CY135" i="44"/>
  <c r="CZ135" i="44" s="1"/>
  <c r="DA135" i="44" s="1"/>
  <c r="DB135" i="44" s="1"/>
  <c r="DG72" i="44"/>
  <c r="DH72" i="44" s="1"/>
  <c r="DI72" i="44" s="1"/>
  <c r="DJ72" i="44" s="1"/>
  <c r="DK72" i="44" s="1"/>
  <c r="CV153" i="44"/>
  <c r="CW153" i="44" s="1"/>
  <c r="CX153" i="44" s="1"/>
  <c r="CV119" i="44"/>
  <c r="CW119" i="44" s="1"/>
  <c r="CX119" i="44" s="1"/>
  <c r="CY149" i="44"/>
  <c r="CZ149" i="44" s="1"/>
  <c r="DA149" i="44" s="1"/>
  <c r="DB149" i="44" s="1"/>
  <c r="CY113" i="44"/>
  <c r="CZ113" i="44" s="1"/>
  <c r="DA113" i="44" s="1"/>
  <c r="DB113" i="44" s="1"/>
  <c r="CV106" i="44"/>
  <c r="CW106" i="44" s="1"/>
  <c r="CX106" i="44" s="1"/>
  <c r="DL71" i="44"/>
  <c r="DM71" i="44" s="1"/>
  <c r="DN71" i="44" s="1"/>
  <c r="DO71" i="44" s="1"/>
  <c r="CV76" i="44"/>
  <c r="CW76" i="44" s="1"/>
  <c r="CX76" i="44" s="1"/>
  <c r="CV75" i="44"/>
  <c r="CW75" i="44" s="1"/>
  <c r="CX75" i="44" s="1"/>
  <c r="CV117" i="44"/>
  <c r="CW117" i="44" s="1"/>
  <c r="CX117" i="44" s="1"/>
  <c r="CY122" i="44"/>
  <c r="CZ122" i="44" s="1"/>
  <c r="DA122" i="44" s="1"/>
  <c r="DB122" i="44" s="1"/>
  <c r="CV150" i="44"/>
  <c r="CW150" i="44" s="1"/>
  <c r="CX150" i="44" s="1"/>
  <c r="CV156" i="44"/>
  <c r="CW156" i="44" s="1"/>
  <c r="CX156" i="44" s="1"/>
  <c r="CV159" i="44"/>
  <c r="CW159" i="44" s="1"/>
  <c r="CX159" i="44" s="1"/>
  <c r="CY100" i="44"/>
  <c r="CZ100" i="44" s="1"/>
  <c r="DA100" i="44" s="1"/>
  <c r="DB100" i="44" s="1"/>
  <c r="CV84" i="44"/>
  <c r="CW84" i="44" s="1"/>
  <c r="CX84" i="44" s="1"/>
  <c r="DI70" i="44"/>
  <c r="DJ70" i="44" s="1"/>
  <c r="DK70" i="44" s="1"/>
  <c r="DH70" i="44"/>
  <c r="DH74" i="44"/>
  <c r="DI74" i="44"/>
  <c r="DJ74" i="44" s="1"/>
  <c r="DK74" i="44" s="1"/>
  <c r="CX63" i="44"/>
  <c r="DN63" i="44"/>
  <c r="DK63" i="44"/>
  <c r="DM62" i="44" l="1"/>
  <c r="CZ62" i="44"/>
  <c r="CW62" i="44"/>
  <c r="CX62" i="44"/>
  <c r="DJ62" i="44"/>
  <c r="DK62" i="44"/>
  <c r="DN62" i="44"/>
  <c r="DO63" i="44"/>
  <c r="DO62" i="44" s="1"/>
  <c r="DA62" i="44"/>
  <c r="DB63" i="44"/>
  <c r="DB62" i="44" s="1"/>
  <c r="D27" i="44" l="1"/>
  <c r="E27" i="44"/>
  <c r="G27" i="44" s="1"/>
  <c r="F27" i="44" l="1"/>
  <c r="Q24" i="44"/>
  <c r="Q25" i="44" s="1"/>
</calcChain>
</file>

<file path=xl/sharedStrings.xml><?xml version="1.0" encoding="utf-8"?>
<sst xmlns="http://schemas.openxmlformats.org/spreadsheetml/2006/main" count="1901" uniqueCount="318">
  <si>
    <t>εcu</t>
  </si>
  <si>
    <t>ny</t>
  </si>
  <si>
    <t>i</t>
  </si>
  <si>
    <t>y</t>
  </si>
  <si>
    <t>n</t>
  </si>
  <si>
    <t>εco</t>
  </si>
  <si>
    <t>0 ≤ εc ≤ εco</t>
  </si>
  <si>
    <r>
      <t>fc =   φc (0.85fck) [ 1 - (1 - εc/εco)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]</t>
    </r>
  </si>
  <si>
    <t>else</t>
  </si>
  <si>
    <t>fc =   φc (0.85fck)</t>
  </si>
  <si>
    <t>mm2</t>
  </si>
  <si>
    <t>Mpa</t>
  </si>
  <si>
    <t>N</t>
  </si>
  <si>
    <t>mm</t>
  </si>
  <si>
    <t>Nmm</t>
  </si>
  <si>
    <t>Concrete</t>
  </si>
  <si>
    <t>Y</t>
  </si>
  <si>
    <t>Es</t>
  </si>
  <si>
    <t>P</t>
  </si>
  <si>
    <t>Rebar</t>
  </si>
  <si>
    <t>M</t>
  </si>
  <si>
    <t>fc</t>
  </si>
  <si>
    <t>x</t>
  </si>
  <si>
    <t>X</t>
  </si>
  <si>
    <t>●</t>
    <phoneticPr fontId="8" type="noConversion"/>
  </si>
  <si>
    <t xml:space="preserve">Width (b) </t>
  </si>
  <si>
    <t>Height (h)</t>
  </si>
  <si>
    <t>=</t>
  </si>
  <si>
    <t>Geometry</t>
  </si>
  <si>
    <t>Cross Section</t>
  </si>
  <si>
    <t>Material</t>
  </si>
  <si>
    <t xml:space="preserve">fck </t>
  </si>
  <si>
    <t>[KDS 24 14 21 3.1.2.5 (2)]</t>
  </si>
  <si>
    <t>ε</t>
  </si>
  <si>
    <t>Strain - Stress Relationship : Parabolic</t>
  </si>
  <si>
    <t>Coordinate (mm, Origin is centroid)</t>
  </si>
  <si>
    <t>Dia.</t>
  </si>
  <si>
    <t>Steel</t>
  </si>
  <si>
    <t>fy</t>
  </si>
  <si>
    <t>EA</t>
  </si>
  <si>
    <t>c</t>
  </si>
  <si>
    <t>h</t>
  </si>
  <si>
    <t>b</t>
  </si>
  <si>
    <t>Ac</t>
  </si>
  <si>
    <t>SUM</t>
  </si>
  <si>
    <t>Unit</t>
  </si>
  <si>
    <t>εci</t>
  </si>
  <si>
    <t>fci</t>
  </si>
  <si>
    <t>NA Position and Number of Mesh</t>
  </si>
  <si>
    <t>One Mesh fiber</t>
  </si>
  <si>
    <t>di</t>
  </si>
  <si>
    <t>Mesh</t>
  </si>
  <si>
    <r>
      <rPr>
        <sz val="11"/>
        <color theme="1"/>
        <rFont val="맑은 고딕"/>
        <family val="3"/>
        <charset val="129"/>
      </rPr>
      <t>∑</t>
    </r>
    <r>
      <rPr>
        <sz val="11"/>
        <color theme="1"/>
        <rFont val="Calibri"/>
        <family val="2"/>
      </rPr>
      <t>C</t>
    </r>
  </si>
  <si>
    <r>
      <rPr>
        <sz val="11"/>
        <color theme="1"/>
        <rFont val="맑은 고딕"/>
        <family val="3"/>
        <charset val="129"/>
      </rPr>
      <t>∑</t>
    </r>
    <r>
      <rPr>
        <sz val="11"/>
        <color theme="1"/>
        <rFont val="Calibri"/>
        <family val="2"/>
      </rPr>
      <t>M</t>
    </r>
  </si>
  <si>
    <t>Converged</t>
  </si>
  <si>
    <t xml:space="preserve">Converged Criteria </t>
  </si>
  <si>
    <t>Diff.C %</t>
  </si>
  <si>
    <t>Diff.M %</t>
  </si>
  <si>
    <t>fsi</t>
  </si>
  <si>
    <t>εsi</t>
  </si>
  <si>
    <t>fsi_eff</t>
  </si>
  <si>
    <t>Fsi</t>
  </si>
  <si>
    <t>As</t>
  </si>
  <si>
    <t>Msi</t>
  </si>
  <si>
    <t>yi</t>
  </si>
  <si>
    <t>Fci</t>
  </si>
  <si>
    <t>Mci</t>
  </si>
  <si>
    <t>kN</t>
  </si>
  <si>
    <t>kNm</t>
  </si>
  <si>
    <t>Fc =</t>
  </si>
  <si>
    <t>0.85f'c (Ac - As)</t>
  </si>
  <si>
    <t>Fs =</t>
  </si>
  <si>
    <t>fyAs</t>
  </si>
  <si>
    <t>Ac =</t>
  </si>
  <si>
    <t>As =</t>
  </si>
  <si>
    <t>f'c =</t>
  </si>
  <si>
    <t>fy =</t>
  </si>
  <si>
    <t>MPa</t>
  </si>
  <si>
    <t>P0</t>
  </si>
  <si>
    <t>Steel Force</t>
  </si>
  <si>
    <t>Concrete Force</t>
  </si>
  <si>
    <t>Nominal</t>
  </si>
  <si>
    <t>P0 - Pure Compression</t>
  </si>
  <si>
    <t>The entire concrete section and all reinforcing bars are in compression. The neutral axis is assumed to be at infinity.</t>
  </si>
  <si>
    <t>The stress in the control steel is zero.</t>
  </si>
  <si>
    <t>Point</t>
  </si>
  <si>
    <t>P1</t>
  </si>
  <si>
    <t>P2</t>
  </si>
  <si>
    <t>P3</t>
  </si>
  <si>
    <t>N.A Line</t>
  </si>
  <si>
    <t>P4</t>
  </si>
  <si>
    <t>¥</t>
  </si>
  <si>
    <t>e</t>
  </si>
  <si>
    <t>εs</t>
  </si>
  <si>
    <t>Compression</t>
  </si>
  <si>
    <t xml:space="preserve">Tension </t>
  </si>
  <si>
    <t>SUM (Aci * fci)</t>
  </si>
  <si>
    <t>As * fs</t>
  </si>
  <si>
    <t>Stress</t>
  </si>
  <si>
    <t>Force</t>
  </si>
  <si>
    <t>Eccentricity</t>
  </si>
  <si>
    <t>Moment</t>
  </si>
  <si>
    <t>Fc</t>
  </si>
  <si>
    <t>Fs</t>
  </si>
  <si>
    <t>MAX( εs * Es, fy)</t>
  </si>
  <si>
    <t>Fs * e</t>
  </si>
  <si>
    <t>yci</t>
  </si>
  <si>
    <t>SUM (Aci * fci * yci)</t>
  </si>
  <si>
    <t>fci = f(εci)</t>
  </si>
  <si>
    <t>Strain</t>
  </si>
  <si>
    <t>εs = εc</t>
  </si>
  <si>
    <t>MAX( fs * Es - fc ; fy)</t>
  </si>
  <si>
    <t>ys.com</t>
  </si>
  <si>
    <t>εc</t>
  </si>
  <si>
    <t xml:space="preserve">εs </t>
  </si>
  <si>
    <t xml:space="preserve">fs </t>
  </si>
  <si>
    <t xml:space="preserve">e </t>
  </si>
  <si>
    <t>εs (-)</t>
  </si>
  <si>
    <t>As * fs (-)</t>
  </si>
  <si>
    <t>ys.ten (-)</t>
  </si>
  <si>
    <t>P = Fc + Fs.com + Fs.ten = Fc + Fs.com - Fs.ten</t>
  </si>
  <si>
    <t>Fs * e (+)</t>
  </si>
  <si>
    <t>M = Mc + Ms.com + Ms.ten</t>
  </si>
  <si>
    <t>Criteria for selecting Point to calculate</t>
  </si>
  <si>
    <t xml:space="preserve">P-M point 선택하는 기준 </t>
  </si>
  <si>
    <t>C1 =</t>
  </si>
  <si>
    <t>Hmesh</t>
  </si>
  <si>
    <t>Point P2: NA Position C = 2C1</t>
  </si>
  <si>
    <t>Point P4: NA Position C = 1.2C1</t>
  </si>
  <si>
    <t>Point P2: fs = 0.25fy</t>
  </si>
  <si>
    <t>Point P1: fs = 0 (NA Position C = C1)</t>
  </si>
  <si>
    <t>fs = fy</t>
  </si>
  <si>
    <t>SumP</t>
  </si>
  <si>
    <t>P6</t>
  </si>
  <si>
    <t>P7</t>
  </si>
  <si>
    <t>P8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</si>
  <si>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</si>
  <si>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</si>
  <si>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</si>
  <si>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</si>
  <si>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</si>
  <si>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</si>
  <si>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</si>
  <si>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</si>
  <si>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</si>
  <si>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fs/fy</t>
  </si>
  <si>
    <t>C/C1</t>
  </si>
  <si>
    <t>P0 - Pure Tension</t>
  </si>
  <si>
    <t>Pure Tension</t>
  </si>
  <si>
    <t>Pure Compression</t>
  </si>
  <si>
    <t>e = M/P</t>
  </si>
  <si>
    <t>Korea Standard</t>
  </si>
  <si>
    <t>Normial</t>
  </si>
  <si>
    <t>Factored</t>
  </si>
  <si>
    <t>SumM</t>
  </si>
  <si>
    <t>P5 fs=0</t>
  </si>
  <si>
    <t>P9 fs=fy</t>
  </si>
  <si>
    <t>Section Dimension (only for Rectangle)</t>
  </si>
  <si>
    <t>Mesh and Convergence criteria (for concrete)</t>
  </si>
  <si>
    <t>Diff % (F, M) &lt;=</t>
  </si>
  <si>
    <t>Minimum one mesh fiber thickness: 1mm</t>
  </si>
  <si>
    <t>Number of mesh: 50, 100, 200, 400, 600, 800 and Max 1000</t>
  </si>
  <si>
    <t>Equation</t>
  </si>
  <si>
    <t>Pure Compression and Tension</t>
  </si>
  <si>
    <t>Select N/A position C by C1</t>
  </si>
  <si>
    <t>Select N/A by fs</t>
  </si>
  <si>
    <t>Rebar Stress = 0</t>
  </si>
  <si>
    <t>N/A Position C = C1, fs = 0</t>
  </si>
  <si>
    <t>Rebar Stress Max = fy</t>
  </si>
  <si>
    <t>Description</t>
  </si>
  <si>
    <t>N/A Position</t>
  </si>
  <si>
    <t>all fs = fy, but big strain</t>
  </si>
  <si>
    <t xml:space="preserve">Factored P and M </t>
  </si>
  <si>
    <t>Korea Standard KDS KDS 24 14 21:2025</t>
  </si>
  <si>
    <t xml:space="preserve">φc = </t>
  </si>
  <si>
    <t>φs =</t>
  </si>
  <si>
    <t>Tension</t>
  </si>
  <si>
    <t>Equation of Strain</t>
  </si>
  <si>
    <t>ε = ε0 + κy</t>
  </si>
  <si>
    <t>strain at the reference axis</t>
  </si>
  <si>
    <t>curvature</t>
  </si>
  <si>
    <t>ε(y) = ε0 + κy</t>
  </si>
  <si>
    <t>ε(y) = ε0 + κ*y</t>
  </si>
  <si>
    <t>coordinate from reference axis</t>
  </si>
  <si>
    <t>y =</t>
  </si>
  <si>
    <t>κ =</t>
  </si>
  <si>
    <t>ε0 =</t>
  </si>
  <si>
    <t>Equation of strain</t>
  </si>
  <si>
    <t>ε0 = εcu * (c - h/2)/c</t>
  </si>
  <si>
    <t xml:space="preserve">ε0 = </t>
  </si>
  <si>
    <t>κ = εcu / c</t>
  </si>
  <si>
    <t>Mesh fiber</t>
  </si>
  <si>
    <t>Summary</t>
  </si>
  <si>
    <t>Point P1: NA Position C = 3C1</t>
  </si>
  <si>
    <t>Point P3: NA Position C = 1.5C1</t>
  </si>
  <si>
    <t>Point P5: NA Position C = 1C1</t>
  </si>
  <si>
    <t>ε0</t>
  </si>
  <si>
    <t>κ</t>
  </si>
  <si>
    <t>P (kN)</t>
  </si>
  <si>
    <t>M (kNm)</t>
  </si>
  <si>
    <t>Point P3: fs = 0.50fy</t>
  </si>
  <si>
    <t>Control Rebar Y =</t>
  </si>
  <si>
    <t>Point P3: fs = 0.75fy</t>
  </si>
  <si>
    <t>Point P3: fs = fy</t>
  </si>
  <si>
    <t>Point P1: es = 0.002</t>
  </si>
  <si>
    <t>Point P2: es = 0.003</t>
  </si>
  <si>
    <t>Point es = 0.005</t>
  </si>
  <si>
    <t>Point es = 0.01</t>
  </si>
  <si>
    <t>Point es = 0.015</t>
  </si>
  <si>
    <t>Point es = 0.02</t>
  </si>
  <si>
    <t>Point es = 0.03</t>
  </si>
  <si>
    <t>Point es = 0.05</t>
  </si>
  <si>
    <t>Point es = 0.0075</t>
  </si>
  <si>
    <t>1/mm</t>
  </si>
  <si>
    <t>Pu (Axial)</t>
  </si>
  <si>
    <t>Mu (Moment)</t>
  </si>
  <si>
    <t>1) Demand Input</t>
  </si>
  <si>
    <t>ε0  (at centroid)</t>
  </si>
  <si>
    <t>κ   (curvature,1/mm)</t>
  </si>
  <si>
    <t>x1 = ε0 x 1000</t>
  </si>
  <si>
    <t>x2 = κ x 1e6</t>
  </si>
  <si>
    <t>INVERSE SECTION ANALYSIS  -  Given (Pu, Mu)  →  strain state (ε0, κ), curvature, neutral axis</t>
  </si>
  <si>
    <t>3) Equilibrium result</t>
  </si>
  <si>
    <t>Pu_Cal (kN)</t>
  </si>
  <si>
    <t>Mu_Cal (kNm)</t>
  </si>
  <si>
    <t>Residual P</t>
  </si>
  <si>
    <t>Residual M</t>
  </si>
  <si>
    <t>Objective -&gt; MIN( P_residual^2 + M_residual^2)</t>
  </si>
  <si>
    <t>P^2 + M^2 =</t>
  </si>
  <si>
    <t>HOW TO SOLVE (manual Solver)</t>
  </si>
  <si>
    <t>5. Method: GRG Nonlinear. Tick "Use Automatic Scaling".</t>
  </si>
  <si>
    <t>1. Enter Pu and Mu</t>
  </si>
  <si>
    <t>2. Data &gt; Solver</t>
  </si>
  <si>
    <t>3. Set Objective: $H$19  -&gt;  To: Min.</t>
  </si>
  <si>
    <t>4. By Changing Variable Cells: $D$9 , $D$10 .</t>
  </si>
  <si>
    <t>6. Solve. F12 -&gt; 0 means converged</t>
  </si>
  <si>
    <t>4) SECTION RESPONSE (from converged ε0, κ)</t>
  </si>
  <si>
    <t>Curvature κ</t>
  </si>
  <si>
    <t>ε0 (strain at centroid)</t>
  </si>
  <si>
    <t>Neutral axis y_NA (from centroid,+up)</t>
  </si>
  <si>
    <t>Strain at TOP fibre (y=+h/2)</t>
  </si>
  <si>
    <t>Strain at BOTTOM fibre (y=-h/2)</t>
  </si>
  <si>
    <t>Eccentricity e=M/P</t>
  </si>
  <si>
    <t>Neutral axis depth c (from top fiber)</t>
  </si>
  <si>
    <t>NEWTON - RAPHSON INVERSE  -  Given (Pu, Mu)  →  strain state (ε0, κ), curvature, neutral axis</t>
  </si>
  <si>
    <t>2) Unknowns (Solver changes these)</t>
  </si>
  <si>
    <t>2) Initial Guess</t>
  </si>
  <si>
    <t xml:space="preserve">ε0 </t>
  </si>
  <si>
    <t xml:space="preserve"> κ </t>
  </si>
  <si>
    <t>No.</t>
  </si>
  <si>
    <r>
      <t>fc = f(ε) =   (0.85fck) [ 1 - (1 - ε/εco)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]</t>
    </r>
  </si>
  <si>
    <t>fc = f(ε)</t>
  </si>
  <si>
    <t>fs</t>
  </si>
  <si>
    <t xml:space="preserve">b = ∂P/∂κ </t>
  </si>
  <si>
    <t>ε = f(ε0, κ) = ε0 + κ*y</t>
  </si>
  <si>
    <t>d = ∂M/∂κ</t>
  </si>
  <si>
    <t>e0</t>
  </si>
  <si>
    <t>rP</t>
  </si>
  <si>
    <t>rM</t>
  </si>
  <si>
    <t>Δe0</t>
  </si>
  <si>
    <t xml:space="preserve">Δκ </t>
  </si>
  <si>
    <t>a = ∂P/∂ε0</t>
  </si>
  <si>
    <t>c = ∂M/∂ε0</t>
  </si>
  <si>
    <t>J = matrix [∂P/∂ε0 ∂P/∂κ ; ∂M/∂ε0 ∂M/∂κ] = [a b; c d]</t>
  </si>
  <si>
    <t>a = ∂P/∂ε0 = ∂P/∂ε = ∂f/∂ε * A</t>
  </si>
  <si>
    <t>a = ∂P/∂ε0 = T * A</t>
  </si>
  <si>
    <t>b = ∂P/∂κ = ∂P/∂ε * y = T * A * y</t>
  </si>
  <si>
    <t>c = ∂M/∂ε0 = ∂P/∂ε* y = T *A * y</t>
  </si>
  <si>
    <t>d = ∂M/∂κ = ∂P/∂κ* y = T *A * y * y</t>
  </si>
  <si>
    <t>T = ∂fc/∂ε</t>
  </si>
  <si>
    <t>a = ∂Pc/∂ε</t>
  </si>
  <si>
    <t>= T*A</t>
  </si>
  <si>
    <t>b,c = ∂Pc/∂κ</t>
  </si>
  <si>
    <t>= T*A*y</t>
  </si>
  <si>
    <t>d = ∂Mc/∂κ</t>
  </si>
  <si>
    <t>=T*A*y*y</t>
  </si>
  <si>
    <t>Mc = Pc*Y</t>
  </si>
  <si>
    <t>Ps=fs*As</t>
  </si>
  <si>
    <t>Ms=Ps*Y</t>
  </si>
  <si>
    <t>Pc = fc*Ac</t>
  </si>
  <si>
    <t>T = ∂fs/∂ε</t>
  </si>
  <si>
    <t>a = ∂Ps/∂ε</t>
  </si>
  <si>
    <t>b,c = ∂Ps/∂κ</t>
  </si>
  <si>
    <t>d = ∂Ms/∂κ</t>
  </si>
  <si>
    <r>
      <t>Let T = ∂f/∂ε = f'(ε) =   (0.85fck)*n/eco* (1 - ε/εco)</t>
    </r>
    <r>
      <rPr>
        <b/>
        <vertAlign val="superscript"/>
        <sz val="11"/>
        <color rgb="FF0070C0"/>
        <rFont val="Calibri"/>
        <family val="2"/>
        <scheme val="minor"/>
      </rPr>
      <t>n-1</t>
    </r>
  </si>
  <si>
    <t>if (0 &lt; εci &lt; εco) = 0</t>
  </si>
  <si>
    <r>
      <t>else = (0.85*fck)*n/eco* (1 - ε/εco)</t>
    </r>
    <r>
      <rPr>
        <b/>
        <vertAlign val="superscript"/>
        <sz val="11"/>
        <color rgb="FF0070C0"/>
        <rFont val="Calibri"/>
        <family val="2"/>
        <scheme val="minor"/>
      </rPr>
      <t>n-1</t>
    </r>
  </si>
  <si>
    <t>ITERATION #1</t>
  </si>
  <si>
    <t>ITERATION #2</t>
  </si>
  <si>
    <t>ITERATION #3</t>
  </si>
  <si>
    <t>ITERATION #4</t>
  </si>
  <si>
    <t>ITERATION #5</t>
  </si>
  <si>
    <t>ITERATION TABLE</t>
  </si>
  <si>
    <t>Unknown vector:</t>
  </si>
  <si>
    <t>Residual vector:</t>
  </si>
  <si>
    <t>R(x) = [ P(ε0, κ) - Pu ;  M(ε0, κ) - Mu]</t>
  </si>
  <si>
    <t>Jacobian matrix:</t>
  </si>
  <si>
    <t>Newton equation:</t>
  </si>
  <si>
    <t>Update equation:</t>
  </si>
  <si>
    <t>x_new = x +  Δx</t>
  </si>
  <si>
    <t>x = [ε0 ;  κ]</t>
  </si>
  <si>
    <t>κnew = κ +  Δκ</t>
  </si>
  <si>
    <t>ε0,new = ε0 +  Δε0</t>
  </si>
  <si>
    <t>Δx = [Δε0;  Δκ] = -J⁻¹ R</t>
  </si>
  <si>
    <t>Newton-Raphson estimates the local sensitivity J, then computes how ε0 and κ should be corrected so that the calculated section response moves toward the target Pu and Mu.</t>
  </si>
  <si>
    <t>뉴턴-랩슨 방법은 국부 민감도 J를 추정한 뒤, 계산된 단면 응답이 목표 Pu와 Mu에 가까워지도록 ε0와 κ의 수정량을 계산한다.</t>
  </si>
  <si>
    <t>a = ∂P/∂ε0  ; b =   ∂P/∂κ ; c =  ∂M/∂ε0  ; d =  ∂M/∂κ</t>
  </si>
  <si>
    <t>J = [ ∂P/∂ε0    ∂P/∂κ ;  ∂M/∂ε0    ∂M/∂κ] = [a b; c d]</t>
  </si>
  <si>
    <t>DET 
a*d - b*c</t>
  </si>
  <si>
    <t xml:space="preserve"> P(ε0, κ)</t>
  </si>
  <si>
    <t xml:space="preserve"> M(ε0, κ)</t>
  </si>
  <si>
    <t>Jacobian Matrix</t>
  </si>
  <si>
    <t>Residual Force &amp; Moment</t>
  </si>
  <si>
    <t>Original</t>
  </si>
  <si>
    <t>Target</t>
  </si>
  <si>
    <t>Diff</t>
  </si>
  <si>
    <t>Diff % &lt;= 10^-4 (0.01%)</t>
  </si>
  <si>
    <t>Max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</si>
</sst>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0.0"/>
    <numFmt numFmtId="165" formatCode="0.00;\-0.00;&quot;-&quot;;@"/>
    <numFmt numFmtId="166" formatCode="0.00.E+00"/>
    <numFmt numFmtId="167" formatCode="0.00000;\-0.00000;&quot;-&quot;;@"/>
    <numFmt numFmtId="168" formatCode="0.00000"/>
    <numFmt numFmtId="169" formatCode="0.0000"/>
    <numFmt numFmtId="170" formatCode="0.000.E+00"/>
    <numFmt numFmtId="171" formatCode="#,##0.0"/>
    <numFmt numFmtId="172" formatCode="0.000000"/>
    <numFmt numFmtId="173" formatCode="0.000E+00"/>
    <numFmt numFmtId="174" formatCode="0.0000000"/>
    <numFmt numFmtId="175" formatCode="0.0000E+00"/>
    <numFmt numFmtId="176" formatCode="0.000000%"/>
    <numFmt numFmtId="177" formatCode="0.00000000"/>
    <numFmt numFmtId="183" formatCode="0.0000.E+00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8" tint="-0.499984740745262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9"/>
      <color theme="8" tint="-0.499984740745262"/>
      <name val="맑은 고딕"/>
      <family val="3"/>
      <charset val="129"/>
    </font>
    <font>
      <sz val="5"/>
      <color theme="8" tint="-0.249977111117893"/>
      <name val="맑은 고딕"/>
      <family val="3"/>
      <charset val="129"/>
    </font>
    <font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sz val="9"/>
      <color rgb="FF0000FF"/>
      <name val="맑은 고딕"/>
      <family val="3"/>
      <charset val="129"/>
    </font>
    <font>
      <b/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맑은 고딕"/>
      <family val="3"/>
      <charset val="129"/>
    </font>
    <font>
      <sz val="11"/>
      <color theme="1"/>
      <name val="Calibri"/>
      <family val="3"/>
      <charset val="129"/>
    </font>
    <font>
      <sz val="11"/>
      <color rgb="FF00206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1"/>
      <color theme="1"/>
      <name val="Symbol"/>
      <family val="1"/>
      <charset val="2"/>
    </font>
    <font>
      <b/>
      <sz val="12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vertAlign val="superscript"/>
      <sz val="11"/>
      <color rgb="FF0070C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6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thin">
        <color indexed="64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auto="1"/>
      </right>
      <top/>
      <bottom/>
      <diagonal/>
    </border>
    <border>
      <left style="double">
        <color auto="1"/>
      </left>
      <right style="hair">
        <color auto="1"/>
      </right>
      <top/>
      <bottom style="double">
        <color auto="1"/>
      </bottom>
      <diagonal/>
    </border>
    <border>
      <left style="hair">
        <color auto="1"/>
      </left>
      <right style="hair">
        <color auto="1"/>
      </right>
      <top/>
      <bottom style="double">
        <color auto="1"/>
      </bottom>
      <diagonal/>
    </border>
    <border>
      <left style="hair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double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double">
        <color auto="1"/>
      </top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47">
    <xf numFmtId="0" fontId="0" fillId="0" borderId="0" xfId="0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6" fillId="0" borderId="0" xfId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0" fillId="0" borderId="0" xfId="0" quotePrefix="1"/>
    <xf numFmtId="0" fontId="9" fillId="0" borderId="0" xfId="0" applyFont="1"/>
    <xf numFmtId="0" fontId="0" fillId="0" borderId="0" xfId="0" quotePrefix="1" applyAlignment="1">
      <alignment horizontal="center"/>
    </xf>
    <xf numFmtId="0" fontId="8" fillId="0" borderId="0" xfId="1" applyFont="1" applyAlignment="1">
      <alignment horizontal="right" vertic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12" xfId="0" applyBorder="1"/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0" fillId="0" borderId="0" xfId="0" applyFont="1"/>
    <xf numFmtId="0" fontId="0" fillId="0" borderId="0" xfId="0" applyAlignment="1">
      <alignment horizontal="right"/>
    </xf>
    <xf numFmtId="164" fontId="4" fillId="0" borderId="13" xfId="0" applyNumberFormat="1" applyFont="1" applyBorder="1"/>
    <xf numFmtId="0" fontId="4" fillId="0" borderId="14" xfId="0" applyFont="1" applyBorder="1"/>
    <xf numFmtId="0" fontId="4" fillId="0" borderId="13" xfId="0" applyFont="1" applyBorder="1"/>
    <xf numFmtId="0" fontId="4" fillId="0" borderId="16" xfId="0" applyFont="1" applyBorder="1"/>
    <xf numFmtId="0" fontId="4" fillId="0" borderId="17" xfId="0" applyFont="1" applyBorder="1"/>
    <xf numFmtId="0" fontId="11" fillId="0" borderId="0" xfId="1" applyFont="1" applyAlignment="1">
      <alignment horizontal="left" vertical="center"/>
    </xf>
    <xf numFmtId="0" fontId="5" fillId="2" borderId="0" xfId="1" quotePrefix="1" applyFont="1" applyFill="1" applyAlignment="1">
      <alignment vertical="center"/>
    </xf>
    <xf numFmtId="0" fontId="6" fillId="2" borderId="0" xfId="1" applyFont="1" applyFill="1" applyAlignment="1">
      <alignment horizontal="left" vertical="center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9" fillId="0" borderId="7" xfId="0" applyFont="1" applyBorder="1"/>
    <xf numFmtId="0" fontId="6" fillId="0" borderId="7" xfId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3" xfId="0" applyBorder="1"/>
    <xf numFmtId="165" fontId="13" fillId="0" borderId="13" xfId="2" applyNumberFormat="1" applyFont="1" applyBorder="1"/>
    <xf numFmtId="164" fontId="0" fillId="0" borderId="13" xfId="0" applyNumberFormat="1" applyBorder="1"/>
    <xf numFmtId="0" fontId="0" fillId="0" borderId="14" xfId="0" applyBorder="1"/>
    <xf numFmtId="0" fontId="15" fillId="2" borderId="26" xfId="0" applyFont="1" applyFill="1" applyBorder="1" applyAlignment="1">
      <alignment vertical="center"/>
    </xf>
    <xf numFmtId="0" fontId="15" fillId="2" borderId="27" xfId="0" applyFont="1" applyFill="1" applyBorder="1" applyAlignment="1">
      <alignment vertical="center"/>
    </xf>
    <xf numFmtId="0" fontId="15" fillId="2" borderId="28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0" fillId="2" borderId="29" xfId="0" applyFont="1" applyFill="1" applyBorder="1"/>
    <xf numFmtId="0" fontId="10" fillId="2" borderId="30" xfId="0" applyFont="1" applyFill="1" applyBorder="1"/>
    <xf numFmtId="0" fontId="10" fillId="2" borderId="31" xfId="0" applyFont="1" applyFill="1" applyBorder="1"/>
    <xf numFmtId="0" fontId="14" fillId="2" borderId="29" xfId="0" applyFont="1" applyFill="1" applyBorder="1" applyAlignment="1">
      <alignment vertical="center"/>
    </xf>
    <xf numFmtId="0" fontId="14" fillId="2" borderId="30" xfId="0" applyFont="1" applyFill="1" applyBorder="1" applyAlignment="1">
      <alignment vertical="center"/>
    </xf>
    <xf numFmtId="164" fontId="14" fillId="2" borderId="30" xfId="0" applyNumberFormat="1" applyFont="1" applyFill="1" applyBorder="1" applyAlignment="1">
      <alignment vertical="center"/>
    </xf>
    <xf numFmtId="166" fontId="14" fillId="2" borderId="31" xfId="0" applyNumberFormat="1" applyFont="1" applyFill="1" applyBorder="1" applyAlignment="1">
      <alignment vertical="center"/>
    </xf>
    <xf numFmtId="0" fontId="12" fillId="0" borderId="0" xfId="0" applyFont="1" applyAlignment="1">
      <alignment horizontal="right"/>
    </xf>
    <xf numFmtId="0" fontId="0" fillId="0" borderId="1" xfId="0" applyBorder="1" applyAlignment="1">
      <alignment horizontal="left"/>
    </xf>
    <xf numFmtId="0" fontId="4" fillId="0" borderId="2" xfId="0" applyFont="1" applyBorder="1" applyAlignment="1">
      <alignment horizontal="right"/>
    </xf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left"/>
    </xf>
    <xf numFmtId="0" fontId="12" fillId="0" borderId="7" xfId="0" applyFont="1" applyBorder="1"/>
    <xf numFmtId="0" fontId="12" fillId="0" borderId="2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167" fontId="13" fillId="0" borderId="13" xfId="2" applyNumberFormat="1" applyFont="1" applyBorder="1"/>
    <xf numFmtId="0" fontId="18" fillId="3" borderId="0" xfId="0" applyFont="1" applyFill="1"/>
    <xf numFmtId="0" fontId="18" fillId="3" borderId="0" xfId="0" applyFont="1" applyFill="1" applyAlignment="1">
      <alignment horizontal="left"/>
    </xf>
    <xf numFmtId="166" fontId="0" fillId="0" borderId="0" xfId="0" applyNumberFormat="1"/>
    <xf numFmtId="10" fontId="0" fillId="0" borderId="0" xfId="0" applyNumberFormat="1"/>
    <xf numFmtId="0" fontId="0" fillId="2" borderId="32" xfId="0" applyFill="1" applyBorder="1"/>
    <xf numFmtId="0" fontId="0" fillId="2" borderId="33" xfId="0" applyFill="1" applyBorder="1"/>
    <xf numFmtId="0" fontId="17" fillId="2" borderId="33" xfId="0" applyFont="1" applyFill="1" applyBorder="1"/>
    <xf numFmtId="0" fontId="0" fillId="2" borderId="34" xfId="0" applyFill="1" applyBorder="1"/>
    <xf numFmtId="2" fontId="0" fillId="0" borderId="13" xfId="0" applyNumberFormat="1" applyBorder="1"/>
    <xf numFmtId="0" fontId="15" fillId="2" borderId="35" xfId="0" applyFont="1" applyFill="1" applyBorder="1" applyAlignment="1">
      <alignment vertical="center"/>
    </xf>
    <xf numFmtId="0" fontId="10" fillId="2" borderId="36" xfId="0" applyFont="1" applyFill="1" applyBorder="1"/>
    <xf numFmtId="166" fontId="14" fillId="2" borderId="36" xfId="0" applyNumberFormat="1" applyFont="1" applyFill="1" applyBorder="1" applyAlignment="1">
      <alignment vertical="center"/>
    </xf>
    <xf numFmtId="166" fontId="14" fillId="2" borderId="30" xfId="0" applyNumberFormat="1" applyFont="1" applyFill="1" applyBorder="1" applyAlignment="1">
      <alignment vertical="center"/>
    </xf>
    <xf numFmtId="165" fontId="11" fillId="0" borderId="13" xfId="2" applyNumberFormat="1" applyFont="1" applyBorder="1"/>
    <xf numFmtId="2" fontId="9" fillId="0" borderId="13" xfId="0" applyNumberFormat="1" applyFont="1" applyBorder="1"/>
    <xf numFmtId="0" fontId="12" fillId="0" borderId="0" xfId="0" applyFont="1"/>
    <xf numFmtId="2" fontId="12" fillId="0" borderId="0" xfId="0" applyNumberFormat="1" applyFont="1"/>
    <xf numFmtId="0" fontId="12" fillId="0" borderId="0" xfId="0" applyFont="1" applyAlignment="1">
      <alignment horizontal="center"/>
    </xf>
    <xf numFmtId="0" fontId="0" fillId="0" borderId="37" xfId="0" applyBorder="1"/>
    <xf numFmtId="0" fontId="20" fillId="0" borderId="0" xfId="0" applyFont="1"/>
    <xf numFmtId="2" fontId="0" fillId="0" borderId="16" xfId="0" applyNumberFormat="1" applyBorder="1"/>
    <xf numFmtId="164" fontId="0" fillId="0" borderId="16" xfId="0" applyNumberFormat="1" applyBorder="1"/>
    <xf numFmtId="0" fontId="0" fillId="0" borderId="17" xfId="0" applyBorder="1"/>
    <xf numFmtId="164" fontId="19" fillId="0" borderId="13" xfId="0" applyNumberFormat="1" applyFont="1" applyBorder="1"/>
    <xf numFmtId="2" fontId="19" fillId="0" borderId="16" xfId="0" applyNumberFormat="1" applyFont="1" applyBorder="1"/>
    <xf numFmtId="0" fontId="21" fillId="0" borderId="0" xfId="0" applyFont="1"/>
    <xf numFmtId="0" fontId="0" fillId="0" borderId="13" xfId="0" applyBorder="1" applyAlignment="1">
      <alignment horizontal="left"/>
    </xf>
    <xf numFmtId="0" fontId="15" fillId="2" borderId="38" xfId="0" applyFont="1" applyFill="1" applyBorder="1" applyAlignment="1">
      <alignment horizontal="centerContinuous" vertical="center"/>
    </xf>
    <xf numFmtId="2" fontId="12" fillId="0" borderId="13" xfId="2" applyNumberFormat="1" applyFont="1" applyBorder="1"/>
    <xf numFmtId="0" fontId="0" fillId="0" borderId="3" xfId="0" quotePrefix="1" applyBorder="1"/>
    <xf numFmtId="0" fontId="0" fillId="2" borderId="39" xfId="0" applyFill="1" applyBorder="1"/>
    <xf numFmtId="0" fontId="0" fillId="2" borderId="40" xfId="0" applyFill="1" applyBorder="1"/>
    <xf numFmtId="0" fontId="0" fillId="2" borderId="41" xfId="0" applyFill="1" applyBorder="1"/>
    <xf numFmtId="0" fontId="0" fillId="2" borderId="3" xfId="0" applyFill="1" applyBorder="1"/>
    <xf numFmtId="0" fontId="0" fillId="2" borderId="6" xfId="0" applyFill="1" applyBorder="1"/>
    <xf numFmtId="0" fontId="0" fillId="2" borderId="7" xfId="0" applyFill="1" applyBorder="1"/>
    <xf numFmtId="0" fontId="14" fillId="0" borderId="0" xfId="0" applyFont="1"/>
    <xf numFmtId="0" fontId="23" fillId="0" borderId="1" xfId="0" applyFont="1" applyBorder="1"/>
    <xf numFmtId="0" fontId="24" fillId="0" borderId="2" xfId="0" applyFont="1" applyBorder="1"/>
    <xf numFmtId="0" fontId="24" fillId="0" borderId="4" xfId="0" applyFont="1" applyBorder="1"/>
    <xf numFmtId="0" fontId="23" fillId="0" borderId="6" xfId="0" applyFont="1" applyBorder="1"/>
    <xf numFmtId="0" fontId="24" fillId="0" borderId="7" xfId="0" applyFont="1" applyBorder="1"/>
    <xf numFmtId="0" fontId="23" fillId="0" borderId="7" xfId="0" applyFont="1" applyBorder="1"/>
    <xf numFmtId="0" fontId="24" fillId="0" borderId="8" xfId="0" applyFont="1" applyBorder="1"/>
    <xf numFmtId="0" fontId="22" fillId="0" borderId="13" xfId="0" applyFont="1" applyBorder="1" applyAlignment="1">
      <alignment horizontal="right"/>
    </xf>
    <xf numFmtId="164" fontId="0" fillId="0" borderId="14" xfId="0" applyNumberFormat="1" applyBorder="1"/>
    <xf numFmtId="0" fontId="25" fillId="0" borderId="0" xfId="0" applyFont="1"/>
    <xf numFmtId="0" fontId="20" fillId="2" borderId="0" xfId="0" applyFont="1" applyFill="1"/>
    <xf numFmtId="0" fontId="4" fillId="2" borderId="0" xfId="0" applyFont="1" applyFill="1"/>
    <xf numFmtId="0" fontId="0" fillId="2" borderId="0" xfId="0" quotePrefix="1" applyFill="1" applyAlignment="1">
      <alignment horizontal="center"/>
    </xf>
    <xf numFmtId="2" fontId="0" fillId="0" borderId="14" xfId="0" applyNumberFormat="1" applyBorder="1"/>
    <xf numFmtId="0" fontId="0" fillId="0" borderId="16" xfId="0" applyBorder="1"/>
    <xf numFmtId="2" fontId="0" fillId="0" borderId="17" xfId="0" applyNumberFormat="1" applyBorder="1"/>
    <xf numFmtId="164" fontId="19" fillId="0" borderId="14" xfId="0" applyNumberFormat="1" applyFont="1" applyBorder="1"/>
    <xf numFmtId="2" fontId="19" fillId="0" borderId="17" xfId="0" applyNumberFormat="1" applyFont="1" applyBorder="1"/>
    <xf numFmtId="0" fontId="0" fillId="2" borderId="27" xfId="0" applyFill="1" applyBorder="1"/>
    <xf numFmtId="0" fontId="0" fillId="2" borderId="28" xfId="0" applyFill="1" applyBorder="1"/>
    <xf numFmtId="0" fontId="14" fillId="0" borderId="13" xfId="0" applyFont="1" applyBorder="1"/>
    <xf numFmtId="0" fontId="14" fillId="0" borderId="16" xfId="0" applyFont="1" applyBorder="1"/>
    <xf numFmtId="2" fontId="26" fillId="0" borderId="13" xfId="0" applyNumberFormat="1" applyFont="1" applyBorder="1"/>
    <xf numFmtId="0" fontId="15" fillId="2" borderId="42" xfId="0" applyFont="1" applyFill="1" applyBorder="1" applyAlignment="1">
      <alignment horizontal="centerContinuous" vertical="center"/>
    </xf>
    <xf numFmtId="2" fontId="9" fillId="0" borderId="14" xfId="0" applyNumberFormat="1" applyFont="1" applyBorder="1"/>
    <xf numFmtId="2" fontId="12" fillId="0" borderId="16" xfId="2" applyNumberFormat="1" applyFont="1" applyBorder="1"/>
    <xf numFmtId="2" fontId="9" fillId="0" borderId="16" xfId="0" applyNumberFormat="1" applyFont="1" applyBorder="1"/>
    <xf numFmtId="2" fontId="9" fillId="0" borderId="17" xfId="0" applyNumberFormat="1" applyFont="1" applyBorder="1"/>
    <xf numFmtId="0" fontId="10" fillId="2" borderId="27" xfId="0" applyFont="1" applyFill="1" applyBorder="1"/>
    <xf numFmtId="0" fontId="0" fillId="2" borderId="30" xfId="0" applyFill="1" applyBorder="1"/>
    <xf numFmtId="0" fontId="0" fillId="4" borderId="12" xfId="0" applyFill="1" applyBorder="1"/>
    <xf numFmtId="2" fontId="26" fillId="4" borderId="13" xfId="0" applyNumberFormat="1" applyFont="1" applyFill="1" applyBorder="1"/>
    <xf numFmtId="0" fontId="0" fillId="4" borderId="13" xfId="0" applyFill="1" applyBorder="1"/>
    <xf numFmtId="0" fontId="0" fillId="4" borderId="13" xfId="0" applyFill="1" applyBorder="1" applyAlignment="1">
      <alignment horizontal="left"/>
    </xf>
    <xf numFmtId="2" fontId="0" fillId="4" borderId="13" xfId="0" applyNumberFormat="1" applyFill="1" applyBorder="1"/>
    <xf numFmtId="2" fontId="12" fillId="4" borderId="13" xfId="2" applyNumberFormat="1" applyFont="1" applyFill="1" applyBorder="1"/>
    <xf numFmtId="2" fontId="9" fillId="4" borderId="13" xfId="0" applyNumberFormat="1" applyFont="1" applyFill="1" applyBorder="1"/>
    <xf numFmtId="2" fontId="9" fillId="4" borderId="14" xfId="0" applyNumberFormat="1" applyFont="1" applyFill="1" applyBorder="1"/>
    <xf numFmtId="2" fontId="14" fillId="4" borderId="13" xfId="0" applyNumberFormat="1" applyFont="1" applyFill="1" applyBorder="1"/>
    <xf numFmtId="0" fontId="26" fillId="4" borderId="13" xfId="0" applyFont="1" applyFill="1" applyBorder="1"/>
    <xf numFmtId="10" fontId="18" fillId="3" borderId="0" xfId="0" applyNumberFormat="1" applyFont="1" applyFill="1" applyAlignment="1">
      <alignment horizontal="left"/>
    </xf>
    <xf numFmtId="0" fontId="0" fillId="0" borderId="13" xfId="0" applyBorder="1" applyAlignment="1">
      <alignment vertical="center"/>
    </xf>
    <xf numFmtId="0" fontId="0" fillId="2" borderId="31" xfId="0" applyFill="1" applyBorder="1"/>
    <xf numFmtId="0" fontId="11" fillId="0" borderId="16" xfId="0" applyFont="1" applyBorder="1"/>
    <xf numFmtId="0" fontId="9" fillId="0" borderId="22" xfId="0" applyFont="1" applyBorder="1"/>
    <xf numFmtId="0" fontId="9" fillId="0" borderId="25" xfId="0" applyFont="1" applyBorder="1"/>
    <xf numFmtId="2" fontId="4" fillId="0" borderId="16" xfId="0" applyNumberFormat="1" applyFont="1" applyBorder="1"/>
    <xf numFmtId="164" fontId="0" fillId="0" borderId="37" xfId="0" applyNumberFormat="1" applyBorder="1"/>
    <xf numFmtId="168" fontId="0" fillId="0" borderId="13" xfId="0" applyNumberFormat="1" applyBorder="1"/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0" fillId="4" borderId="21" xfId="0" applyFill="1" applyBorder="1"/>
    <xf numFmtId="0" fontId="0" fillId="4" borderId="0" xfId="0" applyFill="1"/>
    <xf numFmtId="0" fontId="0" fillId="4" borderId="22" xfId="0" applyFill="1" applyBorder="1"/>
    <xf numFmtId="0" fontId="0" fillId="4" borderId="23" xfId="0" applyFill="1" applyBorder="1"/>
    <xf numFmtId="0" fontId="0" fillId="4" borderId="24" xfId="0" applyFill="1" applyBorder="1"/>
    <xf numFmtId="0" fontId="0" fillId="4" borderId="25" xfId="0" applyFill="1" applyBorder="1"/>
    <xf numFmtId="0" fontId="14" fillId="4" borderId="0" xfId="0" applyFont="1" applyFill="1"/>
    <xf numFmtId="0" fontId="14" fillId="4" borderId="18" xfId="0" applyFont="1" applyFill="1" applyBorder="1"/>
    <xf numFmtId="0" fontId="14" fillId="4" borderId="20" xfId="0" applyFont="1" applyFill="1" applyBorder="1"/>
    <xf numFmtId="0" fontId="14" fillId="4" borderId="23" xfId="0" applyFont="1" applyFill="1" applyBorder="1"/>
    <xf numFmtId="0" fontId="14" fillId="4" borderId="25" xfId="0" applyFont="1" applyFill="1" applyBorder="1"/>
    <xf numFmtId="0" fontId="4" fillId="0" borderId="0" xfId="0" applyFont="1" applyAlignment="1">
      <alignment horizontal="right"/>
    </xf>
    <xf numFmtId="170" fontId="0" fillId="0" borderId="13" xfId="0" applyNumberFormat="1" applyBorder="1"/>
    <xf numFmtId="168" fontId="9" fillId="0" borderId="13" xfId="0" applyNumberFormat="1" applyFont="1" applyBorder="1"/>
    <xf numFmtId="170" fontId="9" fillId="0" borderId="13" xfId="0" applyNumberFormat="1" applyFont="1" applyBorder="1"/>
    <xf numFmtId="168" fontId="9" fillId="0" borderId="16" xfId="0" applyNumberFormat="1" applyFont="1" applyBorder="1"/>
    <xf numFmtId="170" fontId="9" fillId="0" borderId="16" xfId="0" applyNumberFormat="1" applyFont="1" applyBorder="1"/>
    <xf numFmtId="0" fontId="14" fillId="2" borderId="26" xfId="0" applyFont="1" applyFill="1" applyBorder="1"/>
    <xf numFmtId="0" fontId="14" fillId="2" borderId="27" xfId="0" applyFont="1" applyFill="1" applyBorder="1"/>
    <xf numFmtId="0" fontId="14" fillId="2" borderId="38" xfId="0" applyFont="1" applyFill="1" applyBorder="1" applyAlignment="1">
      <alignment horizontal="centerContinuous"/>
    </xf>
    <xf numFmtId="0" fontId="14" fillId="2" borderId="42" xfId="0" applyFont="1" applyFill="1" applyBorder="1" applyAlignment="1">
      <alignment horizontal="centerContinuous"/>
    </xf>
    <xf numFmtId="0" fontId="14" fillId="2" borderId="29" xfId="0" applyFont="1" applyFill="1" applyBorder="1"/>
    <xf numFmtId="0" fontId="14" fillId="2" borderId="30" xfId="0" applyFont="1" applyFill="1" applyBorder="1"/>
    <xf numFmtId="0" fontId="14" fillId="2" borderId="31" xfId="0" applyFont="1" applyFill="1" applyBorder="1"/>
    <xf numFmtId="2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2" fontId="26" fillId="0" borderId="12" xfId="0" applyNumberFormat="1" applyFont="1" applyBorder="1"/>
    <xf numFmtId="169" fontId="26" fillId="0" borderId="12" xfId="0" applyNumberFormat="1" applyFont="1" applyBorder="1"/>
    <xf numFmtId="169" fontId="14" fillId="0" borderId="12" xfId="0" applyNumberFormat="1" applyFont="1" applyBorder="1"/>
    <xf numFmtId="2" fontId="14" fillId="0" borderId="12" xfId="0" applyNumberFormat="1" applyFont="1" applyBorder="1"/>
    <xf numFmtId="2" fontId="14" fillId="0" borderId="15" xfId="0" applyNumberFormat="1" applyFont="1" applyBorder="1"/>
    <xf numFmtId="164" fontId="14" fillId="0" borderId="12" xfId="0" applyNumberFormat="1" applyFont="1" applyBorder="1"/>
    <xf numFmtId="164" fontId="14" fillId="0" borderId="15" xfId="0" applyNumberFormat="1" applyFont="1" applyBorder="1"/>
    <xf numFmtId="168" fontId="0" fillId="4" borderId="13" xfId="0" applyNumberFormat="1" applyFill="1" applyBorder="1"/>
    <xf numFmtId="170" fontId="0" fillId="4" borderId="13" xfId="0" applyNumberFormat="1" applyFill="1" applyBorder="1"/>
    <xf numFmtId="168" fontId="0" fillId="0" borderId="16" xfId="0" applyNumberFormat="1" applyBorder="1"/>
    <xf numFmtId="0" fontId="23" fillId="0" borderId="0" xfId="0" applyFont="1"/>
    <xf numFmtId="0" fontId="0" fillId="4" borderId="0" xfId="0" quotePrefix="1" applyFill="1"/>
    <xf numFmtId="171" fontId="14" fillId="0" borderId="0" xfId="0" applyNumberFormat="1" applyFont="1"/>
    <xf numFmtId="0" fontId="28" fillId="0" borderId="0" xfId="0" applyFont="1"/>
    <xf numFmtId="0" fontId="26" fillId="4" borderId="43" xfId="0" applyFont="1" applyFill="1" applyBorder="1"/>
    <xf numFmtId="0" fontId="29" fillId="4" borderId="18" xfId="0" applyFont="1" applyFill="1" applyBorder="1"/>
    <xf numFmtId="0" fontId="30" fillId="4" borderId="21" xfId="0" applyFont="1" applyFill="1" applyBorder="1"/>
    <xf numFmtId="0" fontId="30" fillId="4" borderId="23" xfId="0" applyFont="1" applyFill="1" applyBorder="1"/>
    <xf numFmtId="3" fontId="26" fillId="0" borderId="44" xfId="0" applyNumberFormat="1" applyFont="1" applyBorder="1"/>
    <xf numFmtId="3" fontId="26" fillId="0" borderId="45" xfId="0" applyNumberFormat="1" applyFont="1" applyBorder="1"/>
    <xf numFmtId="0" fontId="14" fillId="4" borderId="44" xfId="0" applyFont="1" applyFill="1" applyBorder="1"/>
    <xf numFmtId="0" fontId="14" fillId="4" borderId="45" xfId="0" applyFont="1" applyFill="1" applyBorder="1"/>
    <xf numFmtId="0" fontId="31" fillId="0" borderId="0" xfId="0" applyFont="1"/>
    <xf numFmtId="164" fontId="9" fillId="0" borderId="0" xfId="0" applyNumberFormat="1" applyFont="1"/>
    <xf numFmtId="168" fontId="9" fillId="0" borderId="0" xfId="0" applyNumberFormat="1" applyFont="1"/>
    <xf numFmtId="3" fontId="26" fillId="0" borderId="0" xfId="0" applyNumberFormat="1" applyFont="1"/>
    <xf numFmtId="0" fontId="10" fillId="2" borderId="30" xfId="0" quotePrefix="1" applyFont="1" applyFill="1" applyBorder="1"/>
    <xf numFmtId="0" fontId="0" fillId="4" borderId="21" xfId="0" applyFill="1" applyBorder="1" applyAlignment="1">
      <alignment horizontal="left"/>
    </xf>
    <xf numFmtId="0" fontId="10" fillId="2" borderId="31" xfId="0" quotePrefix="1" applyFont="1" applyFill="1" applyBorder="1"/>
    <xf numFmtId="0" fontId="14" fillId="2" borderId="31" xfId="0" applyFont="1" applyFill="1" applyBorder="1" applyAlignment="1">
      <alignment vertical="center"/>
    </xf>
    <xf numFmtId="0" fontId="14" fillId="4" borderId="21" xfId="0" applyFont="1" applyFill="1" applyBorder="1"/>
    <xf numFmtId="0" fontId="14" fillId="4" borderId="22" xfId="0" applyFont="1" applyFill="1" applyBorder="1"/>
    <xf numFmtId="0" fontId="31" fillId="2" borderId="1" xfId="0" applyFont="1" applyFill="1" applyBorder="1"/>
    <xf numFmtId="172" fontId="14" fillId="2" borderId="4" xfId="0" applyNumberFormat="1" applyFont="1" applyFill="1" applyBorder="1"/>
    <xf numFmtId="0" fontId="31" fillId="2" borderId="6" xfId="0" applyFont="1" applyFill="1" applyBorder="1"/>
    <xf numFmtId="173" fontId="14" fillId="2" borderId="8" xfId="0" applyNumberFormat="1" applyFont="1" applyFill="1" applyBorder="1"/>
    <xf numFmtId="166" fontId="0" fillId="0" borderId="13" xfId="0" applyNumberFormat="1" applyBorder="1"/>
    <xf numFmtId="166" fontId="0" fillId="0" borderId="14" xfId="0" applyNumberFormat="1" applyBorder="1"/>
    <xf numFmtId="0" fontId="0" fillId="0" borderId="16" xfId="0" quotePrefix="1" applyBorder="1"/>
    <xf numFmtId="0" fontId="15" fillId="2" borderId="9" xfId="0" applyFont="1" applyFill="1" applyBorder="1" applyAlignment="1">
      <alignment vertical="center"/>
    </xf>
    <xf numFmtId="0" fontId="15" fillId="2" borderId="10" xfId="0" applyFont="1" applyFill="1" applyBorder="1" applyAlignment="1">
      <alignment vertical="center"/>
    </xf>
    <xf numFmtId="0" fontId="15" fillId="2" borderId="11" xfId="0" applyFont="1" applyFill="1" applyBorder="1" applyAlignment="1">
      <alignment vertical="center"/>
    </xf>
    <xf numFmtId="3" fontId="9" fillId="0" borderId="13" xfId="0" applyNumberFormat="1" applyFont="1" applyBorder="1"/>
    <xf numFmtId="0" fontId="15" fillId="2" borderId="10" xfId="0" applyFont="1" applyFill="1" applyBorder="1" applyAlignment="1">
      <alignment horizontal="center" vertical="center" wrapText="1"/>
    </xf>
    <xf numFmtId="174" fontId="33" fillId="0" borderId="13" xfId="0" applyNumberFormat="1" applyFont="1" applyBorder="1"/>
    <xf numFmtId="175" fontId="33" fillId="0" borderId="13" xfId="0" applyNumberFormat="1" applyFont="1" applyBorder="1"/>
    <xf numFmtId="174" fontId="34" fillId="0" borderId="13" xfId="0" applyNumberFormat="1" applyFont="1" applyBorder="1"/>
    <xf numFmtId="175" fontId="34" fillId="0" borderId="13" xfId="0" applyNumberFormat="1" applyFont="1" applyBorder="1"/>
    <xf numFmtId="0" fontId="34" fillId="0" borderId="0" xfId="0" applyFont="1"/>
    <xf numFmtId="0" fontId="34" fillId="0" borderId="0" xfId="0" applyFont="1" applyAlignment="1">
      <alignment horizontal="centerContinuous"/>
    </xf>
    <xf numFmtId="0" fontId="26" fillId="4" borderId="0" xfId="0" applyFont="1" applyFill="1"/>
    <xf numFmtId="11" fontId="26" fillId="4" borderId="0" xfId="0" applyNumberFormat="1" applyFont="1" applyFill="1"/>
    <xf numFmtId="174" fontId="4" fillId="0" borderId="13" xfId="0" applyNumberFormat="1" applyFont="1" applyBorder="1"/>
    <xf numFmtId="175" fontId="4" fillId="0" borderId="13" xfId="0" applyNumberFormat="1" applyFont="1" applyBorder="1"/>
    <xf numFmtId="176" fontId="0" fillId="0" borderId="25" xfId="0" applyNumberFormat="1" applyBorder="1"/>
    <xf numFmtId="177" fontId="9" fillId="0" borderId="0" xfId="0" applyNumberFormat="1" applyFont="1"/>
    <xf numFmtId="183" fontId="9" fillId="0" borderId="0" xfId="0" applyNumberFormat="1" applyFont="1"/>
  </cellXfs>
  <cellStyles count="3">
    <cellStyle name="Normal" xfId="0" builtinId="0"/>
    <cellStyle name="Normal 4" xfId="2" xr:uid="{A485FC44-C822-4B21-9F26-D00BD7388711}"/>
    <cellStyle name="Normal 6" xfId="1" xr:uid="{02265D3E-597A-4E47-A12F-B7CDA45F1E3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1.0354140515044316E-2"/>
          <c:w val="1"/>
          <c:h val="0.9895833333333333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Input!$P$14:$P$18</c:f>
              <c:numCache>
                <c:formatCode>General</c:formatCode>
                <c:ptCount val="5"/>
                <c:pt idx="0">
                  <c:v>-200</c:v>
                </c:pt>
                <c:pt idx="1">
                  <c:v>200</c:v>
                </c:pt>
                <c:pt idx="2">
                  <c:v>200</c:v>
                </c:pt>
                <c:pt idx="3">
                  <c:v>-200</c:v>
                </c:pt>
                <c:pt idx="4">
                  <c:v>-200</c:v>
                </c:pt>
              </c:numCache>
            </c:numRef>
          </c:xVal>
          <c:yVal>
            <c:numRef>
              <c:f>Input!$Q$14:$Q$18</c:f>
              <c:numCache>
                <c:formatCode>General</c:formatCode>
                <c:ptCount val="5"/>
                <c:pt idx="0">
                  <c:v>300</c:v>
                </c:pt>
                <c:pt idx="1">
                  <c:v>300</c:v>
                </c:pt>
                <c:pt idx="2">
                  <c:v>-300</c:v>
                </c:pt>
                <c:pt idx="3">
                  <c:v>-300</c:v>
                </c:pt>
                <c:pt idx="4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37-42A9-9FB1-84CC34E9CB27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Input!$D$10:$D$23</c:f>
              <c:numCache>
                <c:formatCode>0.0</c:formatCode>
                <c:ptCount val="14"/>
                <c:pt idx="0">
                  <c:v>-130</c:v>
                </c:pt>
                <c:pt idx="1">
                  <c:v>-43.333333333333329</c:v>
                </c:pt>
                <c:pt idx="2">
                  <c:v>43.333333333333343</c:v>
                </c:pt>
                <c:pt idx="4">
                  <c:v>-130</c:v>
                </c:pt>
                <c:pt idx="5">
                  <c:v>-43.333333333333329</c:v>
                </c:pt>
                <c:pt idx="6">
                  <c:v>43.333333333333343</c:v>
                </c:pt>
                <c:pt idx="7">
                  <c:v>130</c:v>
                </c:pt>
                <c:pt idx="8" formatCode="General">
                  <c:v>-130</c:v>
                </c:pt>
                <c:pt idx="9" formatCode="General">
                  <c:v>130</c:v>
                </c:pt>
                <c:pt idx="10" formatCode="General">
                  <c:v>-130</c:v>
                </c:pt>
                <c:pt idx="11" formatCode="General">
                  <c:v>130</c:v>
                </c:pt>
              </c:numCache>
            </c:numRef>
          </c:xVal>
          <c:yVal>
            <c:numRef>
              <c:f>Input!$E$10:$E$23</c:f>
              <c:numCache>
                <c:formatCode>General</c:formatCode>
                <c:ptCount val="14"/>
                <c:pt idx="0">
                  <c:v>230</c:v>
                </c:pt>
                <c:pt idx="1">
                  <c:v>230</c:v>
                </c:pt>
                <c:pt idx="2">
                  <c:v>230</c:v>
                </c:pt>
                <c:pt idx="4">
                  <c:v>-230</c:v>
                </c:pt>
                <c:pt idx="5">
                  <c:v>-230</c:v>
                </c:pt>
                <c:pt idx="6">
                  <c:v>-230</c:v>
                </c:pt>
                <c:pt idx="7">
                  <c:v>-230</c:v>
                </c:pt>
                <c:pt idx="8">
                  <c:v>130</c:v>
                </c:pt>
                <c:pt idx="9">
                  <c:v>130</c:v>
                </c:pt>
                <c:pt idx="10">
                  <c:v>-130</c:v>
                </c:pt>
                <c:pt idx="11">
                  <c:v>-130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37-42A9-9FB1-84CC34E9C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159375"/>
        <c:axId val="410159855"/>
      </c:scatterChart>
      <c:valAx>
        <c:axId val="41015937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855"/>
        <c:crosses val="autoZero"/>
        <c:crossBetween val="midCat"/>
      </c:valAx>
      <c:valAx>
        <c:axId val="4101598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Stress-</a:t>
            </a:r>
            <a:r>
              <a:rPr lang="en-US" baseline="0"/>
              <a:t> Strain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097178115985576E-2"/>
          <c:y val="0.16408805031446541"/>
          <c:w val="0.81302702996569132"/>
          <c:h val="0.6900108948645570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Input!$P$35:$P$44</c:f>
              <c:numCache>
                <c:formatCode>General</c:formatCode>
                <c:ptCount val="10"/>
                <c:pt idx="0">
                  <c:v>0</c:v>
                </c:pt>
                <c:pt idx="1">
                  <c:v>3.3E-4</c:v>
                </c:pt>
                <c:pt idx="2">
                  <c:v>6.6E-4</c:v>
                </c:pt>
                <c:pt idx="3">
                  <c:v>9.8999999999999999E-4</c:v>
                </c:pt>
                <c:pt idx="4">
                  <c:v>1.32E-3</c:v>
                </c:pt>
                <c:pt idx="5">
                  <c:v>1.65E-3</c:v>
                </c:pt>
                <c:pt idx="6">
                  <c:v>1.98E-3</c:v>
                </c:pt>
                <c:pt idx="7">
                  <c:v>2.31E-3</c:v>
                </c:pt>
                <c:pt idx="8">
                  <c:v>2.64E-3</c:v>
                </c:pt>
                <c:pt idx="9">
                  <c:v>2.97E-3</c:v>
                </c:pt>
              </c:numCache>
            </c:numRef>
          </c:xVal>
          <c:yVal>
            <c:numRef>
              <c:f>Input!$Q$35:$Q$44</c:f>
              <c:numCache>
                <c:formatCode>General</c:formatCode>
                <c:ptCount val="10"/>
                <c:pt idx="0">
                  <c:v>0</c:v>
                </c:pt>
                <c:pt idx="1">
                  <c:v>7.7207625000000011</c:v>
                </c:pt>
                <c:pt idx="2">
                  <c:v>14.053050000000002</c:v>
                </c:pt>
                <c:pt idx="3">
                  <c:v>18.996862499999995</c:v>
                </c:pt>
                <c:pt idx="4">
                  <c:v>22.552200000000003</c:v>
                </c:pt>
                <c:pt idx="5">
                  <c:v>24.719062499999996</c:v>
                </c:pt>
                <c:pt idx="6">
                  <c:v>25.497450000000001</c:v>
                </c:pt>
                <c:pt idx="7">
                  <c:v>25.5</c:v>
                </c:pt>
                <c:pt idx="8">
                  <c:v>25.5</c:v>
                </c:pt>
                <c:pt idx="9">
                  <c:v>25.5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2D-410C-AB64-B001FA145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3155247"/>
        <c:axId val="2093156207"/>
      </c:scatterChart>
      <c:valAx>
        <c:axId val="2093155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56207"/>
        <c:crosses val="autoZero"/>
        <c:crossBetween val="midCat"/>
      </c:valAx>
      <c:valAx>
        <c:axId val="209315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55247"/>
        <c:crosses val="autoZero"/>
        <c:crossBetween val="midCat"/>
      </c:valAx>
      <c:spPr>
        <a:noFill/>
        <a:ln w="12700">
          <a:solidFill>
            <a:schemeClr val="accent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1.0353988360150633E-2"/>
          <c:w val="1"/>
          <c:h val="0.9895833333333333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Input!$P$14:$P$18</c:f>
              <c:numCache>
                <c:formatCode>General</c:formatCode>
                <c:ptCount val="5"/>
                <c:pt idx="0">
                  <c:v>-200</c:v>
                </c:pt>
                <c:pt idx="1">
                  <c:v>200</c:v>
                </c:pt>
                <c:pt idx="2">
                  <c:v>200</c:v>
                </c:pt>
                <c:pt idx="3">
                  <c:v>-200</c:v>
                </c:pt>
                <c:pt idx="4">
                  <c:v>-200</c:v>
                </c:pt>
              </c:numCache>
            </c:numRef>
          </c:xVal>
          <c:yVal>
            <c:numRef>
              <c:f>Input!$Q$14:$Q$18</c:f>
              <c:numCache>
                <c:formatCode>General</c:formatCode>
                <c:ptCount val="5"/>
                <c:pt idx="0">
                  <c:v>300</c:v>
                </c:pt>
                <c:pt idx="1">
                  <c:v>300</c:v>
                </c:pt>
                <c:pt idx="2">
                  <c:v>-300</c:v>
                </c:pt>
                <c:pt idx="3">
                  <c:v>-300</c:v>
                </c:pt>
                <c:pt idx="4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B5-4CF0-B6A0-54B1C4AA9CBE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Input!$D$10:$D$23</c:f>
              <c:numCache>
                <c:formatCode>0.0</c:formatCode>
                <c:ptCount val="14"/>
                <c:pt idx="0">
                  <c:v>-130</c:v>
                </c:pt>
                <c:pt idx="1">
                  <c:v>-43.333333333333329</c:v>
                </c:pt>
                <c:pt idx="2">
                  <c:v>43.333333333333343</c:v>
                </c:pt>
                <c:pt idx="4">
                  <c:v>-130</c:v>
                </c:pt>
                <c:pt idx="5">
                  <c:v>-43.333333333333329</c:v>
                </c:pt>
                <c:pt idx="6">
                  <c:v>43.333333333333343</c:v>
                </c:pt>
                <c:pt idx="7">
                  <c:v>130</c:v>
                </c:pt>
                <c:pt idx="8" formatCode="General">
                  <c:v>-130</c:v>
                </c:pt>
                <c:pt idx="9" formatCode="General">
                  <c:v>130</c:v>
                </c:pt>
                <c:pt idx="10" formatCode="General">
                  <c:v>-130</c:v>
                </c:pt>
                <c:pt idx="11" formatCode="General">
                  <c:v>130</c:v>
                </c:pt>
              </c:numCache>
            </c:numRef>
          </c:xVal>
          <c:yVal>
            <c:numRef>
              <c:f>Input!$E$10:$E$23</c:f>
              <c:numCache>
                <c:formatCode>General</c:formatCode>
                <c:ptCount val="14"/>
                <c:pt idx="0">
                  <c:v>230</c:v>
                </c:pt>
                <c:pt idx="1">
                  <c:v>230</c:v>
                </c:pt>
                <c:pt idx="2">
                  <c:v>230</c:v>
                </c:pt>
                <c:pt idx="4">
                  <c:v>-230</c:v>
                </c:pt>
                <c:pt idx="5">
                  <c:v>-230</c:v>
                </c:pt>
                <c:pt idx="6">
                  <c:v>-230</c:v>
                </c:pt>
                <c:pt idx="7">
                  <c:v>-230</c:v>
                </c:pt>
                <c:pt idx="8">
                  <c:v>130</c:v>
                </c:pt>
                <c:pt idx="9">
                  <c:v>130</c:v>
                </c:pt>
                <c:pt idx="10">
                  <c:v>-130</c:v>
                </c:pt>
                <c:pt idx="11">
                  <c:v>-130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B5-4CF0-B6A0-54B1C4AA9CBE}"/>
            </c:ext>
          </c:extLst>
        </c:ser>
        <c:ser>
          <c:idx val="2"/>
          <c:order val="2"/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P_c!$I$3:$I$4</c:f>
              <c:numCache>
                <c:formatCode>General</c:formatCode>
                <c:ptCount val="2"/>
                <c:pt idx="0">
                  <c:v>-200</c:v>
                </c:pt>
                <c:pt idx="1">
                  <c:v>200</c:v>
                </c:pt>
              </c:numCache>
            </c:numRef>
          </c:xVal>
          <c:yVal>
            <c:numRef>
              <c:f>P_c!$J$3:$J$4</c:f>
              <c:numCache>
                <c:formatCode>General</c:formatCode>
                <c:ptCount val="2"/>
                <c:pt idx="0">
                  <c:v>-760</c:v>
                </c:pt>
                <c:pt idx="1">
                  <c:v>-760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B5-4CF0-B6A0-54B1C4AA9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159375"/>
        <c:axId val="410159855"/>
      </c:scatterChart>
      <c:valAx>
        <c:axId val="41015937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855"/>
        <c:crosses val="autoZero"/>
        <c:crossBetween val="midCat"/>
      </c:valAx>
      <c:valAx>
        <c:axId val="4101598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1.0353988360150633E-2"/>
          <c:w val="1"/>
          <c:h val="0.9895833333333333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Input!$P$14:$P$18</c:f>
              <c:numCache>
                <c:formatCode>General</c:formatCode>
                <c:ptCount val="5"/>
                <c:pt idx="0">
                  <c:v>-200</c:v>
                </c:pt>
                <c:pt idx="1">
                  <c:v>200</c:v>
                </c:pt>
                <c:pt idx="2">
                  <c:v>200</c:v>
                </c:pt>
                <c:pt idx="3">
                  <c:v>-200</c:v>
                </c:pt>
                <c:pt idx="4">
                  <c:v>-200</c:v>
                </c:pt>
              </c:numCache>
            </c:numRef>
          </c:xVal>
          <c:yVal>
            <c:numRef>
              <c:f>Input!$Q$14:$Q$18</c:f>
              <c:numCache>
                <c:formatCode>General</c:formatCode>
                <c:ptCount val="5"/>
                <c:pt idx="0">
                  <c:v>300</c:v>
                </c:pt>
                <c:pt idx="1">
                  <c:v>300</c:v>
                </c:pt>
                <c:pt idx="2">
                  <c:v>-300</c:v>
                </c:pt>
                <c:pt idx="3">
                  <c:v>-300</c:v>
                </c:pt>
                <c:pt idx="4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CD-4156-935B-1AF08AD22601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Input!$D$10:$D$23</c:f>
              <c:numCache>
                <c:formatCode>0.0</c:formatCode>
                <c:ptCount val="14"/>
                <c:pt idx="0">
                  <c:v>-130</c:v>
                </c:pt>
                <c:pt idx="1">
                  <c:v>-43.333333333333329</c:v>
                </c:pt>
                <c:pt idx="2">
                  <c:v>43.333333333333343</c:v>
                </c:pt>
                <c:pt idx="4">
                  <c:v>-130</c:v>
                </c:pt>
                <c:pt idx="5">
                  <c:v>-43.333333333333329</c:v>
                </c:pt>
                <c:pt idx="6">
                  <c:v>43.333333333333343</c:v>
                </c:pt>
                <c:pt idx="7">
                  <c:v>130</c:v>
                </c:pt>
                <c:pt idx="8" formatCode="General">
                  <c:v>-130</c:v>
                </c:pt>
                <c:pt idx="9" formatCode="General">
                  <c:v>130</c:v>
                </c:pt>
                <c:pt idx="10" formatCode="General">
                  <c:v>-130</c:v>
                </c:pt>
                <c:pt idx="11" formatCode="General">
                  <c:v>130</c:v>
                </c:pt>
              </c:numCache>
            </c:numRef>
          </c:xVal>
          <c:yVal>
            <c:numRef>
              <c:f>Input!$E$10:$E$23</c:f>
              <c:numCache>
                <c:formatCode>General</c:formatCode>
                <c:ptCount val="14"/>
                <c:pt idx="0">
                  <c:v>230</c:v>
                </c:pt>
                <c:pt idx="1">
                  <c:v>230</c:v>
                </c:pt>
                <c:pt idx="2">
                  <c:v>230</c:v>
                </c:pt>
                <c:pt idx="4">
                  <c:v>-230</c:v>
                </c:pt>
                <c:pt idx="5">
                  <c:v>-230</c:v>
                </c:pt>
                <c:pt idx="6">
                  <c:v>-230</c:v>
                </c:pt>
                <c:pt idx="7">
                  <c:v>-230</c:v>
                </c:pt>
                <c:pt idx="8">
                  <c:v>130</c:v>
                </c:pt>
                <c:pt idx="9">
                  <c:v>130</c:v>
                </c:pt>
                <c:pt idx="10">
                  <c:v>-130</c:v>
                </c:pt>
                <c:pt idx="11">
                  <c:v>-130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CD-4156-935B-1AF08AD22601}"/>
            </c:ext>
          </c:extLst>
        </c:ser>
        <c:ser>
          <c:idx val="2"/>
          <c:order val="2"/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P_fy!$I$3:$I$4</c:f>
              <c:numCache>
                <c:formatCode>General</c:formatCode>
                <c:ptCount val="2"/>
                <c:pt idx="0">
                  <c:v>-200</c:v>
                </c:pt>
                <c:pt idx="1">
                  <c:v>200</c:v>
                </c:pt>
              </c:numCache>
            </c:numRef>
          </c:xVal>
          <c:yVal>
            <c:numRef>
              <c:f>P_fy!$J$3:$J$4</c:f>
              <c:numCache>
                <c:formatCode>General</c:formatCode>
                <c:ptCount val="2"/>
                <c:pt idx="0">
                  <c:v>-160.26315789473688</c:v>
                </c:pt>
                <c:pt idx="1">
                  <c:v>-160.26315789473688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CD-4156-935B-1AF08AD22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159375"/>
        <c:axId val="410159855"/>
      </c:scatterChart>
      <c:valAx>
        <c:axId val="41015937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855"/>
        <c:crosses val="autoZero"/>
        <c:crossBetween val="midCat"/>
      </c:valAx>
      <c:valAx>
        <c:axId val="4101598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1.0353988360150633E-2"/>
          <c:w val="1"/>
          <c:h val="0.9895833333333333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Input!$P$14:$P$18</c:f>
              <c:numCache>
                <c:formatCode>General</c:formatCode>
                <c:ptCount val="5"/>
                <c:pt idx="0">
                  <c:v>-200</c:v>
                </c:pt>
                <c:pt idx="1">
                  <c:v>200</c:v>
                </c:pt>
                <c:pt idx="2">
                  <c:v>200</c:v>
                </c:pt>
                <c:pt idx="3">
                  <c:v>-200</c:v>
                </c:pt>
                <c:pt idx="4">
                  <c:v>-200</c:v>
                </c:pt>
              </c:numCache>
            </c:numRef>
          </c:xVal>
          <c:yVal>
            <c:numRef>
              <c:f>Input!$Q$14:$Q$18</c:f>
              <c:numCache>
                <c:formatCode>General</c:formatCode>
                <c:ptCount val="5"/>
                <c:pt idx="0">
                  <c:v>300</c:v>
                </c:pt>
                <c:pt idx="1">
                  <c:v>300</c:v>
                </c:pt>
                <c:pt idx="2">
                  <c:v>-300</c:v>
                </c:pt>
                <c:pt idx="3">
                  <c:v>-300</c:v>
                </c:pt>
                <c:pt idx="4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3D-4B4E-9E34-6498B6BB6F56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Input!$D$10:$D$23</c:f>
              <c:numCache>
                <c:formatCode>0.0</c:formatCode>
                <c:ptCount val="14"/>
                <c:pt idx="0">
                  <c:v>-130</c:v>
                </c:pt>
                <c:pt idx="1">
                  <c:v>-43.333333333333329</c:v>
                </c:pt>
                <c:pt idx="2">
                  <c:v>43.333333333333343</c:v>
                </c:pt>
                <c:pt idx="4">
                  <c:v>-130</c:v>
                </c:pt>
                <c:pt idx="5">
                  <c:v>-43.333333333333329</c:v>
                </c:pt>
                <c:pt idx="6">
                  <c:v>43.333333333333343</c:v>
                </c:pt>
                <c:pt idx="7">
                  <c:v>130</c:v>
                </c:pt>
                <c:pt idx="8" formatCode="General">
                  <c:v>-130</c:v>
                </c:pt>
                <c:pt idx="9" formatCode="General">
                  <c:v>130</c:v>
                </c:pt>
                <c:pt idx="10" formatCode="General">
                  <c:v>-130</c:v>
                </c:pt>
                <c:pt idx="11" formatCode="General">
                  <c:v>130</c:v>
                </c:pt>
              </c:numCache>
            </c:numRef>
          </c:xVal>
          <c:yVal>
            <c:numRef>
              <c:f>Input!$E$10:$E$23</c:f>
              <c:numCache>
                <c:formatCode>General</c:formatCode>
                <c:ptCount val="14"/>
                <c:pt idx="0">
                  <c:v>230</c:v>
                </c:pt>
                <c:pt idx="1">
                  <c:v>230</c:v>
                </c:pt>
                <c:pt idx="2">
                  <c:v>230</c:v>
                </c:pt>
                <c:pt idx="4">
                  <c:v>-230</c:v>
                </c:pt>
                <c:pt idx="5">
                  <c:v>-230</c:v>
                </c:pt>
                <c:pt idx="6">
                  <c:v>-230</c:v>
                </c:pt>
                <c:pt idx="7">
                  <c:v>-230</c:v>
                </c:pt>
                <c:pt idx="8">
                  <c:v>130</c:v>
                </c:pt>
                <c:pt idx="9">
                  <c:v>130</c:v>
                </c:pt>
                <c:pt idx="10">
                  <c:v>-130</c:v>
                </c:pt>
                <c:pt idx="11">
                  <c:v>-130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3D-4B4E-9E34-6498B6BB6F56}"/>
            </c:ext>
          </c:extLst>
        </c:ser>
        <c:ser>
          <c:idx val="2"/>
          <c:order val="2"/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P_es!$I$3:$I$4</c:f>
              <c:numCache>
                <c:formatCode>General</c:formatCode>
                <c:ptCount val="2"/>
                <c:pt idx="0">
                  <c:v>-200</c:v>
                </c:pt>
                <c:pt idx="1">
                  <c:v>200</c:v>
                </c:pt>
              </c:numCache>
            </c:numRef>
          </c:xVal>
          <c:yVal>
            <c:numRef>
              <c:f>P_es!$J$3:$J$4</c:f>
              <c:numCache>
                <c:formatCode>General</c:formatCode>
                <c:ptCount val="2"/>
                <c:pt idx="0">
                  <c:v>22.380952380952351</c:v>
                </c:pt>
                <c:pt idx="1">
                  <c:v>22.380952380952351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3D-4B4E-9E34-6498B6BB6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159375"/>
        <c:axId val="410159855"/>
      </c:scatterChart>
      <c:valAx>
        <c:axId val="41015937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855"/>
        <c:crosses val="autoZero"/>
        <c:crossBetween val="midCat"/>
      </c:valAx>
      <c:valAx>
        <c:axId val="4101598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P-M</a:t>
            </a:r>
            <a:r>
              <a:rPr lang="en-US" baseline="0"/>
              <a:t> Interaction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6"/>
          </c:marker>
          <c:dLbls>
            <c:dLbl>
              <c:idx val="0"/>
              <c:tx>
                <c:rich>
                  <a:bodyPr/>
                  <a:lstStyle/>
                  <a:p>
                    <a:fld id="{CE6FBF0D-5C83-42C8-AB58-D95564AA70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802E-4C81-A9D1-E9B7347250C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0708E01-1349-4253-AF72-727094FE31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802E-4C81-A9D1-E9B7347250C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1A1224B-1DB0-47E1-A539-BAA08041D9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802E-4C81-A9D1-E9B7347250C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C50E494-BD6A-49AA-8789-B7EF49A347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02E-4C81-A9D1-E9B7347250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1DB5146-22AB-4FCB-B186-CE67492DC9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802E-4C81-A9D1-E9B7347250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BDACA6F-9C47-4435-9CDD-72FAF91B80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802E-4C81-A9D1-E9B7347250C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DB8703A-3B46-4CD6-A4BA-B520502D31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802E-4C81-A9D1-E9B7347250C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19E9915-E813-4A50-B896-5BC0A9B2E7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802E-4C81-A9D1-E9B7347250C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C738526-F30F-48FC-B695-77B03DDA1E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802E-4C81-A9D1-E9B7347250C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F1DFB7B-A59C-41C3-99D7-228AF82EBA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802E-4C81-A9D1-E9B7347250C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D7E3142-7F31-4545-8116-00A9178736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802E-4C81-A9D1-E9B7347250C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4F8B8AF-24FB-4597-865B-7555F8CBC1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802E-4C81-A9D1-E9B7347250C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639AFA1-4341-46B7-97AE-5886FD4B12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802E-4C81-A9D1-E9B7347250C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9207FFE-0836-4378-A475-582EE077ED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802E-4C81-A9D1-E9B7347250C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2FD9B26-EE43-4660-92A0-C764343CCB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802E-4C81-A9D1-E9B7347250C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1CE8784-4477-49B5-8839-3C4D8B89EA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802E-4C81-A9D1-E9B7347250C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D4720E3-132D-419B-B89A-8DA749A8F1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802E-4C81-A9D1-E9B7347250C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1A4BEF4-1F63-4AB9-B48A-CC46E27E35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802E-4C81-A9D1-E9B7347250C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03D61E8-BD70-4AEB-8F59-E4B1261FA5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802E-4C81-A9D1-E9B7347250C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'P-M chart'!$N$15:$N$33</c:f>
              <c:numCache>
                <c:formatCode>0.00</c:formatCode>
                <c:ptCount val="19"/>
                <c:pt idx="0">
                  <c:v>-69.273877303540942</c:v>
                </c:pt>
                <c:pt idx="1">
                  <c:v>-69.273877303540942</c:v>
                </c:pt>
                <c:pt idx="2">
                  <c:v>-3.7406338709787015</c:v>
                </c:pt>
                <c:pt idx="3">
                  <c:v>158.87895773446789</c:v>
                </c:pt>
                <c:pt idx="4">
                  <c:v>380.68529552899179</c:v>
                </c:pt>
                <c:pt idx="5">
                  <c:v>615.47598201150436</c:v>
                </c:pt>
                <c:pt idx="6">
                  <c:v>765.93155575539924</c:v>
                </c:pt>
                <c:pt idx="7">
                  <c:v>877.34783036110503</c:v>
                </c:pt>
                <c:pt idx="8">
                  <c:v>967.72631649510254</c:v>
                </c:pt>
                <c:pt idx="9">
                  <c:v>1048.1859469009157</c:v>
                </c:pt>
                <c:pt idx="10">
                  <c:v>1047.9645827063571</c:v>
                </c:pt>
                <c:pt idx="11">
                  <c:v>976.96349378093669</c:v>
                </c:pt>
                <c:pt idx="12">
                  <c:v>874.13540743743761</c:v>
                </c:pt>
                <c:pt idx="13">
                  <c:v>760.24436275944856</c:v>
                </c:pt>
                <c:pt idx="14">
                  <c:v>586.99745212507514</c:v>
                </c:pt>
                <c:pt idx="15">
                  <c:v>385.49614849696127</c:v>
                </c:pt>
                <c:pt idx="16">
                  <c:v>293.09919176851264</c:v>
                </c:pt>
                <c:pt idx="17">
                  <c:v>150.51301776194583</c:v>
                </c:pt>
                <c:pt idx="18">
                  <c:v>73.990790177346838</c:v>
                </c:pt>
              </c:numCache>
            </c:numRef>
          </c:xVal>
          <c:yVal>
            <c:numRef>
              <c:f>'P-M chart'!$M$15:$M$33</c:f>
              <c:numCache>
                <c:formatCode>0.00</c:formatCode>
                <c:ptCount val="19"/>
                <c:pt idx="0">
                  <c:v>9433.0984797345682</c:v>
                </c:pt>
                <c:pt idx="1">
                  <c:v>9433.0984797345682</c:v>
                </c:pt>
                <c:pt idx="2">
                  <c:v>9148.0341719441549</c:v>
                </c:pt>
                <c:pt idx="3">
                  <c:v>8371.6538141605379</c:v>
                </c:pt>
                <c:pt idx="4">
                  <c:v>7276.3498389628367</c:v>
                </c:pt>
                <c:pt idx="5">
                  <c:v>5998.8679952333277</c:v>
                </c:pt>
                <c:pt idx="6">
                  <c:v>4992.1600693016244</c:v>
                </c:pt>
                <c:pt idx="7">
                  <c:v>4087.3068994354144</c:v>
                </c:pt>
                <c:pt idx="8">
                  <c:v>3239.1552630249275</c:v>
                </c:pt>
                <c:pt idx="9">
                  <c:v>2456.6034047432026</c:v>
                </c:pt>
                <c:pt idx="10">
                  <c:v>1669.7235924772033</c:v>
                </c:pt>
                <c:pt idx="11">
                  <c:v>871.82358168705127</c:v>
                </c:pt>
                <c:pt idx="12">
                  <c:v>178.03485653575626</c:v>
                </c:pt>
                <c:pt idx="13">
                  <c:v>-484.08820087734284</c:v>
                </c:pt>
                <c:pt idx="14">
                  <c:v>-1411.8619073284026</c:v>
                </c:pt>
                <c:pt idx="15">
                  <c:v>-2281.7552830320483</c:v>
                </c:pt>
                <c:pt idx="16">
                  <c:v>-2675.9549472415661</c:v>
                </c:pt>
                <c:pt idx="17">
                  <c:v>-3271.5834925624545</c:v>
                </c:pt>
                <c:pt idx="18">
                  <c:v>-3538.6899650035425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'P-M chart'!$B$15:$B$33</c15:f>
                <c15:dlblRangeCache>
                  <c:ptCount val="19"/>
                  <c:pt idx="0">
                    <c:v>P0</c:v>
                  </c:pt>
                  <c:pt idx="1">
                    <c:v>P1</c:v>
                  </c:pt>
                  <c:pt idx="2">
                    <c:v>P2</c:v>
                  </c:pt>
                  <c:pt idx="3">
                    <c:v>P3</c:v>
                  </c:pt>
                  <c:pt idx="4">
                    <c:v>P4</c:v>
                  </c:pt>
                  <c:pt idx="5">
                    <c:v>P5 fs=0</c:v>
                  </c:pt>
                  <c:pt idx="6">
                    <c:v>P6</c:v>
                  </c:pt>
                  <c:pt idx="7">
                    <c:v>P7</c:v>
                  </c:pt>
                  <c:pt idx="8">
                    <c:v>P8</c:v>
                  </c:pt>
                  <c:pt idx="9">
                    <c:v>P9 fs=fy</c:v>
                  </c:pt>
                  <c:pt idx="10">
                    <c:v>P10</c:v>
                  </c:pt>
                  <c:pt idx="11">
                    <c:v>P11</c:v>
                  </c:pt>
                  <c:pt idx="12">
                    <c:v>P12</c:v>
                  </c:pt>
                  <c:pt idx="13">
                    <c:v>P13</c:v>
                  </c:pt>
                  <c:pt idx="14">
                    <c:v>P14</c:v>
                  </c:pt>
                  <c:pt idx="15">
                    <c:v>P15</c:v>
                  </c:pt>
                  <c:pt idx="16">
                    <c:v>P16</c:v>
                  </c:pt>
                  <c:pt idx="17">
                    <c:v>P17</c:v>
                  </c:pt>
                  <c:pt idx="18">
                    <c:v>P18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8-802E-4C81-A9D1-E9B7347250CC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D8B3607-8A50-4ED4-8600-7CA73F0B8D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02E-4C81-A9D1-E9B7347250C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3DD8E8C-DF10-496A-BAD8-5CB0A2D75A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02E-4C81-A9D1-E9B7347250C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15A61A7-F09E-401B-9E6B-A79A3BB6AB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02E-4C81-A9D1-E9B7347250C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D48E7B7-DF11-4B9C-BCFB-18E934C60B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02E-4C81-A9D1-E9B7347250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EEB5617-24EC-486E-9E34-82F062B726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02E-4C81-A9D1-E9B7347250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34886BF-5635-4EEF-A258-749E7141BF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02E-4C81-A9D1-E9B7347250C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2FE0DE0-F49E-475F-8CB6-6A2C2D07B4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02E-4C81-A9D1-E9B7347250C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81A992D-1273-4126-9556-50B1BB1175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02E-4C81-A9D1-E9B7347250C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A6D5463-8B0D-4AB0-8843-C8DBB77BEF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02E-4C81-A9D1-E9B7347250C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8B345FA-E4DD-416A-8768-25FE861E7C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02E-4C81-A9D1-E9B7347250C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ACFAF9B-987C-45AB-A09D-F6C746C29D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02E-4C81-A9D1-E9B7347250C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2F13BE2-6C20-4D68-A169-6D7C80DED9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02E-4C81-A9D1-E9B7347250C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BC597D2-13F2-4D71-81CF-413ECEDE48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02E-4C81-A9D1-E9B7347250C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1ECC6A5-CB8B-486B-9361-C807784A6E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02E-4C81-A9D1-E9B7347250C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804C66F-8578-4E68-A664-2175D4B7A3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802E-4C81-A9D1-E9B7347250C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48C607A-8833-4882-B861-35203E967B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802E-4C81-A9D1-E9B7347250C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1367FEB-5815-43B0-8CAF-D7FFC9522D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802E-4C81-A9D1-E9B7347250C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CEA2CEE-57BA-4443-90E9-45F1F07DE0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802E-4C81-A9D1-E9B7347250C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FCF4DD4-6749-49F7-82D4-10E02A708A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802E-4C81-A9D1-E9B7347250C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'P-M chart'!$P$15:$P$33</c:f>
              <c:numCache>
                <c:formatCode>0.00</c:formatCode>
                <c:ptCount val="19"/>
                <c:pt idx="0">
                  <c:v>-62.346489573186851</c:v>
                </c:pt>
                <c:pt idx="1">
                  <c:v>-62.346489573186851</c:v>
                </c:pt>
                <c:pt idx="2">
                  <c:v>-6.5420470704775013</c:v>
                </c:pt>
                <c:pt idx="3">
                  <c:v>123.28496882814821</c:v>
                </c:pt>
                <c:pt idx="4">
                  <c:v>290.73722047991959</c:v>
                </c:pt>
                <c:pt idx="5">
                  <c:v>465.78314950912898</c:v>
                </c:pt>
                <c:pt idx="6">
                  <c:v>585.89098582169004</c:v>
                </c:pt>
                <c:pt idx="7">
                  <c:v>679.95054190998155</c:v>
                </c:pt>
                <c:pt idx="8">
                  <c:v>759.77578610795274</c:v>
                </c:pt>
                <c:pt idx="9">
                  <c:v>833.17091758259903</c:v>
                </c:pt>
                <c:pt idx="10">
                  <c:v>838.27580968918346</c:v>
                </c:pt>
                <c:pt idx="11">
                  <c:v>787.83599010676835</c:v>
                </c:pt>
                <c:pt idx="12">
                  <c:v>709.83497087395176</c:v>
                </c:pt>
                <c:pt idx="13">
                  <c:v>618.43054982358603</c:v>
                </c:pt>
                <c:pt idx="14">
                  <c:v>477.60561859912423</c:v>
                </c:pt>
                <c:pt idx="15">
                  <c:v>312.41762869012797</c:v>
                </c:pt>
                <c:pt idx="16">
                  <c:v>234.03641585290654</c:v>
                </c:pt>
                <c:pt idx="17">
                  <c:v>116.3311590896015</c:v>
                </c:pt>
                <c:pt idx="18">
                  <c:v>66.59171115961216</c:v>
                </c:pt>
              </c:numCache>
            </c:numRef>
          </c:xVal>
          <c:yVal>
            <c:numRef>
              <c:f>'P-M chart'!$O$15:$O$33</c:f>
              <c:numCache>
                <c:formatCode>0.00</c:formatCode>
                <c:ptCount val="19"/>
                <c:pt idx="0">
                  <c:v>6959.788631761111</c:v>
                </c:pt>
                <c:pt idx="1">
                  <c:v>6959.788631761111</c:v>
                </c:pt>
                <c:pt idx="2">
                  <c:v>6715.7206243385608</c:v>
                </c:pt>
                <c:pt idx="3">
                  <c:v>6090.8422907152926</c:v>
                </c:pt>
                <c:pt idx="4">
                  <c:v>5262.7863825229433</c:v>
                </c:pt>
                <c:pt idx="5">
                  <c:v>4320.4376365349945</c:v>
                </c:pt>
                <c:pt idx="6">
                  <c:v>3556.3141294036986</c:v>
                </c:pt>
                <c:pt idx="7">
                  <c:v>2850.8567338459429</c:v>
                </c:pt>
                <c:pt idx="8">
                  <c:v>2173.7410397896224</c:v>
                </c:pt>
                <c:pt idx="9">
                  <c:v>1539.3970745938823</c:v>
                </c:pt>
                <c:pt idx="10">
                  <c:v>937.79984509019732</c:v>
                </c:pt>
                <c:pt idx="11">
                  <c:v>355.8226999909366</c:v>
                </c:pt>
                <c:pt idx="12">
                  <c:v>-169.32360553240255</c:v>
                </c:pt>
                <c:pt idx="13">
                  <c:v>-703.28793306611215</c:v>
                </c:pt>
                <c:pt idx="14">
                  <c:v>-1465.1671780861363</c:v>
                </c:pt>
                <c:pt idx="15">
                  <c:v>-2179.3463181662109</c:v>
                </c:pt>
                <c:pt idx="16">
                  <c:v>-2515.2421475707879</c:v>
                </c:pt>
                <c:pt idx="17">
                  <c:v>-3011.2017614164811</c:v>
                </c:pt>
                <c:pt idx="18">
                  <c:v>-3184.8209685031884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'P-M chart'!$B$15:$B$33</c15:f>
                <c15:dlblRangeCache>
                  <c:ptCount val="19"/>
                  <c:pt idx="0">
                    <c:v>P0</c:v>
                  </c:pt>
                  <c:pt idx="1">
                    <c:v>P1</c:v>
                  </c:pt>
                  <c:pt idx="2">
                    <c:v>P2</c:v>
                  </c:pt>
                  <c:pt idx="3">
                    <c:v>P3</c:v>
                  </c:pt>
                  <c:pt idx="4">
                    <c:v>P4</c:v>
                  </c:pt>
                  <c:pt idx="5">
                    <c:v>P5 fs=0</c:v>
                  </c:pt>
                  <c:pt idx="6">
                    <c:v>P6</c:v>
                  </c:pt>
                  <c:pt idx="7">
                    <c:v>P7</c:v>
                  </c:pt>
                  <c:pt idx="8">
                    <c:v>P8</c:v>
                  </c:pt>
                  <c:pt idx="9">
                    <c:v>P9 fs=fy</c:v>
                  </c:pt>
                  <c:pt idx="10">
                    <c:v>P10</c:v>
                  </c:pt>
                  <c:pt idx="11">
                    <c:v>P11</c:v>
                  </c:pt>
                  <c:pt idx="12">
                    <c:v>P12</c:v>
                  </c:pt>
                  <c:pt idx="13">
                    <c:v>P13</c:v>
                  </c:pt>
                  <c:pt idx="14">
                    <c:v>P14</c:v>
                  </c:pt>
                  <c:pt idx="15">
                    <c:v>P15</c:v>
                  </c:pt>
                  <c:pt idx="16">
                    <c:v>P16</c:v>
                  </c:pt>
                  <c:pt idx="17">
                    <c:v>P17</c:v>
                  </c:pt>
                  <c:pt idx="18">
                    <c:v>P18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7-802E-4C81-A9D1-E9B734725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735136"/>
        <c:axId val="1290048751"/>
      </c:scatterChart>
      <c:valAx>
        <c:axId val="66873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048751"/>
        <c:crosses val="autoZero"/>
        <c:crossBetween val="midCat"/>
      </c:valAx>
      <c:valAx>
        <c:axId val="129004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735136"/>
        <c:crosses val="autoZero"/>
        <c:crossBetween val="midCat"/>
        <c:majorUnit val="1000"/>
        <c:minorUnit val="200"/>
      </c:valAx>
      <c:spPr>
        <a:ln w="12700">
          <a:solidFill>
            <a:srgbClr val="0070C0"/>
          </a:solidFill>
        </a:ln>
      </c:spPr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76199</xdr:colOff>
      <xdr:row>10</xdr:row>
      <xdr:rowOff>28575</xdr:rowOff>
    </xdr:from>
    <xdr:to>
      <xdr:col>12</xdr:col>
      <xdr:colOff>9525</xdr:colOff>
      <xdr:row>21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EFFC5C-90C4-144C-3B28-49E99B9A5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33337</xdr:colOff>
      <xdr:row>35</xdr:row>
      <xdr:rowOff>19050</xdr:rowOff>
    </xdr:from>
    <xdr:to>
      <xdr:col>12</xdr:col>
      <xdr:colOff>419100</xdr:colOff>
      <xdr:row>45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0D96FF-8F4B-C66F-297B-92FFAB48E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228600</xdr:colOff>
      <xdr:row>25</xdr:row>
      <xdr:rowOff>95250</xdr:rowOff>
    </xdr:from>
    <xdr:to>
      <xdr:col>33</xdr:col>
      <xdr:colOff>248706</xdr:colOff>
      <xdr:row>69</xdr:row>
      <xdr:rowOff>125016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0B23C7-8E9D-4AE2-BC2A-B7C2731AF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6750" y="4924425"/>
          <a:ext cx="7563906" cy="85355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488157</xdr:colOff>
      <xdr:row>3</xdr:row>
      <xdr:rowOff>61549</xdr:rowOff>
    </xdr:from>
    <xdr:to>
      <xdr:col>6</xdr:col>
      <xdr:colOff>108980</xdr:colOff>
      <xdr:row>12</xdr:row>
      <xdr:rowOff>96544</xdr:rowOff>
    </xdr:to>
    <xdr:grpSp>
      <xdr:nvGrpSpPr>
        <xdr:cNvPr id="132" name="Group 131">
          <a:extLst>
            <a:ext uri="{FF2B5EF4-FFF2-40B4-BE49-F238E27FC236}">
              <a16:creationId xmlns:a16="http://schemas.microsoft.com/office/drawing/2014/main" id="{2F811230-A39E-CF13-D7BF-C15FA68950D8}"/>
            </a:ext>
          </a:extLst>
        </xdr:cNvPr>
        <xdr:cNvGrpSpPr/>
      </xdr:nvGrpSpPr>
      <xdr:grpSpPr>
        <a:xfrm>
          <a:off x="488157" y="661624"/>
          <a:ext cx="3507023" cy="1768545"/>
          <a:chOff x="571500" y="242524"/>
          <a:chExt cx="3514167" cy="1749495"/>
        </a:xfrm>
      </xdr:grpSpPr>
      <xdr:grpSp>
        <xdr:nvGrpSpPr>
          <xdr:cNvPr id="124" name="Group 123">
            <a:extLst>
              <a:ext uri="{FF2B5EF4-FFF2-40B4-BE49-F238E27FC236}">
                <a16:creationId xmlns:a16="http://schemas.microsoft.com/office/drawing/2014/main" id="{CAF328CA-73FF-123C-A36D-FEEFA2529EE8}"/>
              </a:ext>
            </a:extLst>
          </xdr:cNvPr>
          <xdr:cNvGrpSpPr/>
        </xdr:nvGrpSpPr>
        <xdr:grpSpPr>
          <a:xfrm>
            <a:off x="932481" y="242524"/>
            <a:ext cx="3153186" cy="1749495"/>
            <a:chOff x="3007133" y="298660"/>
            <a:chExt cx="3149665" cy="1720920"/>
          </a:xfrm>
        </xdr:grpSpPr>
        <xdr:grpSp>
          <xdr:nvGrpSpPr>
            <xdr:cNvPr id="116" name="Group 115">
              <a:extLst>
                <a:ext uri="{FF2B5EF4-FFF2-40B4-BE49-F238E27FC236}">
                  <a16:creationId xmlns:a16="http://schemas.microsoft.com/office/drawing/2014/main" id="{592CADFF-85E8-0718-3AE2-D50B164575B2}"/>
                </a:ext>
              </a:extLst>
            </xdr:cNvPr>
            <xdr:cNvGrpSpPr/>
          </xdr:nvGrpSpPr>
          <xdr:grpSpPr>
            <a:xfrm>
              <a:off x="3007133" y="298660"/>
              <a:ext cx="2983485" cy="1720920"/>
              <a:chOff x="2557611" y="251933"/>
              <a:chExt cx="2978927" cy="1720920"/>
            </a:xfrm>
          </xdr:grpSpPr>
          <xdr:grpSp>
            <xdr:nvGrpSpPr>
              <xdr:cNvPr id="107" name="Group 106">
                <a:extLst>
                  <a:ext uri="{FF2B5EF4-FFF2-40B4-BE49-F238E27FC236}">
                    <a16:creationId xmlns:a16="http://schemas.microsoft.com/office/drawing/2014/main" id="{9F8D1ECF-C01C-D2BF-45E2-0D612D207EF1}"/>
                  </a:ext>
                </a:extLst>
              </xdr:cNvPr>
              <xdr:cNvGrpSpPr/>
            </xdr:nvGrpSpPr>
            <xdr:grpSpPr>
              <a:xfrm>
                <a:off x="2557611" y="251933"/>
                <a:ext cx="2978927" cy="1720920"/>
                <a:chOff x="2015069" y="194783"/>
                <a:chExt cx="2978902" cy="1720920"/>
              </a:xfrm>
            </xdr:grpSpPr>
            <xdr:cxnSp macro="">
              <xdr:nvCxnSpPr>
                <xdr:cNvPr id="88" name="Straight Connector 87">
                  <a:extLst>
                    <a:ext uri="{FF2B5EF4-FFF2-40B4-BE49-F238E27FC236}">
                      <a16:creationId xmlns:a16="http://schemas.microsoft.com/office/drawing/2014/main" id="{C95D56D4-78C8-47CC-A1E0-5E40EAD4EC7E}"/>
                    </a:ext>
                  </a:extLst>
                </xdr:cNvPr>
                <xdr:cNvCxnSpPr/>
              </xdr:nvCxnSpPr>
              <xdr:spPr>
                <a:xfrm flipH="1">
                  <a:off x="2243449" y="488023"/>
                  <a:ext cx="171039" cy="0"/>
                </a:xfrm>
                <a:prstGeom prst="line">
                  <a:avLst/>
                </a:prstGeom>
                <a:ln w="3175">
                  <a:headEnd type="none"/>
                  <a:tailEnd type="oval" w="sm" len="sm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89" name="Straight Connector 88">
                  <a:extLst>
                    <a:ext uri="{FF2B5EF4-FFF2-40B4-BE49-F238E27FC236}">
                      <a16:creationId xmlns:a16="http://schemas.microsoft.com/office/drawing/2014/main" id="{3A2000A7-FE37-4173-8218-BF90A2CBA587}"/>
                    </a:ext>
                  </a:extLst>
                </xdr:cNvPr>
                <xdr:cNvCxnSpPr/>
              </xdr:nvCxnSpPr>
              <xdr:spPr>
                <a:xfrm>
                  <a:off x="2241476" y="494295"/>
                  <a:ext cx="0" cy="711871"/>
                </a:xfrm>
                <a:prstGeom prst="line">
                  <a:avLst/>
                </a:prstGeom>
                <a:ln w="3175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0" name="Straight Connector 89">
                  <a:extLst>
                    <a:ext uri="{FF2B5EF4-FFF2-40B4-BE49-F238E27FC236}">
                      <a16:creationId xmlns:a16="http://schemas.microsoft.com/office/drawing/2014/main" id="{8D9DAA6F-6563-4EBE-9137-1864E04E73B8}"/>
                    </a:ext>
                  </a:extLst>
                </xdr:cNvPr>
                <xdr:cNvCxnSpPr/>
              </xdr:nvCxnSpPr>
              <xdr:spPr>
                <a:xfrm flipH="1">
                  <a:off x="2242418" y="857196"/>
                  <a:ext cx="166719" cy="0"/>
                </a:xfrm>
                <a:prstGeom prst="line">
                  <a:avLst/>
                </a:prstGeom>
                <a:ln w="3175">
                  <a:headEnd type="none"/>
                  <a:tailEnd type="oval" w="sm" len="sm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94" name="TextBox 93">
                  <a:extLst>
                    <a:ext uri="{FF2B5EF4-FFF2-40B4-BE49-F238E27FC236}">
                      <a16:creationId xmlns:a16="http://schemas.microsoft.com/office/drawing/2014/main" id="{79891C68-5674-4D5F-AA47-873306E68AC3}"/>
                    </a:ext>
                  </a:extLst>
                </xdr:cNvPr>
                <xdr:cNvSpPr txBox="1"/>
              </xdr:nvSpPr>
              <xdr:spPr>
                <a:xfrm>
                  <a:off x="2015069" y="550400"/>
                  <a:ext cx="348106" cy="24294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n-US" altLang="ko-KR" sz="900"/>
                    <a:t>di</a:t>
                  </a:r>
                  <a:endParaRPr lang="en-US" sz="900"/>
                </a:p>
              </xdr:txBody>
            </xdr:sp>
            <xdr:grpSp>
              <xdr:nvGrpSpPr>
                <xdr:cNvPr id="106" name="Group 105">
                  <a:extLst>
                    <a:ext uri="{FF2B5EF4-FFF2-40B4-BE49-F238E27FC236}">
                      <a16:creationId xmlns:a16="http://schemas.microsoft.com/office/drawing/2014/main" id="{C263E9EE-9B92-A712-A529-FD4C4FB16D5E}"/>
                    </a:ext>
                  </a:extLst>
                </xdr:cNvPr>
                <xdr:cNvGrpSpPr/>
              </xdr:nvGrpSpPr>
              <xdr:grpSpPr>
                <a:xfrm>
                  <a:off x="2487377" y="194783"/>
                  <a:ext cx="2506594" cy="1720920"/>
                  <a:chOff x="2487377" y="194783"/>
                  <a:chExt cx="2506594" cy="1720920"/>
                </a:xfrm>
              </xdr:grpSpPr>
              <xdr:grpSp>
                <xdr:nvGrpSpPr>
                  <xdr:cNvPr id="86" name="Group 85">
                    <a:extLst>
                      <a:ext uri="{FF2B5EF4-FFF2-40B4-BE49-F238E27FC236}">
                        <a16:creationId xmlns:a16="http://schemas.microsoft.com/office/drawing/2014/main" id="{DC08A28B-E0C0-6E3A-4452-C99C8BE2F392}"/>
                      </a:ext>
                    </a:extLst>
                  </xdr:cNvPr>
                  <xdr:cNvGrpSpPr/>
                </xdr:nvGrpSpPr>
                <xdr:grpSpPr>
                  <a:xfrm>
                    <a:off x="2487377" y="472600"/>
                    <a:ext cx="2074042" cy="1440476"/>
                    <a:chOff x="2621888" y="311509"/>
                    <a:chExt cx="2536676" cy="1445343"/>
                  </a:xfrm>
                </xdr:grpSpPr>
                <xdr:cxnSp macro="">
                  <xdr:nvCxnSpPr>
                    <xdr:cNvPr id="66" name="Straight Connector 65">
                      <a:extLst>
                        <a:ext uri="{FF2B5EF4-FFF2-40B4-BE49-F238E27FC236}">
                          <a16:creationId xmlns:a16="http://schemas.microsoft.com/office/drawing/2014/main" id="{D6BAF7BA-2A48-4485-80B8-1A2C79DBB172}"/>
                        </a:ext>
                      </a:extLst>
                    </xdr:cNvPr>
                    <xdr:cNvCxnSpPr/>
                  </xdr:nvCxnSpPr>
                  <xdr:spPr>
                    <a:xfrm>
                      <a:off x="3890722" y="851765"/>
                      <a:ext cx="1267842" cy="0"/>
                    </a:xfrm>
                    <a:prstGeom prst="line">
                      <a:avLst/>
                    </a:prstGeom>
                    <a:ln w="6350">
                      <a:solidFill>
                        <a:srgbClr val="FF0000"/>
                      </a:solidFill>
                      <a:prstDash val="sysDot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grpSp>
                  <xdr:nvGrpSpPr>
                    <xdr:cNvPr id="85" name="Group 84">
                      <a:extLst>
                        <a:ext uri="{FF2B5EF4-FFF2-40B4-BE49-F238E27FC236}">
                          <a16:creationId xmlns:a16="http://schemas.microsoft.com/office/drawing/2014/main" id="{5BCB9BA8-E3AD-D605-AB7E-7190E7D195A2}"/>
                        </a:ext>
                      </a:extLst>
                    </xdr:cNvPr>
                    <xdr:cNvGrpSpPr/>
                  </xdr:nvGrpSpPr>
                  <xdr:grpSpPr>
                    <a:xfrm>
                      <a:off x="2621888" y="311509"/>
                      <a:ext cx="2488342" cy="1445343"/>
                      <a:chOff x="2621888" y="311509"/>
                      <a:chExt cx="2488342" cy="1445343"/>
                    </a:xfrm>
                  </xdr:grpSpPr>
                  <xdr:grpSp>
                    <xdr:nvGrpSpPr>
                      <xdr:cNvPr id="32" name="Group 31">
                        <a:extLst>
                          <a:ext uri="{FF2B5EF4-FFF2-40B4-BE49-F238E27FC236}">
                            <a16:creationId xmlns:a16="http://schemas.microsoft.com/office/drawing/2014/main" id="{81961A9B-8BD3-0618-8E62-C40AD3017ECE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2621888" y="319526"/>
                        <a:ext cx="1752665" cy="1437326"/>
                        <a:chOff x="6520112" y="168436"/>
                        <a:chExt cx="1762063" cy="1431764"/>
                      </a:xfrm>
                    </xdr:grpSpPr>
                    <xdr:grpSp>
                      <xdr:nvGrpSpPr>
                        <xdr:cNvPr id="25" name="Group 24">
                          <a:extLst>
                            <a:ext uri="{FF2B5EF4-FFF2-40B4-BE49-F238E27FC236}">
                              <a16:creationId xmlns:a16="http://schemas.microsoft.com/office/drawing/2014/main" id="{62344F66-128A-043C-8358-1747E5C73B42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6520112" y="171450"/>
                          <a:ext cx="1270837" cy="1428750"/>
                          <a:chOff x="3086100" y="295275"/>
                          <a:chExt cx="981076" cy="1076324"/>
                        </a:xfrm>
                      </xdr:grpSpPr>
                      <xdr:sp macro="" textlink="">
                        <xdr:nvSpPr>
                          <xdr:cNvPr id="23" name="Rectangle 22">
                            <a:extLst>
                              <a:ext uri="{FF2B5EF4-FFF2-40B4-BE49-F238E27FC236}">
                                <a16:creationId xmlns:a16="http://schemas.microsoft.com/office/drawing/2014/main" id="{169112F8-2F49-C027-D9FD-680110E238D5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3086100" y="295275"/>
                            <a:ext cx="981075" cy="400050"/>
                          </a:xfrm>
                          <a:prstGeom prst="rect">
                            <a:avLst/>
                          </a:prstGeom>
                          <a:pattFill prst="dkHorz">
                            <a:fgClr>
                              <a:schemeClr val="accent1">
                                <a:lumMod val="40000"/>
                                <a:lumOff val="60000"/>
                              </a:schemeClr>
                            </a:fgClr>
                            <a:bgClr>
                              <a:schemeClr val="bg1"/>
                            </a:bgClr>
                          </a:pattFill>
                          <a:ln w="22225">
                            <a:solidFill>
                              <a:schemeClr val="tx2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ctr"/>
                          <a:lstStyle/>
                          <a:p>
                            <a:pPr algn="ctr"/>
                            <a:r>
                              <a:rPr lang="en-US" sz="900">
                                <a:solidFill>
                                  <a:srgbClr val="FF0000"/>
                                </a:solidFill>
                              </a:rPr>
                              <a:t>Compression</a:t>
                            </a:r>
                          </a:p>
                        </xdr:txBody>
                      </xdr:sp>
                      <xdr:sp macro="" textlink="">
                        <xdr:nvSpPr>
                          <xdr:cNvPr id="24" name="Rectangle 23">
                            <a:extLst>
                              <a:ext uri="{FF2B5EF4-FFF2-40B4-BE49-F238E27FC236}">
                                <a16:creationId xmlns:a16="http://schemas.microsoft.com/office/drawing/2014/main" id="{95BCB375-838A-4B22-811E-FC89DB4E1C5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3086101" y="695324"/>
                            <a:ext cx="981075" cy="676275"/>
                          </a:xfrm>
                          <a:prstGeom prst="rect">
                            <a:avLst/>
                          </a:prstGeom>
                          <a:solidFill>
                            <a:schemeClr val="accent6">
                              <a:lumMod val="40000"/>
                              <a:lumOff val="60000"/>
                            </a:schemeClr>
                          </a:solidFill>
                          <a:ln w="22225">
                            <a:solidFill>
                              <a:schemeClr val="tx2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ctr"/>
                          <a:lstStyle/>
                          <a:p>
                            <a:pPr algn="ctr"/>
                            <a:r>
                              <a:rPr lang="en-US" sz="900">
                                <a:solidFill>
                                  <a:srgbClr val="FF0000"/>
                                </a:solidFill>
                              </a:rPr>
                              <a:t>Tension</a:t>
                            </a:r>
                          </a:p>
                        </xdr:txBody>
                      </xdr:sp>
                    </xdr:grpSp>
                    <xdr:grpSp>
                      <xdr:nvGrpSpPr>
                        <xdr:cNvPr id="30" name="Group 29">
                          <a:extLst>
                            <a:ext uri="{FF2B5EF4-FFF2-40B4-BE49-F238E27FC236}">
                              <a16:creationId xmlns:a16="http://schemas.microsoft.com/office/drawing/2014/main" id="{DE837C5D-06E5-C06C-5164-511251C2AB75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7826433" y="168436"/>
                          <a:ext cx="455742" cy="538410"/>
                          <a:chOff x="11633394" y="4191000"/>
                          <a:chExt cx="367874" cy="252911"/>
                        </a:xfrm>
                      </xdr:grpSpPr>
                      <xdr:sp macro="" textlink="">
                        <xdr:nvSpPr>
                          <xdr:cNvPr id="26" name="TextBox 25">
                            <a:extLst>
                              <a:ext uri="{FF2B5EF4-FFF2-40B4-BE49-F238E27FC236}">
                                <a16:creationId xmlns:a16="http://schemas.microsoft.com/office/drawing/2014/main" id="{BCEE249E-E6B4-4B10-BC4D-AD29545469CE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11723508" y="4252734"/>
                            <a:ext cx="277760" cy="114707"/>
                          </a:xfrm>
                          <a:prstGeom prst="rect">
                            <a:avLst/>
                          </a:prstGeom>
                          <a:noFill/>
                          <a:ln w="9525" cmpd="sng">
                            <a:noFill/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ctr"/>
                          <a:lstStyle/>
                          <a:p>
                            <a:r>
                              <a:rPr lang="en-US" altLang="ko-KR" sz="900"/>
                              <a:t>c</a:t>
                            </a:r>
                            <a:endParaRPr lang="en-US" sz="900"/>
                          </a:p>
                        </xdr:txBody>
                      </xdr:sp>
                      <xdr:cxnSp macro="">
                        <xdr:nvCxnSpPr>
                          <xdr:cNvPr id="27" name="Straight Connector 26">
                            <a:extLst>
                              <a:ext uri="{FF2B5EF4-FFF2-40B4-BE49-F238E27FC236}">
                                <a16:creationId xmlns:a16="http://schemas.microsoft.com/office/drawing/2014/main" id="{CD702E8C-5897-4866-A539-A02D3482A9D9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11639046" y="4191000"/>
                            <a:ext cx="132711" cy="0"/>
                          </a:xfrm>
                          <a:prstGeom prst="line">
                            <a:avLst/>
                          </a:prstGeom>
                          <a:ln w="3175">
                            <a:headEnd type="none"/>
                            <a:tailEnd type="oval" w="sm" len="sm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28" name="Straight Connector 27">
                            <a:extLst>
                              <a:ext uri="{FF2B5EF4-FFF2-40B4-BE49-F238E27FC236}">
                                <a16:creationId xmlns:a16="http://schemas.microsoft.com/office/drawing/2014/main" id="{FFC33827-833C-41D3-9521-E3FCA105FBA6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11769797" y="4193910"/>
                            <a:ext cx="0" cy="250001"/>
                          </a:xfrm>
                          <a:prstGeom prst="line">
                            <a:avLst/>
                          </a:prstGeom>
                          <a:ln w="3175"/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29" name="Straight Connector 28">
                            <a:extLst>
                              <a:ext uri="{FF2B5EF4-FFF2-40B4-BE49-F238E27FC236}">
                                <a16:creationId xmlns:a16="http://schemas.microsoft.com/office/drawing/2014/main" id="{2B527951-389A-43D8-B713-52902852458B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11633394" y="4438762"/>
                            <a:ext cx="137339" cy="0"/>
                          </a:xfrm>
                          <a:prstGeom prst="line">
                            <a:avLst/>
                          </a:prstGeom>
                          <a:ln w="3175">
                            <a:headEnd type="none"/>
                            <a:tailEnd type="oval" w="sm" len="sm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</xdr:grpSp>
                  </xdr:grpSp>
                  <xdr:sp macro="" textlink="">
                    <xdr:nvSpPr>
                      <xdr:cNvPr id="67" name="Right Triangle 66">
                        <a:extLst>
                          <a:ext uri="{FF2B5EF4-FFF2-40B4-BE49-F238E27FC236}">
                            <a16:creationId xmlns:a16="http://schemas.microsoft.com/office/drawing/2014/main" id="{9894C1C2-D223-49D9-BFE4-7BD97AC6C7B7}"/>
                          </a:ext>
                        </a:extLst>
                      </xdr:cNvPr>
                      <xdr:cNvSpPr/>
                    </xdr:nvSpPr>
                    <xdr:spPr>
                      <a:xfrm flipV="1">
                        <a:off x="4679582" y="311509"/>
                        <a:ext cx="430648" cy="543534"/>
                      </a:xfrm>
                      <a:prstGeom prst="rtTriangle">
                        <a:avLst/>
                      </a:prstGeom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ln w="12700"/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ctr"/>
                        <a:r>
                          <a:rPr lang="en-US" altLang="ko-KR" sz="1100">
                            <a:ln w="12700">
                              <a:solidFill>
                                <a:srgbClr val="FF0000"/>
                              </a:solidFill>
                            </a:ln>
                            <a:solidFill>
                              <a:srgbClr val="FF0000"/>
                            </a:solidFill>
                          </a:rPr>
                          <a:t>+</a:t>
                        </a:r>
                        <a:endParaRPr lang="ko-KR" altLang="en-US" sz="1100">
                          <a:ln w="12700">
                            <a:solidFill>
                              <a:srgbClr val="FF0000"/>
                            </a:solidFill>
                          </a:ln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">
                    <xdr:nvSpPr>
                      <xdr:cNvPr id="68" name="Right Triangle 67">
                        <a:extLst>
                          <a:ext uri="{FF2B5EF4-FFF2-40B4-BE49-F238E27FC236}">
                            <a16:creationId xmlns:a16="http://schemas.microsoft.com/office/drawing/2014/main" id="{E4D1755C-DD05-473B-BA62-07528BF196CB}"/>
                          </a:ext>
                        </a:extLst>
                      </xdr:cNvPr>
                      <xdr:cNvSpPr/>
                    </xdr:nvSpPr>
                    <xdr:spPr>
                      <a:xfrm flipH="1">
                        <a:off x="3989859" y="852369"/>
                        <a:ext cx="681505" cy="903479"/>
                      </a:xfrm>
                      <a:prstGeom prst="rtTriangle">
                        <a:avLst/>
                      </a:prstGeom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ln w="12700"/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r>
                          <a:rPr lang="en-US" altLang="ko-KR" sz="1100">
                            <a:ln w="15875">
                              <a:solidFill>
                                <a:srgbClr val="FF0000"/>
                              </a:solidFill>
                            </a:ln>
                            <a:solidFill>
                              <a:srgbClr val="FF0000"/>
                            </a:solidFill>
                          </a:rPr>
                          <a:t>-</a:t>
                        </a:r>
                        <a:endParaRPr lang="ko-KR" altLang="en-US" sz="1100">
                          <a:ln w="15875">
                            <a:solidFill>
                              <a:srgbClr val="FF0000"/>
                            </a:solidFill>
                          </a:ln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</xdr:grpSp>
              </xdr:grpSp>
              <xdr:cxnSp macro="">
                <xdr:nvCxnSpPr>
                  <xdr:cNvPr id="96" name="Straight Connector 95">
                    <a:extLst>
                      <a:ext uri="{FF2B5EF4-FFF2-40B4-BE49-F238E27FC236}">
                        <a16:creationId xmlns:a16="http://schemas.microsoft.com/office/drawing/2014/main" id="{82F823AF-6A13-59AC-07E4-E0306C120A9F}"/>
                      </a:ext>
                    </a:extLst>
                  </xdr:cNvPr>
                  <xdr:cNvCxnSpPr/>
                </xdr:nvCxnSpPr>
                <xdr:spPr>
                  <a:xfrm>
                    <a:off x="4566770" y="466618"/>
                    <a:ext cx="0" cy="1449085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04" name="Freeform: Shape 103">
                    <a:extLst>
                      <a:ext uri="{FF2B5EF4-FFF2-40B4-BE49-F238E27FC236}">
                        <a16:creationId xmlns:a16="http://schemas.microsoft.com/office/drawing/2014/main" id="{61E76EEE-F1E7-A258-150C-6C12C1872752}"/>
                      </a:ext>
                    </a:extLst>
                  </xdr:cNvPr>
                  <xdr:cNvSpPr/>
                </xdr:nvSpPr>
                <xdr:spPr>
                  <a:xfrm>
                    <a:off x="4568406" y="463670"/>
                    <a:ext cx="287547" cy="546340"/>
                  </a:xfrm>
                  <a:custGeom>
                    <a:avLst/>
                    <a:gdLst>
                      <a:gd name="csX0" fmla="*/ 0 w 287547"/>
                      <a:gd name="csY0" fmla="*/ 546340 h 546340"/>
                      <a:gd name="csX1" fmla="*/ 0 w 287547"/>
                      <a:gd name="csY1" fmla="*/ 0 h 546340"/>
                      <a:gd name="csX2" fmla="*/ 287547 w 287547"/>
                      <a:gd name="csY2" fmla="*/ 0 h 546340"/>
                      <a:gd name="csX3" fmla="*/ 287547 w 287547"/>
                      <a:gd name="csY3" fmla="*/ 197689 h 546340"/>
                      <a:gd name="csX4" fmla="*/ 273170 w 287547"/>
                      <a:gd name="csY4" fmla="*/ 287548 h 546340"/>
                      <a:gd name="csX5" fmla="*/ 251604 w 287547"/>
                      <a:gd name="csY5" fmla="*/ 352246 h 546340"/>
                      <a:gd name="csX6" fmla="*/ 219255 w 287547"/>
                      <a:gd name="csY6" fmla="*/ 395378 h 546340"/>
                      <a:gd name="csX7" fmla="*/ 179717 w 287547"/>
                      <a:gd name="csY7" fmla="*/ 449293 h 546340"/>
                      <a:gd name="csX8" fmla="*/ 129396 w 287547"/>
                      <a:gd name="csY8" fmla="*/ 492425 h 546340"/>
                      <a:gd name="csX9" fmla="*/ 79075 w 287547"/>
                      <a:gd name="csY9" fmla="*/ 521180 h 546340"/>
                      <a:gd name="csX10" fmla="*/ 0 w 287547"/>
                      <a:gd name="csY10" fmla="*/ 546340 h 546340"/>
                    </a:gdLst>
                    <a:ahLst/>
                    <a:cxnLst>
                      <a:cxn ang="0">
                        <a:pos x="csX0" y="csY0"/>
                      </a:cxn>
                      <a:cxn ang="0">
                        <a:pos x="csX1" y="csY1"/>
                      </a:cxn>
                      <a:cxn ang="0">
                        <a:pos x="csX2" y="csY2"/>
                      </a:cxn>
                      <a:cxn ang="0">
                        <a:pos x="csX3" y="csY3"/>
                      </a:cxn>
                      <a:cxn ang="0">
                        <a:pos x="csX4" y="csY4"/>
                      </a:cxn>
                      <a:cxn ang="0">
                        <a:pos x="csX5" y="csY5"/>
                      </a:cxn>
                      <a:cxn ang="0">
                        <a:pos x="csX6" y="csY6"/>
                      </a:cxn>
                      <a:cxn ang="0">
                        <a:pos x="csX7" y="csY7"/>
                      </a:cxn>
                      <a:cxn ang="0">
                        <a:pos x="csX8" y="csY8"/>
                      </a:cxn>
                      <a:cxn ang="0">
                        <a:pos x="csX9" y="csY9"/>
                      </a:cxn>
                      <a:cxn ang="0">
                        <a:pos x="csX10" y="csY10"/>
                      </a:cxn>
                    </a:cxnLst>
                    <a:rect l="l" t="t" r="r" b="b"/>
                    <a:pathLst>
                      <a:path w="287547" h="546340">
                        <a:moveTo>
                          <a:pt x="0" y="546340"/>
                        </a:moveTo>
                        <a:lnTo>
                          <a:pt x="0" y="0"/>
                        </a:lnTo>
                        <a:lnTo>
                          <a:pt x="287547" y="0"/>
                        </a:lnTo>
                        <a:lnTo>
                          <a:pt x="287547" y="197689"/>
                        </a:lnTo>
                        <a:lnTo>
                          <a:pt x="273170" y="287548"/>
                        </a:lnTo>
                        <a:lnTo>
                          <a:pt x="251604" y="352246"/>
                        </a:lnTo>
                        <a:lnTo>
                          <a:pt x="219255" y="395378"/>
                        </a:lnTo>
                        <a:lnTo>
                          <a:pt x="179717" y="449293"/>
                        </a:lnTo>
                        <a:lnTo>
                          <a:pt x="129396" y="492425"/>
                        </a:lnTo>
                        <a:lnTo>
                          <a:pt x="79075" y="521180"/>
                        </a:lnTo>
                        <a:lnTo>
                          <a:pt x="0" y="546340"/>
                        </a:lnTo>
                        <a:close/>
                      </a:path>
                    </a:pathLst>
                  </a:custGeom>
                  <a:solidFill>
                    <a:schemeClr val="accent5">
                      <a:lumMod val="20000"/>
                      <a:lumOff val="80000"/>
                    </a:schemeClr>
                  </a:solidFill>
                  <a:ln w="9525" cap="flat">
                    <a:solidFill>
                      <a:schemeClr val="accent1"/>
                    </a:solidFill>
                    <a:extLst>
                      <a:ext uri="{C807C97D-BFC1-408E-A445-0C87EB9F89A2}">
                        <ask:lineSketchStyleProps xmlns:ask="http://schemas.microsoft.com/office/drawing/2018/sketchyshapes" sd="1219033472">
                          <a:custGeom>
                            <a:avLst/>
                            <a:gdLst>
                              <a:gd name="csX0" fmla="*/ 0 w 287547"/>
                              <a:gd name="csY0" fmla="*/ 546340 h 546340"/>
                              <a:gd name="csX1" fmla="*/ 0 w 287547"/>
                              <a:gd name="csY1" fmla="*/ 0 h 546340"/>
                              <a:gd name="csX2" fmla="*/ 287547 w 287547"/>
                              <a:gd name="csY2" fmla="*/ 0 h 546340"/>
                              <a:gd name="csX3" fmla="*/ 287547 w 287547"/>
                              <a:gd name="csY3" fmla="*/ 197689 h 546340"/>
                              <a:gd name="csX4" fmla="*/ 273170 w 287547"/>
                              <a:gd name="csY4" fmla="*/ 287548 h 546340"/>
                              <a:gd name="csX5" fmla="*/ 251604 w 287547"/>
                              <a:gd name="csY5" fmla="*/ 352246 h 546340"/>
                              <a:gd name="csX6" fmla="*/ 219255 w 287547"/>
                              <a:gd name="csY6" fmla="*/ 395378 h 546340"/>
                              <a:gd name="csX7" fmla="*/ 179717 w 287547"/>
                              <a:gd name="csY7" fmla="*/ 449293 h 546340"/>
                              <a:gd name="csX8" fmla="*/ 129396 w 287547"/>
                              <a:gd name="csY8" fmla="*/ 492425 h 546340"/>
                              <a:gd name="csX9" fmla="*/ 79075 w 287547"/>
                              <a:gd name="csY9" fmla="*/ 521180 h 546340"/>
                              <a:gd name="csX10" fmla="*/ 0 w 287547"/>
                              <a:gd name="csY10" fmla="*/ 546340 h 546340"/>
                            </a:gdLst>
                            <a:ahLst/>
                            <a:cxnLst>
                              <a:cxn ang="0">
                                <a:pos x="csX0" y="csY0"/>
                              </a:cxn>
                              <a:cxn ang="0">
                                <a:pos x="csX1" y="csY1"/>
                              </a:cxn>
                              <a:cxn ang="0">
                                <a:pos x="csX2" y="csY2"/>
                              </a:cxn>
                              <a:cxn ang="0">
                                <a:pos x="csX3" y="csY3"/>
                              </a:cxn>
                              <a:cxn ang="0">
                                <a:pos x="csX4" y="csY4"/>
                              </a:cxn>
                              <a:cxn ang="0">
                                <a:pos x="csX5" y="csY5"/>
                              </a:cxn>
                              <a:cxn ang="0">
                                <a:pos x="csX6" y="csY6"/>
                              </a:cxn>
                              <a:cxn ang="0">
                                <a:pos x="csX7" y="csY7"/>
                              </a:cxn>
                              <a:cxn ang="0">
                                <a:pos x="csX8" y="csY8"/>
                              </a:cxn>
                              <a:cxn ang="0">
                                <a:pos x="csX9" y="csY9"/>
                              </a:cxn>
                              <a:cxn ang="0">
                                <a:pos x="csX10" y="csY10"/>
                              </a:cxn>
                            </a:cxnLst>
                            <a:rect l="l" t="t" r="r" b="b"/>
                            <a:pathLst>
                              <a:path w="287547" h="546340" fill="none" extrusionOk="0">
                                <a:moveTo>
                                  <a:pt x="0" y="546340"/>
                                </a:moveTo>
                                <a:cubicBezTo>
                                  <a:pt x="-37330" y="292668"/>
                                  <a:pt x="45408" y="209259"/>
                                  <a:pt x="0" y="0"/>
                                </a:cubicBezTo>
                                <a:cubicBezTo>
                                  <a:pt x="94198" y="-24500"/>
                                  <a:pt x="169949" y="26132"/>
                                  <a:pt x="287547" y="0"/>
                                </a:cubicBezTo>
                                <a:cubicBezTo>
                                  <a:pt x="293845" y="95507"/>
                                  <a:pt x="286927" y="117929"/>
                                  <a:pt x="287547" y="197689"/>
                                </a:cubicBezTo>
                                <a:cubicBezTo>
                                  <a:pt x="290479" y="223025"/>
                                  <a:pt x="273765" y="244622"/>
                                  <a:pt x="273170" y="287548"/>
                                </a:cubicBezTo>
                                <a:cubicBezTo>
                                  <a:pt x="269707" y="312985"/>
                                  <a:pt x="252362" y="326853"/>
                                  <a:pt x="251604" y="352246"/>
                                </a:cubicBezTo>
                                <a:cubicBezTo>
                                  <a:pt x="240161" y="376333"/>
                                  <a:pt x="223847" y="384401"/>
                                  <a:pt x="219255" y="395378"/>
                                </a:cubicBezTo>
                                <a:cubicBezTo>
                                  <a:pt x="212567" y="415970"/>
                                  <a:pt x="190003" y="434020"/>
                                  <a:pt x="179717" y="449293"/>
                                </a:cubicBezTo>
                                <a:cubicBezTo>
                                  <a:pt x="163137" y="468765"/>
                                  <a:pt x="142291" y="476919"/>
                                  <a:pt x="129396" y="492425"/>
                                </a:cubicBezTo>
                                <a:cubicBezTo>
                                  <a:pt x="116908" y="501226"/>
                                  <a:pt x="89278" y="511593"/>
                                  <a:pt x="79075" y="521180"/>
                                </a:cubicBezTo>
                                <a:cubicBezTo>
                                  <a:pt x="61262" y="529215"/>
                                  <a:pt x="23480" y="530615"/>
                                  <a:pt x="0" y="546340"/>
                                </a:cubicBezTo>
                                <a:close/>
                              </a:path>
                              <a:path w="287547" h="546340" stroke="0" extrusionOk="0">
                                <a:moveTo>
                                  <a:pt x="0" y="546340"/>
                                </a:moveTo>
                                <a:cubicBezTo>
                                  <a:pt x="-51339" y="318063"/>
                                  <a:pt x="56845" y="141477"/>
                                  <a:pt x="0" y="0"/>
                                </a:cubicBezTo>
                                <a:cubicBezTo>
                                  <a:pt x="140782" y="-34457"/>
                                  <a:pt x="176029" y="10704"/>
                                  <a:pt x="287547" y="0"/>
                                </a:cubicBezTo>
                                <a:cubicBezTo>
                                  <a:pt x="301140" y="95067"/>
                                  <a:pt x="271753" y="113272"/>
                                  <a:pt x="287547" y="197689"/>
                                </a:cubicBezTo>
                                <a:cubicBezTo>
                                  <a:pt x="294660" y="217499"/>
                                  <a:pt x="272011" y="248933"/>
                                  <a:pt x="273170" y="287548"/>
                                </a:cubicBezTo>
                                <a:cubicBezTo>
                                  <a:pt x="271472" y="310538"/>
                                  <a:pt x="258547" y="328642"/>
                                  <a:pt x="251604" y="352246"/>
                                </a:cubicBezTo>
                                <a:cubicBezTo>
                                  <a:pt x="242578" y="371244"/>
                                  <a:pt x="230839" y="372167"/>
                                  <a:pt x="219255" y="395378"/>
                                </a:cubicBezTo>
                                <a:cubicBezTo>
                                  <a:pt x="208205" y="419923"/>
                                  <a:pt x="191974" y="422614"/>
                                  <a:pt x="179717" y="449293"/>
                                </a:cubicBezTo>
                                <a:cubicBezTo>
                                  <a:pt x="169751" y="458561"/>
                                  <a:pt x="152794" y="469293"/>
                                  <a:pt x="129396" y="492425"/>
                                </a:cubicBezTo>
                                <a:cubicBezTo>
                                  <a:pt x="110564" y="505669"/>
                                  <a:pt x="99707" y="507815"/>
                                  <a:pt x="79075" y="521180"/>
                                </a:cubicBezTo>
                                <a:cubicBezTo>
                                  <a:pt x="55969" y="534402"/>
                                  <a:pt x="18783" y="534147"/>
                                  <a:pt x="0" y="546340"/>
                                </a:cubicBezTo>
                                <a:close/>
                              </a:path>
                            </a:pathLst>
                          </a:custGeom>
                          <ask:type>
                            <ask:lineSketchNone/>
                          </ask:type>
                        </ask:lineSketchStyleProps>
                      </a:ext>
                    </a:extLst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105" name="TextBox 104">
                    <a:extLst>
                      <a:ext uri="{FF2B5EF4-FFF2-40B4-BE49-F238E27FC236}">
                        <a16:creationId xmlns:a16="http://schemas.microsoft.com/office/drawing/2014/main" id="{90F58246-EB2C-427E-AB93-F73990F4BFD4}"/>
                      </a:ext>
                    </a:extLst>
                  </xdr:cNvPr>
                  <xdr:cNvSpPr txBox="1"/>
                </xdr:nvSpPr>
                <xdr:spPr>
                  <a:xfrm>
                    <a:off x="4089640" y="194783"/>
                    <a:ext cx="904331" cy="1437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n-US" altLang="ko-KR" sz="900">
                        <a:solidFill>
                          <a:srgbClr val="0070C0"/>
                        </a:solidFill>
                      </a:rPr>
                      <a:t>Strain     Stress</a:t>
                    </a:r>
                    <a:endParaRPr lang="en-US" sz="900">
                      <a:solidFill>
                        <a:srgbClr val="0070C0"/>
                      </a:solidFill>
                    </a:endParaRPr>
                  </a:p>
                </xdr:txBody>
              </xdr:sp>
            </xdr:grpSp>
          </xdr:grpSp>
          <xdr:cxnSp macro="">
            <xdr:nvCxnSpPr>
              <xdr:cNvPr id="108" name="Straight Connector 107">
                <a:extLst>
                  <a:ext uri="{FF2B5EF4-FFF2-40B4-BE49-F238E27FC236}">
                    <a16:creationId xmlns:a16="http://schemas.microsoft.com/office/drawing/2014/main" id="{0C6F454A-80EA-42A5-9016-9F64654EF47C}"/>
                  </a:ext>
                </a:extLst>
              </xdr:cNvPr>
              <xdr:cNvCxnSpPr/>
            </xdr:nvCxnSpPr>
            <xdr:spPr>
              <a:xfrm>
                <a:off x="2571640" y="1253289"/>
                <a:ext cx="1710732" cy="0"/>
              </a:xfrm>
              <a:prstGeom prst="line">
                <a:avLst/>
              </a:prstGeom>
              <a:ln w="6350">
                <a:solidFill>
                  <a:srgbClr val="FF0000"/>
                </a:solidFill>
                <a:prstDash val="sysDot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3" name="Straight Connector 112">
                <a:extLst>
                  <a:ext uri="{FF2B5EF4-FFF2-40B4-BE49-F238E27FC236}">
                    <a16:creationId xmlns:a16="http://schemas.microsoft.com/office/drawing/2014/main" id="{DDB923D6-48AE-4E15-92C8-3C3B5A5586C9}"/>
                  </a:ext>
                </a:extLst>
              </xdr:cNvPr>
              <xdr:cNvCxnSpPr/>
            </xdr:nvCxnSpPr>
            <xdr:spPr>
              <a:xfrm flipH="1">
                <a:off x="2785519" y="1253290"/>
                <a:ext cx="167509" cy="0"/>
              </a:xfrm>
              <a:prstGeom prst="line">
                <a:avLst/>
              </a:prstGeom>
              <a:ln w="3175">
                <a:headEnd type="none"/>
                <a:tailEnd type="oval" w="sm" len="sm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15" name="TextBox 114">
                <a:extLst>
                  <a:ext uri="{FF2B5EF4-FFF2-40B4-BE49-F238E27FC236}">
                    <a16:creationId xmlns:a16="http://schemas.microsoft.com/office/drawing/2014/main" id="{CF1FE648-E241-4FD1-BB2A-DC58645839A6}"/>
                  </a:ext>
                </a:extLst>
              </xdr:cNvPr>
              <xdr:cNvSpPr txBox="1"/>
            </xdr:nvSpPr>
            <xdr:spPr>
              <a:xfrm>
                <a:off x="2595019" y="952501"/>
                <a:ext cx="349756" cy="24294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r>
                  <a:rPr lang="en-US" altLang="ko-KR" sz="900"/>
                  <a:t>y</a:t>
                </a:r>
                <a:endParaRPr lang="en-US" sz="900"/>
              </a:p>
            </xdr:txBody>
          </xdr:sp>
        </xdr:grpSp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78D57410-B437-4F34-8716-402B05401AEB}"/>
                </a:ext>
              </a:extLst>
            </xdr:cNvPr>
            <xdr:cNvSpPr txBox="1"/>
          </xdr:nvSpPr>
          <xdr:spPr>
            <a:xfrm>
              <a:off x="5143500" y="405319"/>
              <a:ext cx="397213" cy="17834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l-GR" altLang="ko-KR" sz="900"/>
                <a:t>ε</a:t>
              </a:r>
              <a:r>
                <a:rPr lang="en-US" altLang="ko-KR" sz="900"/>
                <a:t>cu</a:t>
              </a:r>
              <a:endParaRPr lang="en-US" sz="900"/>
            </a:p>
          </xdr:txBody>
        </xdr:sp>
        <xdr:cxnSp macro="">
          <xdr:nvCxnSpPr>
            <xdr:cNvPr id="118" name="Straight Connector 117">
              <a:extLst>
                <a:ext uri="{FF2B5EF4-FFF2-40B4-BE49-F238E27FC236}">
                  <a16:creationId xmlns:a16="http://schemas.microsoft.com/office/drawing/2014/main" id="{3DD6D98C-BFE1-4FAF-B32B-74F4078E3854}"/>
                </a:ext>
              </a:extLst>
            </xdr:cNvPr>
            <xdr:cNvCxnSpPr/>
          </xdr:nvCxnSpPr>
          <xdr:spPr>
            <a:xfrm>
              <a:off x="3489797" y="960606"/>
              <a:ext cx="2294107" cy="0"/>
            </a:xfrm>
            <a:prstGeom prst="line">
              <a:avLst/>
            </a:prstGeom>
            <a:ln w="6350">
              <a:solidFill>
                <a:srgbClr val="FF0000"/>
              </a:solidFill>
              <a:prstDash val="sysDot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D8C98243-664D-43F9-82F1-E17EF5868CA6}"/>
                </a:ext>
              </a:extLst>
            </xdr:cNvPr>
            <xdr:cNvSpPr txBox="1"/>
          </xdr:nvSpPr>
          <xdr:spPr>
            <a:xfrm>
              <a:off x="5248884" y="802532"/>
              <a:ext cx="397213" cy="17834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l-GR" altLang="ko-KR" sz="900"/>
                <a:t>ε</a:t>
              </a:r>
              <a:r>
                <a:rPr lang="en-US" altLang="ko-KR" sz="900"/>
                <a:t>ci</a:t>
              </a:r>
              <a:endParaRPr lang="en-US" sz="900"/>
            </a:p>
          </xdr:txBody>
        </xdr:sp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66BE72DB-9E9F-4760-8A54-3F32773B1176}"/>
                </a:ext>
              </a:extLst>
            </xdr:cNvPr>
            <xdr:cNvSpPr txBox="1"/>
          </xdr:nvSpPr>
          <xdr:spPr>
            <a:xfrm>
              <a:off x="5759585" y="843064"/>
              <a:ext cx="397213" cy="17834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900"/>
                <a:t>fci</a:t>
              </a:r>
              <a:endParaRPr lang="en-US" sz="900"/>
            </a:p>
          </xdr:txBody>
        </xdr:sp>
      </xdr:grpSp>
      <xdr:cxnSp macro="">
        <xdr:nvCxnSpPr>
          <xdr:cNvPr id="126" name="Straight Arrow Connector 125">
            <a:extLst>
              <a:ext uri="{FF2B5EF4-FFF2-40B4-BE49-F238E27FC236}">
                <a16:creationId xmlns:a16="http://schemas.microsoft.com/office/drawing/2014/main" id="{6B10213C-BEA4-9A81-4B47-75C453E2870B}"/>
              </a:ext>
            </a:extLst>
          </xdr:cNvPr>
          <xdr:cNvCxnSpPr/>
        </xdr:nvCxnSpPr>
        <xdr:spPr>
          <a:xfrm flipH="1">
            <a:off x="642937" y="916781"/>
            <a:ext cx="357188" cy="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8" name="Arc 127">
            <a:extLst>
              <a:ext uri="{FF2B5EF4-FFF2-40B4-BE49-F238E27FC236}">
                <a16:creationId xmlns:a16="http://schemas.microsoft.com/office/drawing/2014/main" id="{C925C39B-DFF0-1EC6-CBDF-297AA8218787}"/>
              </a:ext>
            </a:extLst>
          </xdr:cNvPr>
          <xdr:cNvSpPr/>
        </xdr:nvSpPr>
        <xdr:spPr>
          <a:xfrm rot="18003407">
            <a:off x="678926" y="1107881"/>
            <a:ext cx="345660" cy="295610"/>
          </a:xfrm>
          <a:prstGeom prst="arc">
            <a:avLst>
              <a:gd name="adj1" fmla="val 7275827"/>
              <a:gd name="adj2" fmla="val 0"/>
            </a:avLst>
          </a:prstGeom>
          <a:ln>
            <a:solidFill>
              <a:srgbClr val="FF0000"/>
            </a:solidFill>
            <a:headEnd type="triangl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0" name="TextBox 129">
            <a:extLst>
              <a:ext uri="{FF2B5EF4-FFF2-40B4-BE49-F238E27FC236}">
                <a16:creationId xmlns:a16="http://schemas.microsoft.com/office/drawing/2014/main" id="{F8AE05FE-4F46-4EC3-A270-1FFFF8EF62DA}"/>
              </a:ext>
            </a:extLst>
          </xdr:cNvPr>
          <xdr:cNvSpPr txBox="1"/>
        </xdr:nvSpPr>
        <xdr:spPr>
          <a:xfrm>
            <a:off x="571500" y="708422"/>
            <a:ext cx="357187" cy="2143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900" b="1">
                <a:solidFill>
                  <a:srgbClr val="0070C0"/>
                </a:solidFill>
              </a:rPr>
              <a:t>Fci</a:t>
            </a:r>
            <a:endParaRPr lang="en-US" sz="900" b="1">
              <a:solidFill>
                <a:srgbClr val="0070C0"/>
              </a:solidFill>
            </a:endParaRPr>
          </a:p>
        </xdr:txBody>
      </xdr:sp>
      <xdr:sp macro="" textlink="">
        <xdr:nvSpPr>
          <xdr:cNvPr id="131" name="TextBox 130">
            <a:extLst>
              <a:ext uri="{FF2B5EF4-FFF2-40B4-BE49-F238E27FC236}">
                <a16:creationId xmlns:a16="http://schemas.microsoft.com/office/drawing/2014/main" id="{5390FBCE-8A3A-47AD-B273-23649977DAAD}"/>
              </a:ext>
            </a:extLst>
          </xdr:cNvPr>
          <xdr:cNvSpPr txBox="1"/>
        </xdr:nvSpPr>
        <xdr:spPr>
          <a:xfrm>
            <a:off x="626381" y="1428749"/>
            <a:ext cx="421371" cy="23220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900" b="1">
                <a:solidFill>
                  <a:srgbClr val="0070C0"/>
                </a:solidFill>
              </a:rPr>
              <a:t>Mci</a:t>
            </a:r>
            <a:endParaRPr lang="en-US" sz="900" b="1">
              <a:solidFill>
                <a:srgbClr val="0070C0"/>
              </a:solidFill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543034</xdr:colOff>
      <xdr:row>3</xdr:row>
      <xdr:rowOff>57150</xdr:rowOff>
    </xdr:from>
    <xdr:to>
      <xdr:col>5</xdr:col>
      <xdr:colOff>591474</xdr:colOff>
      <xdr:row>14</xdr:row>
      <xdr:rowOff>2510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F6B49442-0915-B563-E2F0-E0CA13169CF6}"/>
            </a:ext>
          </a:extLst>
        </xdr:cNvPr>
        <xdr:cNvGrpSpPr/>
      </xdr:nvGrpSpPr>
      <xdr:grpSpPr>
        <a:xfrm>
          <a:off x="543034" y="657225"/>
          <a:ext cx="3286940" cy="2040860"/>
          <a:chOff x="543034" y="657225"/>
          <a:chExt cx="3286940" cy="2040860"/>
        </a:xfrm>
      </xdr:grpSpPr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D1B2BDF0-7E00-4F74-A9D2-743BC536DFB4}"/>
              </a:ext>
            </a:extLst>
          </xdr:cNvPr>
          <xdr:cNvSpPr txBox="1"/>
        </xdr:nvSpPr>
        <xdr:spPr>
          <a:xfrm>
            <a:off x="2936001" y="1578145"/>
            <a:ext cx="396480" cy="1812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l-GR" altLang="ko-KR" sz="900"/>
              <a:t>ε</a:t>
            </a:r>
            <a:r>
              <a:rPr lang="en-US" altLang="ko-KR" sz="900"/>
              <a:t>0</a:t>
            </a:r>
            <a:endParaRPr lang="en-US" sz="900"/>
          </a:p>
        </xdr:txBody>
      </xdr:sp>
      <xdr:grpSp>
        <xdr:nvGrpSpPr>
          <xdr:cNvPr id="54" name="Group 53">
            <a:extLst>
              <a:ext uri="{FF2B5EF4-FFF2-40B4-BE49-F238E27FC236}">
                <a16:creationId xmlns:a16="http://schemas.microsoft.com/office/drawing/2014/main" id="{7E2FEC96-4D6C-D39F-65F1-7AFCB7AD142A}"/>
              </a:ext>
            </a:extLst>
          </xdr:cNvPr>
          <xdr:cNvGrpSpPr/>
        </xdr:nvGrpSpPr>
        <xdr:grpSpPr>
          <a:xfrm>
            <a:off x="543034" y="657225"/>
            <a:ext cx="3286940" cy="2040860"/>
            <a:chOff x="543034" y="659130"/>
            <a:chExt cx="3286940" cy="2040860"/>
          </a:xfrm>
        </xdr:grpSpPr>
        <xdr:grpSp>
          <xdr:nvGrpSpPr>
            <xdr:cNvPr id="47" name="Group 46">
              <a:extLst>
                <a:ext uri="{FF2B5EF4-FFF2-40B4-BE49-F238E27FC236}">
                  <a16:creationId xmlns:a16="http://schemas.microsoft.com/office/drawing/2014/main" id="{AA621D85-544E-794C-4C5F-5338CE5372E7}"/>
                </a:ext>
              </a:extLst>
            </xdr:cNvPr>
            <xdr:cNvGrpSpPr/>
          </xdr:nvGrpSpPr>
          <xdr:grpSpPr>
            <a:xfrm>
              <a:off x="3169331" y="1945069"/>
              <a:ext cx="570990" cy="390895"/>
              <a:chOff x="3183523" y="1898607"/>
              <a:chExt cx="572140" cy="393452"/>
            </a:xfrm>
          </xdr:grpSpPr>
          <xdr:sp macro="" textlink="">
            <xdr:nvSpPr>
              <xdr:cNvPr id="44" name="Right Triangle 43">
                <a:extLst>
                  <a:ext uri="{FF2B5EF4-FFF2-40B4-BE49-F238E27FC236}">
                    <a16:creationId xmlns:a16="http://schemas.microsoft.com/office/drawing/2014/main" id="{CB6AC43C-9672-4E72-8C5C-8DBB24951546}"/>
                  </a:ext>
                </a:extLst>
              </xdr:cNvPr>
              <xdr:cNvSpPr/>
            </xdr:nvSpPr>
            <xdr:spPr>
              <a:xfrm flipH="1">
                <a:off x="3225075" y="1898607"/>
                <a:ext cx="137594" cy="226938"/>
              </a:xfrm>
              <a:prstGeom prst="rtTriangle">
                <a:avLst/>
              </a:prstGeom>
              <a:solidFill>
                <a:schemeClr val="accent6">
                  <a:lumMod val="20000"/>
                  <a:lumOff val="80000"/>
                </a:schemeClr>
              </a:solidFill>
              <a:ln w="12700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>
                  <a:ln w="15875">
                    <a:solidFill>
                      <a:srgbClr val="FF0000"/>
                    </a:solidFill>
                  </a:ln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45" name="TextBox 44">
                <a:extLst>
                  <a:ext uri="{FF2B5EF4-FFF2-40B4-BE49-F238E27FC236}">
                    <a16:creationId xmlns:a16="http://schemas.microsoft.com/office/drawing/2014/main" id="{5728BB11-08CE-4712-BE48-26827F0A5457}"/>
                  </a:ext>
                </a:extLst>
              </xdr:cNvPr>
              <xdr:cNvSpPr txBox="1"/>
            </xdr:nvSpPr>
            <xdr:spPr>
              <a:xfrm>
                <a:off x="3308179" y="1930570"/>
                <a:ext cx="447484" cy="18249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r>
                  <a:rPr lang="en-US" altLang="ko-KR" sz="900">
                    <a:solidFill>
                      <a:srgbClr val="FF0000"/>
                    </a:solidFill>
                  </a:rPr>
                  <a:t>1mm</a:t>
                </a:r>
                <a:endParaRPr lang="en-US" sz="9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46" name="TextBox 45">
                <a:extLst>
                  <a:ext uri="{FF2B5EF4-FFF2-40B4-BE49-F238E27FC236}">
                    <a16:creationId xmlns:a16="http://schemas.microsoft.com/office/drawing/2014/main" id="{0DF929B6-5F55-465A-8E01-8F9C1E4F71A8}"/>
                  </a:ext>
                </a:extLst>
              </xdr:cNvPr>
              <xdr:cNvSpPr txBox="1"/>
            </xdr:nvSpPr>
            <xdr:spPr>
              <a:xfrm>
                <a:off x="3183523" y="2109565"/>
                <a:ext cx="447484" cy="18249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r>
                  <a:rPr lang="el-GR" altLang="ko-KR" sz="900">
                    <a:solidFill>
                      <a:srgbClr val="FF0000"/>
                    </a:solidFill>
                  </a:rPr>
                  <a:t>κ</a:t>
                </a:r>
                <a:endParaRPr lang="en-US" sz="900">
                  <a:solidFill>
                    <a:srgbClr val="FF0000"/>
                  </a:solidFill>
                </a:endParaRPr>
              </a:p>
            </xdr:txBody>
          </xdr:sp>
        </xdr:grpSp>
        <xdr:grpSp>
          <xdr:nvGrpSpPr>
            <xdr:cNvPr id="53" name="Group 52">
              <a:extLst>
                <a:ext uri="{FF2B5EF4-FFF2-40B4-BE49-F238E27FC236}">
                  <a16:creationId xmlns:a16="http://schemas.microsoft.com/office/drawing/2014/main" id="{061A24B9-1330-75C0-AA70-709B02BF16DF}"/>
                </a:ext>
              </a:extLst>
            </xdr:cNvPr>
            <xdr:cNvGrpSpPr/>
          </xdr:nvGrpSpPr>
          <xdr:grpSpPr>
            <a:xfrm>
              <a:off x="543034" y="659130"/>
              <a:ext cx="3286940" cy="2040860"/>
              <a:chOff x="543034" y="659130"/>
              <a:chExt cx="3286940" cy="2040860"/>
            </a:xfrm>
          </xdr:grpSpPr>
          <xdr:grpSp>
            <xdr:nvGrpSpPr>
              <xdr:cNvPr id="2" name="Group 1">
                <a:extLst>
                  <a:ext uri="{FF2B5EF4-FFF2-40B4-BE49-F238E27FC236}">
                    <a16:creationId xmlns:a16="http://schemas.microsoft.com/office/drawing/2014/main" id="{C0B203D1-68E6-4C0D-A33D-06DA5D1B927A}"/>
                  </a:ext>
                </a:extLst>
              </xdr:cNvPr>
              <xdr:cNvGrpSpPr/>
            </xdr:nvGrpSpPr>
            <xdr:grpSpPr>
              <a:xfrm>
                <a:off x="543034" y="663529"/>
                <a:ext cx="3286940" cy="1748168"/>
                <a:chOff x="626381" y="242524"/>
                <a:chExt cx="3292918" cy="1748186"/>
              </a:xfrm>
            </xdr:grpSpPr>
            <xdr:grpSp>
              <xdr:nvGrpSpPr>
                <xdr:cNvPr id="3" name="Group 2">
                  <a:extLst>
                    <a:ext uri="{FF2B5EF4-FFF2-40B4-BE49-F238E27FC236}">
                      <a16:creationId xmlns:a16="http://schemas.microsoft.com/office/drawing/2014/main" id="{A0CA7975-F695-2E01-840F-8D57204D8D14}"/>
                    </a:ext>
                  </a:extLst>
                </xdr:cNvPr>
                <xdr:cNvGrpSpPr/>
              </xdr:nvGrpSpPr>
              <xdr:grpSpPr>
                <a:xfrm>
                  <a:off x="942069" y="242524"/>
                  <a:ext cx="2977230" cy="1748186"/>
                  <a:chOff x="3016711" y="298660"/>
                  <a:chExt cx="2973906" cy="1719633"/>
                </a:xfrm>
              </xdr:grpSpPr>
              <xdr:grpSp>
                <xdr:nvGrpSpPr>
                  <xdr:cNvPr id="8" name="Group 7">
                    <a:extLst>
                      <a:ext uri="{FF2B5EF4-FFF2-40B4-BE49-F238E27FC236}">
                        <a16:creationId xmlns:a16="http://schemas.microsoft.com/office/drawing/2014/main" id="{B36F4B53-F9AF-6343-9FBC-9640E8EEAAEB}"/>
                      </a:ext>
                    </a:extLst>
                  </xdr:cNvPr>
                  <xdr:cNvGrpSpPr/>
                </xdr:nvGrpSpPr>
                <xdr:grpSpPr>
                  <a:xfrm>
                    <a:off x="3016711" y="298660"/>
                    <a:ext cx="2973906" cy="1719633"/>
                    <a:chOff x="2567175" y="251933"/>
                    <a:chExt cx="2969363" cy="1719633"/>
                  </a:xfrm>
                </xdr:grpSpPr>
                <xdr:grpSp>
                  <xdr:nvGrpSpPr>
                    <xdr:cNvPr id="13" name="Group 12">
                      <a:extLst>
                        <a:ext uri="{FF2B5EF4-FFF2-40B4-BE49-F238E27FC236}">
                          <a16:creationId xmlns:a16="http://schemas.microsoft.com/office/drawing/2014/main" id="{EE351C33-1262-AB6A-A3D4-770A3D6F6EA6}"/>
                        </a:ext>
                      </a:extLst>
                    </xdr:cNvPr>
                    <xdr:cNvGrpSpPr/>
                  </xdr:nvGrpSpPr>
                  <xdr:grpSpPr>
                    <a:xfrm>
                      <a:off x="2567175" y="251933"/>
                      <a:ext cx="2969363" cy="1719633"/>
                      <a:chOff x="2024633" y="194783"/>
                      <a:chExt cx="2969338" cy="1719633"/>
                    </a:xfrm>
                  </xdr:grpSpPr>
                  <xdr:cxnSp macro="">
                    <xdr:nvCxnSpPr>
                      <xdr:cNvPr id="17" name="Straight Connector 16">
                        <a:extLst>
                          <a:ext uri="{FF2B5EF4-FFF2-40B4-BE49-F238E27FC236}">
                            <a16:creationId xmlns:a16="http://schemas.microsoft.com/office/drawing/2014/main" id="{5EA79CA8-77E1-CB59-BB92-A2D36B293F3B}"/>
                          </a:ext>
                        </a:extLst>
                      </xdr:cNvPr>
                      <xdr:cNvCxnSpPr/>
                    </xdr:nvCxnSpPr>
                    <xdr:spPr>
                      <a:xfrm flipH="1">
                        <a:off x="2243449" y="488023"/>
                        <a:ext cx="171039" cy="0"/>
                      </a:xfrm>
                      <a:prstGeom prst="line">
                        <a:avLst/>
                      </a:prstGeom>
                      <a:ln w="3175">
                        <a:headEnd type="none"/>
                        <a:tailEnd type="oval" w="sm" len="sm"/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18" name="Straight Connector 17">
                        <a:extLst>
                          <a:ext uri="{FF2B5EF4-FFF2-40B4-BE49-F238E27FC236}">
                            <a16:creationId xmlns:a16="http://schemas.microsoft.com/office/drawing/2014/main" id="{6006DAFC-09B7-4F93-5BB8-3BD8C48BEC21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2241476" y="494295"/>
                        <a:ext cx="0" cy="711871"/>
                      </a:xfrm>
                      <a:prstGeom prst="line">
                        <a:avLst/>
                      </a:prstGeom>
                      <a:ln w="3175"/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19" name="Straight Connector 18">
                        <a:extLst>
                          <a:ext uri="{FF2B5EF4-FFF2-40B4-BE49-F238E27FC236}">
                            <a16:creationId xmlns:a16="http://schemas.microsoft.com/office/drawing/2014/main" id="{E13F0D5D-A118-DA52-DA73-04D5EDF3CBF0}"/>
                          </a:ext>
                        </a:extLst>
                      </xdr:cNvPr>
                      <xdr:cNvCxnSpPr/>
                    </xdr:nvCxnSpPr>
                    <xdr:spPr>
                      <a:xfrm flipH="1">
                        <a:off x="2242418" y="688524"/>
                        <a:ext cx="166719" cy="0"/>
                      </a:xfrm>
                      <a:prstGeom prst="line">
                        <a:avLst/>
                      </a:prstGeom>
                      <a:ln w="3175">
                        <a:headEnd type="none"/>
                        <a:tailEnd type="oval" w="sm" len="sm"/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sp macro="" textlink="">
                    <xdr:nvSpPr>
                      <xdr:cNvPr id="20" name="TextBox 19">
                        <a:extLst>
                          <a:ext uri="{FF2B5EF4-FFF2-40B4-BE49-F238E27FC236}">
                            <a16:creationId xmlns:a16="http://schemas.microsoft.com/office/drawing/2014/main" id="{415E915A-D58C-726A-917D-318DF397C715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2024633" y="453570"/>
                        <a:ext cx="348106" cy="24294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ctr"/>
                      <a:lstStyle/>
                      <a:p>
                        <a:r>
                          <a:rPr lang="en-US" altLang="ko-KR" sz="900"/>
                          <a:t>di</a:t>
                        </a:r>
                        <a:endParaRPr lang="en-US" sz="900"/>
                      </a:p>
                    </xdr:txBody>
                  </xdr:sp>
                  <xdr:grpSp>
                    <xdr:nvGrpSpPr>
                      <xdr:cNvPr id="21" name="Group 20">
                        <a:extLst>
                          <a:ext uri="{FF2B5EF4-FFF2-40B4-BE49-F238E27FC236}">
                            <a16:creationId xmlns:a16="http://schemas.microsoft.com/office/drawing/2014/main" id="{52387FCE-F04B-92E5-E1B4-9875B854FB3D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2487377" y="194783"/>
                        <a:ext cx="2506594" cy="1719633"/>
                        <a:chOff x="2487377" y="194783"/>
                        <a:chExt cx="2506594" cy="1719633"/>
                      </a:xfrm>
                    </xdr:grpSpPr>
                    <xdr:grpSp>
                      <xdr:nvGrpSpPr>
                        <xdr:cNvPr id="22" name="Group 21">
                          <a:extLst>
                            <a:ext uri="{FF2B5EF4-FFF2-40B4-BE49-F238E27FC236}">
                              <a16:creationId xmlns:a16="http://schemas.microsoft.com/office/drawing/2014/main" id="{B9A0822B-F573-F35A-F40C-A02BC05AEDDF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2487377" y="473882"/>
                          <a:ext cx="2074042" cy="1440534"/>
                          <a:chOff x="2621888" y="312796"/>
                          <a:chExt cx="2536676" cy="1445402"/>
                        </a:xfrm>
                      </xdr:grpSpPr>
                      <xdr:cxnSp macro="">
                        <xdr:nvCxnSpPr>
                          <xdr:cNvPr id="26" name="Straight Connector 25">
                            <a:extLst>
                              <a:ext uri="{FF2B5EF4-FFF2-40B4-BE49-F238E27FC236}">
                                <a16:creationId xmlns:a16="http://schemas.microsoft.com/office/drawing/2014/main" id="{2193385B-ABA6-A0AB-DEF8-55DF600EEC94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3890722" y="851765"/>
                            <a:ext cx="1267842" cy="0"/>
                          </a:xfrm>
                          <a:prstGeom prst="line">
                            <a:avLst/>
                          </a:prstGeom>
                          <a:ln w="6350">
                            <a:solidFill>
                              <a:srgbClr val="FF0000"/>
                            </a:solidFill>
                            <a:prstDash val="sysDot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grpSp>
                        <xdr:nvGrpSpPr>
                          <xdr:cNvPr id="27" name="Group 26">
                            <a:extLst>
                              <a:ext uri="{FF2B5EF4-FFF2-40B4-BE49-F238E27FC236}">
                                <a16:creationId xmlns:a16="http://schemas.microsoft.com/office/drawing/2014/main" id="{91E8C9B1-5A51-107F-A667-70163DDBF0AE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2621888" y="312796"/>
                            <a:ext cx="2468039" cy="1445402"/>
                            <a:chOff x="2621888" y="312796"/>
                            <a:chExt cx="2468039" cy="1445402"/>
                          </a:xfrm>
                        </xdr:grpSpPr>
                        <xdr:grpSp>
                          <xdr:nvGrpSpPr>
                            <xdr:cNvPr id="28" name="Group 27">
                              <a:extLst>
                                <a:ext uri="{FF2B5EF4-FFF2-40B4-BE49-F238E27FC236}">
                                  <a16:creationId xmlns:a16="http://schemas.microsoft.com/office/drawing/2014/main" id="{0EE5CD83-C681-B5FA-FD0C-31FBBC924559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2621888" y="319526"/>
                              <a:ext cx="1752665" cy="1437326"/>
                              <a:chOff x="6520112" y="168436"/>
                              <a:chExt cx="1762063" cy="1431764"/>
                            </a:xfrm>
                          </xdr:grpSpPr>
                          <xdr:grpSp>
                            <xdr:nvGrpSpPr>
                              <xdr:cNvPr id="31" name="Group 30">
                                <a:extLst>
                                  <a:ext uri="{FF2B5EF4-FFF2-40B4-BE49-F238E27FC236}">
                                    <a16:creationId xmlns:a16="http://schemas.microsoft.com/office/drawing/2014/main" id="{56A4BA9D-A2CD-9D70-F6E1-32A0BB07268C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6520112" y="171450"/>
                                <a:ext cx="1270837" cy="1428750"/>
                                <a:chOff x="3086100" y="295275"/>
                                <a:chExt cx="981076" cy="1076324"/>
                              </a:xfrm>
                            </xdr:grpSpPr>
                            <xdr:sp macro="" textlink="">
                              <xdr:nvSpPr>
                                <xdr:cNvPr id="37" name="Rectangle 36">
                                  <a:extLst>
                                    <a:ext uri="{FF2B5EF4-FFF2-40B4-BE49-F238E27FC236}">
                                      <a16:creationId xmlns:a16="http://schemas.microsoft.com/office/drawing/2014/main" id="{7ABFDACA-CC4F-5D25-2A6E-6DA43547BB27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3086100" y="295275"/>
                                  <a:ext cx="981075" cy="400050"/>
                                </a:xfrm>
                                <a:prstGeom prst="rect">
                                  <a:avLst/>
                                </a:prstGeom>
                                <a:pattFill prst="dkHorz">
                                  <a:fgClr>
                                    <a:schemeClr val="accent1">
                                      <a:lumMod val="40000"/>
                                      <a:lumOff val="60000"/>
                                    </a:schemeClr>
                                  </a:fgClr>
                                  <a:bgClr>
                                    <a:schemeClr val="bg1"/>
                                  </a:bgClr>
                                </a:pattFill>
                                <a:ln w="22225">
                                  <a:solidFill>
                                    <a:schemeClr val="tx2"/>
                                  </a:solidFill>
                                </a:ln>
                              </xdr:spPr>
                              <xdr:style>
                                <a:lnRef idx="2">
                                  <a:schemeClr val="accent1">
                                    <a:shade val="15000"/>
                                  </a:schemeClr>
                                </a:lnRef>
                                <a:fillRef idx="1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lt1"/>
                                </a:fontRef>
                              </xdr:style>
                              <xdr:txBody>
                                <a:bodyPr vertOverflow="clip" horzOverflow="clip" rtlCol="0" anchor="ctr"/>
                                <a:lstStyle/>
                                <a:p>
                                  <a:pPr algn="ctr"/>
                                  <a:r>
                                    <a:rPr lang="en-US" sz="900">
                                      <a:solidFill>
                                        <a:srgbClr val="FF0000"/>
                                      </a:solidFill>
                                    </a:rPr>
                                    <a:t>Compression</a:t>
                                  </a:r>
                                </a:p>
                              </xdr:txBody>
                            </xdr:sp>
                            <xdr:sp macro="" textlink="">
                              <xdr:nvSpPr>
                                <xdr:cNvPr id="38" name="Rectangle 37">
                                  <a:extLst>
                                    <a:ext uri="{FF2B5EF4-FFF2-40B4-BE49-F238E27FC236}">
                                      <a16:creationId xmlns:a16="http://schemas.microsoft.com/office/drawing/2014/main" id="{92623616-23EF-5A0A-800C-28052896F8EB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3086101" y="695324"/>
                                  <a:ext cx="981075" cy="676275"/>
                                </a:xfrm>
                                <a:prstGeom prst="rect">
                                  <a:avLst/>
                                </a:prstGeom>
                                <a:solidFill>
                                  <a:schemeClr val="accent6">
                                    <a:lumMod val="40000"/>
                                    <a:lumOff val="60000"/>
                                  </a:schemeClr>
                                </a:solidFill>
                                <a:ln w="22225">
                                  <a:solidFill>
                                    <a:schemeClr val="tx2"/>
                                  </a:solidFill>
                                </a:ln>
                              </xdr:spPr>
                              <xdr:style>
                                <a:lnRef idx="2">
                                  <a:schemeClr val="accent1">
                                    <a:shade val="15000"/>
                                  </a:schemeClr>
                                </a:lnRef>
                                <a:fillRef idx="1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lt1"/>
                                </a:fontRef>
                              </xdr:style>
                              <xdr:txBody>
                                <a:bodyPr vertOverflow="clip" horzOverflow="clip" rtlCol="0" anchor="ctr"/>
                                <a:lstStyle/>
                                <a:p>
                                  <a:pPr algn="ctr"/>
                                  <a:r>
                                    <a:rPr lang="en-US" sz="900">
                                      <a:solidFill>
                                        <a:srgbClr val="FF0000"/>
                                      </a:solidFill>
                                    </a:rPr>
                                    <a:t>Tension</a:t>
                                  </a:r>
                                </a:p>
                              </xdr:txBody>
                            </xdr:sp>
                          </xdr:grpSp>
                          <xdr:grpSp>
                            <xdr:nvGrpSpPr>
                              <xdr:cNvPr id="32" name="Group 31">
                                <a:extLst>
                                  <a:ext uri="{FF2B5EF4-FFF2-40B4-BE49-F238E27FC236}">
                                    <a16:creationId xmlns:a16="http://schemas.microsoft.com/office/drawing/2014/main" id="{D75F97C3-5CF4-AB3D-CAE8-293294C11963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7826433" y="168436"/>
                                <a:ext cx="455742" cy="538410"/>
                                <a:chOff x="11633394" y="4191000"/>
                                <a:chExt cx="367874" cy="252911"/>
                              </a:xfrm>
                            </xdr:grpSpPr>
                            <xdr:sp macro="" textlink="">
                              <xdr:nvSpPr>
                                <xdr:cNvPr id="33" name="TextBox 32">
                                  <a:extLst>
                                    <a:ext uri="{FF2B5EF4-FFF2-40B4-BE49-F238E27FC236}">
                                      <a16:creationId xmlns:a16="http://schemas.microsoft.com/office/drawing/2014/main" id="{7B6690D7-EEAD-B4AD-42A3-235D2A73118E}"/>
                                    </a:ext>
                                  </a:extLst>
                                </xdr:cNvPr>
                                <xdr:cNvSpPr txBox="1"/>
                              </xdr:nvSpPr>
                              <xdr:spPr>
                                <a:xfrm>
                                  <a:off x="11723508" y="4252734"/>
                                  <a:ext cx="277760" cy="114707"/>
                                </a:xfrm>
                                <a:prstGeom prst="rect">
                                  <a:avLst/>
                                </a:prstGeom>
                                <a:noFill/>
                                <a:ln w="9525" cmpd="sng">
                                  <a:noFill/>
                                </a:ln>
                              </xdr:spPr>
                              <xdr:style>
                                <a:lnRef idx="0">
                                  <a:scrgbClr r="0" g="0" b="0"/>
                                </a:lnRef>
                                <a:fillRef idx="0">
                                  <a:scrgbClr r="0" g="0" b="0"/>
                                </a:fillRef>
                                <a:effectRef idx="0">
                                  <a:scrgbClr r="0" g="0" b="0"/>
                                </a:effectRef>
                                <a:fontRef idx="minor">
                                  <a:schemeClr val="dk1"/>
                                </a:fontRef>
                              </xdr:style>
                              <xdr:txBody>
                                <a:bodyPr vertOverflow="clip" horzOverflow="clip" wrap="square" rtlCol="0" anchor="ctr"/>
                                <a:lstStyle/>
                                <a:p>
                                  <a:r>
                                    <a:rPr lang="en-US" altLang="ko-KR" sz="900"/>
                                    <a:t>c</a:t>
                                  </a:r>
                                  <a:endParaRPr lang="en-US" sz="900"/>
                                </a:p>
                              </xdr:txBody>
                            </xdr:sp>
                            <xdr:cxnSp macro="">
                              <xdr:nvCxnSpPr>
                                <xdr:cNvPr id="34" name="Straight Connector 33">
                                  <a:extLst>
                                    <a:ext uri="{FF2B5EF4-FFF2-40B4-BE49-F238E27FC236}">
                                      <a16:creationId xmlns:a16="http://schemas.microsoft.com/office/drawing/2014/main" id="{D9839AFC-76A8-AB9A-7B11-DCE4CE1D1743}"/>
                                    </a:ext>
                                  </a:extLst>
                                </xdr:cNvPr>
                                <xdr:cNvCxnSpPr/>
                              </xdr:nvCxnSpPr>
                              <xdr:spPr>
                                <a:xfrm>
                                  <a:off x="11639046" y="4191000"/>
                                  <a:ext cx="132711" cy="0"/>
                                </a:xfrm>
                                <a:prstGeom prst="line">
                                  <a:avLst/>
                                </a:prstGeom>
                                <a:ln w="3175">
                                  <a:headEnd type="none"/>
                                  <a:tailEnd type="oval" w="sm" len="sm"/>
                                </a:ln>
                              </xdr:spPr>
                              <xdr:style>
                                <a:lnRef idx="1">
                                  <a:schemeClr val="accent1"/>
                                </a:lnRef>
                                <a:fillRef idx="0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tx1"/>
                                </a:fontRef>
                              </xdr:style>
                            </xdr:cxnSp>
                            <xdr:cxnSp macro="">
                              <xdr:nvCxnSpPr>
                                <xdr:cNvPr id="35" name="Straight Connector 34">
                                  <a:extLst>
                                    <a:ext uri="{FF2B5EF4-FFF2-40B4-BE49-F238E27FC236}">
                                      <a16:creationId xmlns:a16="http://schemas.microsoft.com/office/drawing/2014/main" id="{3AD1DF8C-6E95-9269-C7B7-29041651BA86}"/>
                                    </a:ext>
                                  </a:extLst>
                                </xdr:cNvPr>
                                <xdr:cNvCxnSpPr/>
                              </xdr:nvCxnSpPr>
                              <xdr:spPr>
                                <a:xfrm>
                                  <a:off x="11769797" y="4193910"/>
                                  <a:ext cx="0" cy="250001"/>
                                </a:xfrm>
                                <a:prstGeom prst="line">
                                  <a:avLst/>
                                </a:prstGeom>
                                <a:ln w="3175"/>
                              </xdr:spPr>
                              <xdr:style>
                                <a:lnRef idx="1">
                                  <a:schemeClr val="accent1"/>
                                </a:lnRef>
                                <a:fillRef idx="0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tx1"/>
                                </a:fontRef>
                              </xdr:style>
                            </xdr:cxnSp>
                            <xdr:cxnSp macro="">
                              <xdr:nvCxnSpPr>
                                <xdr:cNvPr id="36" name="Straight Connector 35">
                                  <a:extLst>
                                    <a:ext uri="{FF2B5EF4-FFF2-40B4-BE49-F238E27FC236}">
                                      <a16:creationId xmlns:a16="http://schemas.microsoft.com/office/drawing/2014/main" id="{E4B4AD55-2265-CCA6-5B11-2E10A6730335}"/>
                                    </a:ext>
                                  </a:extLst>
                                </xdr:cNvPr>
                                <xdr:cNvCxnSpPr/>
                              </xdr:nvCxnSpPr>
                              <xdr:spPr>
                                <a:xfrm>
                                  <a:off x="11633394" y="4438762"/>
                                  <a:ext cx="137339" cy="0"/>
                                </a:xfrm>
                                <a:prstGeom prst="line">
                                  <a:avLst/>
                                </a:prstGeom>
                                <a:ln w="3175">
                                  <a:headEnd type="none"/>
                                  <a:tailEnd type="oval" w="sm" len="sm"/>
                                </a:ln>
                              </xdr:spPr>
                              <xdr:style>
                                <a:lnRef idx="1">
                                  <a:schemeClr val="accent1"/>
                                </a:lnRef>
                                <a:fillRef idx="0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tx1"/>
                                </a:fontRef>
                              </xdr:style>
                            </xdr:cxnSp>
                          </xdr:grpSp>
                        </xdr:grpSp>
                        <xdr:sp macro="" textlink="">
                          <xdr:nvSpPr>
                            <xdr:cNvPr id="29" name="Right Triangle 28">
                              <a:extLst>
                                <a:ext uri="{FF2B5EF4-FFF2-40B4-BE49-F238E27FC236}">
                                  <a16:creationId xmlns:a16="http://schemas.microsoft.com/office/drawing/2014/main" id="{2E914729-F982-FDFE-6427-5A5B52CE7985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 flipV="1">
                              <a:off x="4679526" y="312796"/>
                              <a:ext cx="410401" cy="544596"/>
                            </a:xfrm>
                            <a:prstGeom prst="rtTriangle">
                              <a:avLst/>
                            </a:prstGeom>
                            <a:solidFill>
                              <a:schemeClr val="accent5">
                                <a:lumMod val="20000"/>
                                <a:lumOff val="80000"/>
                              </a:schemeClr>
                            </a:solidFill>
                            <a:ln w="12700"/>
                          </xdr:spPr>
                          <xdr:style>
                            <a:lnRef idx="2">
                              <a:schemeClr val="accent1">
                                <a:shade val="15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t"/>
                            <a:lstStyle/>
                            <a:p>
                              <a:pPr algn="ctr"/>
                              <a:r>
                                <a:rPr lang="en-US" altLang="ko-KR" sz="1100">
                                  <a:ln w="12700">
                                    <a:solidFill>
                                      <a:srgbClr val="FF0000"/>
                                    </a:solidFill>
                                  </a:ln>
                                  <a:solidFill>
                                    <a:srgbClr val="FF0000"/>
                                  </a:solidFill>
                                </a:rPr>
                                <a:t>+</a:t>
                              </a:r>
                              <a:endParaRPr lang="ko-KR" altLang="en-US" sz="1100">
                                <a:ln w="12700">
                                  <a:solidFill>
                                    <a:srgbClr val="FF0000"/>
                                  </a:solidFill>
                                </a:ln>
                                <a:solidFill>
                                  <a:srgbClr val="FF0000"/>
                                </a:solidFill>
                              </a:endParaRPr>
                            </a:p>
                          </xdr:txBody>
                        </xdr:sp>
                        <xdr:sp macro="" textlink="">
                          <xdr:nvSpPr>
                            <xdr:cNvPr id="30" name="Right Triangle 29">
                              <a:extLst>
                                <a:ext uri="{FF2B5EF4-FFF2-40B4-BE49-F238E27FC236}">
                                  <a16:creationId xmlns:a16="http://schemas.microsoft.com/office/drawing/2014/main" id="{1D37EB33-1353-7102-F3D6-F47BF05474A4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 flipH="1">
                              <a:off x="3998589" y="860417"/>
                              <a:ext cx="681505" cy="897781"/>
                            </a:xfrm>
                            <a:prstGeom prst="rtTriangle">
                              <a:avLst/>
                            </a:prstGeom>
                            <a:solidFill>
                              <a:schemeClr val="accent5">
                                <a:lumMod val="20000"/>
                                <a:lumOff val="80000"/>
                              </a:schemeClr>
                            </a:solidFill>
                            <a:ln w="12700"/>
                          </xdr:spPr>
                          <xdr:style>
                            <a:lnRef idx="2">
                              <a:schemeClr val="accent1">
                                <a:shade val="15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t"/>
                            <a:lstStyle/>
                            <a:p>
                              <a:pPr algn="l"/>
                              <a:r>
                                <a:rPr lang="en-US" altLang="ko-KR" sz="1100">
                                  <a:ln w="15875">
                                    <a:solidFill>
                                      <a:srgbClr val="FF0000"/>
                                    </a:solidFill>
                                  </a:ln>
                                  <a:solidFill>
                                    <a:srgbClr val="FF0000"/>
                                  </a:solidFill>
                                </a:rPr>
                                <a:t>-</a:t>
                              </a:r>
                              <a:endParaRPr lang="ko-KR" altLang="en-US" sz="1100">
                                <a:ln w="15875">
                                  <a:solidFill>
                                    <a:srgbClr val="FF0000"/>
                                  </a:solidFill>
                                </a:ln>
                                <a:solidFill>
                                  <a:srgbClr val="FF0000"/>
                                </a:solidFill>
                              </a:endParaRPr>
                            </a:p>
                          </xdr:txBody>
                        </xdr:sp>
                      </xdr:grpSp>
                    </xdr:grpSp>
                    <xdr:sp macro="" textlink="">
                      <xdr:nvSpPr>
                        <xdr:cNvPr id="25" name="TextBox 24">
                          <a:extLst>
                            <a:ext uri="{FF2B5EF4-FFF2-40B4-BE49-F238E27FC236}">
                              <a16:creationId xmlns:a16="http://schemas.microsoft.com/office/drawing/2014/main" id="{1FDFEF13-D107-8DA7-E9BE-423336637DC7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4089640" y="194783"/>
                          <a:ext cx="904331" cy="143774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ctr"/>
                        <a:lstStyle/>
                        <a:p>
                          <a:r>
                            <a:rPr lang="en-US" altLang="ko-KR" sz="900">
                              <a:solidFill>
                                <a:srgbClr val="0070C0"/>
                              </a:solidFill>
                            </a:rPr>
                            <a:t>Strain</a:t>
                          </a:r>
                          <a:endParaRPr lang="en-US" sz="900">
                            <a:solidFill>
                              <a:srgbClr val="0070C0"/>
                            </a:solidFill>
                          </a:endParaRPr>
                        </a:p>
                      </xdr:txBody>
                    </xdr:sp>
                  </xdr:grpSp>
                </xdr:grpSp>
                <xdr:cxnSp macro="">
                  <xdr:nvCxnSpPr>
                    <xdr:cNvPr id="14" name="Straight Connector 13">
                      <a:extLst>
                        <a:ext uri="{FF2B5EF4-FFF2-40B4-BE49-F238E27FC236}">
                          <a16:creationId xmlns:a16="http://schemas.microsoft.com/office/drawing/2014/main" id="{51D4E5EA-806D-A6B4-B3E8-65FD9A64B6D0}"/>
                        </a:ext>
                      </a:extLst>
                    </xdr:cNvPr>
                    <xdr:cNvCxnSpPr/>
                  </xdr:nvCxnSpPr>
                  <xdr:spPr>
                    <a:xfrm>
                      <a:off x="2571640" y="1253289"/>
                      <a:ext cx="2139027" cy="0"/>
                    </a:xfrm>
                    <a:prstGeom prst="line">
                      <a:avLst/>
                    </a:prstGeom>
                    <a:ln w="6350">
                      <a:solidFill>
                        <a:srgbClr val="FF0000"/>
                      </a:solidFill>
                      <a:prstDash val="lgDashDot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5" name="Straight Connector 14">
                      <a:extLst>
                        <a:ext uri="{FF2B5EF4-FFF2-40B4-BE49-F238E27FC236}">
                          <a16:creationId xmlns:a16="http://schemas.microsoft.com/office/drawing/2014/main" id="{B719FD5C-AC07-B888-667F-66A0FF43860F}"/>
                        </a:ext>
                      </a:extLst>
                    </xdr:cNvPr>
                    <xdr:cNvCxnSpPr/>
                  </xdr:nvCxnSpPr>
                  <xdr:spPr>
                    <a:xfrm flipH="1">
                      <a:off x="2785519" y="1253290"/>
                      <a:ext cx="167509" cy="0"/>
                    </a:xfrm>
                    <a:prstGeom prst="line">
                      <a:avLst/>
                    </a:prstGeom>
                    <a:ln w="3175">
                      <a:headEnd type="none"/>
                      <a:tailEnd type="oval" w="sm" len="sm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sp macro="" textlink="">
                  <xdr:nvSpPr>
                    <xdr:cNvPr id="16" name="TextBox 15">
                      <a:extLst>
                        <a:ext uri="{FF2B5EF4-FFF2-40B4-BE49-F238E27FC236}">
                          <a16:creationId xmlns:a16="http://schemas.microsoft.com/office/drawing/2014/main" id="{1107AA5A-3096-5CAF-C3DA-59C9A9387C3B}"/>
                        </a:ext>
                      </a:extLst>
                    </xdr:cNvPr>
                    <xdr:cNvSpPr txBox="1"/>
                  </xdr:nvSpPr>
                  <xdr:spPr>
                    <a:xfrm>
                      <a:off x="2601396" y="830683"/>
                      <a:ext cx="349756" cy="24294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r>
                        <a:rPr lang="en-US" altLang="ko-KR" sz="900"/>
                        <a:t>y</a:t>
                      </a:r>
                      <a:endParaRPr lang="en-US" sz="900"/>
                    </a:p>
                  </xdr:txBody>
                </xdr:sp>
              </xdr:grpSp>
              <xdr:sp macro="" textlink="">
                <xdr:nvSpPr>
                  <xdr:cNvPr id="9" name="TextBox 8">
                    <a:extLst>
                      <a:ext uri="{FF2B5EF4-FFF2-40B4-BE49-F238E27FC236}">
                        <a16:creationId xmlns:a16="http://schemas.microsoft.com/office/drawing/2014/main" id="{88781D2E-404D-F84E-2810-524D66C33FA1}"/>
                      </a:ext>
                    </a:extLst>
                  </xdr:cNvPr>
                  <xdr:cNvSpPr txBox="1"/>
                </xdr:nvSpPr>
                <xdr:spPr>
                  <a:xfrm>
                    <a:off x="5143500" y="405319"/>
                    <a:ext cx="397213" cy="178340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l-GR" altLang="ko-KR" sz="900"/>
                      <a:t>ε</a:t>
                    </a:r>
                    <a:r>
                      <a:rPr lang="en-US" altLang="ko-KR" sz="900"/>
                      <a:t>cu</a:t>
                    </a:r>
                    <a:endParaRPr lang="en-US" sz="900"/>
                  </a:p>
                </xdr:txBody>
              </xdr:sp>
              <xdr:cxnSp macro="">
                <xdr:nvCxnSpPr>
                  <xdr:cNvPr id="10" name="Straight Connector 9">
                    <a:extLst>
                      <a:ext uri="{FF2B5EF4-FFF2-40B4-BE49-F238E27FC236}">
                        <a16:creationId xmlns:a16="http://schemas.microsoft.com/office/drawing/2014/main" id="{55F80917-BC4F-D5FF-1DB2-CDA1143867DF}"/>
                      </a:ext>
                    </a:extLst>
                  </xdr:cNvPr>
                  <xdr:cNvCxnSpPr/>
                </xdr:nvCxnSpPr>
                <xdr:spPr>
                  <a:xfrm>
                    <a:off x="3489797" y="791933"/>
                    <a:ext cx="1868456" cy="0"/>
                  </a:xfrm>
                  <a:prstGeom prst="line">
                    <a:avLst/>
                  </a:prstGeom>
                  <a:ln w="6350">
                    <a:solidFill>
                      <a:srgbClr val="FF0000"/>
                    </a:solidFill>
                    <a:prstDash val="sysDot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1" name="TextBox 10">
                    <a:extLst>
                      <a:ext uri="{FF2B5EF4-FFF2-40B4-BE49-F238E27FC236}">
                        <a16:creationId xmlns:a16="http://schemas.microsoft.com/office/drawing/2014/main" id="{B007E80A-F540-0970-7D3B-89C4183B575B}"/>
                      </a:ext>
                    </a:extLst>
                  </xdr:cNvPr>
                  <xdr:cNvSpPr txBox="1"/>
                </xdr:nvSpPr>
                <xdr:spPr>
                  <a:xfrm>
                    <a:off x="5322322" y="696331"/>
                    <a:ext cx="397213" cy="178340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l-GR" altLang="ko-KR" sz="900"/>
                      <a:t>ε</a:t>
                    </a:r>
                    <a:r>
                      <a:rPr lang="en-US" altLang="ko-KR" sz="900"/>
                      <a:t>(y)</a:t>
                    </a:r>
                    <a:endParaRPr lang="en-US" sz="900"/>
                  </a:p>
                </xdr:txBody>
              </xdr:sp>
            </xdr:grpSp>
            <xdr:cxnSp macro="">
              <xdr:nvCxnSpPr>
                <xdr:cNvPr id="4" name="Straight Arrow Connector 3">
                  <a:extLst>
                    <a:ext uri="{FF2B5EF4-FFF2-40B4-BE49-F238E27FC236}">
                      <a16:creationId xmlns:a16="http://schemas.microsoft.com/office/drawing/2014/main" id="{737DAA8A-8EF1-1385-1D3A-5A2D0ACB964D}"/>
                    </a:ext>
                  </a:extLst>
                </xdr:cNvPr>
                <xdr:cNvCxnSpPr/>
              </xdr:nvCxnSpPr>
              <xdr:spPr>
                <a:xfrm flipH="1">
                  <a:off x="681296" y="745309"/>
                  <a:ext cx="357188" cy="0"/>
                </a:xfrm>
                <a:prstGeom prst="straightConnector1">
                  <a:avLst/>
                </a:prstGeom>
                <a:ln>
                  <a:solidFill>
                    <a:srgbClr val="FF0000"/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" name="Arc 4">
                  <a:extLst>
                    <a:ext uri="{FF2B5EF4-FFF2-40B4-BE49-F238E27FC236}">
                      <a16:creationId xmlns:a16="http://schemas.microsoft.com/office/drawing/2014/main" id="{3CBBBD7A-876F-F41E-BA09-126613675C48}"/>
                    </a:ext>
                  </a:extLst>
                </xdr:cNvPr>
                <xdr:cNvSpPr/>
              </xdr:nvSpPr>
              <xdr:spPr>
                <a:xfrm rot="18003407">
                  <a:off x="678926" y="1107881"/>
                  <a:ext cx="345660" cy="295610"/>
                </a:xfrm>
                <a:prstGeom prst="arc">
                  <a:avLst>
                    <a:gd name="adj1" fmla="val 7275827"/>
                    <a:gd name="adj2" fmla="val 0"/>
                  </a:avLst>
                </a:prstGeom>
                <a:ln>
                  <a:solidFill>
                    <a:srgbClr val="FF0000"/>
                  </a:solidFill>
                  <a:headEnd type="triangle" w="med" len="med"/>
                  <a:tailEnd type="none" w="med" len="med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6" name="TextBox 5">
                  <a:extLst>
                    <a:ext uri="{FF2B5EF4-FFF2-40B4-BE49-F238E27FC236}">
                      <a16:creationId xmlns:a16="http://schemas.microsoft.com/office/drawing/2014/main" id="{62A08DAC-6FC8-FE11-10C0-E26C9A42DA69}"/>
                    </a:ext>
                  </a:extLst>
                </xdr:cNvPr>
                <xdr:cNvSpPr txBox="1"/>
              </xdr:nvSpPr>
              <xdr:spPr>
                <a:xfrm>
                  <a:off x="654611" y="530598"/>
                  <a:ext cx="357187" cy="214312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n-US" altLang="ko-KR" sz="900" b="1">
                      <a:solidFill>
                        <a:srgbClr val="0070C0"/>
                      </a:solidFill>
                    </a:rPr>
                    <a:t>Fci</a:t>
                  </a:r>
                  <a:endParaRPr lang="en-US" sz="900" b="1">
                    <a:solidFill>
                      <a:srgbClr val="0070C0"/>
                    </a:solidFill>
                  </a:endParaRPr>
                </a:p>
              </xdr:txBody>
            </xdr:sp>
            <xdr:sp macro="" textlink="">
              <xdr:nvSpPr>
                <xdr:cNvPr id="7" name="TextBox 6">
                  <a:extLst>
                    <a:ext uri="{FF2B5EF4-FFF2-40B4-BE49-F238E27FC236}">
                      <a16:creationId xmlns:a16="http://schemas.microsoft.com/office/drawing/2014/main" id="{30BB0128-3B4D-61C8-75A8-D51ECA82F99E}"/>
                    </a:ext>
                  </a:extLst>
                </xdr:cNvPr>
                <xdr:cNvSpPr txBox="1"/>
              </xdr:nvSpPr>
              <xdr:spPr>
                <a:xfrm>
                  <a:off x="626381" y="1428749"/>
                  <a:ext cx="421371" cy="23220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n-US" altLang="ko-KR" sz="900" b="1">
                      <a:solidFill>
                        <a:srgbClr val="0070C0"/>
                      </a:solidFill>
                    </a:rPr>
                    <a:t>Mci</a:t>
                  </a:r>
                  <a:endParaRPr lang="en-US" sz="900" b="1">
                    <a:solidFill>
                      <a:srgbClr val="0070C0"/>
                    </a:solidFill>
                  </a:endParaRPr>
                </a:p>
              </xdr:txBody>
            </xdr:sp>
          </xdr:grpSp>
          <xdr:cxnSp macro="">
            <xdr:nvCxnSpPr>
              <xdr:cNvPr id="49" name="Straight Connector 48">
                <a:extLst>
                  <a:ext uri="{FF2B5EF4-FFF2-40B4-BE49-F238E27FC236}">
                    <a16:creationId xmlns:a16="http://schemas.microsoft.com/office/drawing/2014/main" id="{3CD71E9B-EF6A-D269-1E0D-3F9C17BEADB3}"/>
                  </a:ext>
                </a:extLst>
              </xdr:cNvPr>
              <xdr:cNvCxnSpPr/>
            </xdr:nvCxnSpPr>
            <xdr:spPr>
              <a:xfrm flipV="1">
                <a:off x="2276475" y="659130"/>
                <a:ext cx="1243882" cy="2040860"/>
              </a:xfrm>
              <a:prstGeom prst="line">
                <a:avLst/>
              </a:prstGeom>
              <a:ln w="6350">
                <a:solidFill>
                  <a:srgbClr val="FF0000"/>
                </a:solidFill>
                <a:prstDash val="sysDot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600437</xdr:colOff>
      <xdr:row>21</xdr:row>
      <xdr:rowOff>172772</xdr:rowOff>
    </xdr:from>
    <xdr:to>
      <xdr:col>10</xdr:col>
      <xdr:colOff>95884</xdr:colOff>
      <xdr:row>35</xdr:row>
      <xdr:rowOff>137054</xdr:rowOff>
    </xdr:to>
    <xdr:grpSp>
      <xdr:nvGrpSpPr>
        <xdr:cNvPr id="141" name="Group 140">
          <a:extLst>
            <a:ext uri="{FF2B5EF4-FFF2-40B4-BE49-F238E27FC236}">
              <a16:creationId xmlns:a16="http://schemas.microsoft.com/office/drawing/2014/main" id="{C294BEC9-5472-9F0C-38B8-8887E468F6D0}"/>
            </a:ext>
          </a:extLst>
        </xdr:cNvPr>
        <xdr:cNvGrpSpPr/>
      </xdr:nvGrpSpPr>
      <xdr:grpSpPr>
        <a:xfrm>
          <a:off x="2543537" y="4287572"/>
          <a:ext cx="4105547" cy="2745582"/>
          <a:chOff x="2544365" y="1327546"/>
          <a:chExt cx="4105316" cy="2707482"/>
        </a:xfrm>
        <a:solidFill>
          <a:schemeClr val="bg1">
            <a:lumMod val="85000"/>
          </a:schemeClr>
        </a:solidFill>
      </xdr:grpSpPr>
      <xdr:grpSp>
        <xdr:nvGrpSpPr>
          <xdr:cNvPr id="139" name="Group 138">
            <a:extLst>
              <a:ext uri="{FF2B5EF4-FFF2-40B4-BE49-F238E27FC236}">
                <a16:creationId xmlns:a16="http://schemas.microsoft.com/office/drawing/2014/main" id="{F3FBA356-ED87-20BF-0858-E88FF0D2C295}"/>
              </a:ext>
            </a:extLst>
          </xdr:cNvPr>
          <xdr:cNvGrpSpPr/>
        </xdr:nvGrpSpPr>
        <xdr:grpSpPr>
          <a:xfrm>
            <a:off x="2544365" y="1327546"/>
            <a:ext cx="4105316" cy="2707482"/>
            <a:chOff x="2625328" y="1351359"/>
            <a:chExt cx="4107656" cy="2708672"/>
          </a:xfrm>
          <a:grpFill/>
        </xdr:grpSpPr>
        <xdr:sp macro="" textlink="">
          <xdr:nvSpPr>
            <xdr:cNvPr id="138" name="Rectangle 137">
              <a:extLst>
                <a:ext uri="{FF2B5EF4-FFF2-40B4-BE49-F238E27FC236}">
                  <a16:creationId xmlns:a16="http://schemas.microsoft.com/office/drawing/2014/main" id="{0C3516C2-16AA-7AB8-85EF-6E4F0F506423}"/>
                </a:ext>
              </a:extLst>
            </xdr:cNvPr>
            <xdr:cNvSpPr/>
          </xdr:nvSpPr>
          <xdr:spPr>
            <a:xfrm>
              <a:off x="2625328" y="1351359"/>
              <a:ext cx="4107656" cy="2708672"/>
            </a:xfrm>
            <a:prstGeom prst="rect">
              <a:avLst/>
            </a:prstGeom>
            <a:grpFill/>
            <a:ln w="1270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122" name="Group 121">
              <a:extLst>
                <a:ext uri="{FF2B5EF4-FFF2-40B4-BE49-F238E27FC236}">
                  <a16:creationId xmlns:a16="http://schemas.microsoft.com/office/drawing/2014/main" id="{BB7F0903-148A-340D-656C-F50430E654A3}"/>
                </a:ext>
              </a:extLst>
            </xdr:cNvPr>
            <xdr:cNvGrpSpPr/>
          </xdr:nvGrpSpPr>
          <xdr:grpSpPr>
            <a:xfrm>
              <a:off x="2909822" y="1472620"/>
              <a:ext cx="3477507" cy="2409977"/>
              <a:chOff x="2866737" y="1640033"/>
              <a:chExt cx="3467837" cy="2406929"/>
            </a:xfrm>
            <a:grpFill/>
          </xdr:grpSpPr>
          <xdr:grpSp>
            <xdr:nvGrpSpPr>
              <xdr:cNvPr id="111" name="Group 110">
                <a:extLst>
                  <a:ext uri="{FF2B5EF4-FFF2-40B4-BE49-F238E27FC236}">
                    <a16:creationId xmlns:a16="http://schemas.microsoft.com/office/drawing/2014/main" id="{B8C8D0B3-A1CA-1DF6-2293-0FB3588EADC9}"/>
                  </a:ext>
                </a:extLst>
              </xdr:cNvPr>
              <xdr:cNvGrpSpPr/>
            </xdr:nvGrpSpPr>
            <xdr:grpSpPr>
              <a:xfrm>
                <a:off x="2866737" y="1640033"/>
                <a:ext cx="3467837" cy="2402106"/>
                <a:chOff x="2921041" y="1643429"/>
                <a:chExt cx="3470088" cy="2401033"/>
              </a:xfrm>
              <a:grpFill/>
            </xdr:grpSpPr>
            <xdr:sp macro="" textlink="">
              <xdr:nvSpPr>
                <xdr:cNvPr id="100" name="TextBox 99">
                  <a:extLst>
                    <a:ext uri="{FF2B5EF4-FFF2-40B4-BE49-F238E27FC236}">
                      <a16:creationId xmlns:a16="http://schemas.microsoft.com/office/drawing/2014/main" id="{ABB800A5-705A-4B3D-A49E-8AB986DF6732}"/>
                    </a:ext>
                  </a:extLst>
                </xdr:cNvPr>
                <xdr:cNvSpPr txBox="1"/>
              </xdr:nvSpPr>
              <xdr:spPr>
                <a:xfrm>
                  <a:off x="5574323" y="1643429"/>
                  <a:ext cx="816806" cy="136700"/>
                </a:xfrm>
                <a:prstGeom prst="rect">
                  <a:avLst/>
                </a:prstGeom>
                <a:grp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n-US" altLang="ko-KR" sz="900">
                      <a:solidFill>
                        <a:srgbClr val="0070C0"/>
                      </a:solidFill>
                    </a:rPr>
                    <a:t>Strain</a:t>
                  </a:r>
                  <a:endParaRPr lang="en-US" sz="900">
                    <a:solidFill>
                      <a:srgbClr val="0070C0"/>
                    </a:solidFill>
                  </a:endParaRPr>
                </a:p>
              </xdr:txBody>
            </xdr:sp>
            <xdr:sp macro="" textlink="">
              <xdr:nvSpPr>
                <xdr:cNvPr id="101" name="TextBox 100">
                  <a:extLst>
                    <a:ext uri="{FF2B5EF4-FFF2-40B4-BE49-F238E27FC236}">
                      <a16:creationId xmlns:a16="http://schemas.microsoft.com/office/drawing/2014/main" id="{CE66E967-0AEF-412D-9FD2-AC09735B21B1}"/>
                    </a:ext>
                  </a:extLst>
                </xdr:cNvPr>
                <xdr:cNvSpPr txBox="1"/>
              </xdr:nvSpPr>
              <xdr:spPr>
                <a:xfrm>
                  <a:off x="5621948" y="1795829"/>
                  <a:ext cx="393918" cy="183275"/>
                </a:xfrm>
                <a:prstGeom prst="rect">
                  <a:avLst/>
                </a:prstGeom>
                <a:grp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l-GR" altLang="ko-KR" sz="900"/>
                    <a:t>ε</a:t>
                  </a:r>
                  <a:r>
                    <a:rPr lang="en-US" altLang="ko-KR" sz="900"/>
                    <a:t>cu</a:t>
                  </a:r>
                  <a:endParaRPr lang="en-US" sz="900"/>
                </a:p>
              </xdr:txBody>
            </xdr:sp>
            <xdr:sp macro="" textlink="">
              <xdr:nvSpPr>
                <xdr:cNvPr id="102" name="Rectangle 101">
                  <a:extLst>
                    <a:ext uri="{FF2B5EF4-FFF2-40B4-BE49-F238E27FC236}">
                      <a16:creationId xmlns:a16="http://schemas.microsoft.com/office/drawing/2014/main" id="{DAB8988C-52E6-F37C-451B-D272A7018BB2}"/>
                    </a:ext>
                  </a:extLst>
                </xdr:cNvPr>
                <xdr:cNvSpPr/>
              </xdr:nvSpPr>
              <xdr:spPr>
                <a:xfrm>
                  <a:off x="5602898" y="1967279"/>
                  <a:ext cx="378069" cy="1459072"/>
                </a:xfrm>
                <a:prstGeom prst="rect">
                  <a:avLst/>
                </a:prstGeom>
                <a:solidFill>
                  <a:schemeClr val="accent5">
                    <a:lumMod val="20000"/>
                    <a:lumOff val="80000"/>
                  </a:schemeClr>
                </a:solidFill>
                <a:ln w="9525"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 sz="1400">
                      <a:solidFill>
                        <a:srgbClr val="FF0000"/>
                      </a:solidFill>
                    </a:rPr>
                    <a:t>+</a:t>
                  </a:r>
                </a:p>
              </xdr:txBody>
            </xdr:sp>
            <xdr:sp macro="" textlink="">
              <xdr:nvSpPr>
                <xdr:cNvPr id="103" name="TextBox 102">
                  <a:extLst>
                    <a:ext uri="{FF2B5EF4-FFF2-40B4-BE49-F238E27FC236}">
                      <a16:creationId xmlns:a16="http://schemas.microsoft.com/office/drawing/2014/main" id="{84087143-82EF-4A88-8BF1-C3522380E9F8}"/>
                    </a:ext>
                  </a:extLst>
                </xdr:cNvPr>
                <xdr:cNvSpPr txBox="1"/>
              </xdr:nvSpPr>
              <xdr:spPr>
                <a:xfrm>
                  <a:off x="5612423" y="3440723"/>
                  <a:ext cx="393918" cy="18327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l-GR" altLang="ko-KR" sz="900"/>
                    <a:t>ε</a:t>
                  </a:r>
                  <a:r>
                    <a:rPr lang="en-US" altLang="ko-KR" sz="900"/>
                    <a:t>cu</a:t>
                  </a:r>
                  <a:endParaRPr lang="en-US" sz="900"/>
                </a:p>
              </xdr:txBody>
            </xdr:sp>
            <xdr:grpSp>
              <xdr:nvGrpSpPr>
                <xdr:cNvPr id="110" name="Group 109">
                  <a:extLst>
                    <a:ext uri="{FF2B5EF4-FFF2-40B4-BE49-F238E27FC236}">
                      <a16:creationId xmlns:a16="http://schemas.microsoft.com/office/drawing/2014/main" id="{973DCDDC-90D8-C197-3CF8-CA01A82480FB}"/>
                    </a:ext>
                  </a:extLst>
                </xdr:cNvPr>
                <xdr:cNvGrpSpPr/>
              </xdr:nvGrpSpPr>
              <xdr:grpSpPr>
                <a:xfrm>
                  <a:off x="2921041" y="1983404"/>
                  <a:ext cx="2684979" cy="2061058"/>
                  <a:chOff x="2921041" y="1983404"/>
                  <a:chExt cx="2684979" cy="2061058"/>
                </a:xfrm>
                <a:grpFill/>
              </xdr:grpSpPr>
              <xdr:sp macro="" textlink="">
                <xdr:nvSpPr>
                  <xdr:cNvPr id="109" name="Arc 108">
                    <a:extLst>
                      <a:ext uri="{FF2B5EF4-FFF2-40B4-BE49-F238E27FC236}">
                        <a16:creationId xmlns:a16="http://schemas.microsoft.com/office/drawing/2014/main" id="{2B94265C-0D82-4162-BC7C-725BF426412B}"/>
                      </a:ext>
                    </a:extLst>
                  </xdr:cNvPr>
                  <xdr:cNvSpPr/>
                </xdr:nvSpPr>
                <xdr:spPr>
                  <a:xfrm rot="18003407">
                    <a:off x="2978810" y="2519054"/>
                    <a:ext cx="355032" cy="349674"/>
                  </a:xfrm>
                  <a:prstGeom prst="arc">
                    <a:avLst>
                      <a:gd name="adj1" fmla="val 7275827"/>
                      <a:gd name="adj2" fmla="val 353914"/>
                    </a:avLst>
                  </a:prstGeom>
                  <a:grpFill/>
                  <a:ln>
                    <a:solidFill>
                      <a:srgbClr val="00B050"/>
                    </a:solidFill>
                    <a:headEnd type="none" w="med" len="med"/>
                    <a:tailEnd type="triangle" w="med" len="med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108" name="Group 107">
                    <a:extLst>
                      <a:ext uri="{FF2B5EF4-FFF2-40B4-BE49-F238E27FC236}">
                        <a16:creationId xmlns:a16="http://schemas.microsoft.com/office/drawing/2014/main" id="{248F4BE2-C002-2B18-1C36-CEDF6C5AB22D}"/>
                      </a:ext>
                    </a:extLst>
                  </xdr:cNvPr>
                  <xdr:cNvGrpSpPr/>
                </xdr:nvGrpSpPr>
                <xdr:grpSpPr>
                  <a:xfrm>
                    <a:off x="2921041" y="1983404"/>
                    <a:ext cx="2684979" cy="2061058"/>
                    <a:chOff x="2921041" y="1983404"/>
                    <a:chExt cx="2684979" cy="2061058"/>
                  </a:xfrm>
                  <a:grpFill/>
                </xdr:grpSpPr>
                <xdr:grpSp>
                  <xdr:nvGrpSpPr>
                    <xdr:cNvPr id="62" name="Group 61">
                      <a:extLst>
                        <a:ext uri="{FF2B5EF4-FFF2-40B4-BE49-F238E27FC236}">
                          <a16:creationId xmlns:a16="http://schemas.microsoft.com/office/drawing/2014/main" id="{176D6509-84BB-4978-A4A9-C49A33D16C03}"/>
                        </a:ext>
                      </a:extLst>
                    </xdr:cNvPr>
                    <xdr:cNvGrpSpPr/>
                  </xdr:nvGrpSpPr>
                  <xdr:grpSpPr>
                    <a:xfrm>
                      <a:off x="2921041" y="1983404"/>
                      <a:ext cx="2684979" cy="2061058"/>
                      <a:chOff x="153852" y="469037"/>
                      <a:chExt cx="2697700" cy="2037714"/>
                    </a:xfrm>
                    <a:grpFill/>
                  </xdr:grpSpPr>
                  <xdr:grpSp>
                    <xdr:nvGrpSpPr>
                      <xdr:cNvPr id="63" name="Group 62">
                        <a:extLst>
                          <a:ext uri="{FF2B5EF4-FFF2-40B4-BE49-F238E27FC236}">
                            <a16:creationId xmlns:a16="http://schemas.microsoft.com/office/drawing/2014/main" id="{9982D0C4-5489-15EF-DF71-2D1741AA94D6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67489" y="469037"/>
                        <a:ext cx="2684063" cy="2037714"/>
                        <a:chOff x="167352" y="471858"/>
                        <a:chExt cx="2686240" cy="2057566"/>
                      </a:xfrm>
                      <a:grpFill/>
                    </xdr:grpSpPr>
                    <xdr:grpSp>
                      <xdr:nvGrpSpPr>
                        <xdr:cNvPr id="66" name="Group 65">
                          <a:extLst>
                            <a:ext uri="{FF2B5EF4-FFF2-40B4-BE49-F238E27FC236}">
                              <a16:creationId xmlns:a16="http://schemas.microsoft.com/office/drawing/2014/main" id="{149947E9-9DFA-3D79-F246-7355D8241A34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167352" y="471858"/>
                          <a:ext cx="2686240" cy="2057566"/>
                          <a:chOff x="193329" y="458870"/>
                          <a:chExt cx="2686240" cy="2057566"/>
                        </a:xfrm>
                        <a:grpFill/>
                      </xdr:grpSpPr>
                      <xdr:grpSp>
                        <xdr:nvGrpSpPr>
                          <xdr:cNvPr id="69" name="Group 68">
                            <a:extLst>
                              <a:ext uri="{FF2B5EF4-FFF2-40B4-BE49-F238E27FC236}">
                                <a16:creationId xmlns:a16="http://schemas.microsoft.com/office/drawing/2014/main" id="{47CA2896-D2BA-9754-3D7C-77C1F7265EA7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193329" y="458870"/>
                            <a:ext cx="2686240" cy="2057566"/>
                            <a:chOff x="372106" y="532203"/>
                            <a:chExt cx="2683761" cy="2037397"/>
                          </a:xfrm>
                          <a:grpFill/>
                        </xdr:grpSpPr>
                        <xdr:grpSp>
                          <xdr:nvGrpSpPr>
                            <xdr:cNvPr id="80" name="Group 79">
                              <a:extLst>
                                <a:ext uri="{FF2B5EF4-FFF2-40B4-BE49-F238E27FC236}">
                                  <a16:creationId xmlns:a16="http://schemas.microsoft.com/office/drawing/2014/main" id="{DEF85245-F687-E727-7D4E-FE1AE1C5646F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946548" y="533078"/>
                              <a:ext cx="2109319" cy="2036522"/>
                              <a:chOff x="2571640" y="537741"/>
                              <a:chExt cx="2103743" cy="2003260"/>
                            </a:xfrm>
                            <a:grpFill/>
                          </xdr:grpSpPr>
                          <xdr:grpSp>
                            <xdr:nvGrpSpPr>
                              <xdr:cNvPr id="85" name="Group 84">
                                <a:extLst>
                                  <a:ext uri="{FF2B5EF4-FFF2-40B4-BE49-F238E27FC236}">
                                    <a16:creationId xmlns:a16="http://schemas.microsoft.com/office/drawing/2014/main" id="{6CBE97CB-7B10-E978-040F-73B1E727D4D9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3029923" y="537741"/>
                                <a:ext cx="1645460" cy="2003260"/>
                                <a:chOff x="2621886" y="319527"/>
                                <a:chExt cx="2012477" cy="2010029"/>
                              </a:xfrm>
                              <a:grpFill/>
                            </xdr:grpSpPr>
                            <xdr:cxnSp macro="">
                              <xdr:nvCxnSpPr>
                                <xdr:cNvPr id="87" name="Straight Connector 86">
                                  <a:extLst>
                                    <a:ext uri="{FF2B5EF4-FFF2-40B4-BE49-F238E27FC236}">
                                      <a16:creationId xmlns:a16="http://schemas.microsoft.com/office/drawing/2014/main" id="{BE4037AF-E041-08DF-7533-36190ED199B1}"/>
                                    </a:ext>
                                  </a:extLst>
                                </xdr:cNvPr>
                                <xdr:cNvCxnSpPr/>
                              </xdr:nvCxnSpPr>
                              <xdr:spPr>
                                <a:xfrm>
                                  <a:off x="3890720" y="2324376"/>
                                  <a:ext cx="743643" cy="0"/>
                                </a:xfrm>
                                <a:prstGeom prst="line">
                                  <a:avLst/>
                                </a:prstGeom>
                                <a:grpFill/>
                                <a:ln w="6350">
                                  <a:solidFill>
                                    <a:srgbClr val="FF0000"/>
                                  </a:solidFill>
                                  <a:prstDash val="sysDot"/>
                                </a:ln>
                              </xdr:spPr>
                              <xdr:style>
                                <a:lnRef idx="1">
                                  <a:schemeClr val="accent1"/>
                                </a:lnRef>
                                <a:fillRef idx="0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tx1"/>
                                </a:fontRef>
                              </xdr:style>
                            </xdr:cxnSp>
                            <xdr:grpSp>
                              <xdr:nvGrpSpPr>
                                <xdr:cNvPr id="89" name="Group 88">
                                  <a:extLst>
                                    <a:ext uri="{FF2B5EF4-FFF2-40B4-BE49-F238E27FC236}">
                                      <a16:creationId xmlns:a16="http://schemas.microsoft.com/office/drawing/2014/main" id="{854B1D2A-D3B7-7808-4C80-C6E6BA37EF14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2621886" y="319527"/>
                                  <a:ext cx="1983934" cy="2010029"/>
                                  <a:chOff x="6520113" y="168437"/>
                                  <a:chExt cx="1994573" cy="2002249"/>
                                </a:xfrm>
                                <a:grpFill/>
                              </xdr:grpSpPr>
                              <xdr:grpSp>
                                <xdr:nvGrpSpPr>
                                  <xdr:cNvPr id="93" name="Group 92">
                                    <a:extLst>
                                      <a:ext uri="{FF2B5EF4-FFF2-40B4-BE49-F238E27FC236}">
                                        <a16:creationId xmlns:a16="http://schemas.microsoft.com/office/drawing/2014/main" id="{8E2A3AA8-4843-9B22-6B1A-C244466EF553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7826437" y="168437"/>
                                    <a:ext cx="688249" cy="2002249"/>
                                    <a:chOff x="11633394" y="4191000"/>
                                    <a:chExt cx="555553" cy="940530"/>
                                  </a:xfrm>
                                  <a:grpFill/>
                                </xdr:grpSpPr>
                                <xdr:sp macro="" textlink="">
                                  <xdr:nvSpPr>
                                    <xdr:cNvPr id="94" name="TextBox 93">
                                      <a:extLst>
                                        <a:ext uri="{FF2B5EF4-FFF2-40B4-BE49-F238E27FC236}">
                                          <a16:creationId xmlns:a16="http://schemas.microsoft.com/office/drawing/2014/main" id="{68AAC3EE-2005-7349-981D-E90B80C9B48B}"/>
                                        </a:ext>
                                      </a:extLst>
                                    </xdr:cNvPr>
                                    <xdr:cNvSpPr txBox="1"/>
                                  </xdr:nvSpPr>
                                  <xdr:spPr>
                                    <a:xfrm>
                                      <a:off x="11701649" y="4583885"/>
                                      <a:ext cx="487298" cy="114707"/>
                                    </a:xfrm>
                                    <a:prstGeom prst="rect">
                                      <a:avLst/>
                                    </a:prstGeom>
                                    <a:grpFill/>
                                    <a:ln w="9525" cmpd="sng">
                                      <a:noFill/>
                                    </a:ln>
                                  </xdr:spPr>
                                  <xdr:style>
                                    <a:lnRef idx="0">
                                      <a:scrgbClr r="0" g="0" b="0"/>
                                    </a:lnRef>
                                    <a:fillRef idx="0">
                                      <a:scrgbClr r="0" g="0" b="0"/>
                                    </a:fillRef>
                                    <a:effectRef idx="0">
                                      <a:scrgbClr r="0" g="0" b="0"/>
                                    </a:effectRef>
                                    <a:fontRef idx="minor">
                                      <a:schemeClr val="dk1"/>
                                    </a:fontRef>
                                  </xdr:style>
                                  <xdr:txBody>
                                    <a:bodyPr vertOverflow="clip" horzOverflow="clip" wrap="square" rtlCol="0" anchor="ctr"/>
                                    <a:lstStyle/>
                                    <a:p>
                                      <a:r>
                                        <a:rPr lang="en-US" altLang="ko-KR" sz="1000" b="1">
                                          <a:solidFill>
                                            <a:srgbClr val="FF0000"/>
                                          </a:solidFill>
                                        </a:rPr>
                                        <a:t>c = </a:t>
                                      </a:r>
                                      <a:r>
                                        <a:rPr lang="en-US" altLang="ko-KR" sz="1000" b="1">
                                          <a:solidFill>
                                            <a:srgbClr val="FF0000"/>
                                          </a:solidFill>
                                          <a:sym typeface="Symbol" panose="05050102010706020507" pitchFamily="18" charset="2"/>
                                        </a:rPr>
                                        <a:t></a:t>
                                      </a:r>
                                      <a:r>
                                        <a:rPr lang="en-US" altLang="ko-KR" sz="1000" b="1">
                                          <a:solidFill>
                                            <a:srgbClr val="FF0000"/>
                                          </a:solidFill>
                                        </a:rPr>
                                        <a:t> </a:t>
                                      </a:r>
                                      <a:endParaRPr lang="en-US" sz="1000" b="1">
                                        <a:solidFill>
                                          <a:srgbClr val="FF0000"/>
                                        </a:solidFill>
                                      </a:endParaRPr>
                                    </a:p>
                                  </xdr:txBody>
                                </xdr:sp>
                                <xdr:cxnSp macro="">
                                  <xdr:nvCxnSpPr>
                                    <xdr:cNvPr id="95" name="Straight Connector 94">
                                      <a:extLst>
                                        <a:ext uri="{FF2B5EF4-FFF2-40B4-BE49-F238E27FC236}">
                                          <a16:creationId xmlns:a16="http://schemas.microsoft.com/office/drawing/2014/main" id="{7CE0DCBD-C65B-69D2-E0C2-80E1CCEA22C8}"/>
                                        </a:ext>
                                      </a:extLst>
                                    </xdr:cNvPr>
                                    <xdr:cNvCxnSpPr/>
                                  </xdr:nvCxnSpPr>
                                  <xdr:spPr>
                                    <a:xfrm>
                                      <a:off x="11639046" y="4191000"/>
                                      <a:ext cx="132711" cy="0"/>
                                    </a:xfrm>
                                    <a:prstGeom prst="line">
                                      <a:avLst/>
                                    </a:prstGeom>
                                    <a:grpFill/>
                                    <a:ln w="3175">
                                      <a:headEnd type="none"/>
                                      <a:tailEnd type="oval" w="sm" len="sm"/>
                                    </a:ln>
                                  </xdr:spPr>
                                  <xdr:style>
                                    <a:lnRef idx="1">
                                      <a:schemeClr val="accent1"/>
                                    </a:lnRef>
                                    <a:fillRef idx="0">
                                      <a:schemeClr val="accent1"/>
                                    </a:fillRef>
                                    <a:effectRef idx="0">
                                      <a:schemeClr val="accent1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</xdr:cxnSp>
                                <xdr:cxnSp macro="">
                                  <xdr:nvCxnSpPr>
                                    <xdr:cNvPr id="96" name="Straight Connector 95">
                                      <a:extLst>
                                        <a:ext uri="{FF2B5EF4-FFF2-40B4-BE49-F238E27FC236}">
                                          <a16:creationId xmlns:a16="http://schemas.microsoft.com/office/drawing/2014/main" id="{CC329B6D-22FC-A2D7-CAF9-DEA69372C35A}"/>
                                        </a:ext>
                                      </a:extLst>
                                    </xdr:cNvPr>
                                    <xdr:cNvCxnSpPr/>
                                  </xdr:nvCxnSpPr>
                                  <xdr:spPr>
                                    <a:xfrm>
                                      <a:off x="11769797" y="4193910"/>
                                      <a:ext cx="0" cy="937620"/>
                                    </a:xfrm>
                                    <a:prstGeom prst="line">
                                      <a:avLst/>
                                    </a:prstGeom>
                                    <a:grpFill/>
                                    <a:ln w="3175"/>
                                  </xdr:spPr>
                                  <xdr:style>
                                    <a:lnRef idx="1">
                                      <a:schemeClr val="accent1"/>
                                    </a:lnRef>
                                    <a:fillRef idx="0">
                                      <a:schemeClr val="accent1"/>
                                    </a:fillRef>
                                    <a:effectRef idx="0">
                                      <a:schemeClr val="accent1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</xdr:cxnSp>
                                <xdr:cxnSp macro="">
                                  <xdr:nvCxnSpPr>
                                    <xdr:cNvPr id="97" name="Straight Connector 96">
                                      <a:extLst>
                                        <a:ext uri="{FF2B5EF4-FFF2-40B4-BE49-F238E27FC236}">
                                          <a16:creationId xmlns:a16="http://schemas.microsoft.com/office/drawing/2014/main" id="{A5698A0B-3A3C-2C42-8ADD-3B9EFB8100BE}"/>
                                        </a:ext>
                                      </a:extLst>
                                    </xdr:cNvPr>
                                    <xdr:cNvCxnSpPr/>
                                  </xdr:nvCxnSpPr>
                                  <xdr:spPr>
                                    <a:xfrm>
                                      <a:off x="11633394" y="5127823"/>
                                      <a:ext cx="137339" cy="0"/>
                                    </a:xfrm>
                                    <a:prstGeom prst="line">
                                      <a:avLst/>
                                    </a:prstGeom>
                                    <a:grpFill/>
                                    <a:ln w="3175">
                                      <a:headEnd type="none"/>
                                      <a:tailEnd type="oval" w="sm" len="sm"/>
                                    </a:ln>
                                  </xdr:spPr>
                                  <xdr:style>
                                    <a:lnRef idx="1">
                                      <a:schemeClr val="accent1"/>
                                    </a:lnRef>
                                    <a:fillRef idx="0">
                                      <a:schemeClr val="accent1"/>
                                    </a:fillRef>
                                    <a:effectRef idx="0">
                                      <a:schemeClr val="accent1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</xdr:cxnSp>
                              </xdr:grpSp>
                              <xdr:sp macro="" textlink="">
                                <xdr:nvSpPr>
                                  <xdr:cNvPr id="98" name="Rectangle 97">
                                    <a:extLst>
                                      <a:ext uri="{FF2B5EF4-FFF2-40B4-BE49-F238E27FC236}">
                                        <a16:creationId xmlns:a16="http://schemas.microsoft.com/office/drawing/2014/main" id="{BF20E56D-4855-6C6C-9486-EDE260194AD3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6520113" y="171450"/>
                                    <a:ext cx="1270836" cy="1423463"/>
                                  </a:xfrm>
                                  <a:prstGeom prst="rect">
                                    <a:avLst/>
                                  </a:prstGeom>
                                  <a:solidFill>
                                    <a:schemeClr val="accent1">
                                      <a:lumMod val="40000"/>
                                      <a:lumOff val="60000"/>
                                    </a:schemeClr>
                                  </a:solidFill>
                                  <a:ln w="22225">
                                    <a:solidFill>
                                      <a:schemeClr val="tx2"/>
                                    </a:solidFill>
                                  </a:ln>
                                </xdr:spPr>
                                <xdr:style>
                                  <a:lnRef idx="2">
                                    <a:schemeClr val="accent1">
                                      <a:shade val="15000"/>
                                    </a:schemeClr>
                                  </a:lnRef>
                                  <a:fillRef idx="1">
                                    <a:schemeClr val="accent1"/>
                                  </a:fillRef>
                                  <a:effectRef idx="0">
                                    <a:schemeClr val="accent1"/>
                                  </a:effectRef>
                                  <a:fontRef idx="minor">
                                    <a:schemeClr val="lt1"/>
                                  </a:fontRef>
                                </xdr:style>
                                <xdr:txBody>
                                  <a:bodyPr vertOverflow="clip" horzOverflow="clip" rtlCol="0" anchor="ctr"/>
                                  <a:lstStyle/>
                                  <a:p>
                                    <a:pPr algn="ctr"/>
                                    <a:r>
                                      <a:rPr lang="en-US" sz="900">
                                        <a:solidFill>
                                          <a:srgbClr val="FF0000"/>
                                        </a:solidFill>
                                      </a:rPr>
                                      <a:t>Compression</a:t>
                                    </a:r>
                                  </a:p>
                                </xdr:txBody>
                              </xdr:sp>
                            </xdr:grpSp>
                          </xdr:grpSp>
                          <xdr:cxnSp macro="">
                            <xdr:nvCxnSpPr>
                              <xdr:cNvPr id="86" name="Straight Connector 85">
                                <a:extLst>
                                  <a:ext uri="{FF2B5EF4-FFF2-40B4-BE49-F238E27FC236}">
                                    <a16:creationId xmlns:a16="http://schemas.microsoft.com/office/drawing/2014/main" id="{F3BC98B0-FF8B-4268-69D3-E3B456D01F89}"/>
                                  </a:ext>
                                </a:extLst>
                              </xdr:cNvPr>
                              <xdr:cNvCxnSpPr/>
                            </xdr:nvCxnSpPr>
                            <xdr:spPr>
                              <a:xfrm>
                                <a:off x="2571640" y="1253289"/>
                                <a:ext cx="1710732" cy="0"/>
                              </a:xfrm>
                              <a:prstGeom prst="line">
                                <a:avLst/>
                              </a:prstGeom>
                              <a:grpFill/>
                              <a:ln w="6350">
                                <a:solidFill>
                                  <a:srgbClr val="FF0000"/>
                                </a:solidFill>
                                <a:prstDash val="sysDot"/>
                              </a:ln>
                            </xdr:spPr>
                            <xdr:style>
                              <a:lnRef idx="1">
                                <a:schemeClr val="accent1"/>
                              </a:lnRef>
                              <a:fillRef idx="0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tx1"/>
                              </a:fontRef>
                            </xdr:style>
                          </xdr:cxnSp>
                        </xdr:grpSp>
                        <xdr:sp macro="" textlink="">
                          <xdr:nvSpPr>
                            <xdr:cNvPr id="83" name="TextBox 82">
                              <a:extLst>
                                <a:ext uri="{FF2B5EF4-FFF2-40B4-BE49-F238E27FC236}">
                                  <a16:creationId xmlns:a16="http://schemas.microsoft.com/office/drawing/2014/main" id="{6F7DFC6E-4D31-264E-0B2F-FED897C13482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386629" y="532203"/>
                              <a:ext cx="524471" cy="214312"/>
                            </a:xfrm>
                            <a:prstGeom prst="rect">
                              <a:avLst/>
                            </a:prstGeom>
                            <a:grpFill/>
                            <a:ln w="9525" cmpd="sng">
                              <a:noFill/>
                            </a:ln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dk1"/>
                            </a:fontRef>
                          </xdr:style>
                          <xdr:txBody>
                            <a:bodyPr vertOverflow="clip" horzOverflow="clip" wrap="square" rtlCol="0" anchor="ctr"/>
                            <a:lstStyle/>
                            <a:p>
                              <a:r>
                                <a:rPr lang="en-US" altLang="ko-KR" sz="900" b="1">
                                  <a:solidFill>
                                    <a:srgbClr val="0070C0"/>
                                  </a:solidFill>
                                </a:rPr>
                                <a:t>Fs</a:t>
                              </a:r>
                              <a:endParaRPr lang="en-US" sz="900" b="1">
                                <a:solidFill>
                                  <a:srgbClr val="0070C0"/>
                                </a:solidFill>
                              </a:endParaRPr>
                            </a:p>
                          </xdr:txBody>
                        </xdr:sp>
                        <xdr:cxnSp macro="">
                          <xdr:nvCxnSpPr>
                            <xdr:cNvPr id="81" name="Straight Arrow Connector 80">
                              <a:extLst>
                                <a:ext uri="{FF2B5EF4-FFF2-40B4-BE49-F238E27FC236}">
                                  <a16:creationId xmlns:a16="http://schemas.microsoft.com/office/drawing/2014/main" id="{B4CDEAEF-6AE9-6057-AC4E-1295DC67E358}"/>
                                </a:ext>
                              </a:extLst>
                            </xdr:cNvPr>
                            <xdr:cNvCxnSpPr/>
                          </xdr:nvCxnSpPr>
                          <xdr:spPr>
                            <a:xfrm flipH="1">
                              <a:off x="642937" y="689564"/>
                              <a:ext cx="357188" cy="0"/>
                            </a:xfrm>
                            <a:prstGeom prst="straightConnector1">
                              <a:avLst/>
                            </a:prstGeom>
                            <a:grpFill/>
                            <a:ln>
                              <a:solidFill>
                                <a:srgbClr val="FF0000"/>
                              </a:solidFill>
                              <a:tailEnd type="triangle"/>
                            </a:ln>
                          </xdr:spPr>
                          <xdr:style>
                            <a:lnRef idx="1">
                              <a:schemeClr val="accent1"/>
                            </a:lnRef>
                            <a:fillRef idx="0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  <xdr:sp macro="" textlink="">
                          <xdr:nvSpPr>
                            <xdr:cNvPr id="82" name="Arc 81">
                              <a:extLst>
                                <a:ext uri="{FF2B5EF4-FFF2-40B4-BE49-F238E27FC236}">
                                  <a16:creationId xmlns:a16="http://schemas.microsoft.com/office/drawing/2014/main" id="{5E186793-3FDA-A3D7-361D-1FC2C9DF8A61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 rot="18003407">
                              <a:off x="678926" y="1107881"/>
                              <a:ext cx="345660" cy="295610"/>
                            </a:xfrm>
                            <a:prstGeom prst="arc">
                              <a:avLst>
                                <a:gd name="adj1" fmla="val 7275827"/>
                                <a:gd name="adj2" fmla="val 0"/>
                              </a:avLst>
                            </a:prstGeom>
                            <a:grpFill/>
                            <a:ln>
                              <a:solidFill>
                                <a:srgbClr val="FF0000"/>
                              </a:solidFill>
                              <a:headEnd type="triangle" w="med" len="med"/>
                              <a:tailEnd type="none" w="med" len="med"/>
                            </a:ln>
                          </xdr:spPr>
                          <xdr:style>
                            <a:lnRef idx="1">
                              <a:schemeClr val="accent1"/>
                            </a:lnRef>
                            <a:fillRef idx="0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tx1"/>
                            </a:fontRef>
                          </xdr:style>
                          <xdr:txBody>
                            <a:bodyPr vertOverflow="clip" horzOverflow="clip" rtlCol="0" anchor="t"/>
                            <a:lstStyle/>
                            <a:p>
                              <a:pPr algn="l"/>
                              <a:endParaRPr lang="en-US" sz="1100"/>
                            </a:p>
                          </xdr:txBody>
                        </xdr:sp>
                        <xdr:sp macro="" textlink="">
                          <xdr:nvSpPr>
                            <xdr:cNvPr id="84" name="TextBox 83">
                              <a:extLst>
                                <a:ext uri="{FF2B5EF4-FFF2-40B4-BE49-F238E27FC236}">
                                  <a16:creationId xmlns:a16="http://schemas.microsoft.com/office/drawing/2014/main" id="{DFD95E87-7DF3-A000-46A5-D5F8BFF18969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372106" y="1131793"/>
                              <a:ext cx="569301" cy="214312"/>
                            </a:xfrm>
                            <a:prstGeom prst="rect">
                              <a:avLst/>
                            </a:prstGeom>
                            <a:noFill/>
                            <a:ln w="9525" cmpd="sng">
                              <a:noFill/>
                            </a:ln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dk1"/>
                            </a:fontRef>
                          </xdr:style>
                          <xdr:txBody>
                            <a:bodyPr vertOverflow="clip" horzOverflow="clip" wrap="square" rtlCol="0" anchor="ctr"/>
                            <a:lstStyle/>
                            <a:p>
                              <a:r>
                                <a:rPr lang="en-US" altLang="ko-KR" sz="900" b="1">
                                  <a:solidFill>
                                    <a:srgbClr val="0070C0"/>
                                  </a:solidFill>
                                </a:rPr>
                                <a:t>Mc+Ms</a:t>
                              </a:r>
                              <a:endParaRPr lang="en-US" sz="900" b="1">
                                <a:solidFill>
                                  <a:srgbClr val="0070C0"/>
                                </a:solidFill>
                              </a:endParaRPr>
                            </a:p>
                          </xdr:txBody>
                        </xdr:sp>
                      </xdr:grpSp>
                      <xdr:grpSp>
                        <xdr:nvGrpSpPr>
                          <xdr:cNvPr id="70" name="Group 69">
                            <a:extLst>
                              <a:ext uri="{FF2B5EF4-FFF2-40B4-BE49-F238E27FC236}">
                                <a16:creationId xmlns:a16="http://schemas.microsoft.com/office/drawing/2014/main" id="{9C66F9AD-36CE-9EF4-F0A3-7489BFE980CD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1348396" y="588819"/>
                            <a:ext cx="780486" cy="49254"/>
                            <a:chOff x="1339736" y="580159"/>
                            <a:chExt cx="780486" cy="49254"/>
                          </a:xfrm>
                          <a:grpFill/>
                        </xdr:grpSpPr>
                        <xdr:sp macro="" textlink="">
                          <xdr:nvSpPr>
                            <xdr:cNvPr id="76" name="Oval 75">
                              <a:extLst>
                                <a:ext uri="{FF2B5EF4-FFF2-40B4-BE49-F238E27FC236}">
                                  <a16:creationId xmlns:a16="http://schemas.microsoft.com/office/drawing/2014/main" id="{D082E309-A9A1-B13B-D84B-3A84A414D441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1339736" y="580159"/>
                              <a:ext cx="45719" cy="45719"/>
                            </a:xfrm>
                            <a:prstGeom prst="ellipse">
                              <a:avLst/>
                            </a:prstGeom>
                            <a:solidFill>
                              <a:srgbClr val="FF0000"/>
                            </a:solidFill>
                            <a:ln>
                              <a:noFill/>
                            </a:ln>
                          </xdr:spPr>
                          <xdr:style>
                            <a:lnRef idx="2">
                              <a:schemeClr val="accent1">
                                <a:shade val="15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t"/>
                            <a:lstStyle/>
                            <a:p>
                              <a:pPr algn="l"/>
                              <a:endParaRPr lang="en-US" sz="1100"/>
                            </a:p>
                          </xdr:txBody>
                        </xdr:sp>
                        <xdr:sp macro="" textlink="">
                          <xdr:nvSpPr>
                            <xdr:cNvPr id="77" name="Oval 76">
                              <a:extLst>
                                <a:ext uri="{FF2B5EF4-FFF2-40B4-BE49-F238E27FC236}">
                                  <a16:creationId xmlns:a16="http://schemas.microsoft.com/office/drawing/2014/main" id="{31510DA2-DB0E-3A41-1E4E-C58E24430262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1579202" y="581960"/>
                              <a:ext cx="45719" cy="45719"/>
                            </a:xfrm>
                            <a:prstGeom prst="ellipse">
                              <a:avLst/>
                            </a:prstGeom>
                            <a:solidFill>
                              <a:srgbClr val="FF0000"/>
                            </a:solidFill>
                            <a:ln>
                              <a:noFill/>
                            </a:ln>
                          </xdr:spPr>
                          <xdr:style>
                            <a:lnRef idx="2">
                              <a:schemeClr val="accent1">
                                <a:shade val="15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t"/>
                            <a:lstStyle/>
                            <a:p>
                              <a:pPr algn="l"/>
                              <a:endParaRPr lang="en-US" sz="1100"/>
                            </a:p>
                          </xdr:txBody>
                        </xdr:sp>
                        <xdr:sp macro="" textlink="">
                          <xdr:nvSpPr>
                            <xdr:cNvPr id="78" name="Oval 77">
                              <a:extLst>
                                <a:ext uri="{FF2B5EF4-FFF2-40B4-BE49-F238E27FC236}">
                                  <a16:creationId xmlns:a16="http://schemas.microsoft.com/office/drawing/2014/main" id="{892613A8-FC4D-7811-61C1-A249FCDCE11A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1831183" y="582827"/>
                              <a:ext cx="45719" cy="45719"/>
                            </a:xfrm>
                            <a:prstGeom prst="ellipse">
                              <a:avLst/>
                            </a:prstGeom>
                            <a:solidFill>
                              <a:srgbClr val="FF0000"/>
                            </a:solidFill>
                            <a:ln>
                              <a:noFill/>
                            </a:ln>
                          </xdr:spPr>
                          <xdr:style>
                            <a:lnRef idx="2">
                              <a:schemeClr val="accent1">
                                <a:shade val="15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t"/>
                            <a:lstStyle/>
                            <a:p>
                              <a:pPr algn="l"/>
                              <a:endParaRPr lang="en-US" sz="1100"/>
                            </a:p>
                          </xdr:txBody>
                        </xdr:sp>
                        <xdr:sp macro="" textlink="">
                          <xdr:nvSpPr>
                            <xdr:cNvPr id="79" name="Oval 78">
                              <a:extLst>
                                <a:ext uri="{FF2B5EF4-FFF2-40B4-BE49-F238E27FC236}">
                                  <a16:creationId xmlns:a16="http://schemas.microsoft.com/office/drawing/2014/main" id="{90C09867-3E70-0E3D-07AB-FF85A8968094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2074503" y="583694"/>
                              <a:ext cx="45719" cy="45719"/>
                            </a:xfrm>
                            <a:prstGeom prst="ellipse">
                              <a:avLst/>
                            </a:prstGeom>
                            <a:solidFill>
                              <a:srgbClr val="FF0000"/>
                            </a:solidFill>
                            <a:ln>
                              <a:noFill/>
                            </a:ln>
                          </xdr:spPr>
                          <xdr:style>
                            <a:lnRef idx="2">
                              <a:schemeClr val="accent1">
                                <a:shade val="15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t"/>
                            <a:lstStyle/>
                            <a:p>
                              <a:pPr algn="l"/>
                              <a:endParaRPr lang="en-US" sz="1100"/>
                            </a:p>
                          </xdr:txBody>
                        </xdr:sp>
                      </xdr:grpSp>
                      <xdr:grpSp>
                        <xdr:nvGrpSpPr>
                          <xdr:cNvPr id="71" name="Group 70">
                            <a:extLst>
                              <a:ext uri="{FF2B5EF4-FFF2-40B4-BE49-F238E27FC236}">
                                <a16:creationId xmlns:a16="http://schemas.microsoft.com/office/drawing/2014/main" id="{6CB5CDC7-FB1E-EC94-3F15-CB0DA5027562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1372466" y="1757795"/>
                            <a:ext cx="780486" cy="49254"/>
                            <a:chOff x="1339736" y="580159"/>
                            <a:chExt cx="780486" cy="49254"/>
                          </a:xfrm>
                          <a:grpFill/>
                        </xdr:grpSpPr>
                        <xdr:sp macro="" textlink="">
                          <xdr:nvSpPr>
                            <xdr:cNvPr id="72" name="Oval 71">
                              <a:extLst>
                                <a:ext uri="{FF2B5EF4-FFF2-40B4-BE49-F238E27FC236}">
                                  <a16:creationId xmlns:a16="http://schemas.microsoft.com/office/drawing/2014/main" id="{8E8C2461-6DDE-7CC6-49C7-84C05AC56719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1339736" y="580159"/>
                              <a:ext cx="45719" cy="45719"/>
                            </a:xfrm>
                            <a:prstGeom prst="ellipse">
                              <a:avLst/>
                            </a:prstGeom>
                            <a:solidFill>
                              <a:srgbClr val="FF0000"/>
                            </a:solidFill>
                            <a:ln>
                              <a:noFill/>
                            </a:ln>
                          </xdr:spPr>
                          <xdr:style>
                            <a:lnRef idx="2">
                              <a:schemeClr val="accent1">
                                <a:shade val="15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t"/>
                            <a:lstStyle/>
                            <a:p>
                              <a:pPr algn="l"/>
                              <a:endParaRPr lang="en-US" sz="1100"/>
                            </a:p>
                          </xdr:txBody>
                        </xdr:sp>
                        <xdr:sp macro="" textlink="">
                          <xdr:nvSpPr>
                            <xdr:cNvPr id="73" name="Oval 72">
                              <a:extLst>
                                <a:ext uri="{FF2B5EF4-FFF2-40B4-BE49-F238E27FC236}">
                                  <a16:creationId xmlns:a16="http://schemas.microsoft.com/office/drawing/2014/main" id="{D4D1645A-391F-9246-3AC3-C36C905A6994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1579202" y="581960"/>
                              <a:ext cx="45719" cy="45719"/>
                            </a:xfrm>
                            <a:prstGeom prst="ellipse">
                              <a:avLst/>
                            </a:prstGeom>
                            <a:solidFill>
                              <a:srgbClr val="FF0000"/>
                            </a:solidFill>
                            <a:ln>
                              <a:noFill/>
                            </a:ln>
                          </xdr:spPr>
                          <xdr:style>
                            <a:lnRef idx="2">
                              <a:schemeClr val="accent1">
                                <a:shade val="15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t"/>
                            <a:lstStyle/>
                            <a:p>
                              <a:pPr algn="l"/>
                              <a:endParaRPr lang="en-US" sz="1100"/>
                            </a:p>
                          </xdr:txBody>
                        </xdr:sp>
                        <xdr:sp macro="" textlink="">
                          <xdr:nvSpPr>
                            <xdr:cNvPr id="74" name="Oval 73">
                              <a:extLst>
                                <a:ext uri="{FF2B5EF4-FFF2-40B4-BE49-F238E27FC236}">
                                  <a16:creationId xmlns:a16="http://schemas.microsoft.com/office/drawing/2014/main" id="{15AA0FB3-9F57-D753-6796-94FC1234836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1831183" y="582827"/>
                              <a:ext cx="45719" cy="45719"/>
                            </a:xfrm>
                            <a:prstGeom prst="ellipse">
                              <a:avLst/>
                            </a:prstGeom>
                            <a:solidFill>
                              <a:srgbClr val="FF0000"/>
                            </a:solidFill>
                            <a:ln>
                              <a:noFill/>
                            </a:ln>
                          </xdr:spPr>
                          <xdr:style>
                            <a:lnRef idx="2">
                              <a:schemeClr val="accent1">
                                <a:shade val="15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t"/>
                            <a:lstStyle/>
                            <a:p>
                              <a:pPr algn="l"/>
                              <a:endParaRPr lang="en-US" sz="1100"/>
                            </a:p>
                          </xdr:txBody>
                        </xdr:sp>
                        <xdr:sp macro="" textlink="">
                          <xdr:nvSpPr>
                            <xdr:cNvPr id="75" name="Oval 74">
                              <a:extLst>
                                <a:ext uri="{FF2B5EF4-FFF2-40B4-BE49-F238E27FC236}">
                                  <a16:creationId xmlns:a16="http://schemas.microsoft.com/office/drawing/2014/main" id="{1F3B07B2-5C73-2A19-EF45-018DD26C3AA2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2074503" y="583694"/>
                              <a:ext cx="45719" cy="45719"/>
                            </a:xfrm>
                            <a:prstGeom prst="ellipse">
                              <a:avLst/>
                            </a:prstGeom>
                            <a:solidFill>
                              <a:srgbClr val="FF0000"/>
                            </a:solidFill>
                            <a:ln>
                              <a:noFill/>
                            </a:ln>
                          </xdr:spPr>
                          <xdr:style>
                            <a:lnRef idx="2">
                              <a:schemeClr val="accent1">
                                <a:shade val="15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t"/>
                            <a:lstStyle/>
                            <a:p>
                              <a:pPr algn="l"/>
                              <a:endParaRPr lang="en-US" sz="1100"/>
                            </a:p>
                          </xdr:txBody>
                        </xdr:sp>
                      </xdr:grpSp>
                    </xdr:grpSp>
                    <xdr:cxnSp macro="">
                      <xdr:nvCxnSpPr>
                        <xdr:cNvPr id="67" name="Straight Arrow Connector 66">
                          <a:extLst>
                            <a:ext uri="{FF2B5EF4-FFF2-40B4-BE49-F238E27FC236}">
                              <a16:creationId xmlns:a16="http://schemas.microsoft.com/office/drawing/2014/main" id="{B24A3FC4-6ABC-4FBB-63CD-6EF19753F7AD}"/>
                            </a:ext>
                          </a:extLst>
                        </xdr:cNvPr>
                        <xdr:cNvCxnSpPr/>
                      </xdr:nvCxnSpPr>
                      <xdr:spPr>
                        <a:xfrm flipH="1">
                          <a:off x="451251" y="1802776"/>
                          <a:ext cx="415752" cy="0"/>
                        </a:xfrm>
                        <a:prstGeom prst="straightConnector1">
                          <a:avLst/>
                        </a:prstGeom>
                        <a:grpFill/>
                        <a:ln>
                          <a:solidFill>
                            <a:srgbClr val="00B050"/>
                          </a:solidFill>
                          <a:tailEnd type="triangle"/>
                        </a:ln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sp macro="" textlink="">
                      <xdr:nvSpPr>
                        <xdr:cNvPr id="68" name="TextBox 67">
                          <a:extLst>
                            <a:ext uri="{FF2B5EF4-FFF2-40B4-BE49-F238E27FC236}">
                              <a16:creationId xmlns:a16="http://schemas.microsoft.com/office/drawing/2014/main" id="{ADA00DA4-A8A4-1903-BDC2-01C8C69D4DA5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86092" y="1705087"/>
                          <a:ext cx="524956" cy="216433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ctr"/>
                        <a:lstStyle/>
                        <a:p>
                          <a:r>
                            <a:rPr lang="en-US" altLang="ko-KR" sz="900" b="1">
                              <a:solidFill>
                                <a:srgbClr val="0070C0"/>
                              </a:solidFill>
                            </a:rPr>
                            <a:t>Fs</a:t>
                          </a:r>
                          <a:endParaRPr lang="en-US" sz="900" b="1">
                            <a:solidFill>
                              <a:srgbClr val="0070C0"/>
                            </a:solidFill>
                          </a:endParaRPr>
                        </a:p>
                      </xdr:txBody>
                    </xdr:sp>
                  </xdr:grpSp>
                  <xdr:sp macro="" textlink="">
                    <xdr:nvSpPr>
                      <xdr:cNvPr id="65" name="TextBox 64">
                        <a:extLst>
                          <a:ext uri="{FF2B5EF4-FFF2-40B4-BE49-F238E27FC236}">
                            <a16:creationId xmlns:a16="http://schemas.microsoft.com/office/drawing/2014/main" id="{5AFEB248-AF1B-6535-E56D-88B1155EF3B2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53852" y="701466"/>
                        <a:ext cx="452437" cy="214345"/>
                      </a:xfrm>
                      <a:prstGeom prst="rect">
                        <a:avLst/>
                      </a:prstGeom>
                      <a:grp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ctr"/>
                      <a:lstStyle/>
                      <a:p>
                        <a:r>
                          <a:rPr lang="en-US" altLang="ko-KR" sz="900" b="1">
                            <a:solidFill>
                              <a:srgbClr val="0070C0"/>
                            </a:solidFill>
                          </a:rPr>
                          <a:t>Fc</a:t>
                        </a:r>
                        <a:endParaRPr lang="en-US" sz="900" b="1">
                          <a:solidFill>
                            <a:srgbClr val="0070C0"/>
                          </a:solidFill>
                        </a:endParaRPr>
                      </a:p>
                    </xdr:txBody>
                  </xdr:sp>
                  <xdr:cxnSp macro="">
                    <xdr:nvCxnSpPr>
                      <xdr:cNvPr id="64" name="Straight Arrow Connector 63">
                        <a:extLst>
                          <a:ext uri="{FF2B5EF4-FFF2-40B4-BE49-F238E27FC236}">
                            <a16:creationId xmlns:a16="http://schemas.microsoft.com/office/drawing/2014/main" id="{177C329D-588B-F421-EAE6-1767C23345C3}"/>
                          </a:ext>
                        </a:extLst>
                      </xdr:cNvPr>
                      <xdr:cNvCxnSpPr/>
                    </xdr:nvCxnSpPr>
                    <xdr:spPr>
                      <a:xfrm flipH="1">
                        <a:off x="434578" y="834439"/>
                        <a:ext cx="357228" cy="0"/>
                      </a:xfrm>
                      <a:prstGeom prst="straightConnector1">
                        <a:avLst/>
                      </a:prstGeom>
                      <a:grpFill/>
                      <a:ln>
                        <a:solidFill>
                          <a:srgbClr val="FF0000"/>
                        </a:solidFill>
                        <a:tailEnd type="triangle"/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</xdr:grpSp>
                <xdr:cxnSp macro="">
                  <xdr:nvCxnSpPr>
                    <xdr:cNvPr id="105" name="Straight Arrow Connector 104">
                      <a:extLst>
                        <a:ext uri="{FF2B5EF4-FFF2-40B4-BE49-F238E27FC236}">
                          <a16:creationId xmlns:a16="http://schemas.microsoft.com/office/drawing/2014/main" id="{5B7C4DA1-2885-4E4F-8A95-06EF1384ED63}"/>
                        </a:ext>
                      </a:extLst>
                    </xdr:cNvPr>
                    <xdr:cNvCxnSpPr/>
                  </xdr:nvCxnSpPr>
                  <xdr:spPr>
                    <a:xfrm flipH="1">
                      <a:off x="3217473" y="3026019"/>
                      <a:ext cx="402027" cy="0"/>
                    </a:xfrm>
                    <a:prstGeom prst="straightConnector1">
                      <a:avLst/>
                    </a:prstGeom>
                    <a:grpFill/>
                    <a:ln>
                      <a:solidFill>
                        <a:srgbClr val="00B050"/>
                      </a:solidFill>
                      <a:tailEnd type="triangle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sp macro="" textlink="">
                  <xdr:nvSpPr>
                    <xdr:cNvPr id="106" name="TextBox 105">
                      <a:extLst>
                        <a:ext uri="{FF2B5EF4-FFF2-40B4-BE49-F238E27FC236}">
                          <a16:creationId xmlns:a16="http://schemas.microsoft.com/office/drawing/2014/main" id="{4C0BE4E2-5231-4FD6-AE4D-3737991CFF3D}"/>
                        </a:ext>
                      </a:extLst>
                    </xdr:cNvPr>
                    <xdr:cNvSpPr txBox="1"/>
                  </xdr:nvSpPr>
                  <xdr:spPr>
                    <a:xfrm>
                      <a:off x="2982058" y="2906176"/>
                      <a:ext cx="450304" cy="216800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r>
                        <a:rPr lang="en-US" altLang="ko-KR" sz="900" b="1">
                          <a:solidFill>
                            <a:srgbClr val="0070C0"/>
                          </a:solidFill>
                        </a:rPr>
                        <a:t>Fc</a:t>
                      </a:r>
                      <a:endParaRPr lang="en-US" sz="900" b="1">
                        <a:solidFill>
                          <a:srgbClr val="0070C0"/>
                        </a:solidFill>
                      </a:endParaRPr>
                    </a:p>
                  </xdr:txBody>
                </xdr:sp>
              </xdr:grpSp>
            </xdr:grpSp>
          </xdr:grpSp>
          <xdr:cxnSp macro="">
            <xdr:nvCxnSpPr>
              <xdr:cNvPr id="116" name="Straight Connector 115">
                <a:extLst>
                  <a:ext uri="{FF2B5EF4-FFF2-40B4-BE49-F238E27FC236}">
                    <a16:creationId xmlns:a16="http://schemas.microsoft.com/office/drawing/2014/main" id="{57EA7EA5-9BC3-40EB-89E6-F98ECC07BF65}"/>
                  </a:ext>
                </a:extLst>
              </xdr:cNvPr>
              <xdr:cNvCxnSpPr/>
            </xdr:nvCxnSpPr>
            <xdr:spPr>
              <a:xfrm>
                <a:off x="5558812" y="3455984"/>
                <a:ext cx="0" cy="581687"/>
              </a:xfrm>
              <a:prstGeom prst="line">
                <a:avLst/>
              </a:prstGeom>
              <a:grpFill/>
              <a:ln>
                <a:prstDash val="sysDot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20" name="Freeform: Shape 119">
                <a:extLst>
                  <a:ext uri="{FF2B5EF4-FFF2-40B4-BE49-F238E27FC236}">
                    <a16:creationId xmlns:a16="http://schemas.microsoft.com/office/drawing/2014/main" id="{5EB18000-55EB-75E4-7A3D-FC9A3B71A92E}"/>
                  </a:ext>
                </a:extLst>
              </xdr:cNvPr>
              <xdr:cNvSpPr/>
            </xdr:nvSpPr>
            <xdr:spPr>
              <a:xfrm>
                <a:off x="5557024" y="3489010"/>
                <a:ext cx="367061" cy="557952"/>
              </a:xfrm>
              <a:custGeom>
                <a:avLst/>
                <a:gdLst>
                  <a:gd name="csX0" fmla="*/ 367061 w 367061"/>
                  <a:gd name="csY0" fmla="*/ 0 h 594731"/>
                  <a:gd name="csX1" fmla="*/ 325244 w 367061"/>
                  <a:gd name="csY1" fmla="*/ 283427 h 594731"/>
                  <a:gd name="csX2" fmla="*/ 185854 w 367061"/>
                  <a:gd name="csY2" fmla="*/ 501805 h 594731"/>
                  <a:gd name="csX3" fmla="*/ 0 w 367061"/>
                  <a:gd name="csY3" fmla="*/ 594731 h 594731"/>
                </a:gdLst>
                <a:ahLst/>
                <a:cxnLst>
                  <a:cxn ang="0">
                    <a:pos x="csX0" y="csY0"/>
                  </a:cxn>
                  <a:cxn ang="0">
                    <a:pos x="csX1" y="csY1"/>
                  </a:cxn>
                  <a:cxn ang="0">
                    <a:pos x="csX2" y="csY2"/>
                  </a:cxn>
                  <a:cxn ang="0">
                    <a:pos x="csX3" y="csY3"/>
                  </a:cxn>
                </a:cxnLst>
                <a:rect l="l" t="t" r="r" b="b"/>
                <a:pathLst>
                  <a:path w="367061" h="594731">
                    <a:moveTo>
                      <a:pt x="367061" y="0"/>
                    </a:moveTo>
                    <a:cubicBezTo>
                      <a:pt x="361253" y="99896"/>
                      <a:pt x="355445" y="199793"/>
                      <a:pt x="325244" y="283427"/>
                    </a:cubicBezTo>
                    <a:cubicBezTo>
                      <a:pt x="295043" y="367061"/>
                      <a:pt x="240061" y="449921"/>
                      <a:pt x="185854" y="501805"/>
                    </a:cubicBezTo>
                    <a:cubicBezTo>
                      <a:pt x="131647" y="553689"/>
                      <a:pt x="65823" y="574210"/>
                      <a:pt x="0" y="594731"/>
                    </a:cubicBezTo>
                  </a:path>
                </a:pathLst>
              </a:custGeom>
              <a:grpFill/>
              <a:ln w="9525">
                <a:solidFill>
                  <a:schemeClr val="accent1">
                    <a:lumMod val="50000"/>
                  </a:schemeClr>
                </a:solidFill>
                <a:prstDash val="sysDot"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</xdr:grpSp>
      <xdr:sp macro="" textlink="">
        <xdr:nvSpPr>
          <xdr:cNvPr id="140" name="TextBox 139">
            <a:extLst>
              <a:ext uri="{FF2B5EF4-FFF2-40B4-BE49-F238E27FC236}">
                <a16:creationId xmlns:a16="http://schemas.microsoft.com/office/drawing/2014/main" id="{EF3C944D-F4B4-47FE-9E99-3EE8FA57E0F7}"/>
              </a:ext>
            </a:extLst>
          </xdr:cNvPr>
          <xdr:cNvSpPr txBox="1"/>
        </xdr:nvSpPr>
        <xdr:spPr>
          <a:xfrm>
            <a:off x="2668190" y="3533775"/>
            <a:ext cx="760810" cy="457200"/>
          </a:xfrm>
          <a:prstGeom prst="rect">
            <a:avLst/>
          </a:prstGeom>
          <a:grpFill/>
          <a:ln w="1905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1000" b="1">
                <a:solidFill>
                  <a:srgbClr val="FF0000"/>
                </a:solidFill>
              </a:rPr>
              <a:t>C = </a:t>
            </a:r>
            <a:r>
              <a:rPr lang="en-US" altLang="ko-KR" sz="1000" b="1">
                <a:solidFill>
                  <a:srgbClr val="FF0000"/>
                </a:solidFill>
                <a:sym typeface="Symbol" panose="05050102010706020507" pitchFamily="18" charset="2"/>
              </a:rPr>
              <a:t></a:t>
            </a:r>
            <a:endParaRPr lang="en-US" altLang="ko-KR" sz="1000" b="1">
              <a:solidFill>
                <a:srgbClr val="FF0000"/>
              </a:solidFill>
            </a:endParaRPr>
          </a:p>
          <a:p>
            <a:r>
              <a:rPr lang="en-US" sz="1000" b="1">
                <a:solidFill>
                  <a:srgbClr val="FF0000"/>
                </a:solidFill>
              </a:rPr>
              <a:t>e = 0</a:t>
            </a:r>
          </a:p>
        </xdr:txBody>
      </xdr:sp>
    </xdr:grpSp>
    <xdr:clientData/>
  </xdr:twoCellAnchor>
  <xdr:twoCellAnchor>
    <xdr:from>
      <xdr:col>1</xdr:col>
      <xdr:colOff>28005</xdr:colOff>
      <xdr:row>19</xdr:row>
      <xdr:rowOff>99155</xdr:rowOff>
    </xdr:from>
    <xdr:to>
      <xdr:col>3</xdr:col>
      <xdr:colOff>65483</xdr:colOff>
      <xdr:row>34</xdr:row>
      <xdr:rowOff>119061</xdr:rowOff>
    </xdr:to>
    <xdr:grpSp>
      <xdr:nvGrpSpPr>
        <xdr:cNvPr id="144" name="Group 143">
          <a:extLst>
            <a:ext uri="{FF2B5EF4-FFF2-40B4-BE49-F238E27FC236}">
              <a16:creationId xmlns:a16="http://schemas.microsoft.com/office/drawing/2014/main" id="{1AD59CB6-A5D2-EAE8-DBD7-B8094A98F704}"/>
            </a:ext>
          </a:extLst>
        </xdr:cNvPr>
        <xdr:cNvGrpSpPr/>
      </xdr:nvGrpSpPr>
      <xdr:grpSpPr>
        <a:xfrm>
          <a:off x="675705" y="3832955"/>
          <a:ext cx="1332878" cy="2991706"/>
          <a:chOff x="673846" y="1070240"/>
          <a:chExt cx="1329161" cy="2951748"/>
        </a:xfrm>
      </xdr:grpSpPr>
      <xdr:grpSp>
        <xdr:nvGrpSpPr>
          <xdr:cNvPr id="136" name="Group 135">
            <a:extLst>
              <a:ext uri="{FF2B5EF4-FFF2-40B4-BE49-F238E27FC236}">
                <a16:creationId xmlns:a16="http://schemas.microsoft.com/office/drawing/2014/main" id="{EFF20F66-F64A-5B23-65A0-84CB46E7707D}"/>
              </a:ext>
            </a:extLst>
          </xdr:cNvPr>
          <xdr:cNvGrpSpPr/>
        </xdr:nvGrpSpPr>
        <xdr:grpSpPr>
          <a:xfrm>
            <a:off x="673846" y="1070240"/>
            <a:ext cx="1329161" cy="2951748"/>
            <a:chOff x="967408" y="1255235"/>
            <a:chExt cx="1332878" cy="2953624"/>
          </a:xfrm>
        </xdr:grpSpPr>
        <xdr:grpSp>
          <xdr:nvGrpSpPr>
            <xdr:cNvPr id="125" name="Group 124">
              <a:extLst>
                <a:ext uri="{FF2B5EF4-FFF2-40B4-BE49-F238E27FC236}">
                  <a16:creationId xmlns:a16="http://schemas.microsoft.com/office/drawing/2014/main" id="{988577DE-0240-9F22-09B2-8BFCEA74EF5D}"/>
                </a:ext>
              </a:extLst>
            </xdr:cNvPr>
            <xdr:cNvGrpSpPr/>
          </xdr:nvGrpSpPr>
          <xdr:grpSpPr>
            <a:xfrm>
              <a:off x="967408" y="1255235"/>
              <a:ext cx="1332878" cy="2953624"/>
              <a:chOff x="970886" y="1279515"/>
              <a:chExt cx="1339884" cy="3000141"/>
            </a:xfrm>
          </xdr:grpSpPr>
          <xdr:grpSp>
            <xdr:nvGrpSpPr>
              <xdr:cNvPr id="60" name="Group 59">
                <a:extLst>
                  <a:ext uri="{FF2B5EF4-FFF2-40B4-BE49-F238E27FC236}">
                    <a16:creationId xmlns:a16="http://schemas.microsoft.com/office/drawing/2014/main" id="{1FFAAD2B-319B-BC6C-B681-DFB25B945CD1}"/>
                  </a:ext>
                </a:extLst>
              </xdr:cNvPr>
              <xdr:cNvGrpSpPr/>
            </xdr:nvGrpSpPr>
            <xdr:grpSpPr>
              <a:xfrm>
                <a:off x="970886" y="1279515"/>
                <a:ext cx="1339884" cy="3000141"/>
                <a:chOff x="1596846" y="3009307"/>
                <a:chExt cx="1332874" cy="2949239"/>
              </a:xfrm>
            </xdr:grpSpPr>
            <xdr:grpSp>
              <xdr:nvGrpSpPr>
                <xdr:cNvPr id="54" name="Group 53">
                  <a:extLst>
                    <a:ext uri="{FF2B5EF4-FFF2-40B4-BE49-F238E27FC236}">
                      <a16:creationId xmlns:a16="http://schemas.microsoft.com/office/drawing/2014/main" id="{B8A1B650-E2E8-058D-EB4F-98A9482FE4F5}"/>
                    </a:ext>
                  </a:extLst>
                </xdr:cNvPr>
                <xdr:cNvGrpSpPr/>
              </xdr:nvGrpSpPr>
              <xdr:grpSpPr>
                <a:xfrm>
                  <a:off x="1596846" y="3440176"/>
                  <a:ext cx="1332874" cy="2518370"/>
                  <a:chOff x="1212346" y="3064690"/>
                  <a:chExt cx="1330864" cy="2518370"/>
                </a:xfrm>
              </xdr:grpSpPr>
              <xdr:sp macro="" textlink="">
                <xdr:nvSpPr>
                  <xdr:cNvPr id="41" name="Parallelogram 40">
                    <a:extLst>
                      <a:ext uri="{FF2B5EF4-FFF2-40B4-BE49-F238E27FC236}">
                        <a16:creationId xmlns:a16="http://schemas.microsoft.com/office/drawing/2014/main" id="{DB7B13EB-5DA3-0F2C-B535-1B356E7AB45B}"/>
                      </a:ext>
                    </a:extLst>
                  </xdr:cNvPr>
                  <xdr:cNvSpPr/>
                </xdr:nvSpPr>
                <xdr:spPr>
                  <a:xfrm>
                    <a:off x="1218197" y="3067051"/>
                    <a:ext cx="1312445" cy="640258"/>
                  </a:xfrm>
                  <a:prstGeom prst="parallelogram">
                    <a:avLst>
                      <a:gd name="adj" fmla="val 92143"/>
                    </a:avLst>
                  </a:prstGeom>
                  <a:solidFill>
                    <a:schemeClr val="accent5">
                      <a:lumMod val="40000"/>
                      <a:lumOff val="60000"/>
                    </a:schemeClr>
                  </a:solidFill>
                  <a:ln>
                    <a:solidFill>
                      <a:srgbClr val="0070C0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  <xdr:cxnSp macro="">
                <xdr:nvCxnSpPr>
                  <xdr:cNvPr id="45" name="Straight Connector 44">
                    <a:extLst>
                      <a:ext uri="{FF2B5EF4-FFF2-40B4-BE49-F238E27FC236}">
                        <a16:creationId xmlns:a16="http://schemas.microsoft.com/office/drawing/2014/main" id="{EC69FA27-CB64-715C-AFBA-A55AB2160A3F}"/>
                      </a:ext>
                    </a:extLst>
                  </xdr:cNvPr>
                  <xdr:cNvCxnSpPr/>
                </xdr:nvCxnSpPr>
                <xdr:spPr>
                  <a:xfrm>
                    <a:off x="1218197" y="3701192"/>
                    <a:ext cx="0" cy="1881868"/>
                  </a:xfrm>
                  <a:prstGeom prst="line">
                    <a:avLst/>
                  </a:prstGeom>
                  <a:ln w="28575"/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6" name="Straight Connector 45">
                    <a:extLst>
                      <a:ext uri="{FF2B5EF4-FFF2-40B4-BE49-F238E27FC236}">
                        <a16:creationId xmlns:a16="http://schemas.microsoft.com/office/drawing/2014/main" id="{5CC6F377-6286-471C-A97E-B35BEF4AB63B}"/>
                      </a:ext>
                    </a:extLst>
                  </xdr:cNvPr>
                  <xdr:cNvCxnSpPr/>
                </xdr:nvCxnSpPr>
                <xdr:spPr>
                  <a:xfrm>
                    <a:off x="1943218" y="3707133"/>
                    <a:ext cx="0" cy="1869986"/>
                  </a:xfrm>
                  <a:prstGeom prst="line">
                    <a:avLst/>
                  </a:prstGeom>
                  <a:ln w="28575"/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7" name="Straight Connector 46">
                    <a:extLst>
                      <a:ext uri="{FF2B5EF4-FFF2-40B4-BE49-F238E27FC236}">
                        <a16:creationId xmlns:a16="http://schemas.microsoft.com/office/drawing/2014/main" id="{B74F3324-85AE-453F-9FD6-DA022079FAD8}"/>
                      </a:ext>
                    </a:extLst>
                  </xdr:cNvPr>
                  <xdr:cNvCxnSpPr/>
                </xdr:nvCxnSpPr>
                <xdr:spPr>
                  <a:xfrm>
                    <a:off x="2530642" y="3076575"/>
                    <a:ext cx="0" cy="1870706"/>
                  </a:xfrm>
                  <a:prstGeom prst="line">
                    <a:avLst/>
                  </a:prstGeom>
                  <a:ln w="28575"/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8" name="Straight Connector 47">
                    <a:extLst>
                      <a:ext uri="{FF2B5EF4-FFF2-40B4-BE49-F238E27FC236}">
                        <a16:creationId xmlns:a16="http://schemas.microsoft.com/office/drawing/2014/main" id="{C5B93E33-434E-43E1-B08A-9C3FF96B4CD5}"/>
                      </a:ext>
                    </a:extLst>
                  </xdr:cNvPr>
                  <xdr:cNvCxnSpPr/>
                </xdr:nvCxnSpPr>
                <xdr:spPr>
                  <a:xfrm>
                    <a:off x="1809303" y="3064690"/>
                    <a:ext cx="0" cy="1864766"/>
                  </a:xfrm>
                  <a:prstGeom prst="line">
                    <a:avLst/>
                  </a:prstGeom>
                  <a:ln w="28575">
                    <a:prstDash val="sysDot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0" name="Straight Connector 49">
                    <a:extLst>
                      <a:ext uri="{FF2B5EF4-FFF2-40B4-BE49-F238E27FC236}">
                        <a16:creationId xmlns:a16="http://schemas.microsoft.com/office/drawing/2014/main" id="{0066BCD0-8A3C-E1BC-1291-D9481346B11C}"/>
                      </a:ext>
                    </a:extLst>
                  </xdr:cNvPr>
                  <xdr:cNvCxnSpPr/>
                </xdr:nvCxnSpPr>
                <xdr:spPr>
                  <a:xfrm>
                    <a:off x="1212346" y="5570360"/>
                    <a:ext cx="737511" cy="0"/>
                  </a:xfrm>
                  <a:prstGeom prst="line">
                    <a:avLst/>
                  </a:prstGeom>
                  <a:ln w="28575">
                    <a:solidFill>
                      <a:srgbClr val="0070C0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3" name="Straight Connector 52">
                    <a:extLst>
                      <a:ext uri="{FF2B5EF4-FFF2-40B4-BE49-F238E27FC236}">
                        <a16:creationId xmlns:a16="http://schemas.microsoft.com/office/drawing/2014/main" id="{9508F817-C60F-6CFB-6784-AAF986CA3724}"/>
                      </a:ext>
                    </a:extLst>
                  </xdr:cNvPr>
                  <xdr:cNvCxnSpPr/>
                </xdr:nvCxnSpPr>
                <xdr:spPr>
                  <a:xfrm flipV="1">
                    <a:off x="1937448" y="4917571"/>
                    <a:ext cx="605762" cy="660233"/>
                  </a:xfrm>
                  <a:prstGeom prst="line">
                    <a:avLst/>
                  </a:prstGeom>
                  <a:ln w="28575">
                    <a:solidFill>
                      <a:srgbClr val="0070C0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cxnSp macro="">
              <xdr:nvCxnSpPr>
                <xdr:cNvPr id="56" name="Straight Arrow Connector 55">
                  <a:extLst>
                    <a:ext uri="{FF2B5EF4-FFF2-40B4-BE49-F238E27FC236}">
                      <a16:creationId xmlns:a16="http://schemas.microsoft.com/office/drawing/2014/main" id="{30206869-39FE-B4E6-4421-6CDBEBDA46D8}"/>
                    </a:ext>
                  </a:extLst>
                </xdr:cNvPr>
                <xdr:cNvCxnSpPr/>
              </xdr:nvCxnSpPr>
              <xdr:spPr>
                <a:xfrm>
                  <a:off x="2253178" y="3132155"/>
                  <a:ext cx="0" cy="628650"/>
                </a:xfrm>
                <a:prstGeom prst="straightConnector1">
                  <a:avLst/>
                </a:prstGeom>
                <a:ln w="28575">
                  <a:solidFill>
                    <a:srgbClr val="FF0000"/>
                  </a:solidFill>
                  <a:tailEnd type="stealth" w="lg" len="lg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9" name="TextBox 58">
                  <a:extLst>
                    <a:ext uri="{FF2B5EF4-FFF2-40B4-BE49-F238E27FC236}">
                      <a16:creationId xmlns:a16="http://schemas.microsoft.com/office/drawing/2014/main" id="{D09350D4-6EE9-4068-80CE-B8111012819D}"/>
                    </a:ext>
                  </a:extLst>
                </xdr:cNvPr>
                <xdr:cNvSpPr txBox="1"/>
              </xdr:nvSpPr>
              <xdr:spPr>
                <a:xfrm>
                  <a:off x="2213071" y="3009307"/>
                  <a:ext cx="523452" cy="216962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n-US" altLang="ko-KR" sz="1050" b="1">
                      <a:solidFill>
                        <a:srgbClr val="0070C0"/>
                      </a:solidFill>
                    </a:rPr>
                    <a:t>P</a:t>
                  </a:r>
                  <a:endParaRPr lang="en-US" sz="1050" b="1">
                    <a:solidFill>
                      <a:srgbClr val="0070C0"/>
                    </a:solidFill>
                  </a:endParaRPr>
                </a:p>
              </xdr:txBody>
            </xdr:sp>
          </xdr:grpSp>
          <xdr:cxnSp macro="">
            <xdr:nvCxnSpPr>
              <xdr:cNvPr id="124" name="Straight Connector 123">
                <a:extLst>
                  <a:ext uri="{FF2B5EF4-FFF2-40B4-BE49-F238E27FC236}">
                    <a16:creationId xmlns:a16="http://schemas.microsoft.com/office/drawing/2014/main" id="{49121BAD-2536-D26B-DE07-C91A38DA4A88}"/>
                  </a:ext>
                </a:extLst>
              </xdr:cNvPr>
              <xdr:cNvCxnSpPr>
                <a:stCxn id="41" idx="5"/>
                <a:endCxn id="41" idx="2"/>
              </xdr:cNvCxnSpPr>
            </xdr:nvCxnSpPr>
            <xdr:spPr>
              <a:xfrm>
                <a:off x="1273335" y="2045876"/>
                <a:ext cx="728223" cy="0"/>
              </a:xfrm>
              <a:prstGeom prst="line">
                <a:avLst/>
              </a:prstGeom>
              <a:ln>
                <a:solidFill>
                  <a:srgbClr val="FF0000"/>
                </a:solidFill>
                <a:prstDash val="sysDot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129" name="Parallelogram 128">
              <a:extLst>
                <a:ext uri="{FF2B5EF4-FFF2-40B4-BE49-F238E27FC236}">
                  <a16:creationId xmlns:a16="http://schemas.microsoft.com/office/drawing/2014/main" id="{7EB03688-9D7A-452F-97C6-498B7A0E423E}"/>
                </a:ext>
              </a:extLst>
            </xdr:cNvPr>
            <xdr:cNvSpPr/>
          </xdr:nvSpPr>
          <xdr:spPr>
            <a:xfrm>
              <a:off x="975121" y="3559969"/>
              <a:ext cx="1314398" cy="641471"/>
            </a:xfrm>
            <a:prstGeom prst="parallelogram">
              <a:avLst>
                <a:gd name="adj" fmla="val 92143"/>
              </a:avLst>
            </a:prstGeom>
            <a:noFill/>
            <a:ln>
              <a:solidFill>
                <a:srgbClr val="0070C0"/>
              </a:solidFill>
              <a:prstDash val="sysDot"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cxnSp macro="">
        <xdr:nvCxnSpPr>
          <xdr:cNvPr id="143" name="Straight Connector 142">
            <a:extLst>
              <a:ext uri="{FF2B5EF4-FFF2-40B4-BE49-F238E27FC236}">
                <a16:creationId xmlns:a16="http://schemas.microsoft.com/office/drawing/2014/main" id="{BBCFAC61-A6A6-88E7-56DB-53FBF11CE016}"/>
              </a:ext>
            </a:extLst>
          </xdr:cNvPr>
          <xdr:cNvCxnSpPr>
            <a:stCxn id="41" idx="3"/>
            <a:endCxn id="41" idx="1"/>
          </xdr:cNvCxnSpPr>
        </xdr:nvCxnSpPr>
        <xdr:spPr>
          <a:xfrm flipV="1">
            <a:off x="1039845" y="1503838"/>
            <a:ext cx="590456" cy="640803"/>
          </a:xfrm>
          <a:prstGeom prst="line">
            <a:avLst/>
          </a:prstGeom>
          <a:ln>
            <a:solidFill>
              <a:srgbClr val="FF0000"/>
            </a:solidFill>
            <a:prstDash val="sys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101203</xdr:colOff>
      <xdr:row>38</xdr:row>
      <xdr:rowOff>99132</xdr:rowOff>
    </xdr:from>
    <xdr:to>
      <xdr:col>3</xdr:col>
      <xdr:colOff>4348</xdr:colOff>
      <xdr:row>54</xdr:row>
      <xdr:rowOff>102734</xdr:rowOff>
    </xdr:to>
    <xdr:grpSp>
      <xdr:nvGrpSpPr>
        <xdr:cNvPr id="229" name="Group 228">
          <a:extLst>
            <a:ext uri="{FF2B5EF4-FFF2-40B4-BE49-F238E27FC236}">
              <a16:creationId xmlns:a16="http://schemas.microsoft.com/office/drawing/2014/main" id="{3D4B69D8-1D28-69D0-87B7-C4EA0390B68B}"/>
            </a:ext>
          </a:extLst>
        </xdr:cNvPr>
        <xdr:cNvGrpSpPr/>
      </xdr:nvGrpSpPr>
      <xdr:grpSpPr>
        <a:xfrm>
          <a:off x="101203" y="7566732"/>
          <a:ext cx="1846245" cy="3051602"/>
          <a:chOff x="101203" y="4772335"/>
          <a:chExt cx="1849817" cy="3051602"/>
        </a:xfrm>
      </xdr:grpSpPr>
      <xdr:grpSp>
        <xdr:nvGrpSpPr>
          <xdr:cNvPr id="195" name="Group 194">
            <a:extLst>
              <a:ext uri="{FF2B5EF4-FFF2-40B4-BE49-F238E27FC236}">
                <a16:creationId xmlns:a16="http://schemas.microsoft.com/office/drawing/2014/main" id="{D2AC196A-F89D-4864-BBDD-C42347BCFBD0}"/>
              </a:ext>
            </a:extLst>
          </xdr:cNvPr>
          <xdr:cNvGrpSpPr/>
        </xdr:nvGrpSpPr>
        <xdr:grpSpPr>
          <a:xfrm>
            <a:off x="612913" y="4772335"/>
            <a:ext cx="1338107" cy="3051602"/>
            <a:chOff x="673846" y="970597"/>
            <a:chExt cx="1329161" cy="3051393"/>
          </a:xfrm>
        </xdr:grpSpPr>
        <xdr:grpSp>
          <xdr:nvGrpSpPr>
            <xdr:cNvPr id="196" name="Group 195">
              <a:extLst>
                <a:ext uri="{FF2B5EF4-FFF2-40B4-BE49-F238E27FC236}">
                  <a16:creationId xmlns:a16="http://schemas.microsoft.com/office/drawing/2014/main" id="{06D3F0AD-DF72-A3F3-90FE-63543DA630F2}"/>
                </a:ext>
              </a:extLst>
            </xdr:cNvPr>
            <xdr:cNvGrpSpPr/>
          </xdr:nvGrpSpPr>
          <xdr:grpSpPr>
            <a:xfrm>
              <a:off x="673846" y="970597"/>
              <a:ext cx="1329161" cy="3051393"/>
              <a:chOff x="967408" y="1155528"/>
              <a:chExt cx="1332878" cy="3053332"/>
            </a:xfrm>
          </xdr:grpSpPr>
          <xdr:grpSp>
            <xdr:nvGrpSpPr>
              <xdr:cNvPr id="198" name="Group 197">
                <a:extLst>
                  <a:ext uri="{FF2B5EF4-FFF2-40B4-BE49-F238E27FC236}">
                    <a16:creationId xmlns:a16="http://schemas.microsoft.com/office/drawing/2014/main" id="{5C46AE6E-8E20-8B34-B5CE-9AA11B70B6FD}"/>
                  </a:ext>
                </a:extLst>
              </xdr:cNvPr>
              <xdr:cNvGrpSpPr/>
            </xdr:nvGrpSpPr>
            <xdr:grpSpPr>
              <a:xfrm>
                <a:off x="967408" y="1155528"/>
                <a:ext cx="1332878" cy="3053332"/>
                <a:chOff x="970886" y="1178237"/>
                <a:chExt cx="1339884" cy="3101420"/>
              </a:xfrm>
            </xdr:grpSpPr>
            <xdr:grpSp>
              <xdr:nvGrpSpPr>
                <xdr:cNvPr id="200" name="Group 199">
                  <a:extLst>
                    <a:ext uri="{FF2B5EF4-FFF2-40B4-BE49-F238E27FC236}">
                      <a16:creationId xmlns:a16="http://schemas.microsoft.com/office/drawing/2014/main" id="{EF3C891A-B3BE-F0D3-C59B-FFF33FD2D80D}"/>
                    </a:ext>
                  </a:extLst>
                </xdr:cNvPr>
                <xdr:cNvGrpSpPr/>
              </xdr:nvGrpSpPr>
              <xdr:grpSpPr>
                <a:xfrm>
                  <a:off x="970886" y="1178237"/>
                  <a:ext cx="1339884" cy="3101420"/>
                  <a:chOff x="1596846" y="2909747"/>
                  <a:chExt cx="1332874" cy="3048799"/>
                </a:xfrm>
              </xdr:grpSpPr>
              <xdr:grpSp>
                <xdr:nvGrpSpPr>
                  <xdr:cNvPr id="202" name="Group 201">
                    <a:extLst>
                      <a:ext uri="{FF2B5EF4-FFF2-40B4-BE49-F238E27FC236}">
                        <a16:creationId xmlns:a16="http://schemas.microsoft.com/office/drawing/2014/main" id="{323D3F56-DAC4-5A99-A64B-A1DCA0885A20}"/>
                      </a:ext>
                    </a:extLst>
                  </xdr:cNvPr>
                  <xdr:cNvGrpSpPr/>
                </xdr:nvGrpSpPr>
                <xdr:grpSpPr>
                  <a:xfrm>
                    <a:off x="1596846" y="3440176"/>
                    <a:ext cx="1332874" cy="2518370"/>
                    <a:chOff x="1212346" y="3064690"/>
                    <a:chExt cx="1330864" cy="2518370"/>
                  </a:xfrm>
                </xdr:grpSpPr>
                <xdr:sp macro="" textlink="">
                  <xdr:nvSpPr>
                    <xdr:cNvPr id="205" name="Parallelogram 204">
                      <a:extLst>
                        <a:ext uri="{FF2B5EF4-FFF2-40B4-BE49-F238E27FC236}">
                          <a16:creationId xmlns:a16="http://schemas.microsoft.com/office/drawing/2014/main" id="{7D82F0E8-95FA-6E43-CE3C-2B9C6AA09210}"/>
                        </a:ext>
                      </a:extLst>
                    </xdr:cNvPr>
                    <xdr:cNvSpPr/>
                  </xdr:nvSpPr>
                  <xdr:spPr>
                    <a:xfrm>
                      <a:off x="1218197" y="3067051"/>
                      <a:ext cx="1312445" cy="640258"/>
                    </a:xfrm>
                    <a:prstGeom prst="parallelogram">
                      <a:avLst>
                        <a:gd name="adj" fmla="val 92143"/>
                      </a:avLst>
                    </a:prstGeom>
                    <a:solidFill>
                      <a:schemeClr val="accent5">
                        <a:lumMod val="40000"/>
                        <a:lumOff val="60000"/>
                      </a:schemeClr>
                    </a:solidFill>
                    <a:ln>
                      <a:solidFill>
                        <a:srgbClr val="0070C0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  <xdr:cxnSp macro="">
                  <xdr:nvCxnSpPr>
                    <xdr:cNvPr id="206" name="Straight Connector 205">
                      <a:extLst>
                        <a:ext uri="{FF2B5EF4-FFF2-40B4-BE49-F238E27FC236}">
                          <a16:creationId xmlns:a16="http://schemas.microsoft.com/office/drawing/2014/main" id="{3D0DDDE8-FD16-832A-1A02-89A02DCA64F8}"/>
                        </a:ext>
                      </a:extLst>
                    </xdr:cNvPr>
                    <xdr:cNvCxnSpPr/>
                  </xdr:nvCxnSpPr>
                  <xdr:spPr>
                    <a:xfrm>
                      <a:off x="1218197" y="3701192"/>
                      <a:ext cx="0" cy="1881868"/>
                    </a:xfrm>
                    <a:prstGeom prst="line">
                      <a:avLst/>
                    </a:prstGeom>
                    <a:ln w="28575"/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207" name="Straight Connector 206">
                      <a:extLst>
                        <a:ext uri="{FF2B5EF4-FFF2-40B4-BE49-F238E27FC236}">
                          <a16:creationId xmlns:a16="http://schemas.microsoft.com/office/drawing/2014/main" id="{B0661ED5-9369-1767-A9A1-934D044E01E0}"/>
                        </a:ext>
                      </a:extLst>
                    </xdr:cNvPr>
                    <xdr:cNvCxnSpPr/>
                  </xdr:nvCxnSpPr>
                  <xdr:spPr>
                    <a:xfrm>
                      <a:off x="1943218" y="3707133"/>
                      <a:ext cx="0" cy="1869986"/>
                    </a:xfrm>
                    <a:prstGeom prst="line">
                      <a:avLst/>
                    </a:prstGeom>
                    <a:ln w="28575"/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208" name="Straight Connector 207">
                      <a:extLst>
                        <a:ext uri="{FF2B5EF4-FFF2-40B4-BE49-F238E27FC236}">
                          <a16:creationId xmlns:a16="http://schemas.microsoft.com/office/drawing/2014/main" id="{C9D40AD3-43BA-6DD0-6D11-D735E7FDC322}"/>
                        </a:ext>
                      </a:extLst>
                    </xdr:cNvPr>
                    <xdr:cNvCxnSpPr/>
                  </xdr:nvCxnSpPr>
                  <xdr:spPr>
                    <a:xfrm>
                      <a:off x="2530642" y="3076575"/>
                      <a:ext cx="0" cy="1870706"/>
                    </a:xfrm>
                    <a:prstGeom prst="line">
                      <a:avLst/>
                    </a:prstGeom>
                    <a:ln w="28575"/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209" name="Straight Connector 208">
                      <a:extLst>
                        <a:ext uri="{FF2B5EF4-FFF2-40B4-BE49-F238E27FC236}">
                          <a16:creationId xmlns:a16="http://schemas.microsoft.com/office/drawing/2014/main" id="{E67FF667-3F16-FCC7-5C21-9A2D294CBDF0}"/>
                        </a:ext>
                      </a:extLst>
                    </xdr:cNvPr>
                    <xdr:cNvCxnSpPr/>
                  </xdr:nvCxnSpPr>
                  <xdr:spPr>
                    <a:xfrm>
                      <a:off x="1809303" y="3064690"/>
                      <a:ext cx="0" cy="1864766"/>
                    </a:xfrm>
                    <a:prstGeom prst="line">
                      <a:avLst/>
                    </a:prstGeom>
                    <a:ln w="28575">
                      <a:prstDash val="sysDot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210" name="Straight Connector 209">
                      <a:extLst>
                        <a:ext uri="{FF2B5EF4-FFF2-40B4-BE49-F238E27FC236}">
                          <a16:creationId xmlns:a16="http://schemas.microsoft.com/office/drawing/2014/main" id="{44DFD377-D6F3-2021-3B2D-23F9D29F12D3}"/>
                        </a:ext>
                      </a:extLst>
                    </xdr:cNvPr>
                    <xdr:cNvCxnSpPr/>
                  </xdr:nvCxnSpPr>
                  <xdr:spPr>
                    <a:xfrm>
                      <a:off x="1212346" y="5570360"/>
                      <a:ext cx="737511" cy="0"/>
                    </a:xfrm>
                    <a:prstGeom prst="line">
                      <a:avLst/>
                    </a:prstGeom>
                    <a:ln w="28575">
                      <a:solidFill>
                        <a:srgbClr val="0070C0"/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211" name="Straight Connector 210">
                      <a:extLst>
                        <a:ext uri="{FF2B5EF4-FFF2-40B4-BE49-F238E27FC236}">
                          <a16:creationId xmlns:a16="http://schemas.microsoft.com/office/drawing/2014/main" id="{BE0B95EA-179F-78F1-0BC2-63F0485712AC}"/>
                        </a:ext>
                      </a:extLst>
                    </xdr:cNvPr>
                    <xdr:cNvCxnSpPr/>
                  </xdr:nvCxnSpPr>
                  <xdr:spPr>
                    <a:xfrm flipV="1">
                      <a:off x="1937448" y="4917571"/>
                      <a:ext cx="605762" cy="660233"/>
                    </a:xfrm>
                    <a:prstGeom prst="line">
                      <a:avLst/>
                    </a:prstGeom>
                    <a:ln w="28575">
                      <a:solidFill>
                        <a:srgbClr val="0070C0"/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  <xdr:cxnSp macro="">
                <xdr:nvCxnSpPr>
                  <xdr:cNvPr id="203" name="Straight Arrow Connector 202">
                    <a:extLst>
                      <a:ext uri="{FF2B5EF4-FFF2-40B4-BE49-F238E27FC236}">
                        <a16:creationId xmlns:a16="http://schemas.microsoft.com/office/drawing/2014/main" id="{969BCDEB-087D-970E-128D-E44E03444DAE}"/>
                      </a:ext>
                    </a:extLst>
                  </xdr:cNvPr>
                  <xdr:cNvCxnSpPr/>
                </xdr:nvCxnSpPr>
                <xdr:spPr>
                  <a:xfrm>
                    <a:off x="2400256" y="2975705"/>
                    <a:ext cx="0" cy="628650"/>
                  </a:xfrm>
                  <a:prstGeom prst="straightConnector1">
                    <a:avLst/>
                  </a:prstGeom>
                  <a:ln w="28575">
                    <a:solidFill>
                      <a:srgbClr val="FF0000"/>
                    </a:solidFill>
                    <a:tailEnd type="stealth" w="lg" len="lg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204" name="TextBox 203">
                    <a:extLst>
                      <a:ext uri="{FF2B5EF4-FFF2-40B4-BE49-F238E27FC236}">
                        <a16:creationId xmlns:a16="http://schemas.microsoft.com/office/drawing/2014/main" id="{4B82DD77-34EF-A59D-22A7-E528ACAC0DF6}"/>
                      </a:ext>
                    </a:extLst>
                  </xdr:cNvPr>
                  <xdr:cNvSpPr txBox="1"/>
                </xdr:nvSpPr>
                <xdr:spPr>
                  <a:xfrm>
                    <a:off x="2361340" y="2909747"/>
                    <a:ext cx="523452" cy="21696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n-US" altLang="ko-KR" sz="1050" b="1">
                        <a:solidFill>
                          <a:srgbClr val="0070C0"/>
                        </a:solidFill>
                      </a:rPr>
                      <a:t>P</a:t>
                    </a:r>
                    <a:endParaRPr lang="en-US" sz="1050" b="1">
                      <a:solidFill>
                        <a:srgbClr val="0070C0"/>
                      </a:solidFill>
                    </a:endParaRPr>
                  </a:p>
                </xdr:txBody>
              </xdr:sp>
            </xdr:grpSp>
            <xdr:cxnSp macro="">
              <xdr:nvCxnSpPr>
                <xdr:cNvPr id="201" name="Straight Connector 200">
                  <a:extLst>
                    <a:ext uri="{FF2B5EF4-FFF2-40B4-BE49-F238E27FC236}">
                      <a16:creationId xmlns:a16="http://schemas.microsoft.com/office/drawing/2014/main" id="{CDA6B9F9-7F7E-4FB2-384C-ED5A10D52E86}"/>
                    </a:ext>
                  </a:extLst>
                </xdr:cNvPr>
                <xdr:cNvCxnSpPr>
                  <a:stCxn id="205" idx="5"/>
                  <a:endCxn id="205" idx="2"/>
                </xdr:cNvCxnSpPr>
              </xdr:nvCxnSpPr>
              <xdr:spPr>
                <a:xfrm>
                  <a:off x="1273335" y="2045876"/>
                  <a:ext cx="728223" cy="0"/>
                </a:xfrm>
                <a:prstGeom prst="line">
                  <a:avLst/>
                </a:prstGeom>
                <a:ln>
                  <a:solidFill>
                    <a:srgbClr val="FF0000"/>
                  </a:solidFill>
                  <a:prstDash val="sysDot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99" name="Parallelogram 198">
                <a:extLst>
                  <a:ext uri="{FF2B5EF4-FFF2-40B4-BE49-F238E27FC236}">
                    <a16:creationId xmlns:a16="http://schemas.microsoft.com/office/drawing/2014/main" id="{981AD78C-9ED3-BD0F-9852-AC90EFC3DC19}"/>
                  </a:ext>
                </a:extLst>
              </xdr:cNvPr>
              <xdr:cNvSpPr/>
            </xdr:nvSpPr>
            <xdr:spPr>
              <a:xfrm>
                <a:off x="975121" y="3559969"/>
                <a:ext cx="1314398" cy="641471"/>
              </a:xfrm>
              <a:prstGeom prst="parallelogram">
                <a:avLst>
                  <a:gd name="adj" fmla="val 92143"/>
                </a:avLst>
              </a:prstGeom>
              <a:noFill/>
              <a:ln>
                <a:solidFill>
                  <a:srgbClr val="0070C0"/>
                </a:solidFill>
                <a:prstDash val="sysDot"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cxnSp macro="">
          <xdr:nvCxnSpPr>
            <xdr:cNvPr id="197" name="Straight Connector 196">
              <a:extLst>
                <a:ext uri="{FF2B5EF4-FFF2-40B4-BE49-F238E27FC236}">
                  <a16:creationId xmlns:a16="http://schemas.microsoft.com/office/drawing/2014/main" id="{B95CE3B3-FD85-F4FC-B8CA-3BC055C5B2E5}"/>
                </a:ext>
              </a:extLst>
            </xdr:cNvPr>
            <xdr:cNvCxnSpPr>
              <a:stCxn id="205" idx="3"/>
              <a:endCxn id="205" idx="1"/>
            </xdr:cNvCxnSpPr>
          </xdr:nvCxnSpPr>
          <xdr:spPr>
            <a:xfrm flipV="1">
              <a:off x="1039845" y="1503838"/>
              <a:ext cx="590456" cy="640803"/>
            </a:xfrm>
            <a:prstGeom prst="line">
              <a:avLst/>
            </a:prstGeom>
            <a:ln>
              <a:solidFill>
                <a:srgbClr val="FF0000"/>
              </a:solidFill>
              <a:prstDash val="sysDot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12" name="Straight Connector 211">
            <a:extLst>
              <a:ext uri="{FF2B5EF4-FFF2-40B4-BE49-F238E27FC236}">
                <a16:creationId xmlns:a16="http://schemas.microsoft.com/office/drawing/2014/main" id="{B54D4950-DA1E-44EC-B790-A37842D69E4E}"/>
              </a:ext>
            </a:extLst>
          </xdr:cNvPr>
          <xdr:cNvCxnSpPr/>
        </xdr:nvCxnSpPr>
        <xdr:spPr>
          <a:xfrm flipH="1">
            <a:off x="684609" y="5292328"/>
            <a:ext cx="410766" cy="0"/>
          </a:xfrm>
          <a:prstGeom prst="line">
            <a:avLst/>
          </a:prstGeom>
          <a:ln w="3175">
            <a:headEnd type="none"/>
            <a:tailEnd type="oval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5" name="Straight Connector 214">
            <a:extLst>
              <a:ext uri="{FF2B5EF4-FFF2-40B4-BE49-F238E27FC236}">
                <a16:creationId xmlns:a16="http://schemas.microsoft.com/office/drawing/2014/main" id="{2FF22BC7-7C89-48E4-A293-F55F6406B760}"/>
              </a:ext>
            </a:extLst>
          </xdr:cNvPr>
          <xdr:cNvCxnSpPr/>
        </xdr:nvCxnSpPr>
        <xdr:spPr>
          <a:xfrm flipH="1">
            <a:off x="104774" y="5926931"/>
            <a:ext cx="410766" cy="0"/>
          </a:xfrm>
          <a:prstGeom prst="line">
            <a:avLst/>
          </a:prstGeom>
          <a:ln w="3175">
            <a:headEnd type="none"/>
            <a:tailEnd type="oval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6" name="Straight Connector 215">
            <a:extLst>
              <a:ext uri="{FF2B5EF4-FFF2-40B4-BE49-F238E27FC236}">
                <a16:creationId xmlns:a16="http://schemas.microsoft.com/office/drawing/2014/main" id="{154948A0-947E-4C65-82EE-C4586A5CF54E}"/>
              </a:ext>
            </a:extLst>
          </xdr:cNvPr>
          <xdr:cNvCxnSpPr/>
        </xdr:nvCxnSpPr>
        <xdr:spPr>
          <a:xfrm flipH="1">
            <a:off x="101203" y="5280422"/>
            <a:ext cx="595312" cy="644753"/>
          </a:xfrm>
          <a:prstGeom prst="line">
            <a:avLst/>
          </a:prstGeom>
          <a:ln w="3175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0" name="Straight Connector 219">
            <a:extLst>
              <a:ext uri="{FF2B5EF4-FFF2-40B4-BE49-F238E27FC236}">
                <a16:creationId xmlns:a16="http://schemas.microsoft.com/office/drawing/2014/main" id="{B9339F00-9157-4551-A5A4-84EAFC3E73B5}"/>
              </a:ext>
            </a:extLst>
          </xdr:cNvPr>
          <xdr:cNvCxnSpPr/>
        </xdr:nvCxnSpPr>
        <xdr:spPr>
          <a:xfrm flipH="1">
            <a:off x="785813" y="5464969"/>
            <a:ext cx="613172" cy="0"/>
          </a:xfrm>
          <a:prstGeom prst="line">
            <a:avLst/>
          </a:prstGeom>
          <a:ln w="3175">
            <a:headEnd type="none"/>
            <a:tailEnd type="oval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2" name="Straight Connector 221">
            <a:extLst>
              <a:ext uri="{FF2B5EF4-FFF2-40B4-BE49-F238E27FC236}">
                <a16:creationId xmlns:a16="http://schemas.microsoft.com/office/drawing/2014/main" id="{3735DACF-8437-425C-B1CF-524786054C62}"/>
              </a:ext>
            </a:extLst>
          </xdr:cNvPr>
          <xdr:cNvCxnSpPr/>
        </xdr:nvCxnSpPr>
        <xdr:spPr>
          <a:xfrm flipH="1">
            <a:off x="640557" y="5617368"/>
            <a:ext cx="613172" cy="0"/>
          </a:xfrm>
          <a:prstGeom prst="line">
            <a:avLst/>
          </a:prstGeom>
          <a:ln w="3175">
            <a:headEnd type="none"/>
            <a:tailEnd type="oval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3" name="Straight Connector 222">
            <a:extLst>
              <a:ext uri="{FF2B5EF4-FFF2-40B4-BE49-F238E27FC236}">
                <a16:creationId xmlns:a16="http://schemas.microsoft.com/office/drawing/2014/main" id="{3ADB5561-7E0B-43F2-A25D-7BB4AF334FA4}"/>
              </a:ext>
            </a:extLst>
          </xdr:cNvPr>
          <xdr:cNvCxnSpPr/>
        </xdr:nvCxnSpPr>
        <xdr:spPr>
          <a:xfrm flipH="1">
            <a:off x="648891" y="5459015"/>
            <a:ext cx="142874" cy="154740"/>
          </a:xfrm>
          <a:prstGeom prst="line">
            <a:avLst/>
          </a:prstGeom>
          <a:ln w="3175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7" name="TextBox 226">
            <a:extLst>
              <a:ext uri="{FF2B5EF4-FFF2-40B4-BE49-F238E27FC236}">
                <a16:creationId xmlns:a16="http://schemas.microsoft.com/office/drawing/2014/main" id="{F4F831D6-F46F-4B56-B3C9-515294D30D6C}"/>
              </a:ext>
            </a:extLst>
          </xdr:cNvPr>
          <xdr:cNvSpPr txBox="1"/>
        </xdr:nvSpPr>
        <xdr:spPr>
          <a:xfrm>
            <a:off x="238125" y="5417343"/>
            <a:ext cx="278892" cy="2514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900"/>
              <a:t>h</a:t>
            </a:r>
            <a:endParaRPr lang="en-US" sz="900"/>
          </a:p>
        </xdr:txBody>
      </xdr:sp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39DE1B9F-A97B-4F3B-BBFE-1C9F3111F1EA}"/>
              </a:ext>
            </a:extLst>
          </xdr:cNvPr>
          <xdr:cNvSpPr txBox="1"/>
        </xdr:nvSpPr>
        <xdr:spPr>
          <a:xfrm>
            <a:off x="521494" y="5367336"/>
            <a:ext cx="278892" cy="2514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900"/>
              <a:t>e</a:t>
            </a:r>
            <a:endParaRPr lang="en-US" sz="900"/>
          </a:p>
        </xdr:txBody>
      </xdr:sp>
    </xdr:grpSp>
    <xdr:clientData/>
  </xdr:twoCellAnchor>
  <xdr:twoCellAnchor>
    <xdr:from>
      <xdr:col>3</xdr:col>
      <xdr:colOff>591009</xdr:colOff>
      <xdr:row>40</xdr:row>
      <xdr:rowOff>89383</xdr:rowOff>
    </xdr:from>
    <xdr:to>
      <xdr:col>10</xdr:col>
      <xdr:colOff>159670</xdr:colOff>
      <xdr:row>54</xdr:row>
      <xdr:rowOff>128208</xdr:rowOff>
    </xdr:to>
    <xdr:grpSp>
      <xdr:nvGrpSpPr>
        <xdr:cNvPr id="244" name="Group 243">
          <a:extLst>
            <a:ext uri="{FF2B5EF4-FFF2-40B4-BE49-F238E27FC236}">
              <a16:creationId xmlns:a16="http://schemas.microsoft.com/office/drawing/2014/main" id="{F01D5D7E-3D60-207E-0CF9-7B834521A790}"/>
            </a:ext>
          </a:extLst>
        </xdr:cNvPr>
        <xdr:cNvGrpSpPr/>
      </xdr:nvGrpSpPr>
      <xdr:grpSpPr>
        <a:xfrm>
          <a:off x="2534109" y="7937983"/>
          <a:ext cx="4178761" cy="2705825"/>
          <a:chOff x="46724" y="5208390"/>
          <a:chExt cx="4170597" cy="2705825"/>
        </a:xfrm>
      </xdr:grpSpPr>
      <xdr:grpSp>
        <xdr:nvGrpSpPr>
          <xdr:cNvPr id="242" name="Group 241">
            <a:extLst>
              <a:ext uri="{FF2B5EF4-FFF2-40B4-BE49-F238E27FC236}">
                <a16:creationId xmlns:a16="http://schemas.microsoft.com/office/drawing/2014/main" id="{399C183E-C72C-E358-528A-C83B73BF001E}"/>
              </a:ext>
            </a:extLst>
          </xdr:cNvPr>
          <xdr:cNvGrpSpPr/>
        </xdr:nvGrpSpPr>
        <xdr:grpSpPr>
          <a:xfrm>
            <a:off x="46724" y="5208390"/>
            <a:ext cx="4170597" cy="2705825"/>
            <a:chOff x="2516420" y="5184577"/>
            <a:chExt cx="4170597" cy="2705825"/>
          </a:xfrm>
        </xdr:grpSpPr>
        <xdr:grpSp>
          <xdr:nvGrpSpPr>
            <xdr:cNvPr id="145" name="Group 144">
              <a:extLst>
                <a:ext uri="{FF2B5EF4-FFF2-40B4-BE49-F238E27FC236}">
                  <a16:creationId xmlns:a16="http://schemas.microsoft.com/office/drawing/2014/main" id="{F6F7A8F0-46F5-4BD1-AEB3-CE3C937FF194}"/>
                </a:ext>
              </a:extLst>
            </xdr:cNvPr>
            <xdr:cNvGrpSpPr/>
          </xdr:nvGrpSpPr>
          <xdr:grpSpPr>
            <a:xfrm>
              <a:off x="2516420" y="5184577"/>
              <a:ext cx="4170597" cy="2705825"/>
              <a:chOff x="2544365" y="1327545"/>
              <a:chExt cx="4178081" cy="2707481"/>
            </a:xfrm>
          </xdr:grpSpPr>
          <xdr:grpSp>
            <xdr:nvGrpSpPr>
              <xdr:cNvPr id="146" name="Group 145">
                <a:extLst>
                  <a:ext uri="{FF2B5EF4-FFF2-40B4-BE49-F238E27FC236}">
                    <a16:creationId xmlns:a16="http://schemas.microsoft.com/office/drawing/2014/main" id="{D3F5CC37-DC35-3C5B-583D-E2FC80A98C58}"/>
                  </a:ext>
                </a:extLst>
              </xdr:cNvPr>
              <xdr:cNvGrpSpPr/>
            </xdr:nvGrpSpPr>
            <xdr:grpSpPr>
              <a:xfrm>
                <a:off x="2544365" y="1327545"/>
                <a:ext cx="4178081" cy="2707481"/>
                <a:chOff x="2625328" y="1351358"/>
                <a:chExt cx="4180462" cy="2708671"/>
              </a:xfrm>
            </xdr:grpSpPr>
            <xdr:sp macro="" textlink="">
              <xdr:nvSpPr>
                <xdr:cNvPr id="148" name="Rectangle 147">
                  <a:extLst>
                    <a:ext uri="{FF2B5EF4-FFF2-40B4-BE49-F238E27FC236}">
                      <a16:creationId xmlns:a16="http://schemas.microsoft.com/office/drawing/2014/main" id="{1D7EB6E5-7A1C-D5D5-BA2D-29D8AA2E99A3}"/>
                    </a:ext>
                  </a:extLst>
                </xdr:cNvPr>
                <xdr:cNvSpPr/>
              </xdr:nvSpPr>
              <xdr:spPr>
                <a:xfrm>
                  <a:off x="2625328" y="1351358"/>
                  <a:ext cx="4107656" cy="2708671"/>
                </a:xfrm>
                <a:prstGeom prst="rect">
                  <a:avLst/>
                </a:prstGeom>
                <a:solidFill>
                  <a:schemeClr val="bg1">
                    <a:lumMod val="85000"/>
                  </a:schemeClr>
                </a:solidFill>
                <a:ln w="12700"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150" name="Group 149">
                  <a:extLst>
                    <a:ext uri="{FF2B5EF4-FFF2-40B4-BE49-F238E27FC236}">
                      <a16:creationId xmlns:a16="http://schemas.microsoft.com/office/drawing/2014/main" id="{F1632B1E-3C0B-C209-6131-F6DAE0D8F2A0}"/>
                    </a:ext>
                  </a:extLst>
                </xdr:cNvPr>
                <xdr:cNvGrpSpPr/>
              </xdr:nvGrpSpPr>
              <xdr:grpSpPr>
                <a:xfrm>
                  <a:off x="2961249" y="1472620"/>
                  <a:ext cx="3844541" cy="1820605"/>
                  <a:chOff x="2972358" y="1643429"/>
                  <a:chExt cx="3836339" cy="1817490"/>
                </a:xfrm>
              </xdr:grpSpPr>
              <xdr:sp macro="" textlink="">
                <xdr:nvSpPr>
                  <xdr:cNvPr id="153" name="TextBox 152">
                    <a:extLst>
                      <a:ext uri="{FF2B5EF4-FFF2-40B4-BE49-F238E27FC236}">
                        <a16:creationId xmlns:a16="http://schemas.microsoft.com/office/drawing/2014/main" id="{0F961D48-0917-0AAF-C3E6-F6DF68D80C2D}"/>
                      </a:ext>
                    </a:extLst>
                  </xdr:cNvPr>
                  <xdr:cNvSpPr txBox="1"/>
                </xdr:nvSpPr>
                <xdr:spPr>
                  <a:xfrm>
                    <a:off x="5574323" y="1643429"/>
                    <a:ext cx="1234374" cy="146957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n-US" altLang="ko-KR" sz="900">
                        <a:solidFill>
                          <a:srgbClr val="0070C0"/>
                        </a:solidFill>
                      </a:rPr>
                      <a:t>Strain</a:t>
                    </a:r>
                    <a:endParaRPr lang="en-US" sz="900">
                      <a:solidFill>
                        <a:srgbClr val="0070C0"/>
                      </a:solidFill>
                    </a:endParaRPr>
                  </a:p>
                </xdr:txBody>
              </xdr:sp>
              <xdr:sp macro="" textlink="">
                <xdr:nvSpPr>
                  <xdr:cNvPr id="154" name="TextBox 153">
                    <a:extLst>
                      <a:ext uri="{FF2B5EF4-FFF2-40B4-BE49-F238E27FC236}">
                        <a16:creationId xmlns:a16="http://schemas.microsoft.com/office/drawing/2014/main" id="{1C6C8487-76B0-AC69-EC0D-35F8908AA8EC}"/>
                      </a:ext>
                    </a:extLst>
                  </xdr:cNvPr>
                  <xdr:cNvSpPr txBox="1"/>
                </xdr:nvSpPr>
                <xdr:spPr>
                  <a:xfrm>
                    <a:off x="5703609" y="1795829"/>
                    <a:ext cx="393918" cy="18327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l-GR" altLang="ko-KR" sz="900"/>
                      <a:t>ε</a:t>
                    </a:r>
                    <a:r>
                      <a:rPr lang="en-US" altLang="ko-KR" sz="900"/>
                      <a:t>cu</a:t>
                    </a:r>
                    <a:endParaRPr lang="en-US" sz="900"/>
                  </a:p>
                </xdr:txBody>
              </xdr:sp>
              <xdr:sp macro="" textlink="">
                <xdr:nvSpPr>
                  <xdr:cNvPr id="156" name="TextBox 155">
                    <a:extLst>
                      <a:ext uri="{FF2B5EF4-FFF2-40B4-BE49-F238E27FC236}">
                        <a16:creationId xmlns:a16="http://schemas.microsoft.com/office/drawing/2014/main" id="{4BFA476B-3F7A-89C0-43FA-96B6786881EC}"/>
                      </a:ext>
                    </a:extLst>
                  </xdr:cNvPr>
                  <xdr:cNvSpPr txBox="1"/>
                </xdr:nvSpPr>
                <xdr:spPr>
                  <a:xfrm>
                    <a:off x="5155652" y="3277644"/>
                    <a:ext cx="520059" cy="18327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n-US" altLang="ko-KR" sz="900"/>
                      <a:t>fs = 0</a:t>
                    </a:r>
                    <a:endParaRPr lang="en-US" sz="900"/>
                  </a:p>
                </xdr:txBody>
              </xdr:sp>
              <xdr:grpSp>
                <xdr:nvGrpSpPr>
                  <xdr:cNvPr id="160" name="Group 159">
                    <a:extLst>
                      <a:ext uri="{FF2B5EF4-FFF2-40B4-BE49-F238E27FC236}">
                        <a16:creationId xmlns:a16="http://schemas.microsoft.com/office/drawing/2014/main" id="{9DBB5F64-3C21-58A6-7633-7E446FA7F31B}"/>
                      </a:ext>
                    </a:extLst>
                  </xdr:cNvPr>
                  <xdr:cNvGrpSpPr/>
                </xdr:nvGrpSpPr>
                <xdr:grpSpPr>
                  <a:xfrm>
                    <a:off x="2972358" y="1984290"/>
                    <a:ext cx="2600157" cy="1327345"/>
                    <a:chOff x="205411" y="469913"/>
                    <a:chExt cx="2612475" cy="1312311"/>
                  </a:xfrm>
                </xdr:grpSpPr>
                <xdr:grpSp>
                  <xdr:nvGrpSpPr>
                    <xdr:cNvPr id="166" name="Group 165">
                      <a:extLst>
                        <a:ext uri="{FF2B5EF4-FFF2-40B4-BE49-F238E27FC236}">
                          <a16:creationId xmlns:a16="http://schemas.microsoft.com/office/drawing/2014/main" id="{F703B3B8-264B-1B5A-5D0A-1567D83E6231}"/>
                        </a:ext>
                      </a:extLst>
                    </xdr:cNvPr>
                    <xdr:cNvGrpSpPr/>
                  </xdr:nvGrpSpPr>
                  <xdr:grpSpPr>
                    <a:xfrm>
                      <a:off x="211474" y="469913"/>
                      <a:ext cx="2606412" cy="1312311"/>
                      <a:chOff x="237350" y="459755"/>
                      <a:chExt cx="2608527" cy="1325096"/>
                    </a:xfrm>
                  </xdr:grpSpPr>
                  <xdr:grpSp>
                    <xdr:nvGrpSpPr>
                      <xdr:cNvPr id="169" name="Group 168">
                        <a:extLst>
                          <a:ext uri="{FF2B5EF4-FFF2-40B4-BE49-F238E27FC236}">
                            <a16:creationId xmlns:a16="http://schemas.microsoft.com/office/drawing/2014/main" id="{31A4F84F-4E6D-AA44-EF18-78581CFB1DF2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237350" y="459755"/>
                        <a:ext cx="2608527" cy="1325096"/>
                        <a:chOff x="416087" y="533079"/>
                        <a:chExt cx="2606119" cy="1312107"/>
                      </a:xfrm>
                    </xdr:grpSpPr>
                    <xdr:grpSp>
                      <xdr:nvGrpSpPr>
                        <xdr:cNvPr id="180" name="Group 179">
                          <a:extLst>
                            <a:ext uri="{FF2B5EF4-FFF2-40B4-BE49-F238E27FC236}">
                              <a16:creationId xmlns:a16="http://schemas.microsoft.com/office/drawing/2014/main" id="{6BD5F0BB-6BAC-A878-1234-3BDEE8BDC51A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946548" y="533079"/>
                          <a:ext cx="2075658" cy="1312107"/>
                          <a:chOff x="2571640" y="537742"/>
                          <a:chExt cx="2070171" cy="1290677"/>
                        </a:xfrm>
                      </xdr:grpSpPr>
                      <xdr:grpSp>
                        <xdr:nvGrpSpPr>
                          <xdr:cNvPr id="188" name="Group 187">
                            <a:extLst>
                              <a:ext uri="{FF2B5EF4-FFF2-40B4-BE49-F238E27FC236}">
                                <a16:creationId xmlns:a16="http://schemas.microsoft.com/office/drawing/2014/main" id="{23A5F2EE-7625-C3DA-75AA-FD0886EE7C61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3029923" y="537742"/>
                            <a:ext cx="1611888" cy="1290677"/>
                            <a:chOff x="6520113" y="168438"/>
                            <a:chExt cx="1981989" cy="1290026"/>
                          </a:xfrm>
                        </xdr:grpSpPr>
                        <xdr:sp macro="" textlink="">
                          <xdr:nvSpPr>
                            <xdr:cNvPr id="189" name="Rectangle 188">
                              <a:extLst>
                                <a:ext uri="{FF2B5EF4-FFF2-40B4-BE49-F238E27FC236}">
                                  <a16:creationId xmlns:a16="http://schemas.microsoft.com/office/drawing/2014/main" id="{523B62B6-20E0-ECC6-29FE-CC255BE4906F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6520113" y="171450"/>
                              <a:ext cx="1270836" cy="1287014"/>
                            </a:xfrm>
                            <a:prstGeom prst="rect">
                              <a:avLst/>
                            </a:prstGeom>
                            <a:solidFill>
                              <a:schemeClr val="accent1">
                                <a:lumMod val="40000"/>
                                <a:lumOff val="60000"/>
                              </a:schemeClr>
                            </a:solidFill>
                            <a:ln w="22225">
                              <a:solidFill>
                                <a:schemeClr val="tx2"/>
                              </a:solidFill>
                            </a:ln>
                          </xdr:spPr>
                          <xdr:style>
                            <a:lnRef idx="2">
                              <a:schemeClr val="accent1">
                                <a:shade val="15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ctr"/>
                            <a:lstStyle/>
                            <a:p>
                              <a:pPr algn="ctr"/>
                              <a:r>
                                <a:rPr lang="en-US" sz="900">
                                  <a:solidFill>
                                    <a:srgbClr val="FF0000"/>
                                  </a:solidFill>
                                </a:rPr>
                                <a:t>Compression</a:t>
                              </a:r>
                            </a:p>
                          </xdr:txBody>
                        </xdr:sp>
                        <xdr:grpSp>
                          <xdr:nvGrpSpPr>
                            <xdr:cNvPr id="190" name="Group 189">
                              <a:extLst>
                                <a:ext uri="{FF2B5EF4-FFF2-40B4-BE49-F238E27FC236}">
                                  <a16:creationId xmlns:a16="http://schemas.microsoft.com/office/drawing/2014/main" id="{03333E88-7DD6-6712-246E-91062E84C65C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7826429" y="168438"/>
                              <a:ext cx="675673" cy="1278793"/>
                              <a:chOff x="11633394" y="4191000"/>
                              <a:chExt cx="545402" cy="600696"/>
                            </a:xfrm>
                          </xdr:grpSpPr>
                          <xdr:sp macro="" textlink="">
                            <xdr:nvSpPr>
                              <xdr:cNvPr id="191" name="TextBox 190">
                                <a:extLst>
                                  <a:ext uri="{FF2B5EF4-FFF2-40B4-BE49-F238E27FC236}">
                                    <a16:creationId xmlns:a16="http://schemas.microsoft.com/office/drawing/2014/main" id="{83ECA1BF-F33C-203C-8175-0D3D2C76CB61}"/>
                                  </a:ext>
                                </a:extLst>
                              </xdr:cNvPr>
                              <xdr:cNvSpPr txBox="1"/>
                            </xdr:nvSpPr>
                            <xdr:spPr>
                              <a:xfrm>
                                <a:off x="11691498" y="4419374"/>
                                <a:ext cx="487298" cy="114707"/>
                              </a:xfrm>
                              <a:prstGeom prst="rect">
                                <a:avLst/>
                              </a:prstGeom>
                              <a:noFill/>
                              <a:ln w="9525" cmpd="sng">
                                <a:noFill/>
                              </a:ln>
                            </xdr:spPr>
                            <xdr:style>
                              <a:lnRef idx="0">
                                <a:scrgbClr r="0" g="0" b="0"/>
                              </a:lnRef>
                              <a:fillRef idx="0">
                                <a:scrgbClr r="0" g="0" b="0"/>
                              </a:fillRef>
                              <a:effectRef idx="0">
                                <a:scrgbClr r="0" g="0" b="0"/>
                              </a:effectRef>
                              <a:fontRef idx="minor">
                                <a:schemeClr val="dk1"/>
                              </a:fontRef>
                            </xdr:style>
                            <xdr:txBody>
                              <a:bodyPr vertOverflow="clip" horzOverflow="clip" wrap="square" rtlCol="0" anchor="ctr"/>
                              <a:lstStyle/>
                              <a:p>
                                <a:r>
                                  <a:rPr lang="en-US" altLang="ko-KR" sz="1000" b="1">
                                    <a:solidFill>
                                      <a:srgbClr val="FF0000"/>
                                    </a:solidFill>
                                  </a:rPr>
                                  <a:t>c1</a:t>
                                </a:r>
                                <a:endParaRPr lang="en-US" sz="1000" b="1">
                                  <a:solidFill>
                                    <a:srgbClr val="FF0000"/>
                                  </a:solidFill>
                                </a:endParaRPr>
                              </a:p>
                            </xdr:txBody>
                          </xdr:sp>
                          <xdr:cxnSp macro="">
                            <xdr:nvCxnSpPr>
                              <xdr:cNvPr id="192" name="Straight Connector 191">
                                <a:extLst>
                                  <a:ext uri="{FF2B5EF4-FFF2-40B4-BE49-F238E27FC236}">
                                    <a16:creationId xmlns:a16="http://schemas.microsoft.com/office/drawing/2014/main" id="{DB719E71-3FAA-3848-3102-139357271D24}"/>
                                  </a:ext>
                                </a:extLst>
                              </xdr:cNvPr>
                              <xdr:cNvCxnSpPr/>
                            </xdr:nvCxnSpPr>
                            <xdr:spPr>
                              <a:xfrm>
                                <a:off x="11639046" y="4191000"/>
                                <a:ext cx="132711" cy="0"/>
                              </a:xfrm>
                              <a:prstGeom prst="line">
                                <a:avLst/>
                              </a:prstGeom>
                              <a:ln w="3175">
                                <a:headEnd type="none"/>
                                <a:tailEnd type="oval" w="sm" len="sm"/>
                              </a:ln>
                            </xdr:spPr>
                            <xdr:style>
                              <a:lnRef idx="1">
                                <a:schemeClr val="accent1"/>
                              </a:lnRef>
                              <a:fillRef idx="0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tx1"/>
                              </a:fontRef>
                            </xdr:style>
                          </xdr:cxnSp>
                          <xdr:cxnSp macro="">
                            <xdr:nvCxnSpPr>
                              <xdr:cNvPr id="193" name="Straight Connector 192">
                                <a:extLst>
                                  <a:ext uri="{FF2B5EF4-FFF2-40B4-BE49-F238E27FC236}">
                                    <a16:creationId xmlns:a16="http://schemas.microsoft.com/office/drawing/2014/main" id="{E2E6E890-3F7F-534C-D990-B0B793FCD173}"/>
                                  </a:ext>
                                </a:extLst>
                              </xdr:cNvPr>
                              <xdr:cNvCxnSpPr/>
                            </xdr:nvCxnSpPr>
                            <xdr:spPr>
                              <a:xfrm>
                                <a:off x="11769797" y="4193910"/>
                                <a:ext cx="0" cy="597786"/>
                              </a:xfrm>
                              <a:prstGeom prst="line">
                                <a:avLst/>
                              </a:prstGeom>
                              <a:ln w="3175"/>
                            </xdr:spPr>
                            <xdr:style>
                              <a:lnRef idx="1">
                                <a:schemeClr val="accent1"/>
                              </a:lnRef>
                              <a:fillRef idx="0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tx1"/>
                              </a:fontRef>
                            </xdr:style>
                          </xdr:cxnSp>
                          <xdr:cxnSp macro="">
                            <xdr:nvCxnSpPr>
                              <xdr:cNvPr id="194" name="Straight Connector 193">
                                <a:extLst>
                                  <a:ext uri="{FF2B5EF4-FFF2-40B4-BE49-F238E27FC236}">
                                    <a16:creationId xmlns:a16="http://schemas.microsoft.com/office/drawing/2014/main" id="{9E171854-5345-29A7-0DE6-D3425B23EBCD}"/>
                                  </a:ext>
                                </a:extLst>
                              </xdr:cNvPr>
                              <xdr:cNvCxnSpPr/>
                            </xdr:nvCxnSpPr>
                            <xdr:spPr>
                              <a:xfrm>
                                <a:off x="11633394" y="4786385"/>
                                <a:ext cx="137339" cy="0"/>
                              </a:xfrm>
                              <a:prstGeom prst="line">
                                <a:avLst/>
                              </a:prstGeom>
                              <a:ln w="3175">
                                <a:headEnd type="none"/>
                                <a:tailEnd type="oval" w="sm" len="sm"/>
                              </a:ln>
                            </xdr:spPr>
                            <xdr:style>
                              <a:lnRef idx="1">
                                <a:schemeClr val="accent1"/>
                              </a:lnRef>
                              <a:fillRef idx="0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tx1"/>
                              </a:fontRef>
                            </xdr:style>
                          </xdr:cxnSp>
                        </xdr:grpSp>
                      </xdr:grpSp>
                      <xdr:cxnSp macro="">
                        <xdr:nvCxnSpPr>
                          <xdr:cNvPr id="186" name="Straight Connector 185">
                            <a:extLst>
                              <a:ext uri="{FF2B5EF4-FFF2-40B4-BE49-F238E27FC236}">
                                <a16:creationId xmlns:a16="http://schemas.microsoft.com/office/drawing/2014/main" id="{5DE6CB6C-95E3-9BF6-8E66-3C77053A94BD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2571640" y="1253289"/>
                            <a:ext cx="1710732" cy="0"/>
                          </a:xfrm>
                          <a:prstGeom prst="line">
                            <a:avLst/>
                          </a:prstGeom>
                          <a:ln w="6350">
                            <a:solidFill>
                              <a:srgbClr val="FF0000"/>
                            </a:solidFill>
                            <a:prstDash val="sysDot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</xdr:grpSp>
                    <xdr:cxnSp macro="">
                      <xdr:nvCxnSpPr>
                        <xdr:cNvPr id="181" name="Straight Arrow Connector 180">
                          <a:extLst>
                            <a:ext uri="{FF2B5EF4-FFF2-40B4-BE49-F238E27FC236}">
                              <a16:creationId xmlns:a16="http://schemas.microsoft.com/office/drawing/2014/main" id="{7972D753-7DA6-C585-AB98-8D4FD9383B73}"/>
                            </a:ext>
                          </a:extLst>
                        </xdr:cNvPr>
                        <xdr:cNvCxnSpPr/>
                      </xdr:nvCxnSpPr>
                      <xdr:spPr>
                        <a:xfrm flipH="1">
                          <a:off x="642937" y="689564"/>
                          <a:ext cx="357188" cy="0"/>
                        </a:xfrm>
                        <a:prstGeom prst="straightConnector1">
                          <a:avLst/>
                        </a:prstGeom>
                        <a:ln>
                          <a:solidFill>
                            <a:srgbClr val="FF0000"/>
                          </a:solidFill>
                          <a:tailEnd type="triangle"/>
                        </a:ln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sp macro="" textlink="">
                      <xdr:nvSpPr>
                        <xdr:cNvPr id="182" name="Arc 181">
                          <a:extLst>
                            <a:ext uri="{FF2B5EF4-FFF2-40B4-BE49-F238E27FC236}">
                              <a16:creationId xmlns:a16="http://schemas.microsoft.com/office/drawing/2014/main" id="{CE18639E-9B09-7BF7-291E-D00FA6C6B454}"/>
                            </a:ext>
                          </a:extLst>
                        </xdr:cNvPr>
                        <xdr:cNvSpPr/>
                      </xdr:nvSpPr>
                      <xdr:spPr>
                        <a:xfrm rot="18003407">
                          <a:off x="678926" y="1107881"/>
                          <a:ext cx="345660" cy="295610"/>
                        </a:xfrm>
                        <a:prstGeom prst="arc">
                          <a:avLst>
                            <a:gd name="adj1" fmla="val 7275827"/>
                            <a:gd name="adj2" fmla="val 0"/>
                          </a:avLst>
                        </a:prstGeom>
                        <a:ln>
                          <a:solidFill>
                            <a:srgbClr val="FF0000"/>
                          </a:solidFill>
                          <a:headEnd type="triangle" w="med" len="med"/>
                          <a:tailEnd type="none" w="med" len="med"/>
                        </a:ln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183" name="TextBox 182">
                          <a:extLst>
                            <a:ext uri="{FF2B5EF4-FFF2-40B4-BE49-F238E27FC236}">
                              <a16:creationId xmlns:a16="http://schemas.microsoft.com/office/drawing/2014/main" id="{65664A69-B3F4-E58E-4675-4FB0161EFAC9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416087" y="561169"/>
                          <a:ext cx="524471" cy="214312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ctr"/>
                        <a:lstStyle/>
                        <a:p>
                          <a:r>
                            <a:rPr lang="en-US" altLang="ko-KR" sz="900" b="1">
                              <a:solidFill>
                                <a:srgbClr val="0070C0"/>
                              </a:solidFill>
                            </a:rPr>
                            <a:t>Fs</a:t>
                          </a:r>
                          <a:endParaRPr lang="en-US" sz="900" b="1">
                            <a:solidFill>
                              <a:srgbClr val="0070C0"/>
                            </a:solidFill>
                          </a:endParaRPr>
                        </a:p>
                      </xdr:txBody>
                    </xdr:sp>
                    <xdr:sp macro="" textlink="">
                      <xdr:nvSpPr>
                        <xdr:cNvPr id="184" name="TextBox 183">
                          <a:extLst>
                            <a:ext uri="{FF2B5EF4-FFF2-40B4-BE49-F238E27FC236}">
                              <a16:creationId xmlns:a16="http://schemas.microsoft.com/office/drawing/2014/main" id="{1DFEC511-3EEB-D1E6-49F7-6183A7763BDF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423656" y="1131796"/>
                          <a:ext cx="569301" cy="214312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ctr"/>
                        <a:lstStyle/>
                        <a:p>
                          <a:r>
                            <a:rPr lang="en-US" altLang="ko-KR" sz="900" b="1">
                              <a:solidFill>
                                <a:srgbClr val="0070C0"/>
                              </a:solidFill>
                            </a:rPr>
                            <a:t>Mc+Ms</a:t>
                          </a:r>
                          <a:endParaRPr lang="en-US" sz="900" b="1">
                            <a:solidFill>
                              <a:srgbClr val="0070C0"/>
                            </a:solidFill>
                          </a:endParaRPr>
                        </a:p>
                      </xdr:txBody>
                    </xdr:sp>
                  </xdr:grpSp>
                  <xdr:grpSp>
                    <xdr:nvGrpSpPr>
                      <xdr:cNvPr id="170" name="Group 169">
                        <a:extLst>
                          <a:ext uri="{FF2B5EF4-FFF2-40B4-BE49-F238E27FC236}">
                            <a16:creationId xmlns:a16="http://schemas.microsoft.com/office/drawing/2014/main" id="{719BC884-9418-73E5-6DE7-D6DA38B9DA7B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348396" y="588819"/>
                        <a:ext cx="780486" cy="49254"/>
                        <a:chOff x="1339736" y="580159"/>
                        <a:chExt cx="780486" cy="49254"/>
                      </a:xfrm>
                    </xdr:grpSpPr>
                    <xdr:sp macro="" textlink="">
                      <xdr:nvSpPr>
                        <xdr:cNvPr id="176" name="Oval 175">
                          <a:extLst>
                            <a:ext uri="{FF2B5EF4-FFF2-40B4-BE49-F238E27FC236}">
                              <a16:creationId xmlns:a16="http://schemas.microsoft.com/office/drawing/2014/main" id="{998EBD7A-48F9-5E90-1197-B64DD20D2A77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339736" y="580159"/>
                          <a:ext cx="45719" cy="45719"/>
                        </a:xfrm>
                        <a:prstGeom prst="ellipse">
                          <a:avLst/>
                        </a:prstGeom>
                        <a:solidFill>
                          <a:srgbClr val="FF0000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177" name="Oval 176">
                          <a:extLst>
                            <a:ext uri="{FF2B5EF4-FFF2-40B4-BE49-F238E27FC236}">
                              <a16:creationId xmlns:a16="http://schemas.microsoft.com/office/drawing/2014/main" id="{5424004C-57F5-3E6D-65D8-05AFCC55D9CC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579202" y="581960"/>
                          <a:ext cx="45719" cy="45719"/>
                        </a:xfrm>
                        <a:prstGeom prst="ellipse">
                          <a:avLst/>
                        </a:prstGeom>
                        <a:solidFill>
                          <a:srgbClr val="FF0000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178" name="Oval 177">
                          <a:extLst>
                            <a:ext uri="{FF2B5EF4-FFF2-40B4-BE49-F238E27FC236}">
                              <a16:creationId xmlns:a16="http://schemas.microsoft.com/office/drawing/2014/main" id="{700B26EB-7B23-9D25-6520-82188EAB1413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831183" y="582827"/>
                          <a:ext cx="45719" cy="45719"/>
                        </a:xfrm>
                        <a:prstGeom prst="ellipse">
                          <a:avLst/>
                        </a:prstGeom>
                        <a:solidFill>
                          <a:srgbClr val="FF0000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179" name="Oval 178">
                          <a:extLst>
                            <a:ext uri="{FF2B5EF4-FFF2-40B4-BE49-F238E27FC236}">
                              <a16:creationId xmlns:a16="http://schemas.microsoft.com/office/drawing/2014/main" id="{ECD3BFB6-88E9-1B38-357F-C3D566B35035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074503" y="583694"/>
                          <a:ext cx="45719" cy="45719"/>
                        </a:xfrm>
                        <a:prstGeom prst="ellipse">
                          <a:avLst/>
                        </a:prstGeom>
                        <a:solidFill>
                          <a:srgbClr val="FF0000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</xdr:grpSp>
                </xdr:grpSp>
                <xdr:cxnSp macro="">
                  <xdr:nvCxnSpPr>
                    <xdr:cNvPr id="164" name="Straight Arrow Connector 163">
                      <a:extLst>
                        <a:ext uri="{FF2B5EF4-FFF2-40B4-BE49-F238E27FC236}">
                          <a16:creationId xmlns:a16="http://schemas.microsoft.com/office/drawing/2014/main" id="{0D7948B6-BCCD-DDB3-FBA2-9B90AA9245D5}"/>
                        </a:ext>
                      </a:extLst>
                    </xdr:cNvPr>
                    <xdr:cNvCxnSpPr/>
                  </xdr:nvCxnSpPr>
                  <xdr:spPr>
                    <a:xfrm flipH="1">
                      <a:off x="434578" y="834439"/>
                      <a:ext cx="357228" cy="0"/>
                    </a:xfrm>
                    <a:prstGeom prst="straightConnector1">
                      <a:avLst/>
                    </a:prstGeom>
                    <a:ln>
                      <a:solidFill>
                        <a:srgbClr val="FF0000"/>
                      </a:solidFill>
                      <a:tailEnd type="triangle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sp macro="" textlink="">
                  <xdr:nvSpPr>
                    <xdr:cNvPr id="165" name="TextBox 164">
                      <a:extLst>
                        <a:ext uri="{FF2B5EF4-FFF2-40B4-BE49-F238E27FC236}">
                          <a16:creationId xmlns:a16="http://schemas.microsoft.com/office/drawing/2014/main" id="{57C6D8F3-A0D4-6E5C-8A78-5C9298F46FFB}"/>
                        </a:ext>
                      </a:extLst>
                    </xdr:cNvPr>
                    <xdr:cNvSpPr txBox="1"/>
                  </xdr:nvSpPr>
                  <xdr:spPr>
                    <a:xfrm>
                      <a:off x="205411" y="708709"/>
                      <a:ext cx="452437" cy="214345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r>
                        <a:rPr lang="en-US" altLang="ko-KR" sz="900" b="1">
                          <a:solidFill>
                            <a:srgbClr val="0070C0"/>
                          </a:solidFill>
                        </a:rPr>
                        <a:t>Fc</a:t>
                      </a:r>
                      <a:endParaRPr lang="en-US" sz="900" b="1">
                        <a:solidFill>
                          <a:srgbClr val="0070C0"/>
                        </a:solidFill>
                      </a:endParaRPr>
                    </a:p>
                  </xdr:txBody>
                </xdr:sp>
              </xdr:grpSp>
            </xdr:grpSp>
          </xdr:grpSp>
          <xdr:sp macro="" textlink="">
            <xdr:nvSpPr>
              <xdr:cNvPr id="147" name="TextBox 146">
                <a:extLst>
                  <a:ext uri="{FF2B5EF4-FFF2-40B4-BE49-F238E27FC236}">
                    <a16:creationId xmlns:a16="http://schemas.microsoft.com/office/drawing/2014/main" id="{68812E4F-6D11-7D39-19AB-4993CFAEF560}"/>
                  </a:ext>
                </a:extLst>
              </xdr:cNvPr>
              <xdr:cNvSpPr txBox="1"/>
            </xdr:nvSpPr>
            <xdr:spPr>
              <a:xfrm>
                <a:off x="2668190" y="3533775"/>
                <a:ext cx="760810" cy="457200"/>
              </a:xfrm>
              <a:prstGeom prst="rect">
                <a:avLst/>
              </a:prstGeom>
              <a:noFill/>
              <a:ln w="19050" cmpd="sng">
                <a:solidFill>
                  <a:srgbClr val="FF0000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r>
                  <a:rPr lang="en-US" altLang="ko-KR" sz="1000" b="1">
                    <a:solidFill>
                      <a:srgbClr val="FF0000"/>
                    </a:solidFill>
                  </a:rPr>
                  <a:t>C = </a:t>
                </a:r>
                <a:r>
                  <a:rPr lang="en-US" altLang="ko-KR" sz="1000" b="1">
                    <a:solidFill>
                      <a:srgbClr val="FF0000"/>
                    </a:solidFill>
                    <a:sym typeface="Symbol" panose="05050102010706020507" pitchFamily="18" charset="2"/>
                  </a:rPr>
                  <a:t>  c1</a:t>
                </a:r>
                <a:endParaRPr lang="en-US" altLang="ko-KR" sz="1000" b="1">
                  <a:solidFill>
                    <a:srgbClr val="FF0000"/>
                  </a:solidFill>
                </a:endParaRPr>
              </a:p>
              <a:p>
                <a:r>
                  <a:rPr lang="en-US" sz="1000" b="1">
                    <a:solidFill>
                      <a:srgbClr val="FF0000"/>
                    </a:solidFill>
                  </a:rPr>
                  <a:t>e = 0  </a:t>
                </a:r>
                <a:r>
                  <a:rPr lang="en-US" sz="1000" b="1">
                    <a:solidFill>
                      <a:srgbClr val="FF0000"/>
                    </a:solidFill>
                    <a:sym typeface="Symbol" panose="05050102010706020507" pitchFamily="18" charset="2"/>
                  </a:rPr>
                  <a:t></a:t>
                </a:r>
                <a:r>
                  <a:rPr lang="en-US" sz="1000" b="1">
                    <a:solidFill>
                      <a:srgbClr val="FF0000"/>
                    </a:solidFill>
                  </a:rPr>
                  <a:t> e1</a:t>
                </a:r>
              </a:p>
            </xdr:txBody>
          </xdr:sp>
        </xdr:grpSp>
        <xdr:sp macro="" textlink="">
          <xdr:nvSpPr>
            <xdr:cNvPr id="231" name="Rectangle 230">
              <a:extLst>
                <a:ext uri="{FF2B5EF4-FFF2-40B4-BE49-F238E27FC236}">
                  <a16:creationId xmlns:a16="http://schemas.microsoft.com/office/drawing/2014/main" id="{5F1A633A-8155-43DC-A388-077D732D59DF}"/>
                </a:ext>
              </a:extLst>
            </xdr:cNvPr>
            <xdr:cNvSpPr/>
          </xdr:nvSpPr>
          <xdr:spPr>
            <a:xfrm>
              <a:off x="3841755" y="6965072"/>
              <a:ext cx="1031535" cy="182080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  <a:ln w="22225">
              <a:solidFill>
                <a:schemeClr val="tx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900">
                  <a:solidFill>
                    <a:srgbClr val="FF0000"/>
                  </a:solidFill>
                </a:rPr>
                <a:t>Tension</a:t>
              </a:r>
            </a:p>
          </xdr:txBody>
        </xdr:sp>
        <xdr:sp macro="" textlink="">
          <xdr:nvSpPr>
            <xdr:cNvPr id="230" name="Right Triangle 229">
              <a:extLst>
                <a:ext uri="{FF2B5EF4-FFF2-40B4-BE49-F238E27FC236}">
                  <a16:creationId xmlns:a16="http://schemas.microsoft.com/office/drawing/2014/main" id="{66ACB486-BCCF-47BC-92E5-2D752E067DBA}"/>
                </a:ext>
              </a:extLst>
            </xdr:cNvPr>
            <xdr:cNvSpPr/>
          </xdr:nvSpPr>
          <xdr:spPr>
            <a:xfrm flipV="1">
              <a:off x="5598438" y="5630891"/>
              <a:ext cx="350997" cy="1329163"/>
            </a:xfrm>
            <a:prstGeom prst="rtTriangle">
              <a:avLst/>
            </a:prstGeom>
            <a:solidFill>
              <a:schemeClr val="accent5">
                <a:lumMod val="20000"/>
                <a:lumOff val="80000"/>
              </a:schemeClr>
            </a:solidFill>
            <a:ln w="1270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altLang="ko-KR" sz="1100">
                  <a:ln w="12700" cap="sq">
                    <a:solidFill>
                      <a:srgbClr val="FF0000"/>
                    </a:solidFill>
                    <a:round/>
                  </a:ln>
                  <a:solidFill>
                    <a:srgbClr val="FF0000"/>
                  </a:solidFill>
                </a:rPr>
                <a:t>+</a:t>
              </a:r>
              <a:endParaRPr lang="ko-KR" altLang="en-US" sz="1100">
                <a:ln w="12700" cap="sq">
                  <a:solidFill>
                    <a:srgbClr val="FF0000"/>
                  </a:solidFill>
                  <a:round/>
                </a:ln>
                <a:solidFill>
                  <a:srgbClr val="FF0000"/>
                </a:solidFill>
              </a:endParaRPr>
            </a:p>
          </xdr:txBody>
        </xdr:sp>
        <xdr:grpSp>
          <xdr:nvGrpSpPr>
            <xdr:cNvPr id="236" name="Group 235">
              <a:extLst>
                <a:ext uri="{FF2B5EF4-FFF2-40B4-BE49-F238E27FC236}">
                  <a16:creationId xmlns:a16="http://schemas.microsoft.com/office/drawing/2014/main" id="{29DACE80-E9E3-71CA-183A-9BD391327586}"/>
                </a:ext>
              </a:extLst>
            </xdr:cNvPr>
            <xdr:cNvGrpSpPr/>
          </xdr:nvGrpSpPr>
          <xdr:grpSpPr>
            <a:xfrm>
              <a:off x="3982590" y="6943306"/>
              <a:ext cx="776000" cy="49370"/>
              <a:chOff x="3917956" y="6814033"/>
              <a:chExt cx="776000" cy="49370"/>
            </a:xfrm>
          </xdr:grpSpPr>
          <xdr:sp macro="" textlink="">
            <xdr:nvSpPr>
              <xdr:cNvPr id="232" name="Oval 231">
                <a:extLst>
                  <a:ext uri="{FF2B5EF4-FFF2-40B4-BE49-F238E27FC236}">
                    <a16:creationId xmlns:a16="http://schemas.microsoft.com/office/drawing/2014/main" id="{088BFBB1-39D1-47EB-8971-3D9ADA9B99BD}"/>
                  </a:ext>
                </a:extLst>
              </xdr:cNvPr>
              <xdr:cNvSpPr/>
            </xdr:nvSpPr>
            <xdr:spPr>
              <a:xfrm>
                <a:off x="3917956" y="6814033"/>
                <a:ext cx="45456" cy="45827"/>
              </a:xfrm>
              <a:prstGeom prst="ellips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233" name="Oval 232">
                <a:extLst>
                  <a:ext uri="{FF2B5EF4-FFF2-40B4-BE49-F238E27FC236}">
                    <a16:creationId xmlns:a16="http://schemas.microsoft.com/office/drawing/2014/main" id="{350C9CFA-9A1E-44ED-B1D0-05FE3354400A}"/>
                  </a:ext>
                </a:extLst>
              </xdr:cNvPr>
              <xdr:cNvSpPr/>
            </xdr:nvSpPr>
            <xdr:spPr>
              <a:xfrm>
                <a:off x="4156046" y="6815838"/>
                <a:ext cx="45456" cy="45827"/>
              </a:xfrm>
              <a:prstGeom prst="ellips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234" name="Oval 233">
                <a:extLst>
                  <a:ext uri="{FF2B5EF4-FFF2-40B4-BE49-F238E27FC236}">
                    <a16:creationId xmlns:a16="http://schemas.microsoft.com/office/drawing/2014/main" id="{D206634B-8FE6-4256-BCE9-987713F849D8}"/>
                  </a:ext>
                </a:extLst>
              </xdr:cNvPr>
              <xdr:cNvSpPr/>
            </xdr:nvSpPr>
            <xdr:spPr>
              <a:xfrm>
                <a:off x="4406578" y="6816707"/>
                <a:ext cx="45456" cy="45827"/>
              </a:xfrm>
              <a:prstGeom prst="ellips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235" name="Oval 234">
                <a:extLst>
                  <a:ext uri="{FF2B5EF4-FFF2-40B4-BE49-F238E27FC236}">
                    <a16:creationId xmlns:a16="http://schemas.microsoft.com/office/drawing/2014/main" id="{B00ADC5D-7E48-4B0A-8385-A9752735BE90}"/>
                  </a:ext>
                </a:extLst>
              </xdr:cNvPr>
              <xdr:cNvSpPr/>
            </xdr:nvSpPr>
            <xdr:spPr>
              <a:xfrm>
                <a:off x="4648500" y="6817576"/>
                <a:ext cx="45456" cy="45827"/>
              </a:xfrm>
              <a:prstGeom prst="ellips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239" name="Right Triangle 238">
              <a:extLst>
                <a:ext uri="{FF2B5EF4-FFF2-40B4-BE49-F238E27FC236}">
                  <a16:creationId xmlns:a16="http://schemas.microsoft.com/office/drawing/2014/main" id="{F1A114B5-2D24-4C68-B302-8D915A3908D3}"/>
                </a:ext>
              </a:extLst>
            </xdr:cNvPr>
            <xdr:cNvSpPr/>
          </xdr:nvSpPr>
          <xdr:spPr>
            <a:xfrm flipH="1">
              <a:off x="5534704" y="6970259"/>
              <a:ext cx="66191" cy="190500"/>
            </a:xfrm>
            <a:prstGeom prst="rtTriangle">
              <a:avLst/>
            </a:prstGeom>
            <a:solidFill>
              <a:schemeClr val="accent5">
                <a:lumMod val="20000"/>
                <a:lumOff val="80000"/>
              </a:schemeClr>
            </a:solidFill>
            <a:ln w="1270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altLang="ko-KR" sz="1100">
                  <a:ln w="15875">
                    <a:solidFill>
                      <a:srgbClr val="FF0000"/>
                    </a:solidFill>
                  </a:ln>
                  <a:solidFill>
                    <a:srgbClr val="FF0000"/>
                  </a:solidFill>
                </a:rPr>
                <a:t>-</a:t>
              </a:r>
              <a:endParaRPr lang="ko-KR" altLang="en-US" sz="1100">
                <a:ln w="15875">
                  <a:solidFill>
                    <a:srgbClr val="FF0000"/>
                  </a:solidFill>
                </a:ln>
                <a:solidFill>
                  <a:srgbClr val="FF0000"/>
                </a:solidFill>
              </a:endParaRPr>
            </a:p>
          </xdr:txBody>
        </xdr:sp>
      </xdr:grpSp>
      <xdr:cxnSp macro="">
        <xdr:nvCxnSpPr>
          <xdr:cNvPr id="243" name="Straight Connector 242">
            <a:extLst>
              <a:ext uri="{FF2B5EF4-FFF2-40B4-BE49-F238E27FC236}">
                <a16:creationId xmlns:a16="http://schemas.microsoft.com/office/drawing/2014/main" id="{BD008A81-A4C8-4A23-8FB5-A0013D43C4F1}"/>
              </a:ext>
            </a:extLst>
          </xdr:cNvPr>
          <xdr:cNvCxnSpPr/>
        </xdr:nvCxnSpPr>
        <xdr:spPr>
          <a:xfrm>
            <a:off x="2421171" y="6980721"/>
            <a:ext cx="718679" cy="0"/>
          </a:xfrm>
          <a:prstGeom prst="line">
            <a:avLst/>
          </a:prstGeom>
          <a:ln w="6350">
            <a:solidFill>
              <a:srgbClr val="FF0000"/>
            </a:solidFill>
            <a:prstDash val="sys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82825</xdr:colOff>
      <xdr:row>57</xdr:row>
      <xdr:rowOff>124239</xdr:rowOff>
    </xdr:from>
    <xdr:to>
      <xdr:col>2</xdr:col>
      <xdr:colOff>632013</xdr:colOff>
      <xdr:row>73</xdr:row>
      <xdr:rowOff>127841</xdr:rowOff>
    </xdr:to>
    <xdr:grpSp>
      <xdr:nvGrpSpPr>
        <xdr:cNvPr id="245" name="Group 244">
          <a:extLst>
            <a:ext uri="{FF2B5EF4-FFF2-40B4-BE49-F238E27FC236}">
              <a16:creationId xmlns:a16="http://schemas.microsoft.com/office/drawing/2014/main" id="{48DBFF59-4518-42D0-836B-FBA74CBDB2A0}"/>
            </a:ext>
          </a:extLst>
        </xdr:cNvPr>
        <xdr:cNvGrpSpPr/>
      </xdr:nvGrpSpPr>
      <xdr:grpSpPr>
        <a:xfrm>
          <a:off x="82825" y="11211339"/>
          <a:ext cx="1844588" cy="3051602"/>
          <a:chOff x="101203" y="4772335"/>
          <a:chExt cx="1849817" cy="3051602"/>
        </a:xfrm>
      </xdr:grpSpPr>
      <xdr:grpSp>
        <xdr:nvGrpSpPr>
          <xdr:cNvPr id="246" name="Group 245">
            <a:extLst>
              <a:ext uri="{FF2B5EF4-FFF2-40B4-BE49-F238E27FC236}">
                <a16:creationId xmlns:a16="http://schemas.microsoft.com/office/drawing/2014/main" id="{8E8E0186-BDB9-D499-7A2F-B675A62389AC}"/>
              </a:ext>
            </a:extLst>
          </xdr:cNvPr>
          <xdr:cNvGrpSpPr/>
        </xdr:nvGrpSpPr>
        <xdr:grpSpPr>
          <a:xfrm>
            <a:off x="612913" y="4772335"/>
            <a:ext cx="1338107" cy="3051602"/>
            <a:chOff x="673846" y="970597"/>
            <a:chExt cx="1329161" cy="3051393"/>
          </a:xfrm>
        </xdr:grpSpPr>
        <xdr:grpSp>
          <xdr:nvGrpSpPr>
            <xdr:cNvPr id="255" name="Group 254">
              <a:extLst>
                <a:ext uri="{FF2B5EF4-FFF2-40B4-BE49-F238E27FC236}">
                  <a16:creationId xmlns:a16="http://schemas.microsoft.com/office/drawing/2014/main" id="{5BD7D195-221D-81D3-C8A4-639D19B09782}"/>
                </a:ext>
              </a:extLst>
            </xdr:cNvPr>
            <xdr:cNvGrpSpPr/>
          </xdr:nvGrpSpPr>
          <xdr:grpSpPr>
            <a:xfrm>
              <a:off x="673846" y="970597"/>
              <a:ext cx="1329161" cy="3051393"/>
              <a:chOff x="967408" y="1155528"/>
              <a:chExt cx="1332878" cy="3053332"/>
            </a:xfrm>
          </xdr:grpSpPr>
          <xdr:grpSp>
            <xdr:nvGrpSpPr>
              <xdr:cNvPr id="257" name="Group 256">
                <a:extLst>
                  <a:ext uri="{FF2B5EF4-FFF2-40B4-BE49-F238E27FC236}">
                    <a16:creationId xmlns:a16="http://schemas.microsoft.com/office/drawing/2014/main" id="{878FFB64-21FD-0905-8EB0-7D9A2ACD10C6}"/>
                  </a:ext>
                </a:extLst>
              </xdr:cNvPr>
              <xdr:cNvGrpSpPr/>
            </xdr:nvGrpSpPr>
            <xdr:grpSpPr>
              <a:xfrm>
                <a:off x="967408" y="1155528"/>
                <a:ext cx="1332878" cy="3053332"/>
                <a:chOff x="970886" y="1178237"/>
                <a:chExt cx="1339884" cy="3101420"/>
              </a:xfrm>
            </xdr:grpSpPr>
            <xdr:grpSp>
              <xdr:nvGrpSpPr>
                <xdr:cNvPr id="259" name="Group 258">
                  <a:extLst>
                    <a:ext uri="{FF2B5EF4-FFF2-40B4-BE49-F238E27FC236}">
                      <a16:creationId xmlns:a16="http://schemas.microsoft.com/office/drawing/2014/main" id="{241AA48E-BCC1-FB3B-1276-46B00A4F43B5}"/>
                    </a:ext>
                  </a:extLst>
                </xdr:cNvPr>
                <xdr:cNvGrpSpPr/>
              </xdr:nvGrpSpPr>
              <xdr:grpSpPr>
                <a:xfrm>
                  <a:off x="970886" y="1178237"/>
                  <a:ext cx="1339884" cy="3101420"/>
                  <a:chOff x="1596846" y="2909747"/>
                  <a:chExt cx="1332874" cy="3048799"/>
                </a:xfrm>
              </xdr:grpSpPr>
              <xdr:grpSp>
                <xdr:nvGrpSpPr>
                  <xdr:cNvPr id="261" name="Group 260">
                    <a:extLst>
                      <a:ext uri="{FF2B5EF4-FFF2-40B4-BE49-F238E27FC236}">
                        <a16:creationId xmlns:a16="http://schemas.microsoft.com/office/drawing/2014/main" id="{9A0B1E16-F4BD-183F-E679-DE9EF807B4C7}"/>
                      </a:ext>
                    </a:extLst>
                  </xdr:cNvPr>
                  <xdr:cNvGrpSpPr/>
                </xdr:nvGrpSpPr>
                <xdr:grpSpPr>
                  <a:xfrm>
                    <a:off x="1596846" y="3440176"/>
                    <a:ext cx="1332874" cy="2518370"/>
                    <a:chOff x="1212346" y="3064690"/>
                    <a:chExt cx="1330864" cy="2518370"/>
                  </a:xfrm>
                </xdr:grpSpPr>
                <xdr:sp macro="" textlink="">
                  <xdr:nvSpPr>
                    <xdr:cNvPr id="264" name="Parallelogram 263">
                      <a:extLst>
                        <a:ext uri="{FF2B5EF4-FFF2-40B4-BE49-F238E27FC236}">
                          <a16:creationId xmlns:a16="http://schemas.microsoft.com/office/drawing/2014/main" id="{28C61CE8-D4A0-5CD7-802C-56EE5F50AF44}"/>
                        </a:ext>
                      </a:extLst>
                    </xdr:cNvPr>
                    <xdr:cNvSpPr/>
                  </xdr:nvSpPr>
                  <xdr:spPr>
                    <a:xfrm>
                      <a:off x="1218197" y="3067051"/>
                      <a:ext cx="1312445" cy="640258"/>
                    </a:xfrm>
                    <a:prstGeom prst="parallelogram">
                      <a:avLst>
                        <a:gd name="adj" fmla="val 92143"/>
                      </a:avLst>
                    </a:prstGeom>
                    <a:solidFill>
                      <a:schemeClr val="accent5">
                        <a:lumMod val="40000"/>
                        <a:lumOff val="60000"/>
                      </a:schemeClr>
                    </a:solidFill>
                    <a:ln>
                      <a:solidFill>
                        <a:srgbClr val="0070C0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  <xdr:cxnSp macro="">
                  <xdr:nvCxnSpPr>
                    <xdr:cNvPr id="265" name="Straight Connector 264">
                      <a:extLst>
                        <a:ext uri="{FF2B5EF4-FFF2-40B4-BE49-F238E27FC236}">
                          <a16:creationId xmlns:a16="http://schemas.microsoft.com/office/drawing/2014/main" id="{598C508F-582A-7614-6864-F5698BB30A91}"/>
                        </a:ext>
                      </a:extLst>
                    </xdr:cNvPr>
                    <xdr:cNvCxnSpPr/>
                  </xdr:nvCxnSpPr>
                  <xdr:spPr>
                    <a:xfrm>
                      <a:off x="1218197" y="3701192"/>
                      <a:ext cx="0" cy="1881868"/>
                    </a:xfrm>
                    <a:prstGeom prst="line">
                      <a:avLst/>
                    </a:prstGeom>
                    <a:ln w="28575"/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266" name="Straight Connector 265">
                      <a:extLst>
                        <a:ext uri="{FF2B5EF4-FFF2-40B4-BE49-F238E27FC236}">
                          <a16:creationId xmlns:a16="http://schemas.microsoft.com/office/drawing/2014/main" id="{D7247239-9D4B-EF8C-514E-34C400E47EDE}"/>
                        </a:ext>
                      </a:extLst>
                    </xdr:cNvPr>
                    <xdr:cNvCxnSpPr/>
                  </xdr:nvCxnSpPr>
                  <xdr:spPr>
                    <a:xfrm>
                      <a:off x="1943218" y="3707133"/>
                      <a:ext cx="0" cy="1869986"/>
                    </a:xfrm>
                    <a:prstGeom prst="line">
                      <a:avLst/>
                    </a:prstGeom>
                    <a:ln w="28575"/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267" name="Straight Connector 266">
                      <a:extLst>
                        <a:ext uri="{FF2B5EF4-FFF2-40B4-BE49-F238E27FC236}">
                          <a16:creationId xmlns:a16="http://schemas.microsoft.com/office/drawing/2014/main" id="{A1B782F3-9F4F-2FDD-2E45-C29243AB30DA}"/>
                        </a:ext>
                      </a:extLst>
                    </xdr:cNvPr>
                    <xdr:cNvCxnSpPr/>
                  </xdr:nvCxnSpPr>
                  <xdr:spPr>
                    <a:xfrm>
                      <a:off x="2530642" y="3076575"/>
                      <a:ext cx="0" cy="1870706"/>
                    </a:xfrm>
                    <a:prstGeom prst="line">
                      <a:avLst/>
                    </a:prstGeom>
                    <a:ln w="28575"/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268" name="Straight Connector 267">
                      <a:extLst>
                        <a:ext uri="{FF2B5EF4-FFF2-40B4-BE49-F238E27FC236}">
                          <a16:creationId xmlns:a16="http://schemas.microsoft.com/office/drawing/2014/main" id="{5539D513-C09C-18F1-87F6-82ED652E664C}"/>
                        </a:ext>
                      </a:extLst>
                    </xdr:cNvPr>
                    <xdr:cNvCxnSpPr/>
                  </xdr:nvCxnSpPr>
                  <xdr:spPr>
                    <a:xfrm>
                      <a:off x="1809303" y="3064690"/>
                      <a:ext cx="0" cy="1864766"/>
                    </a:xfrm>
                    <a:prstGeom prst="line">
                      <a:avLst/>
                    </a:prstGeom>
                    <a:ln w="28575">
                      <a:prstDash val="sysDot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269" name="Straight Connector 268">
                      <a:extLst>
                        <a:ext uri="{FF2B5EF4-FFF2-40B4-BE49-F238E27FC236}">
                          <a16:creationId xmlns:a16="http://schemas.microsoft.com/office/drawing/2014/main" id="{1CA125ED-2532-9334-B9CC-48584B056058}"/>
                        </a:ext>
                      </a:extLst>
                    </xdr:cNvPr>
                    <xdr:cNvCxnSpPr/>
                  </xdr:nvCxnSpPr>
                  <xdr:spPr>
                    <a:xfrm>
                      <a:off x="1212346" y="5570360"/>
                      <a:ext cx="737511" cy="0"/>
                    </a:xfrm>
                    <a:prstGeom prst="line">
                      <a:avLst/>
                    </a:prstGeom>
                    <a:ln w="28575">
                      <a:solidFill>
                        <a:srgbClr val="0070C0"/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270" name="Straight Connector 269">
                      <a:extLst>
                        <a:ext uri="{FF2B5EF4-FFF2-40B4-BE49-F238E27FC236}">
                          <a16:creationId xmlns:a16="http://schemas.microsoft.com/office/drawing/2014/main" id="{59A4F395-5AA3-425E-9B59-A2830658B1E2}"/>
                        </a:ext>
                      </a:extLst>
                    </xdr:cNvPr>
                    <xdr:cNvCxnSpPr/>
                  </xdr:nvCxnSpPr>
                  <xdr:spPr>
                    <a:xfrm flipV="1">
                      <a:off x="1937448" y="4917571"/>
                      <a:ext cx="605762" cy="660233"/>
                    </a:xfrm>
                    <a:prstGeom prst="line">
                      <a:avLst/>
                    </a:prstGeom>
                    <a:ln w="28575">
                      <a:solidFill>
                        <a:srgbClr val="0070C0"/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  <xdr:cxnSp macro="">
                <xdr:nvCxnSpPr>
                  <xdr:cNvPr id="262" name="Straight Arrow Connector 261">
                    <a:extLst>
                      <a:ext uri="{FF2B5EF4-FFF2-40B4-BE49-F238E27FC236}">
                        <a16:creationId xmlns:a16="http://schemas.microsoft.com/office/drawing/2014/main" id="{65582AF0-5A9E-0CB8-EEF5-E194DA870676}"/>
                      </a:ext>
                    </a:extLst>
                  </xdr:cNvPr>
                  <xdr:cNvCxnSpPr/>
                </xdr:nvCxnSpPr>
                <xdr:spPr>
                  <a:xfrm>
                    <a:off x="2400256" y="2975705"/>
                    <a:ext cx="0" cy="628650"/>
                  </a:xfrm>
                  <a:prstGeom prst="straightConnector1">
                    <a:avLst/>
                  </a:prstGeom>
                  <a:ln w="28575">
                    <a:solidFill>
                      <a:srgbClr val="FF0000"/>
                    </a:solidFill>
                    <a:tailEnd type="stealth" w="lg" len="lg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263" name="TextBox 262">
                    <a:extLst>
                      <a:ext uri="{FF2B5EF4-FFF2-40B4-BE49-F238E27FC236}">
                        <a16:creationId xmlns:a16="http://schemas.microsoft.com/office/drawing/2014/main" id="{F126884C-DBB3-5C3C-5258-8659C86368B9}"/>
                      </a:ext>
                    </a:extLst>
                  </xdr:cNvPr>
                  <xdr:cNvSpPr txBox="1"/>
                </xdr:nvSpPr>
                <xdr:spPr>
                  <a:xfrm>
                    <a:off x="2361340" y="2909747"/>
                    <a:ext cx="523452" cy="21696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n-US" altLang="ko-KR" sz="1050" b="1">
                        <a:solidFill>
                          <a:srgbClr val="0070C0"/>
                        </a:solidFill>
                      </a:rPr>
                      <a:t>P</a:t>
                    </a:r>
                    <a:endParaRPr lang="en-US" sz="1050" b="1">
                      <a:solidFill>
                        <a:srgbClr val="0070C0"/>
                      </a:solidFill>
                    </a:endParaRPr>
                  </a:p>
                </xdr:txBody>
              </xdr:sp>
            </xdr:grpSp>
            <xdr:cxnSp macro="">
              <xdr:nvCxnSpPr>
                <xdr:cNvPr id="260" name="Straight Connector 259">
                  <a:extLst>
                    <a:ext uri="{FF2B5EF4-FFF2-40B4-BE49-F238E27FC236}">
                      <a16:creationId xmlns:a16="http://schemas.microsoft.com/office/drawing/2014/main" id="{B1CF2D21-3374-2B1B-4E48-259811979888}"/>
                    </a:ext>
                  </a:extLst>
                </xdr:cNvPr>
                <xdr:cNvCxnSpPr>
                  <a:stCxn id="264" idx="5"/>
                  <a:endCxn id="264" idx="2"/>
                </xdr:cNvCxnSpPr>
              </xdr:nvCxnSpPr>
              <xdr:spPr>
                <a:xfrm>
                  <a:off x="1273335" y="2045876"/>
                  <a:ext cx="728223" cy="0"/>
                </a:xfrm>
                <a:prstGeom prst="line">
                  <a:avLst/>
                </a:prstGeom>
                <a:ln>
                  <a:solidFill>
                    <a:srgbClr val="FF0000"/>
                  </a:solidFill>
                  <a:prstDash val="sysDot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258" name="Parallelogram 257">
                <a:extLst>
                  <a:ext uri="{FF2B5EF4-FFF2-40B4-BE49-F238E27FC236}">
                    <a16:creationId xmlns:a16="http://schemas.microsoft.com/office/drawing/2014/main" id="{835852A1-5393-66CE-8EC7-A905DBBA7B12}"/>
                  </a:ext>
                </a:extLst>
              </xdr:cNvPr>
              <xdr:cNvSpPr/>
            </xdr:nvSpPr>
            <xdr:spPr>
              <a:xfrm>
                <a:off x="975121" y="3559969"/>
                <a:ext cx="1314398" cy="641471"/>
              </a:xfrm>
              <a:prstGeom prst="parallelogram">
                <a:avLst>
                  <a:gd name="adj" fmla="val 92143"/>
                </a:avLst>
              </a:prstGeom>
              <a:noFill/>
              <a:ln>
                <a:solidFill>
                  <a:srgbClr val="0070C0"/>
                </a:solidFill>
                <a:prstDash val="sysDot"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cxnSp macro="">
          <xdr:nvCxnSpPr>
            <xdr:cNvPr id="256" name="Straight Connector 255">
              <a:extLst>
                <a:ext uri="{FF2B5EF4-FFF2-40B4-BE49-F238E27FC236}">
                  <a16:creationId xmlns:a16="http://schemas.microsoft.com/office/drawing/2014/main" id="{8E0DAD1F-DB6C-1399-843A-C183D34EF73B}"/>
                </a:ext>
              </a:extLst>
            </xdr:cNvPr>
            <xdr:cNvCxnSpPr>
              <a:stCxn id="264" idx="3"/>
              <a:endCxn id="264" idx="1"/>
            </xdr:cNvCxnSpPr>
          </xdr:nvCxnSpPr>
          <xdr:spPr>
            <a:xfrm flipV="1">
              <a:off x="1039845" y="1503838"/>
              <a:ext cx="590456" cy="640803"/>
            </a:xfrm>
            <a:prstGeom prst="line">
              <a:avLst/>
            </a:prstGeom>
            <a:ln>
              <a:solidFill>
                <a:srgbClr val="FF0000"/>
              </a:solidFill>
              <a:prstDash val="sysDot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47" name="Straight Connector 246">
            <a:extLst>
              <a:ext uri="{FF2B5EF4-FFF2-40B4-BE49-F238E27FC236}">
                <a16:creationId xmlns:a16="http://schemas.microsoft.com/office/drawing/2014/main" id="{D8E5CD36-4550-C7AD-DE10-8E58DA2ACC37}"/>
              </a:ext>
            </a:extLst>
          </xdr:cNvPr>
          <xdr:cNvCxnSpPr/>
        </xdr:nvCxnSpPr>
        <xdr:spPr>
          <a:xfrm flipH="1">
            <a:off x="684609" y="5292328"/>
            <a:ext cx="410766" cy="0"/>
          </a:xfrm>
          <a:prstGeom prst="line">
            <a:avLst/>
          </a:prstGeom>
          <a:ln w="3175">
            <a:headEnd type="none"/>
            <a:tailEnd type="oval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8" name="Straight Connector 247">
            <a:extLst>
              <a:ext uri="{FF2B5EF4-FFF2-40B4-BE49-F238E27FC236}">
                <a16:creationId xmlns:a16="http://schemas.microsoft.com/office/drawing/2014/main" id="{05BDE5DB-3D1B-9CDB-09E6-2C7F30F1208E}"/>
              </a:ext>
            </a:extLst>
          </xdr:cNvPr>
          <xdr:cNvCxnSpPr/>
        </xdr:nvCxnSpPr>
        <xdr:spPr>
          <a:xfrm flipH="1">
            <a:off x="104774" y="5926931"/>
            <a:ext cx="410766" cy="0"/>
          </a:xfrm>
          <a:prstGeom prst="line">
            <a:avLst/>
          </a:prstGeom>
          <a:ln w="3175">
            <a:headEnd type="none"/>
            <a:tailEnd type="oval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6A0B545D-A270-8DAF-1E12-DFC5B24EDF64}"/>
              </a:ext>
            </a:extLst>
          </xdr:cNvPr>
          <xdr:cNvCxnSpPr/>
        </xdr:nvCxnSpPr>
        <xdr:spPr>
          <a:xfrm flipH="1">
            <a:off x="101203" y="5280422"/>
            <a:ext cx="595312" cy="644753"/>
          </a:xfrm>
          <a:prstGeom prst="line">
            <a:avLst/>
          </a:prstGeom>
          <a:ln w="3175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0" name="Straight Connector 249">
            <a:extLst>
              <a:ext uri="{FF2B5EF4-FFF2-40B4-BE49-F238E27FC236}">
                <a16:creationId xmlns:a16="http://schemas.microsoft.com/office/drawing/2014/main" id="{5A1FDB3E-2057-13A2-A248-68D1BA7ABB72}"/>
              </a:ext>
            </a:extLst>
          </xdr:cNvPr>
          <xdr:cNvCxnSpPr/>
        </xdr:nvCxnSpPr>
        <xdr:spPr>
          <a:xfrm flipH="1">
            <a:off x="785813" y="5464969"/>
            <a:ext cx="613172" cy="0"/>
          </a:xfrm>
          <a:prstGeom prst="line">
            <a:avLst/>
          </a:prstGeom>
          <a:ln w="3175">
            <a:headEnd type="none"/>
            <a:tailEnd type="oval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1" name="Straight Connector 250">
            <a:extLst>
              <a:ext uri="{FF2B5EF4-FFF2-40B4-BE49-F238E27FC236}">
                <a16:creationId xmlns:a16="http://schemas.microsoft.com/office/drawing/2014/main" id="{A24F72B5-EDDA-6D60-0D0A-257213A4AC6D}"/>
              </a:ext>
            </a:extLst>
          </xdr:cNvPr>
          <xdr:cNvCxnSpPr/>
        </xdr:nvCxnSpPr>
        <xdr:spPr>
          <a:xfrm flipH="1">
            <a:off x="640557" y="5617368"/>
            <a:ext cx="613172" cy="0"/>
          </a:xfrm>
          <a:prstGeom prst="line">
            <a:avLst/>
          </a:prstGeom>
          <a:ln w="3175">
            <a:headEnd type="none"/>
            <a:tailEnd type="oval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2" name="Straight Connector 251">
            <a:extLst>
              <a:ext uri="{FF2B5EF4-FFF2-40B4-BE49-F238E27FC236}">
                <a16:creationId xmlns:a16="http://schemas.microsoft.com/office/drawing/2014/main" id="{7E5A31E2-D559-BFAA-34FA-3D19B1E8BD38}"/>
              </a:ext>
            </a:extLst>
          </xdr:cNvPr>
          <xdr:cNvCxnSpPr/>
        </xdr:nvCxnSpPr>
        <xdr:spPr>
          <a:xfrm flipH="1">
            <a:off x="648891" y="5459015"/>
            <a:ext cx="142874" cy="154740"/>
          </a:xfrm>
          <a:prstGeom prst="line">
            <a:avLst/>
          </a:prstGeom>
          <a:ln w="3175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3" name="TextBox 252">
            <a:extLst>
              <a:ext uri="{FF2B5EF4-FFF2-40B4-BE49-F238E27FC236}">
                <a16:creationId xmlns:a16="http://schemas.microsoft.com/office/drawing/2014/main" id="{A85CF080-FA28-E657-C028-119E2086D23E}"/>
              </a:ext>
            </a:extLst>
          </xdr:cNvPr>
          <xdr:cNvSpPr txBox="1"/>
        </xdr:nvSpPr>
        <xdr:spPr>
          <a:xfrm>
            <a:off x="238125" y="5417343"/>
            <a:ext cx="278892" cy="2514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900"/>
              <a:t>h</a:t>
            </a:r>
            <a:endParaRPr lang="en-US" sz="900"/>
          </a:p>
        </xdr:txBody>
      </xdr:sp>
      <xdr:sp macro="" textlink="">
        <xdr:nvSpPr>
          <xdr:cNvPr id="254" name="TextBox 253">
            <a:extLst>
              <a:ext uri="{FF2B5EF4-FFF2-40B4-BE49-F238E27FC236}">
                <a16:creationId xmlns:a16="http://schemas.microsoft.com/office/drawing/2014/main" id="{012966B9-7033-1ECD-DF38-91AD48D5B7AF}"/>
              </a:ext>
            </a:extLst>
          </xdr:cNvPr>
          <xdr:cNvSpPr txBox="1"/>
        </xdr:nvSpPr>
        <xdr:spPr>
          <a:xfrm>
            <a:off x="521494" y="5367336"/>
            <a:ext cx="278892" cy="2514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900"/>
              <a:t>e</a:t>
            </a:r>
            <a:endParaRPr lang="en-US" sz="900"/>
          </a:p>
        </xdr:txBody>
      </xdr:sp>
    </xdr:grpSp>
    <xdr:clientData/>
  </xdr:twoCellAnchor>
  <xdr:twoCellAnchor>
    <xdr:from>
      <xdr:col>3</xdr:col>
      <xdr:colOff>585869</xdr:colOff>
      <xdr:row>59</xdr:row>
      <xdr:rowOff>187330</xdr:rowOff>
    </xdr:from>
    <xdr:to>
      <xdr:col>10</xdr:col>
      <xdr:colOff>150313</xdr:colOff>
      <xdr:row>74</xdr:row>
      <xdr:rowOff>31767</xdr:rowOff>
    </xdr:to>
    <xdr:grpSp>
      <xdr:nvGrpSpPr>
        <xdr:cNvPr id="326" name="Group 325">
          <a:extLst>
            <a:ext uri="{FF2B5EF4-FFF2-40B4-BE49-F238E27FC236}">
              <a16:creationId xmlns:a16="http://schemas.microsoft.com/office/drawing/2014/main" id="{68094746-9788-40AB-A634-53E6A289DE01}"/>
            </a:ext>
          </a:extLst>
        </xdr:cNvPr>
        <xdr:cNvGrpSpPr/>
      </xdr:nvGrpSpPr>
      <xdr:grpSpPr>
        <a:xfrm>
          <a:off x="2528969" y="11655430"/>
          <a:ext cx="4174544" cy="2701937"/>
          <a:chOff x="2513574" y="8784037"/>
          <a:chExt cx="4176605" cy="2705825"/>
        </a:xfrm>
      </xdr:grpSpPr>
      <xdr:grpSp>
        <xdr:nvGrpSpPr>
          <xdr:cNvPr id="323" name="Group 322">
            <a:extLst>
              <a:ext uri="{FF2B5EF4-FFF2-40B4-BE49-F238E27FC236}">
                <a16:creationId xmlns:a16="http://schemas.microsoft.com/office/drawing/2014/main" id="{24AE8255-2493-F390-F516-E8EE38B09B71}"/>
              </a:ext>
            </a:extLst>
          </xdr:cNvPr>
          <xdr:cNvGrpSpPr/>
        </xdr:nvGrpSpPr>
        <xdr:grpSpPr>
          <a:xfrm>
            <a:off x="2513574" y="8784037"/>
            <a:ext cx="4176605" cy="2705825"/>
            <a:chOff x="2513574" y="8784037"/>
            <a:chExt cx="4176605" cy="2705825"/>
          </a:xfrm>
        </xdr:grpSpPr>
        <xdr:grpSp>
          <xdr:nvGrpSpPr>
            <xdr:cNvPr id="271" name="Group 270">
              <a:extLst>
                <a:ext uri="{FF2B5EF4-FFF2-40B4-BE49-F238E27FC236}">
                  <a16:creationId xmlns:a16="http://schemas.microsoft.com/office/drawing/2014/main" id="{7786782E-F7E8-400D-8861-D1D9EB4ECE69}"/>
                </a:ext>
              </a:extLst>
            </xdr:cNvPr>
            <xdr:cNvGrpSpPr/>
          </xdr:nvGrpSpPr>
          <xdr:grpSpPr>
            <a:xfrm>
              <a:off x="2513574" y="8784037"/>
              <a:ext cx="4176605" cy="2705825"/>
              <a:chOff x="46724" y="5208390"/>
              <a:chExt cx="4170597" cy="2705825"/>
            </a:xfrm>
          </xdr:grpSpPr>
          <xdr:grpSp>
            <xdr:nvGrpSpPr>
              <xdr:cNvPr id="272" name="Group 271">
                <a:extLst>
                  <a:ext uri="{FF2B5EF4-FFF2-40B4-BE49-F238E27FC236}">
                    <a16:creationId xmlns:a16="http://schemas.microsoft.com/office/drawing/2014/main" id="{BC3A265B-54F2-5BBE-6FFD-4009D822C687}"/>
                  </a:ext>
                </a:extLst>
              </xdr:cNvPr>
              <xdr:cNvGrpSpPr/>
            </xdr:nvGrpSpPr>
            <xdr:grpSpPr>
              <a:xfrm>
                <a:off x="46724" y="5208390"/>
                <a:ext cx="4170597" cy="2705825"/>
                <a:chOff x="2516420" y="5184577"/>
                <a:chExt cx="4170597" cy="2705825"/>
              </a:xfrm>
            </xdr:grpSpPr>
            <xdr:grpSp>
              <xdr:nvGrpSpPr>
                <xdr:cNvPr id="274" name="Group 273">
                  <a:extLst>
                    <a:ext uri="{FF2B5EF4-FFF2-40B4-BE49-F238E27FC236}">
                      <a16:creationId xmlns:a16="http://schemas.microsoft.com/office/drawing/2014/main" id="{14ECAC62-87C5-475F-FB37-5DC708D1DB78}"/>
                    </a:ext>
                  </a:extLst>
                </xdr:cNvPr>
                <xdr:cNvGrpSpPr/>
              </xdr:nvGrpSpPr>
              <xdr:grpSpPr>
                <a:xfrm>
                  <a:off x="2516420" y="5184577"/>
                  <a:ext cx="4170597" cy="2705825"/>
                  <a:chOff x="2544365" y="1327545"/>
                  <a:chExt cx="4178081" cy="2707481"/>
                </a:xfrm>
              </xdr:grpSpPr>
              <xdr:grpSp>
                <xdr:nvGrpSpPr>
                  <xdr:cNvPr id="283" name="Group 282">
                    <a:extLst>
                      <a:ext uri="{FF2B5EF4-FFF2-40B4-BE49-F238E27FC236}">
                        <a16:creationId xmlns:a16="http://schemas.microsoft.com/office/drawing/2014/main" id="{08672E94-A893-CEE3-2274-7A64616609B2}"/>
                      </a:ext>
                    </a:extLst>
                  </xdr:cNvPr>
                  <xdr:cNvGrpSpPr/>
                </xdr:nvGrpSpPr>
                <xdr:grpSpPr>
                  <a:xfrm>
                    <a:off x="2544365" y="1327545"/>
                    <a:ext cx="4178081" cy="2707481"/>
                    <a:chOff x="2625328" y="1351358"/>
                    <a:chExt cx="4180462" cy="2708671"/>
                  </a:xfrm>
                </xdr:grpSpPr>
                <xdr:sp macro="" textlink="">
                  <xdr:nvSpPr>
                    <xdr:cNvPr id="285" name="Rectangle 284">
                      <a:extLst>
                        <a:ext uri="{FF2B5EF4-FFF2-40B4-BE49-F238E27FC236}">
                          <a16:creationId xmlns:a16="http://schemas.microsoft.com/office/drawing/2014/main" id="{06381289-B0A4-F1DC-0CC0-4D42F21872AF}"/>
                        </a:ext>
                      </a:extLst>
                    </xdr:cNvPr>
                    <xdr:cNvSpPr/>
                  </xdr:nvSpPr>
                  <xdr:spPr>
                    <a:xfrm>
                      <a:off x="2625328" y="1351358"/>
                      <a:ext cx="4107656" cy="2708671"/>
                    </a:xfrm>
                    <a:prstGeom prst="rect">
                      <a:avLst/>
                    </a:prstGeom>
                    <a:solidFill>
                      <a:schemeClr val="bg1">
                        <a:lumMod val="85000"/>
                      </a:schemeClr>
                    </a:solidFill>
                    <a:ln w="12700"/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  <xdr:grpSp>
                  <xdr:nvGrpSpPr>
                    <xdr:cNvPr id="286" name="Group 285">
                      <a:extLst>
                        <a:ext uri="{FF2B5EF4-FFF2-40B4-BE49-F238E27FC236}">
                          <a16:creationId xmlns:a16="http://schemas.microsoft.com/office/drawing/2014/main" id="{05F491BA-F67D-E43C-2EBE-DDE6570175D4}"/>
                        </a:ext>
                      </a:extLst>
                    </xdr:cNvPr>
                    <xdr:cNvGrpSpPr/>
                  </xdr:nvGrpSpPr>
                  <xdr:grpSpPr>
                    <a:xfrm>
                      <a:off x="2942101" y="1472620"/>
                      <a:ext cx="3863689" cy="1842610"/>
                      <a:chOff x="2953251" y="1643429"/>
                      <a:chExt cx="3855446" cy="1839457"/>
                    </a:xfrm>
                  </xdr:grpSpPr>
                  <xdr:sp macro="" textlink="">
                    <xdr:nvSpPr>
                      <xdr:cNvPr id="287" name="TextBox 286">
                        <a:extLst>
                          <a:ext uri="{FF2B5EF4-FFF2-40B4-BE49-F238E27FC236}">
                            <a16:creationId xmlns:a16="http://schemas.microsoft.com/office/drawing/2014/main" id="{160FC0B2-BF4A-C27E-7E06-3CDCECB17578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5574323" y="1643429"/>
                        <a:ext cx="1234374" cy="146957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ctr"/>
                      <a:lstStyle/>
                      <a:p>
                        <a:r>
                          <a:rPr lang="en-US" altLang="ko-KR" sz="900">
                            <a:solidFill>
                              <a:srgbClr val="0070C0"/>
                            </a:solidFill>
                          </a:rPr>
                          <a:t>Strain</a:t>
                        </a:r>
                        <a:endParaRPr lang="en-US" sz="900">
                          <a:solidFill>
                            <a:srgbClr val="0070C0"/>
                          </a:solidFill>
                        </a:endParaRPr>
                      </a:p>
                    </xdr:txBody>
                  </xdr:sp>
                  <xdr:sp macro="" textlink="">
                    <xdr:nvSpPr>
                      <xdr:cNvPr id="288" name="TextBox 287">
                        <a:extLst>
                          <a:ext uri="{FF2B5EF4-FFF2-40B4-BE49-F238E27FC236}">
                            <a16:creationId xmlns:a16="http://schemas.microsoft.com/office/drawing/2014/main" id="{DE16BE28-38B6-DED0-E9E3-930C4BB5EC69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5703609" y="1795829"/>
                        <a:ext cx="393918" cy="18327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ctr"/>
                      <a:lstStyle/>
                      <a:p>
                        <a:r>
                          <a:rPr lang="el-GR" altLang="ko-KR" sz="900"/>
                          <a:t>ε</a:t>
                        </a:r>
                        <a:r>
                          <a:rPr lang="en-US" altLang="ko-KR" sz="900"/>
                          <a:t>cu</a:t>
                        </a:r>
                        <a:endParaRPr lang="en-US" sz="900"/>
                      </a:p>
                    </xdr:txBody>
                  </xdr:sp>
                  <xdr:sp macro="" textlink="">
                    <xdr:nvSpPr>
                      <xdr:cNvPr id="289" name="TextBox 288">
                        <a:extLst>
                          <a:ext uri="{FF2B5EF4-FFF2-40B4-BE49-F238E27FC236}">
                            <a16:creationId xmlns:a16="http://schemas.microsoft.com/office/drawing/2014/main" id="{D1FE415D-363D-244E-88BA-27F47E8061EE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4962837" y="3299611"/>
                        <a:ext cx="678002" cy="18327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ctr"/>
                      <a:lstStyle/>
                      <a:p>
                        <a:r>
                          <a:rPr lang="en-US" altLang="ko-KR" sz="900"/>
                          <a:t>fs = 0.5fy</a:t>
                        </a:r>
                        <a:endParaRPr lang="en-US" sz="900"/>
                      </a:p>
                    </xdr:txBody>
                  </xdr:sp>
                  <xdr:grpSp>
                    <xdr:nvGrpSpPr>
                      <xdr:cNvPr id="290" name="Group 289">
                        <a:extLst>
                          <a:ext uri="{FF2B5EF4-FFF2-40B4-BE49-F238E27FC236}">
                            <a16:creationId xmlns:a16="http://schemas.microsoft.com/office/drawing/2014/main" id="{985BF95F-7D91-A0AB-BE29-E0392E19E1C4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2953251" y="1984292"/>
                        <a:ext cx="2619264" cy="1451234"/>
                        <a:chOff x="2953251" y="1984292"/>
                        <a:chExt cx="2619264" cy="1451234"/>
                      </a:xfrm>
                    </xdr:grpSpPr>
                    <xdr:grpSp>
                      <xdr:nvGrpSpPr>
                        <xdr:cNvPr id="293" name="Group 292">
                          <a:extLst>
                            <a:ext uri="{FF2B5EF4-FFF2-40B4-BE49-F238E27FC236}">
                              <a16:creationId xmlns:a16="http://schemas.microsoft.com/office/drawing/2014/main" id="{B700CCEC-AA50-D774-6A47-700166E81E45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2953251" y="1984292"/>
                          <a:ext cx="2619264" cy="1451234"/>
                          <a:chOff x="186214" y="469915"/>
                          <a:chExt cx="2631673" cy="1434797"/>
                        </a:xfrm>
                      </xdr:grpSpPr>
                      <xdr:grpSp>
                        <xdr:nvGrpSpPr>
                          <xdr:cNvPr id="296" name="Group 295">
                            <a:extLst>
                              <a:ext uri="{FF2B5EF4-FFF2-40B4-BE49-F238E27FC236}">
                                <a16:creationId xmlns:a16="http://schemas.microsoft.com/office/drawing/2014/main" id="{408EDE48-5B99-1736-7045-63B5B93DBE09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186214" y="469915"/>
                            <a:ext cx="2631673" cy="1434797"/>
                            <a:chOff x="186092" y="472745"/>
                            <a:chExt cx="2633808" cy="1448775"/>
                          </a:xfrm>
                        </xdr:grpSpPr>
                        <xdr:grpSp>
                          <xdr:nvGrpSpPr>
                            <xdr:cNvPr id="299" name="Group 298">
                              <a:extLst>
                                <a:ext uri="{FF2B5EF4-FFF2-40B4-BE49-F238E27FC236}">
                                  <a16:creationId xmlns:a16="http://schemas.microsoft.com/office/drawing/2014/main" id="{4B52065A-3F6B-F5CE-BFDE-8A818D9E8E64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211373" y="472745"/>
                              <a:ext cx="2608527" cy="998845"/>
                              <a:chOff x="237350" y="459757"/>
                              <a:chExt cx="2608527" cy="998845"/>
                            </a:xfrm>
                          </xdr:grpSpPr>
                          <xdr:grpSp>
                            <xdr:nvGrpSpPr>
                              <xdr:cNvPr id="302" name="Group 301">
                                <a:extLst>
                                  <a:ext uri="{FF2B5EF4-FFF2-40B4-BE49-F238E27FC236}">
                                    <a16:creationId xmlns:a16="http://schemas.microsoft.com/office/drawing/2014/main" id="{4B398C5F-0B20-49E0-2BFF-11EC3B150B81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237350" y="459757"/>
                                <a:ext cx="2608527" cy="998845"/>
                                <a:chOff x="416087" y="533081"/>
                                <a:chExt cx="2606119" cy="989054"/>
                              </a:xfrm>
                            </xdr:grpSpPr>
                            <xdr:grpSp>
                              <xdr:nvGrpSpPr>
                                <xdr:cNvPr id="308" name="Group 307">
                                  <a:extLst>
                                    <a:ext uri="{FF2B5EF4-FFF2-40B4-BE49-F238E27FC236}">
                                      <a16:creationId xmlns:a16="http://schemas.microsoft.com/office/drawing/2014/main" id="{A52987AC-FE31-605A-DA3B-46B1DA0F3F3E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946548" y="533081"/>
                                  <a:ext cx="2075658" cy="989054"/>
                                  <a:chOff x="2571640" y="537744"/>
                                  <a:chExt cx="2070171" cy="972901"/>
                                </a:xfrm>
                              </xdr:grpSpPr>
                              <xdr:grpSp>
                                <xdr:nvGrpSpPr>
                                  <xdr:cNvPr id="313" name="Group 312">
                                    <a:extLst>
                                      <a:ext uri="{FF2B5EF4-FFF2-40B4-BE49-F238E27FC236}">
                                        <a16:creationId xmlns:a16="http://schemas.microsoft.com/office/drawing/2014/main" id="{68329F01-7939-435A-F469-9C6BC8E9DADB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3029923" y="537744"/>
                                    <a:ext cx="1611888" cy="972901"/>
                                    <a:chOff x="6520113" y="168440"/>
                                    <a:chExt cx="1981989" cy="972411"/>
                                  </a:xfrm>
                                </xdr:grpSpPr>
                                <xdr:sp macro="" textlink="">
                                  <xdr:nvSpPr>
                                    <xdr:cNvPr id="315" name="Rectangle 314">
                                      <a:extLst>
                                        <a:ext uri="{FF2B5EF4-FFF2-40B4-BE49-F238E27FC236}">
                                          <a16:creationId xmlns:a16="http://schemas.microsoft.com/office/drawing/2014/main" id="{8AF2FCE4-1240-0BFE-346F-1FDB3B48BD83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6520113" y="171450"/>
                                      <a:ext cx="1270836" cy="962417"/>
                                    </a:xfrm>
                                    <a:prstGeom prst="rect">
                                      <a:avLst/>
                                    </a:prstGeom>
                                    <a:solidFill>
                                      <a:schemeClr val="accent1">
                                        <a:lumMod val="40000"/>
                                        <a:lumOff val="60000"/>
                                      </a:schemeClr>
                                    </a:solidFill>
                                    <a:ln w="22225">
                                      <a:solidFill>
                                        <a:schemeClr val="tx2"/>
                                      </a:solidFill>
                                    </a:ln>
                                  </xdr:spPr>
                                  <xdr:style>
                                    <a:lnRef idx="2">
                                      <a:schemeClr val="accent1">
                                        <a:shade val="15000"/>
                                      </a:schemeClr>
                                    </a:lnRef>
                                    <a:fillRef idx="1">
                                      <a:schemeClr val="accent1"/>
                                    </a:fillRef>
                                    <a:effectRef idx="0">
                                      <a:schemeClr val="accent1"/>
                                    </a:effectRef>
                                    <a:fontRef idx="minor">
                                      <a:schemeClr val="lt1"/>
                                    </a:fontRef>
                                  </xdr:style>
                                  <xdr:txBody>
                                    <a:bodyPr vertOverflow="clip" horzOverflow="clip" rtlCol="0" anchor="ctr"/>
                                    <a:lstStyle/>
                                    <a:p>
                                      <a:pPr algn="ctr"/>
                                      <a:r>
                                        <a:rPr lang="en-US" sz="900">
                                          <a:solidFill>
                                            <a:srgbClr val="FF0000"/>
                                          </a:solidFill>
                                        </a:rPr>
                                        <a:t>Compression</a:t>
                                      </a:r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16" name="Group 315">
                                      <a:extLst>
                                        <a:ext uri="{FF2B5EF4-FFF2-40B4-BE49-F238E27FC236}">
                                          <a16:creationId xmlns:a16="http://schemas.microsoft.com/office/drawing/2014/main" id="{E0941BCB-B0D3-96F9-296E-E23C467FA0C3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7826429" y="168440"/>
                                      <a:ext cx="675673" cy="972411"/>
                                      <a:chOff x="11633394" y="4191000"/>
                                      <a:chExt cx="545402" cy="456777"/>
                                    </a:xfrm>
                                  </xdr:grpSpPr>
                                  <xdr:sp macro="" textlink="">
                                    <xdr:nvSpPr>
                                      <xdr:cNvPr id="317" name="TextBox 31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12235501-DD84-6A53-D915-E35B74AE547A}"/>
                                          </a:ext>
                                        </a:extLst>
                                      </xdr:cNvPr>
                                      <xdr:cNvSpPr txBox="1"/>
                                    </xdr:nvSpPr>
                                    <xdr:spPr>
                                      <a:xfrm>
                                        <a:off x="11691498" y="4419374"/>
                                        <a:ext cx="487298" cy="114707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 w="9525" cmpd="sng">
                                        <a:noFill/>
                                      </a:ln>
                                    </xdr:spPr>
                                    <xdr:style>
                                      <a:lnRef idx="0">
                                        <a:scrgbClr r="0" g="0" b="0"/>
                                      </a:lnRef>
                                      <a:fillRef idx="0">
                                        <a:scrgbClr r="0" g="0" b="0"/>
                                      </a:fillRef>
                                      <a:effectRef idx="0">
                                        <a:scrgbClr r="0" g="0" b="0"/>
                                      </a:effectRef>
                                      <a:fontRef idx="minor">
                                        <a:schemeClr val="dk1"/>
                                      </a:fontRef>
                                    </xdr:style>
                                    <xdr:txBody>
                                      <a:bodyPr vertOverflow="clip" horzOverflow="clip" wrap="square" rtlCol="0" anchor="ctr"/>
                                      <a:lstStyle/>
                                      <a:p>
                                        <a:r>
                                          <a:rPr lang="en-US" altLang="ko-KR" sz="1000" b="1">
                                            <a:solidFill>
                                              <a:srgbClr val="FF0000"/>
                                            </a:solidFill>
                                          </a:rPr>
                                          <a:t>c2</a:t>
                                        </a:r>
                                        <a:endParaRPr lang="en-US" sz="1000" b="1">
                                          <a:solidFill>
                                            <a:srgbClr val="FF0000"/>
                                          </a:solidFill>
                                        </a:endParaRPr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18" name="Straight Connector 3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2E46817A-C33D-9E90-A0E9-0E7F61C6587A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11639046" y="4191000"/>
                                        <a:ext cx="132711" cy="0"/>
                                      </a:xfrm>
                                      <a:prstGeom prst="line">
                                        <a:avLst/>
                                      </a:prstGeom>
                                      <a:ln w="3175">
                                        <a:headEnd type="none"/>
                                        <a:tailEnd type="oval" w="sm" len="sm"/>
                                      </a:ln>
                                    </xdr:spPr>
                                    <xdr:style>
                                      <a:lnRef idx="1">
                                        <a:schemeClr val="accent1"/>
                                      </a:lnRef>
                                      <a:fillRef idx="0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tx1"/>
                                      </a:fontRef>
                                    </xdr:style>
                                  </xdr:cxnSp>
                                  <xdr:cxnSp macro="">
                                    <xdr:nvCxnSpPr>
                                      <xdr:cNvPr id="319" name="Straight Connector 3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4A42C4B3-8BD6-C837-902A-22F81D90D7C8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11769797" y="4193910"/>
                                        <a:ext cx="0" cy="453867"/>
                                      </a:xfrm>
                                      <a:prstGeom prst="line">
                                        <a:avLst/>
                                      </a:prstGeom>
                                      <a:ln w="3175"/>
                                    </xdr:spPr>
                                    <xdr:style>
                                      <a:lnRef idx="1">
                                        <a:schemeClr val="accent1"/>
                                      </a:lnRef>
                                      <a:fillRef idx="0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tx1"/>
                                      </a:fontRef>
                                    </xdr:style>
                                  </xdr:cxnSp>
                                  <xdr:cxnSp macro="">
                                    <xdr:nvCxnSpPr>
                                      <xdr:cNvPr id="320" name="Straight Connector 3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BC8E3350-996D-E01A-1237-10EEA8C891C3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11633394" y="4642079"/>
                                        <a:ext cx="137339" cy="0"/>
                                      </a:xfrm>
                                      <a:prstGeom prst="line">
                                        <a:avLst/>
                                      </a:prstGeom>
                                      <a:ln w="3175">
                                        <a:headEnd type="none"/>
                                        <a:tailEnd type="oval" w="sm" len="sm"/>
                                      </a:ln>
                                    </xdr:spPr>
                                    <xdr:style>
                                      <a:lnRef idx="1">
                                        <a:schemeClr val="accent1"/>
                                      </a:lnRef>
                                      <a:fillRef idx="0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tx1"/>
                                      </a:fontRef>
                                    </xdr:style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314" name="Straight Connector 313">
                                    <a:extLst>
                                      <a:ext uri="{FF2B5EF4-FFF2-40B4-BE49-F238E27FC236}">
                                        <a16:creationId xmlns:a16="http://schemas.microsoft.com/office/drawing/2014/main" id="{69C31B78-6A83-7821-83FF-C0C26F83D93A}"/>
                                      </a:ext>
                                    </a:extLst>
                                  </xdr:cNvPr>
                                  <xdr:cNvCxnSpPr/>
                                </xdr:nvCxnSpPr>
                                <xdr:spPr>
                                  <a:xfrm>
                                    <a:off x="2571640" y="1253289"/>
                                    <a:ext cx="1710732" cy="0"/>
                                  </a:xfrm>
                                  <a:prstGeom prst="line">
                                    <a:avLst/>
                                  </a:prstGeom>
                                  <a:ln w="6350">
                                    <a:solidFill>
                                      <a:srgbClr val="FF0000"/>
                                    </a:solidFill>
                                    <a:prstDash val="sysDot"/>
                                  </a:ln>
                                </xdr:spPr>
                                <xdr:style>
                                  <a:lnRef idx="1">
                                    <a:schemeClr val="accent1"/>
                                  </a:lnRef>
                                  <a:fillRef idx="0">
                                    <a:schemeClr val="accent1"/>
                                  </a:fillRef>
                                  <a:effectRef idx="0">
                                    <a:schemeClr val="accent1"/>
                                  </a:effectRef>
                                  <a:fontRef idx="minor">
                                    <a:schemeClr val="tx1"/>
                                  </a:fontRef>
                                </xdr:style>
                              </xdr:cxnSp>
                            </xdr:grpSp>
                            <xdr:cxnSp macro="">
                              <xdr:nvCxnSpPr>
                                <xdr:cNvPr id="309" name="Straight Arrow Connector 308">
                                  <a:extLst>
                                    <a:ext uri="{FF2B5EF4-FFF2-40B4-BE49-F238E27FC236}">
                                      <a16:creationId xmlns:a16="http://schemas.microsoft.com/office/drawing/2014/main" id="{9CB9BD05-10D5-273F-14D8-928DB18EA76A}"/>
                                    </a:ext>
                                  </a:extLst>
                                </xdr:cNvPr>
                                <xdr:cNvCxnSpPr/>
                              </xdr:nvCxnSpPr>
                              <xdr:spPr>
                                <a:xfrm flipH="1">
                                  <a:off x="642937" y="689564"/>
                                  <a:ext cx="357188" cy="0"/>
                                </a:xfrm>
                                <a:prstGeom prst="straightConnector1">
                                  <a:avLst/>
                                </a:prstGeom>
                                <a:ln>
                                  <a:solidFill>
                                    <a:srgbClr val="FF0000"/>
                                  </a:solidFill>
                                  <a:tailEnd type="triangle"/>
                                </a:ln>
                              </xdr:spPr>
                              <xdr:style>
                                <a:lnRef idx="1">
                                  <a:schemeClr val="accent1"/>
                                </a:lnRef>
                                <a:fillRef idx="0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tx1"/>
                                </a:fontRef>
                              </xdr:style>
                            </xdr:cxnSp>
                            <xdr:sp macro="" textlink="">
                              <xdr:nvSpPr>
                                <xdr:cNvPr id="310" name="Arc 309">
                                  <a:extLst>
                                    <a:ext uri="{FF2B5EF4-FFF2-40B4-BE49-F238E27FC236}">
                                      <a16:creationId xmlns:a16="http://schemas.microsoft.com/office/drawing/2014/main" id="{772C77D9-AC4A-6506-63C3-516792D2DED7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 rot="18003407">
                                  <a:off x="678926" y="1107881"/>
                                  <a:ext cx="345660" cy="295610"/>
                                </a:xfrm>
                                <a:prstGeom prst="arc">
                                  <a:avLst>
                                    <a:gd name="adj1" fmla="val 7275827"/>
                                    <a:gd name="adj2" fmla="val 0"/>
                                  </a:avLst>
                                </a:prstGeom>
                                <a:ln>
                                  <a:solidFill>
                                    <a:srgbClr val="FF0000"/>
                                  </a:solidFill>
                                  <a:headEnd type="triangle" w="med" len="med"/>
                                  <a:tailEnd type="none" w="med" len="med"/>
                                </a:ln>
                              </xdr:spPr>
                              <xdr:style>
                                <a:lnRef idx="1">
                                  <a:schemeClr val="accent1"/>
                                </a:lnRef>
                                <a:fillRef idx="0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tx1"/>
                                </a:fontRef>
                              </xdr:style>
                              <xdr:txBody>
                                <a:bodyPr vertOverflow="clip" horzOverflow="clip" rtlCol="0" anchor="t"/>
                                <a:lstStyle/>
                                <a:p>
                                  <a:pPr algn="l"/>
                                  <a:endParaRPr lang="en-US" sz="1100"/>
                                </a:p>
                              </xdr:txBody>
                            </xdr:sp>
                            <xdr:sp macro="" textlink="">
                              <xdr:nvSpPr>
                                <xdr:cNvPr id="311" name="TextBox 310">
                                  <a:extLst>
                                    <a:ext uri="{FF2B5EF4-FFF2-40B4-BE49-F238E27FC236}">
                                      <a16:creationId xmlns:a16="http://schemas.microsoft.com/office/drawing/2014/main" id="{C8AA79E1-6F80-FCBC-9F7A-93E8FDBEAF87}"/>
                                    </a:ext>
                                  </a:extLst>
                                </xdr:cNvPr>
                                <xdr:cNvSpPr txBox="1"/>
                              </xdr:nvSpPr>
                              <xdr:spPr>
                                <a:xfrm>
                                  <a:off x="416087" y="561169"/>
                                  <a:ext cx="524471" cy="214312"/>
                                </a:xfrm>
                                <a:prstGeom prst="rect">
                                  <a:avLst/>
                                </a:prstGeom>
                                <a:noFill/>
                                <a:ln w="9525" cmpd="sng">
                                  <a:noFill/>
                                </a:ln>
                              </xdr:spPr>
                              <xdr:style>
                                <a:lnRef idx="0">
                                  <a:scrgbClr r="0" g="0" b="0"/>
                                </a:lnRef>
                                <a:fillRef idx="0">
                                  <a:scrgbClr r="0" g="0" b="0"/>
                                </a:fillRef>
                                <a:effectRef idx="0">
                                  <a:scrgbClr r="0" g="0" b="0"/>
                                </a:effectRef>
                                <a:fontRef idx="minor">
                                  <a:schemeClr val="dk1"/>
                                </a:fontRef>
                              </xdr:style>
                              <xdr:txBody>
                                <a:bodyPr vertOverflow="clip" horzOverflow="clip" wrap="square" rtlCol="0" anchor="ctr"/>
                                <a:lstStyle/>
                                <a:p>
                                  <a:r>
                                    <a:rPr lang="en-US" altLang="ko-KR" sz="900" b="1">
                                      <a:solidFill>
                                        <a:srgbClr val="0070C0"/>
                                      </a:solidFill>
                                    </a:rPr>
                                    <a:t>Fs</a:t>
                                  </a:r>
                                  <a:endParaRPr lang="en-US" sz="900" b="1">
                                    <a:solidFill>
                                      <a:srgbClr val="0070C0"/>
                                    </a:solidFill>
                                  </a:endParaRPr>
                                </a:p>
                              </xdr:txBody>
                            </xdr:sp>
                            <xdr:sp macro="" textlink="">
                              <xdr:nvSpPr>
                                <xdr:cNvPr id="312" name="TextBox 311">
                                  <a:extLst>
                                    <a:ext uri="{FF2B5EF4-FFF2-40B4-BE49-F238E27FC236}">
                                      <a16:creationId xmlns:a16="http://schemas.microsoft.com/office/drawing/2014/main" id="{1C528ED5-F08B-9A39-D767-BA8B82019AF4}"/>
                                    </a:ext>
                                  </a:extLst>
                                </xdr:cNvPr>
                                <xdr:cNvSpPr txBox="1"/>
                              </xdr:nvSpPr>
                              <xdr:spPr>
                                <a:xfrm>
                                  <a:off x="423656" y="1131796"/>
                                  <a:ext cx="569301" cy="214312"/>
                                </a:xfrm>
                                <a:prstGeom prst="rect">
                                  <a:avLst/>
                                </a:prstGeom>
                                <a:noFill/>
                                <a:ln w="9525" cmpd="sng">
                                  <a:noFill/>
                                </a:ln>
                              </xdr:spPr>
                              <xdr:style>
                                <a:lnRef idx="0">
                                  <a:scrgbClr r="0" g="0" b="0"/>
                                </a:lnRef>
                                <a:fillRef idx="0">
                                  <a:scrgbClr r="0" g="0" b="0"/>
                                </a:fillRef>
                                <a:effectRef idx="0">
                                  <a:scrgbClr r="0" g="0" b="0"/>
                                </a:effectRef>
                                <a:fontRef idx="minor">
                                  <a:schemeClr val="dk1"/>
                                </a:fontRef>
                              </xdr:style>
                              <xdr:txBody>
                                <a:bodyPr vertOverflow="clip" horzOverflow="clip" wrap="square" rtlCol="0" anchor="ctr"/>
                                <a:lstStyle/>
                                <a:p>
                                  <a:r>
                                    <a:rPr lang="en-US" altLang="ko-KR" sz="900" b="1">
                                      <a:solidFill>
                                        <a:srgbClr val="0070C0"/>
                                      </a:solidFill>
                                    </a:rPr>
                                    <a:t>Mc+Ms</a:t>
                                  </a:r>
                                  <a:endParaRPr lang="en-US" sz="900" b="1">
                                    <a:solidFill>
                                      <a:srgbClr val="0070C0"/>
                                    </a:solidFill>
                                  </a:endParaRPr>
                                </a:p>
                              </xdr:txBody>
                            </xdr:sp>
                          </xdr:grpSp>
                          <xdr:grpSp>
                            <xdr:nvGrpSpPr>
                              <xdr:cNvPr id="303" name="Group 302">
                                <a:extLst>
                                  <a:ext uri="{FF2B5EF4-FFF2-40B4-BE49-F238E27FC236}">
                                    <a16:creationId xmlns:a16="http://schemas.microsoft.com/office/drawing/2014/main" id="{BD833A98-3747-FB04-8198-56AAD359666C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1348396" y="588819"/>
                                <a:ext cx="780486" cy="49254"/>
                                <a:chOff x="1339736" y="580159"/>
                                <a:chExt cx="780486" cy="49254"/>
                              </a:xfrm>
                            </xdr:grpSpPr>
                            <xdr:sp macro="" textlink="">
                              <xdr:nvSpPr>
                                <xdr:cNvPr id="304" name="Oval 303">
                                  <a:extLst>
                                    <a:ext uri="{FF2B5EF4-FFF2-40B4-BE49-F238E27FC236}">
                                      <a16:creationId xmlns:a16="http://schemas.microsoft.com/office/drawing/2014/main" id="{D38F297C-5261-50E1-7080-010E70AC37DB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1339736" y="580159"/>
                                  <a:ext cx="45719" cy="45719"/>
                                </a:xfrm>
                                <a:prstGeom prst="ellipse">
                                  <a:avLst/>
                                </a:prstGeom>
                                <a:solidFill>
                                  <a:srgbClr val="FF0000"/>
                                </a:solidFill>
                                <a:ln>
                                  <a:noFill/>
                                </a:ln>
                              </xdr:spPr>
                              <xdr:style>
                                <a:lnRef idx="2">
                                  <a:schemeClr val="accent1">
                                    <a:shade val="15000"/>
                                  </a:schemeClr>
                                </a:lnRef>
                                <a:fillRef idx="1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lt1"/>
                                </a:fontRef>
                              </xdr:style>
                              <xdr:txBody>
                                <a:bodyPr vertOverflow="clip" horzOverflow="clip" rtlCol="0" anchor="t"/>
                                <a:lstStyle/>
                                <a:p>
                                  <a:pPr algn="l"/>
                                  <a:endParaRPr lang="en-US" sz="1100"/>
                                </a:p>
                              </xdr:txBody>
                            </xdr:sp>
                            <xdr:sp macro="" textlink="">
                              <xdr:nvSpPr>
                                <xdr:cNvPr id="305" name="Oval 304">
                                  <a:extLst>
                                    <a:ext uri="{FF2B5EF4-FFF2-40B4-BE49-F238E27FC236}">
                                      <a16:creationId xmlns:a16="http://schemas.microsoft.com/office/drawing/2014/main" id="{C5604A70-0E2E-28F4-7306-EA1CC5842BBF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1579202" y="581960"/>
                                  <a:ext cx="45719" cy="45719"/>
                                </a:xfrm>
                                <a:prstGeom prst="ellipse">
                                  <a:avLst/>
                                </a:prstGeom>
                                <a:solidFill>
                                  <a:srgbClr val="FF0000"/>
                                </a:solidFill>
                                <a:ln>
                                  <a:noFill/>
                                </a:ln>
                              </xdr:spPr>
                              <xdr:style>
                                <a:lnRef idx="2">
                                  <a:schemeClr val="accent1">
                                    <a:shade val="15000"/>
                                  </a:schemeClr>
                                </a:lnRef>
                                <a:fillRef idx="1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lt1"/>
                                </a:fontRef>
                              </xdr:style>
                              <xdr:txBody>
                                <a:bodyPr vertOverflow="clip" horzOverflow="clip" rtlCol="0" anchor="t"/>
                                <a:lstStyle/>
                                <a:p>
                                  <a:pPr algn="l"/>
                                  <a:endParaRPr lang="en-US" sz="1100"/>
                                </a:p>
                              </xdr:txBody>
                            </xdr:sp>
                            <xdr:sp macro="" textlink="">
                              <xdr:nvSpPr>
                                <xdr:cNvPr id="306" name="Oval 305">
                                  <a:extLst>
                                    <a:ext uri="{FF2B5EF4-FFF2-40B4-BE49-F238E27FC236}">
                                      <a16:creationId xmlns:a16="http://schemas.microsoft.com/office/drawing/2014/main" id="{67FE9933-39ED-6452-345B-B4A440C9362F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1831183" y="582827"/>
                                  <a:ext cx="45719" cy="45719"/>
                                </a:xfrm>
                                <a:prstGeom prst="ellipse">
                                  <a:avLst/>
                                </a:prstGeom>
                                <a:solidFill>
                                  <a:srgbClr val="FF0000"/>
                                </a:solidFill>
                                <a:ln>
                                  <a:noFill/>
                                </a:ln>
                              </xdr:spPr>
                              <xdr:style>
                                <a:lnRef idx="2">
                                  <a:schemeClr val="accent1">
                                    <a:shade val="15000"/>
                                  </a:schemeClr>
                                </a:lnRef>
                                <a:fillRef idx="1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lt1"/>
                                </a:fontRef>
                              </xdr:style>
                              <xdr:txBody>
                                <a:bodyPr vertOverflow="clip" horzOverflow="clip" rtlCol="0" anchor="t"/>
                                <a:lstStyle/>
                                <a:p>
                                  <a:pPr algn="l"/>
                                  <a:endParaRPr lang="en-US" sz="1100"/>
                                </a:p>
                              </xdr:txBody>
                            </xdr:sp>
                            <xdr:sp macro="" textlink="">
                              <xdr:nvSpPr>
                                <xdr:cNvPr id="307" name="Oval 306">
                                  <a:extLst>
                                    <a:ext uri="{FF2B5EF4-FFF2-40B4-BE49-F238E27FC236}">
                                      <a16:creationId xmlns:a16="http://schemas.microsoft.com/office/drawing/2014/main" id="{06D302CD-938C-2DDC-E157-2052AE4C75E4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2074503" y="583694"/>
                                  <a:ext cx="45719" cy="45719"/>
                                </a:xfrm>
                                <a:prstGeom prst="ellipse">
                                  <a:avLst/>
                                </a:prstGeom>
                                <a:solidFill>
                                  <a:srgbClr val="FF0000"/>
                                </a:solidFill>
                                <a:ln>
                                  <a:noFill/>
                                </a:ln>
                              </xdr:spPr>
                              <xdr:style>
                                <a:lnRef idx="2">
                                  <a:schemeClr val="accent1">
                                    <a:shade val="15000"/>
                                  </a:schemeClr>
                                </a:lnRef>
                                <a:fillRef idx="1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lt1"/>
                                </a:fontRef>
                              </xdr:style>
                              <xdr:txBody>
                                <a:bodyPr vertOverflow="clip" horzOverflow="clip" rtlCol="0" anchor="t"/>
                                <a:lstStyle/>
                                <a:p>
                                  <a:pPr algn="l"/>
                                  <a:endParaRPr lang="en-US" sz="1100"/>
                                </a:p>
                              </xdr:txBody>
                            </xdr:sp>
                          </xdr:grpSp>
                        </xdr:grpSp>
                        <xdr:cxnSp macro="">
                          <xdr:nvCxnSpPr>
                            <xdr:cNvPr id="300" name="Straight Arrow Connector 299">
                              <a:extLst>
                                <a:ext uri="{FF2B5EF4-FFF2-40B4-BE49-F238E27FC236}">
                                  <a16:creationId xmlns:a16="http://schemas.microsoft.com/office/drawing/2014/main" id="{B48C880E-2C1E-AD7C-9BDA-E6C8586C60BA}"/>
                                </a:ext>
                              </a:extLst>
                            </xdr:cNvPr>
                            <xdr:cNvCxnSpPr/>
                          </xdr:nvCxnSpPr>
                          <xdr:spPr>
                            <a:xfrm>
                              <a:off x="475977" y="1802776"/>
                              <a:ext cx="373803" cy="0"/>
                            </a:xfrm>
                            <a:prstGeom prst="straightConnector1">
                              <a:avLst/>
                            </a:prstGeom>
                            <a:ln>
                              <a:solidFill>
                                <a:srgbClr val="00B050"/>
                              </a:solidFill>
                              <a:tailEnd type="triangle"/>
                            </a:ln>
                          </xdr:spPr>
                          <xdr:style>
                            <a:lnRef idx="1">
                              <a:schemeClr val="accent1"/>
                            </a:lnRef>
                            <a:fillRef idx="0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  <xdr:sp macro="" textlink="">
                          <xdr:nvSpPr>
                            <xdr:cNvPr id="301" name="TextBox 300">
                              <a:extLst>
                                <a:ext uri="{FF2B5EF4-FFF2-40B4-BE49-F238E27FC236}">
                                  <a16:creationId xmlns:a16="http://schemas.microsoft.com/office/drawing/2014/main" id="{208105C6-4736-3AA4-596F-10867622E036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186092" y="1705087"/>
                              <a:ext cx="524956" cy="216433"/>
                            </a:xfrm>
                            <a:prstGeom prst="rect">
                              <a:avLst/>
                            </a:prstGeom>
                            <a:noFill/>
                            <a:ln w="9525" cmpd="sng">
                              <a:noFill/>
                            </a:ln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dk1"/>
                            </a:fontRef>
                          </xdr:style>
                          <xdr:txBody>
                            <a:bodyPr vertOverflow="clip" horzOverflow="clip" wrap="square" rtlCol="0" anchor="ctr"/>
                            <a:lstStyle/>
                            <a:p>
                              <a:r>
                                <a:rPr lang="en-US" altLang="ko-KR" sz="900" b="1">
                                  <a:solidFill>
                                    <a:srgbClr val="0070C0"/>
                                  </a:solidFill>
                                </a:rPr>
                                <a:t>Fs</a:t>
                              </a:r>
                              <a:endParaRPr lang="en-US" sz="900" b="1">
                                <a:solidFill>
                                  <a:srgbClr val="0070C0"/>
                                </a:solidFill>
                              </a:endParaRPr>
                            </a:p>
                          </xdr:txBody>
                        </xdr:sp>
                      </xdr:grpSp>
                      <xdr:cxnSp macro="">
                        <xdr:nvCxnSpPr>
                          <xdr:cNvPr id="297" name="Straight Arrow Connector 296">
                            <a:extLst>
                              <a:ext uri="{FF2B5EF4-FFF2-40B4-BE49-F238E27FC236}">
                                <a16:creationId xmlns:a16="http://schemas.microsoft.com/office/drawing/2014/main" id="{44BCB711-B6DA-AC3B-1024-BF6FB9877318}"/>
                              </a:ext>
                            </a:extLst>
                          </xdr:cNvPr>
                          <xdr:cNvCxnSpPr/>
                        </xdr:nvCxnSpPr>
                        <xdr:spPr>
                          <a:xfrm flipH="1">
                            <a:off x="434578" y="834439"/>
                            <a:ext cx="357228" cy="0"/>
                          </a:xfrm>
                          <a:prstGeom prst="straightConnector1">
                            <a:avLst/>
                          </a:prstGeom>
                          <a:ln>
                            <a:solidFill>
                              <a:srgbClr val="FF0000"/>
                            </a:solidFill>
                            <a:tailEnd type="triangle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sp macro="" textlink="">
                        <xdr:nvSpPr>
                          <xdr:cNvPr id="298" name="TextBox 297">
                            <a:extLst>
                              <a:ext uri="{FF2B5EF4-FFF2-40B4-BE49-F238E27FC236}">
                                <a16:creationId xmlns:a16="http://schemas.microsoft.com/office/drawing/2014/main" id="{ABC538DA-EC5A-C0C2-9F0B-70F525DAB8CA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205411" y="708709"/>
                            <a:ext cx="452437" cy="214345"/>
                          </a:xfrm>
                          <a:prstGeom prst="rect">
                            <a:avLst/>
                          </a:prstGeom>
                          <a:noFill/>
                          <a:ln w="9525" cmpd="sng">
                            <a:noFill/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ctr"/>
                          <a:lstStyle/>
                          <a:p>
                            <a:r>
                              <a:rPr lang="en-US" altLang="ko-KR" sz="900" b="1">
                                <a:solidFill>
                                  <a:srgbClr val="0070C0"/>
                                </a:solidFill>
                              </a:rPr>
                              <a:t>Fc</a:t>
                            </a:r>
                            <a:endParaRPr lang="en-US" sz="900" b="1">
                              <a:solidFill>
                                <a:srgbClr val="0070C0"/>
                              </a:solidFill>
                            </a:endParaRPr>
                          </a:p>
                        </xdr:txBody>
                      </xdr:sp>
                    </xdr:grpSp>
                    <xdr:sp macro="" textlink="">
                      <xdr:nvSpPr>
                        <xdr:cNvPr id="292" name="Arc 291">
                          <a:extLst>
                            <a:ext uri="{FF2B5EF4-FFF2-40B4-BE49-F238E27FC236}">
                              <a16:creationId xmlns:a16="http://schemas.microsoft.com/office/drawing/2014/main" id="{DC851D78-09F6-71A3-AA3C-724927D6D19C}"/>
                            </a:ext>
                          </a:extLst>
                        </xdr:cNvPr>
                        <xdr:cNvSpPr/>
                      </xdr:nvSpPr>
                      <xdr:spPr>
                        <a:xfrm rot="18003407">
                          <a:off x="2978810" y="2519054"/>
                          <a:ext cx="355032" cy="349674"/>
                        </a:xfrm>
                        <a:prstGeom prst="arc">
                          <a:avLst>
                            <a:gd name="adj1" fmla="val 7275827"/>
                            <a:gd name="adj2" fmla="val 353914"/>
                          </a:avLst>
                        </a:prstGeom>
                        <a:ln>
                          <a:solidFill>
                            <a:srgbClr val="00B050"/>
                          </a:solidFill>
                          <a:headEnd type="none" w="med" len="med"/>
                          <a:tailEnd type="triangle" w="med" len="med"/>
                        </a:ln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</xdr:grpSp>
                </xdr:grpSp>
              </xdr:grpSp>
              <xdr:sp macro="" textlink="">
                <xdr:nvSpPr>
                  <xdr:cNvPr id="284" name="TextBox 283">
                    <a:extLst>
                      <a:ext uri="{FF2B5EF4-FFF2-40B4-BE49-F238E27FC236}">
                        <a16:creationId xmlns:a16="http://schemas.microsoft.com/office/drawing/2014/main" id="{AA661868-D5B6-5AB2-30F0-A26E75DB9B59}"/>
                      </a:ext>
                    </a:extLst>
                  </xdr:cNvPr>
                  <xdr:cNvSpPr txBox="1"/>
                </xdr:nvSpPr>
                <xdr:spPr>
                  <a:xfrm>
                    <a:off x="2668190" y="3533775"/>
                    <a:ext cx="919963" cy="457200"/>
                  </a:xfrm>
                  <a:prstGeom prst="rect">
                    <a:avLst/>
                  </a:prstGeom>
                  <a:noFill/>
                  <a:ln w="19050" cmpd="sng">
                    <a:solidFill>
                      <a:srgbClr val="FF0000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n-US" altLang="ko-KR" sz="1000" b="1">
                        <a:solidFill>
                          <a:srgbClr val="FF0000"/>
                        </a:solidFill>
                      </a:rPr>
                      <a:t>C = </a:t>
                    </a:r>
                    <a:r>
                      <a:rPr lang="en-US" altLang="ko-KR" sz="1000" b="1">
                        <a:solidFill>
                          <a:srgbClr val="FF0000"/>
                        </a:solidFill>
                        <a:sym typeface="Symbol" panose="05050102010706020507" pitchFamily="18" charset="2"/>
                      </a:rPr>
                      <a:t>c1  c2</a:t>
                    </a:r>
                    <a:endParaRPr lang="en-US" altLang="ko-KR" sz="1000" b="1">
                      <a:solidFill>
                        <a:srgbClr val="FF0000"/>
                      </a:solidFill>
                    </a:endParaRPr>
                  </a:p>
                  <a:p>
                    <a:r>
                      <a:rPr lang="en-US" sz="1000" b="1">
                        <a:solidFill>
                          <a:srgbClr val="FF0000"/>
                        </a:solidFill>
                      </a:rPr>
                      <a:t>e = e1  </a:t>
                    </a:r>
                    <a:r>
                      <a:rPr lang="en-US" sz="1000" b="1">
                        <a:solidFill>
                          <a:srgbClr val="FF0000"/>
                        </a:solidFill>
                        <a:sym typeface="Symbol" panose="05050102010706020507" pitchFamily="18" charset="2"/>
                      </a:rPr>
                      <a:t></a:t>
                    </a:r>
                    <a:r>
                      <a:rPr lang="en-US" sz="1000" b="1">
                        <a:solidFill>
                          <a:srgbClr val="FF0000"/>
                        </a:solidFill>
                      </a:rPr>
                      <a:t> e2</a:t>
                    </a:r>
                  </a:p>
                </xdr:txBody>
              </xdr:sp>
            </xdr:grpSp>
            <xdr:sp macro="" textlink="">
              <xdr:nvSpPr>
                <xdr:cNvPr id="275" name="Rectangle 274">
                  <a:extLst>
                    <a:ext uri="{FF2B5EF4-FFF2-40B4-BE49-F238E27FC236}">
                      <a16:creationId xmlns:a16="http://schemas.microsoft.com/office/drawing/2014/main" id="{4502FE78-993B-B878-1206-5DC0EEEDEF8E}"/>
                    </a:ext>
                  </a:extLst>
                </xdr:cNvPr>
                <xdr:cNvSpPr/>
              </xdr:nvSpPr>
              <xdr:spPr>
                <a:xfrm>
                  <a:off x="3841755" y="6637219"/>
                  <a:ext cx="1031535" cy="509933"/>
                </a:xfrm>
                <a:prstGeom prst="rect">
                  <a:avLst/>
                </a:prstGeom>
                <a:solidFill>
                  <a:schemeClr val="accent6">
                    <a:lumMod val="40000"/>
                    <a:lumOff val="60000"/>
                  </a:schemeClr>
                </a:solidFill>
                <a:ln w="22225">
                  <a:solidFill>
                    <a:schemeClr val="tx2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 sz="900">
                      <a:solidFill>
                        <a:srgbClr val="FF0000"/>
                      </a:solidFill>
                    </a:rPr>
                    <a:t>Tension</a:t>
                  </a:r>
                </a:p>
              </xdr:txBody>
            </xdr:sp>
            <xdr:sp macro="" textlink="">
              <xdr:nvSpPr>
                <xdr:cNvPr id="276" name="Right Triangle 275">
                  <a:extLst>
                    <a:ext uri="{FF2B5EF4-FFF2-40B4-BE49-F238E27FC236}">
                      <a16:creationId xmlns:a16="http://schemas.microsoft.com/office/drawing/2014/main" id="{B1939296-7054-EF95-8948-411B20295B9D}"/>
                    </a:ext>
                  </a:extLst>
                </xdr:cNvPr>
                <xdr:cNvSpPr/>
              </xdr:nvSpPr>
              <xdr:spPr>
                <a:xfrm flipV="1">
                  <a:off x="5598438" y="5630891"/>
                  <a:ext cx="350997" cy="1006328"/>
                </a:xfrm>
                <a:prstGeom prst="rtTriangle">
                  <a:avLst/>
                </a:prstGeom>
                <a:solidFill>
                  <a:schemeClr val="accent5">
                    <a:lumMod val="20000"/>
                    <a:lumOff val="80000"/>
                  </a:schemeClr>
                </a:solidFill>
                <a:ln w="12700"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r>
                    <a:rPr lang="en-US" altLang="ko-KR" sz="1100">
                      <a:ln w="12700" cap="sq">
                        <a:solidFill>
                          <a:srgbClr val="FF0000"/>
                        </a:solidFill>
                        <a:round/>
                      </a:ln>
                      <a:solidFill>
                        <a:srgbClr val="FF0000"/>
                      </a:solidFill>
                    </a:rPr>
                    <a:t>+</a:t>
                  </a:r>
                  <a:endParaRPr lang="ko-KR" altLang="en-US" sz="1100">
                    <a:ln w="12700" cap="sq">
                      <a:solidFill>
                        <a:srgbClr val="FF0000"/>
                      </a:solidFill>
                      <a:round/>
                    </a:ln>
                    <a:solidFill>
                      <a:srgbClr val="FF0000"/>
                    </a:solidFill>
                  </a:endParaRPr>
                </a:p>
              </xdr:txBody>
            </xdr:sp>
            <xdr:grpSp>
              <xdr:nvGrpSpPr>
                <xdr:cNvPr id="277" name="Group 276">
                  <a:extLst>
                    <a:ext uri="{FF2B5EF4-FFF2-40B4-BE49-F238E27FC236}">
                      <a16:creationId xmlns:a16="http://schemas.microsoft.com/office/drawing/2014/main" id="{80C090E3-1D45-65E5-5141-78827FAC1473}"/>
                    </a:ext>
                  </a:extLst>
                </xdr:cNvPr>
                <xdr:cNvGrpSpPr/>
              </xdr:nvGrpSpPr>
              <xdr:grpSpPr>
                <a:xfrm>
                  <a:off x="3982590" y="6943306"/>
                  <a:ext cx="776000" cy="49370"/>
                  <a:chOff x="3917956" y="6814033"/>
                  <a:chExt cx="776000" cy="49370"/>
                </a:xfrm>
              </xdr:grpSpPr>
              <xdr:sp macro="" textlink="">
                <xdr:nvSpPr>
                  <xdr:cNvPr id="279" name="Oval 278">
                    <a:extLst>
                      <a:ext uri="{FF2B5EF4-FFF2-40B4-BE49-F238E27FC236}">
                        <a16:creationId xmlns:a16="http://schemas.microsoft.com/office/drawing/2014/main" id="{E0E239C6-0B71-9D5F-3641-36BD00329A65}"/>
                      </a:ext>
                    </a:extLst>
                  </xdr:cNvPr>
                  <xdr:cNvSpPr/>
                </xdr:nvSpPr>
                <xdr:spPr>
                  <a:xfrm>
                    <a:off x="3917956" y="6814033"/>
                    <a:ext cx="45456" cy="45827"/>
                  </a:xfrm>
                  <a:prstGeom prst="ellipse">
                    <a:avLst/>
                  </a:prstGeom>
                  <a:solidFill>
                    <a:srgbClr val="FF0000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80" name="Oval 279">
                    <a:extLst>
                      <a:ext uri="{FF2B5EF4-FFF2-40B4-BE49-F238E27FC236}">
                        <a16:creationId xmlns:a16="http://schemas.microsoft.com/office/drawing/2014/main" id="{82B2A038-283A-26C3-C538-79BE7B0BF46F}"/>
                      </a:ext>
                    </a:extLst>
                  </xdr:cNvPr>
                  <xdr:cNvSpPr/>
                </xdr:nvSpPr>
                <xdr:spPr>
                  <a:xfrm>
                    <a:off x="4156046" y="6815838"/>
                    <a:ext cx="45456" cy="45827"/>
                  </a:xfrm>
                  <a:prstGeom prst="ellipse">
                    <a:avLst/>
                  </a:prstGeom>
                  <a:solidFill>
                    <a:srgbClr val="FF0000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81" name="Oval 280">
                    <a:extLst>
                      <a:ext uri="{FF2B5EF4-FFF2-40B4-BE49-F238E27FC236}">
                        <a16:creationId xmlns:a16="http://schemas.microsoft.com/office/drawing/2014/main" id="{6B53D594-8DD0-C91A-EC63-F326A26EEEE1}"/>
                      </a:ext>
                    </a:extLst>
                  </xdr:cNvPr>
                  <xdr:cNvSpPr/>
                </xdr:nvSpPr>
                <xdr:spPr>
                  <a:xfrm>
                    <a:off x="4406578" y="6816707"/>
                    <a:ext cx="45456" cy="45827"/>
                  </a:xfrm>
                  <a:prstGeom prst="ellipse">
                    <a:avLst/>
                  </a:prstGeom>
                  <a:solidFill>
                    <a:srgbClr val="FF0000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82" name="Oval 281">
                    <a:extLst>
                      <a:ext uri="{FF2B5EF4-FFF2-40B4-BE49-F238E27FC236}">
                        <a16:creationId xmlns:a16="http://schemas.microsoft.com/office/drawing/2014/main" id="{BD281A04-D5ED-C4CF-5F2D-0BB5F7760D0E}"/>
                      </a:ext>
                    </a:extLst>
                  </xdr:cNvPr>
                  <xdr:cNvSpPr/>
                </xdr:nvSpPr>
                <xdr:spPr>
                  <a:xfrm>
                    <a:off x="4648500" y="6817576"/>
                    <a:ext cx="45456" cy="45827"/>
                  </a:xfrm>
                  <a:prstGeom prst="ellipse">
                    <a:avLst/>
                  </a:prstGeom>
                  <a:solidFill>
                    <a:srgbClr val="FF0000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</xdr:grpSp>
            <xdr:sp macro="" textlink="">
              <xdr:nvSpPr>
                <xdr:cNvPr id="278" name="Right Triangle 277">
                  <a:extLst>
                    <a:ext uri="{FF2B5EF4-FFF2-40B4-BE49-F238E27FC236}">
                      <a16:creationId xmlns:a16="http://schemas.microsoft.com/office/drawing/2014/main" id="{FDE76381-DFFD-528D-E40D-F71355FB5382}"/>
                    </a:ext>
                  </a:extLst>
                </xdr:cNvPr>
                <xdr:cNvSpPr/>
              </xdr:nvSpPr>
              <xdr:spPr>
                <a:xfrm flipH="1">
                  <a:off x="5393805" y="6655191"/>
                  <a:ext cx="204583" cy="512757"/>
                </a:xfrm>
                <a:prstGeom prst="rtTriangle">
                  <a:avLst/>
                </a:prstGeom>
                <a:solidFill>
                  <a:schemeClr val="accent5">
                    <a:lumMod val="20000"/>
                    <a:lumOff val="80000"/>
                  </a:schemeClr>
                </a:solidFill>
                <a:ln w="12700"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lang="en-US" altLang="ko-KR" sz="1100">
                      <a:ln w="15875">
                        <a:solidFill>
                          <a:srgbClr val="FF0000"/>
                        </a:solidFill>
                      </a:ln>
                      <a:solidFill>
                        <a:srgbClr val="FF0000"/>
                      </a:solidFill>
                    </a:rPr>
                    <a:t>-</a:t>
                  </a:r>
                  <a:endParaRPr lang="ko-KR" altLang="en-US" sz="1100">
                    <a:ln w="15875">
                      <a:solidFill>
                        <a:srgbClr val="FF0000"/>
                      </a:solidFill>
                    </a:ln>
                    <a:solidFill>
                      <a:srgbClr val="FF0000"/>
                    </a:solidFill>
                  </a:endParaRPr>
                </a:p>
              </xdr:txBody>
            </xdr:sp>
          </xdr:grpSp>
          <xdr:cxnSp macro="">
            <xdr:nvCxnSpPr>
              <xdr:cNvPr id="273" name="Straight Connector 272">
                <a:extLst>
                  <a:ext uri="{FF2B5EF4-FFF2-40B4-BE49-F238E27FC236}">
                    <a16:creationId xmlns:a16="http://schemas.microsoft.com/office/drawing/2014/main" id="{6E8D58FE-0185-2DF4-DE9D-8BCE9290EAC3}"/>
                  </a:ext>
                </a:extLst>
              </xdr:cNvPr>
              <xdr:cNvCxnSpPr/>
            </xdr:nvCxnSpPr>
            <xdr:spPr>
              <a:xfrm>
                <a:off x="2421171" y="6664419"/>
                <a:ext cx="718679" cy="0"/>
              </a:xfrm>
              <a:prstGeom prst="line">
                <a:avLst/>
              </a:prstGeom>
              <a:ln w="6350">
                <a:solidFill>
                  <a:srgbClr val="FF0000"/>
                </a:solidFill>
                <a:prstDash val="sysDot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322" name="TextBox 321">
              <a:extLst>
                <a:ext uri="{FF2B5EF4-FFF2-40B4-BE49-F238E27FC236}">
                  <a16:creationId xmlns:a16="http://schemas.microsoft.com/office/drawing/2014/main" id="{43359C53-E787-4898-A7FB-FE6057A21D3E}"/>
                </a:ext>
              </a:extLst>
            </xdr:cNvPr>
            <xdr:cNvSpPr txBox="1"/>
          </xdr:nvSpPr>
          <xdr:spPr>
            <a:xfrm>
              <a:off x="5554385" y="10469782"/>
              <a:ext cx="818379" cy="18339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900"/>
                <a:t>es = 0.5fy/Es</a:t>
              </a:r>
              <a:endParaRPr lang="en-US" sz="900"/>
            </a:p>
          </xdr:txBody>
        </xdr:sp>
      </xdr:grpSp>
      <xdr:cxnSp macro="">
        <xdr:nvCxnSpPr>
          <xdr:cNvPr id="324" name="Straight Connector 323">
            <a:extLst>
              <a:ext uri="{FF2B5EF4-FFF2-40B4-BE49-F238E27FC236}">
                <a16:creationId xmlns:a16="http://schemas.microsoft.com/office/drawing/2014/main" id="{658E7479-C264-4E55-926E-D1CD81C9EACE}"/>
              </a:ext>
            </a:extLst>
          </xdr:cNvPr>
          <xdr:cNvCxnSpPr/>
        </xdr:nvCxnSpPr>
        <xdr:spPr>
          <a:xfrm>
            <a:off x="4885838" y="10570425"/>
            <a:ext cx="719714" cy="0"/>
          </a:xfrm>
          <a:prstGeom prst="line">
            <a:avLst/>
          </a:prstGeom>
          <a:ln w="6350">
            <a:solidFill>
              <a:srgbClr val="FF0000"/>
            </a:solidFill>
            <a:prstDash val="sys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0</xdr:colOff>
      <xdr:row>78</xdr:row>
      <xdr:rowOff>51289</xdr:rowOff>
    </xdr:from>
    <xdr:to>
      <xdr:col>2</xdr:col>
      <xdr:colOff>549188</xdr:colOff>
      <xdr:row>94</xdr:row>
      <xdr:rowOff>54891</xdr:rowOff>
    </xdr:to>
    <xdr:grpSp>
      <xdr:nvGrpSpPr>
        <xdr:cNvPr id="328" name="Group 327">
          <a:extLst>
            <a:ext uri="{FF2B5EF4-FFF2-40B4-BE49-F238E27FC236}">
              <a16:creationId xmlns:a16="http://schemas.microsoft.com/office/drawing/2014/main" id="{B4C5439A-129D-4ACA-A4DA-04318B053F5A}"/>
            </a:ext>
          </a:extLst>
        </xdr:cNvPr>
        <xdr:cNvGrpSpPr/>
      </xdr:nvGrpSpPr>
      <xdr:grpSpPr>
        <a:xfrm>
          <a:off x="0" y="15138889"/>
          <a:ext cx="1844588" cy="3051602"/>
          <a:chOff x="101203" y="4772335"/>
          <a:chExt cx="1849817" cy="3051602"/>
        </a:xfrm>
      </xdr:grpSpPr>
      <xdr:grpSp>
        <xdr:nvGrpSpPr>
          <xdr:cNvPr id="329" name="Group 328">
            <a:extLst>
              <a:ext uri="{FF2B5EF4-FFF2-40B4-BE49-F238E27FC236}">
                <a16:creationId xmlns:a16="http://schemas.microsoft.com/office/drawing/2014/main" id="{CE7B27EB-2C01-EC62-7818-955A31E0DB1B}"/>
              </a:ext>
            </a:extLst>
          </xdr:cNvPr>
          <xdr:cNvGrpSpPr/>
        </xdr:nvGrpSpPr>
        <xdr:grpSpPr>
          <a:xfrm>
            <a:off x="612913" y="4772335"/>
            <a:ext cx="1338107" cy="3051602"/>
            <a:chOff x="673846" y="970597"/>
            <a:chExt cx="1329161" cy="3051393"/>
          </a:xfrm>
        </xdr:grpSpPr>
        <xdr:grpSp>
          <xdr:nvGrpSpPr>
            <xdr:cNvPr id="338" name="Group 337">
              <a:extLst>
                <a:ext uri="{FF2B5EF4-FFF2-40B4-BE49-F238E27FC236}">
                  <a16:creationId xmlns:a16="http://schemas.microsoft.com/office/drawing/2014/main" id="{7BDC069E-7094-3363-EB3D-66DF82879C02}"/>
                </a:ext>
              </a:extLst>
            </xdr:cNvPr>
            <xdr:cNvGrpSpPr/>
          </xdr:nvGrpSpPr>
          <xdr:grpSpPr>
            <a:xfrm>
              <a:off x="673846" y="970597"/>
              <a:ext cx="1329161" cy="3051393"/>
              <a:chOff x="967408" y="1155528"/>
              <a:chExt cx="1332878" cy="3053332"/>
            </a:xfrm>
          </xdr:grpSpPr>
          <xdr:grpSp>
            <xdr:nvGrpSpPr>
              <xdr:cNvPr id="340" name="Group 339">
                <a:extLst>
                  <a:ext uri="{FF2B5EF4-FFF2-40B4-BE49-F238E27FC236}">
                    <a16:creationId xmlns:a16="http://schemas.microsoft.com/office/drawing/2014/main" id="{42459E87-81C2-0584-9215-DADF3B8D7E02}"/>
                  </a:ext>
                </a:extLst>
              </xdr:cNvPr>
              <xdr:cNvGrpSpPr/>
            </xdr:nvGrpSpPr>
            <xdr:grpSpPr>
              <a:xfrm>
                <a:off x="967408" y="1155528"/>
                <a:ext cx="1332878" cy="3053332"/>
                <a:chOff x="970886" y="1178237"/>
                <a:chExt cx="1339884" cy="3101420"/>
              </a:xfrm>
            </xdr:grpSpPr>
            <xdr:grpSp>
              <xdr:nvGrpSpPr>
                <xdr:cNvPr id="342" name="Group 341">
                  <a:extLst>
                    <a:ext uri="{FF2B5EF4-FFF2-40B4-BE49-F238E27FC236}">
                      <a16:creationId xmlns:a16="http://schemas.microsoft.com/office/drawing/2014/main" id="{DF26150B-B3C6-258B-B41C-21B57A5E162F}"/>
                    </a:ext>
                  </a:extLst>
                </xdr:cNvPr>
                <xdr:cNvGrpSpPr/>
              </xdr:nvGrpSpPr>
              <xdr:grpSpPr>
                <a:xfrm>
                  <a:off x="970886" y="1178237"/>
                  <a:ext cx="1339884" cy="3101420"/>
                  <a:chOff x="1596846" y="2909747"/>
                  <a:chExt cx="1332874" cy="3048799"/>
                </a:xfrm>
              </xdr:grpSpPr>
              <xdr:grpSp>
                <xdr:nvGrpSpPr>
                  <xdr:cNvPr id="344" name="Group 343">
                    <a:extLst>
                      <a:ext uri="{FF2B5EF4-FFF2-40B4-BE49-F238E27FC236}">
                        <a16:creationId xmlns:a16="http://schemas.microsoft.com/office/drawing/2014/main" id="{5589EF77-CF78-A37D-A662-B2AD7F841BB2}"/>
                      </a:ext>
                    </a:extLst>
                  </xdr:cNvPr>
                  <xdr:cNvGrpSpPr/>
                </xdr:nvGrpSpPr>
                <xdr:grpSpPr>
                  <a:xfrm>
                    <a:off x="1596846" y="3440176"/>
                    <a:ext cx="1332874" cy="2518370"/>
                    <a:chOff x="1212346" y="3064690"/>
                    <a:chExt cx="1330864" cy="2518370"/>
                  </a:xfrm>
                </xdr:grpSpPr>
                <xdr:sp macro="" textlink="">
                  <xdr:nvSpPr>
                    <xdr:cNvPr id="347" name="Parallelogram 346">
                      <a:extLst>
                        <a:ext uri="{FF2B5EF4-FFF2-40B4-BE49-F238E27FC236}">
                          <a16:creationId xmlns:a16="http://schemas.microsoft.com/office/drawing/2014/main" id="{594AC04D-2A90-BC9E-3EFF-146BF4100B61}"/>
                        </a:ext>
                      </a:extLst>
                    </xdr:cNvPr>
                    <xdr:cNvSpPr/>
                  </xdr:nvSpPr>
                  <xdr:spPr>
                    <a:xfrm>
                      <a:off x="1218197" y="3067051"/>
                      <a:ext cx="1312445" cy="640258"/>
                    </a:xfrm>
                    <a:prstGeom prst="parallelogram">
                      <a:avLst>
                        <a:gd name="adj" fmla="val 92143"/>
                      </a:avLst>
                    </a:prstGeom>
                    <a:solidFill>
                      <a:schemeClr val="accent5">
                        <a:lumMod val="40000"/>
                        <a:lumOff val="60000"/>
                      </a:schemeClr>
                    </a:solidFill>
                    <a:ln>
                      <a:solidFill>
                        <a:srgbClr val="0070C0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  <xdr:cxnSp macro="">
                  <xdr:nvCxnSpPr>
                    <xdr:cNvPr id="348" name="Straight Connector 347">
                      <a:extLst>
                        <a:ext uri="{FF2B5EF4-FFF2-40B4-BE49-F238E27FC236}">
                          <a16:creationId xmlns:a16="http://schemas.microsoft.com/office/drawing/2014/main" id="{9E340BF4-FB54-C3BD-E47E-981B3279530B}"/>
                        </a:ext>
                      </a:extLst>
                    </xdr:cNvPr>
                    <xdr:cNvCxnSpPr/>
                  </xdr:nvCxnSpPr>
                  <xdr:spPr>
                    <a:xfrm>
                      <a:off x="1218197" y="3701192"/>
                      <a:ext cx="0" cy="1881868"/>
                    </a:xfrm>
                    <a:prstGeom prst="line">
                      <a:avLst/>
                    </a:prstGeom>
                    <a:ln w="28575"/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49" name="Straight Connector 348">
                      <a:extLst>
                        <a:ext uri="{FF2B5EF4-FFF2-40B4-BE49-F238E27FC236}">
                          <a16:creationId xmlns:a16="http://schemas.microsoft.com/office/drawing/2014/main" id="{EF9824F1-41B8-495C-1542-EAA3286FDAC9}"/>
                        </a:ext>
                      </a:extLst>
                    </xdr:cNvPr>
                    <xdr:cNvCxnSpPr/>
                  </xdr:nvCxnSpPr>
                  <xdr:spPr>
                    <a:xfrm>
                      <a:off x="1943218" y="3707133"/>
                      <a:ext cx="0" cy="1869986"/>
                    </a:xfrm>
                    <a:prstGeom prst="line">
                      <a:avLst/>
                    </a:prstGeom>
                    <a:ln w="28575"/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50" name="Straight Connector 349">
                      <a:extLst>
                        <a:ext uri="{FF2B5EF4-FFF2-40B4-BE49-F238E27FC236}">
                          <a16:creationId xmlns:a16="http://schemas.microsoft.com/office/drawing/2014/main" id="{1E672753-3DDE-6EE2-1406-4AB1B708A30D}"/>
                        </a:ext>
                      </a:extLst>
                    </xdr:cNvPr>
                    <xdr:cNvCxnSpPr/>
                  </xdr:nvCxnSpPr>
                  <xdr:spPr>
                    <a:xfrm>
                      <a:off x="2530642" y="3076575"/>
                      <a:ext cx="0" cy="1870706"/>
                    </a:xfrm>
                    <a:prstGeom prst="line">
                      <a:avLst/>
                    </a:prstGeom>
                    <a:ln w="28575"/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51" name="Straight Connector 350">
                      <a:extLst>
                        <a:ext uri="{FF2B5EF4-FFF2-40B4-BE49-F238E27FC236}">
                          <a16:creationId xmlns:a16="http://schemas.microsoft.com/office/drawing/2014/main" id="{FA98B3F0-5530-9BED-BEB6-1AF5F8312895}"/>
                        </a:ext>
                      </a:extLst>
                    </xdr:cNvPr>
                    <xdr:cNvCxnSpPr/>
                  </xdr:nvCxnSpPr>
                  <xdr:spPr>
                    <a:xfrm>
                      <a:off x="1809303" y="3064690"/>
                      <a:ext cx="0" cy="1864766"/>
                    </a:xfrm>
                    <a:prstGeom prst="line">
                      <a:avLst/>
                    </a:prstGeom>
                    <a:ln w="28575">
                      <a:prstDash val="sysDot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52" name="Straight Connector 351">
                      <a:extLst>
                        <a:ext uri="{FF2B5EF4-FFF2-40B4-BE49-F238E27FC236}">
                          <a16:creationId xmlns:a16="http://schemas.microsoft.com/office/drawing/2014/main" id="{0FBF28CE-325D-3869-B222-DDD8E6C5E2B4}"/>
                        </a:ext>
                      </a:extLst>
                    </xdr:cNvPr>
                    <xdr:cNvCxnSpPr/>
                  </xdr:nvCxnSpPr>
                  <xdr:spPr>
                    <a:xfrm>
                      <a:off x="1212346" y="5570360"/>
                      <a:ext cx="737511" cy="0"/>
                    </a:xfrm>
                    <a:prstGeom prst="line">
                      <a:avLst/>
                    </a:prstGeom>
                    <a:ln w="28575">
                      <a:solidFill>
                        <a:srgbClr val="0070C0"/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53" name="Straight Connector 352">
                      <a:extLst>
                        <a:ext uri="{FF2B5EF4-FFF2-40B4-BE49-F238E27FC236}">
                          <a16:creationId xmlns:a16="http://schemas.microsoft.com/office/drawing/2014/main" id="{F4649EA4-1B02-61D4-7DBF-9EDD4C8818ED}"/>
                        </a:ext>
                      </a:extLst>
                    </xdr:cNvPr>
                    <xdr:cNvCxnSpPr/>
                  </xdr:nvCxnSpPr>
                  <xdr:spPr>
                    <a:xfrm flipV="1">
                      <a:off x="1937448" y="4917571"/>
                      <a:ext cx="605762" cy="660233"/>
                    </a:xfrm>
                    <a:prstGeom prst="line">
                      <a:avLst/>
                    </a:prstGeom>
                    <a:ln w="28575">
                      <a:solidFill>
                        <a:srgbClr val="0070C0"/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  <xdr:cxnSp macro="">
                <xdr:nvCxnSpPr>
                  <xdr:cNvPr id="345" name="Straight Arrow Connector 344">
                    <a:extLst>
                      <a:ext uri="{FF2B5EF4-FFF2-40B4-BE49-F238E27FC236}">
                        <a16:creationId xmlns:a16="http://schemas.microsoft.com/office/drawing/2014/main" id="{09965F7F-108F-A1B0-C991-EBCD7A2CA9B9}"/>
                      </a:ext>
                    </a:extLst>
                  </xdr:cNvPr>
                  <xdr:cNvCxnSpPr/>
                </xdr:nvCxnSpPr>
                <xdr:spPr>
                  <a:xfrm>
                    <a:off x="2400256" y="2975705"/>
                    <a:ext cx="0" cy="628650"/>
                  </a:xfrm>
                  <a:prstGeom prst="straightConnector1">
                    <a:avLst/>
                  </a:prstGeom>
                  <a:ln w="28575">
                    <a:solidFill>
                      <a:srgbClr val="FF0000"/>
                    </a:solidFill>
                    <a:tailEnd type="stealth" w="lg" len="lg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346" name="TextBox 345">
                    <a:extLst>
                      <a:ext uri="{FF2B5EF4-FFF2-40B4-BE49-F238E27FC236}">
                        <a16:creationId xmlns:a16="http://schemas.microsoft.com/office/drawing/2014/main" id="{C0EF37F9-2653-2FBD-06FD-88A8434DAEC2}"/>
                      </a:ext>
                    </a:extLst>
                  </xdr:cNvPr>
                  <xdr:cNvSpPr txBox="1"/>
                </xdr:nvSpPr>
                <xdr:spPr>
                  <a:xfrm>
                    <a:off x="2361340" y="2909747"/>
                    <a:ext cx="523452" cy="21696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n-US" altLang="ko-KR" sz="1050" b="1">
                        <a:solidFill>
                          <a:srgbClr val="0070C0"/>
                        </a:solidFill>
                      </a:rPr>
                      <a:t>P</a:t>
                    </a:r>
                    <a:endParaRPr lang="en-US" sz="1050" b="1">
                      <a:solidFill>
                        <a:srgbClr val="0070C0"/>
                      </a:solidFill>
                    </a:endParaRPr>
                  </a:p>
                </xdr:txBody>
              </xdr:sp>
            </xdr:grpSp>
            <xdr:cxnSp macro="">
              <xdr:nvCxnSpPr>
                <xdr:cNvPr id="343" name="Straight Connector 342">
                  <a:extLst>
                    <a:ext uri="{FF2B5EF4-FFF2-40B4-BE49-F238E27FC236}">
                      <a16:creationId xmlns:a16="http://schemas.microsoft.com/office/drawing/2014/main" id="{FCFEFF00-70B9-E01A-E3F4-A527D81AF2A5}"/>
                    </a:ext>
                  </a:extLst>
                </xdr:cNvPr>
                <xdr:cNvCxnSpPr>
                  <a:stCxn id="347" idx="5"/>
                  <a:endCxn id="347" idx="2"/>
                </xdr:cNvCxnSpPr>
              </xdr:nvCxnSpPr>
              <xdr:spPr>
                <a:xfrm>
                  <a:off x="1273335" y="2045876"/>
                  <a:ext cx="728223" cy="0"/>
                </a:xfrm>
                <a:prstGeom prst="line">
                  <a:avLst/>
                </a:prstGeom>
                <a:ln>
                  <a:solidFill>
                    <a:srgbClr val="FF0000"/>
                  </a:solidFill>
                  <a:prstDash val="sysDot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341" name="Parallelogram 340">
                <a:extLst>
                  <a:ext uri="{FF2B5EF4-FFF2-40B4-BE49-F238E27FC236}">
                    <a16:creationId xmlns:a16="http://schemas.microsoft.com/office/drawing/2014/main" id="{6810094B-9478-2E5C-109F-42108B898B92}"/>
                  </a:ext>
                </a:extLst>
              </xdr:cNvPr>
              <xdr:cNvSpPr/>
            </xdr:nvSpPr>
            <xdr:spPr>
              <a:xfrm>
                <a:off x="975121" y="3559969"/>
                <a:ext cx="1314398" cy="641471"/>
              </a:xfrm>
              <a:prstGeom prst="parallelogram">
                <a:avLst>
                  <a:gd name="adj" fmla="val 92143"/>
                </a:avLst>
              </a:prstGeom>
              <a:noFill/>
              <a:ln>
                <a:solidFill>
                  <a:srgbClr val="0070C0"/>
                </a:solidFill>
                <a:prstDash val="sysDot"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cxnSp macro="">
          <xdr:nvCxnSpPr>
            <xdr:cNvPr id="339" name="Straight Connector 338">
              <a:extLst>
                <a:ext uri="{FF2B5EF4-FFF2-40B4-BE49-F238E27FC236}">
                  <a16:creationId xmlns:a16="http://schemas.microsoft.com/office/drawing/2014/main" id="{AD580F22-41C1-25E2-82AF-05B3150C08F1}"/>
                </a:ext>
              </a:extLst>
            </xdr:cNvPr>
            <xdr:cNvCxnSpPr>
              <a:stCxn id="347" idx="3"/>
              <a:endCxn id="347" idx="1"/>
            </xdr:cNvCxnSpPr>
          </xdr:nvCxnSpPr>
          <xdr:spPr>
            <a:xfrm flipV="1">
              <a:off x="1039845" y="1503838"/>
              <a:ext cx="590456" cy="640803"/>
            </a:xfrm>
            <a:prstGeom prst="line">
              <a:avLst/>
            </a:prstGeom>
            <a:ln>
              <a:solidFill>
                <a:srgbClr val="FF0000"/>
              </a:solidFill>
              <a:prstDash val="sysDot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330" name="Straight Connector 329">
            <a:extLst>
              <a:ext uri="{FF2B5EF4-FFF2-40B4-BE49-F238E27FC236}">
                <a16:creationId xmlns:a16="http://schemas.microsoft.com/office/drawing/2014/main" id="{5DAC4A74-FF66-469F-7C5F-C298FC5DA978}"/>
              </a:ext>
            </a:extLst>
          </xdr:cNvPr>
          <xdr:cNvCxnSpPr/>
        </xdr:nvCxnSpPr>
        <xdr:spPr>
          <a:xfrm flipH="1">
            <a:off x="684609" y="5292328"/>
            <a:ext cx="410766" cy="0"/>
          </a:xfrm>
          <a:prstGeom prst="line">
            <a:avLst/>
          </a:prstGeom>
          <a:ln w="3175">
            <a:headEnd type="none"/>
            <a:tailEnd type="oval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1" name="Straight Connector 330">
            <a:extLst>
              <a:ext uri="{FF2B5EF4-FFF2-40B4-BE49-F238E27FC236}">
                <a16:creationId xmlns:a16="http://schemas.microsoft.com/office/drawing/2014/main" id="{8C51A247-7B84-5912-AF36-B134654B2B39}"/>
              </a:ext>
            </a:extLst>
          </xdr:cNvPr>
          <xdr:cNvCxnSpPr/>
        </xdr:nvCxnSpPr>
        <xdr:spPr>
          <a:xfrm flipH="1">
            <a:off x="104774" y="5926931"/>
            <a:ext cx="410766" cy="0"/>
          </a:xfrm>
          <a:prstGeom prst="line">
            <a:avLst/>
          </a:prstGeom>
          <a:ln w="3175">
            <a:headEnd type="none"/>
            <a:tailEnd type="oval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2" name="Straight Connector 331">
            <a:extLst>
              <a:ext uri="{FF2B5EF4-FFF2-40B4-BE49-F238E27FC236}">
                <a16:creationId xmlns:a16="http://schemas.microsoft.com/office/drawing/2014/main" id="{6116D75B-31E7-F786-1077-6116A0196710}"/>
              </a:ext>
            </a:extLst>
          </xdr:cNvPr>
          <xdr:cNvCxnSpPr/>
        </xdr:nvCxnSpPr>
        <xdr:spPr>
          <a:xfrm flipH="1">
            <a:off x="101203" y="5280422"/>
            <a:ext cx="595312" cy="644753"/>
          </a:xfrm>
          <a:prstGeom prst="line">
            <a:avLst/>
          </a:prstGeom>
          <a:ln w="3175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99FAA958-904A-B489-101D-E8BCD26902C5}"/>
              </a:ext>
            </a:extLst>
          </xdr:cNvPr>
          <xdr:cNvCxnSpPr/>
        </xdr:nvCxnSpPr>
        <xdr:spPr>
          <a:xfrm flipH="1">
            <a:off x="785813" y="5464969"/>
            <a:ext cx="613172" cy="0"/>
          </a:xfrm>
          <a:prstGeom prst="line">
            <a:avLst/>
          </a:prstGeom>
          <a:ln w="3175">
            <a:headEnd type="none"/>
            <a:tailEnd type="oval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4" name="Straight Connector 333">
            <a:extLst>
              <a:ext uri="{FF2B5EF4-FFF2-40B4-BE49-F238E27FC236}">
                <a16:creationId xmlns:a16="http://schemas.microsoft.com/office/drawing/2014/main" id="{51C422A6-BD40-244D-62A9-5FB9596E7865}"/>
              </a:ext>
            </a:extLst>
          </xdr:cNvPr>
          <xdr:cNvCxnSpPr/>
        </xdr:nvCxnSpPr>
        <xdr:spPr>
          <a:xfrm flipH="1">
            <a:off x="640557" y="5617368"/>
            <a:ext cx="613172" cy="0"/>
          </a:xfrm>
          <a:prstGeom prst="line">
            <a:avLst/>
          </a:prstGeom>
          <a:ln w="3175">
            <a:headEnd type="none"/>
            <a:tailEnd type="oval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5" name="Straight Connector 334">
            <a:extLst>
              <a:ext uri="{FF2B5EF4-FFF2-40B4-BE49-F238E27FC236}">
                <a16:creationId xmlns:a16="http://schemas.microsoft.com/office/drawing/2014/main" id="{2A5197E1-D362-C75D-CEA0-F916126FB76C}"/>
              </a:ext>
            </a:extLst>
          </xdr:cNvPr>
          <xdr:cNvCxnSpPr/>
        </xdr:nvCxnSpPr>
        <xdr:spPr>
          <a:xfrm flipH="1">
            <a:off x="648891" y="5459015"/>
            <a:ext cx="142874" cy="154740"/>
          </a:xfrm>
          <a:prstGeom prst="line">
            <a:avLst/>
          </a:prstGeom>
          <a:ln w="3175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6" name="TextBox 335">
            <a:extLst>
              <a:ext uri="{FF2B5EF4-FFF2-40B4-BE49-F238E27FC236}">
                <a16:creationId xmlns:a16="http://schemas.microsoft.com/office/drawing/2014/main" id="{DBA0D6EB-BED1-F74F-5FC3-E0E8A6B38745}"/>
              </a:ext>
            </a:extLst>
          </xdr:cNvPr>
          <xdr:cNvSpPr txBox="1"/>
        </xdr:nvSpPr>
        <xdr:spPr>
          <a:xfrm>
            <a:off x="238125" y="5417343"/>
            <a:ext cx="278892" cy="2514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900"/>
              <a:t>h</a:t>
            </a:r>
            <a:endParaRPr lang="en-US" sz="900"/>
          </a:p>
        </xdr:txBody>
      </xdr:sp>
      <xdr:sp macro="" textlink="">
        <xdr:nvSpPr>
          <xdr:cNvPr id="337" name="TextBox 336">
            <a:extLst>
              <a:ext uri="{FF2B5EF4-FFF2-40B4-BE49-F238E27FC236}">
                <a16:creationId xmlns:a16="http://schemas.microsoft.com/office/drawing/2014/main" id="{ABB7B944-964C-F818-BF03-A5FD210F9B2E}"/>
              </a:ext>
            </a:extLst>
          </xdr:cNvPr>
          <xdr:cNvSpPr txBox="1"/>
        </xdr:nvSpPr>
        <xdr:spPr>
          <a:xfrm>
            <a:off x="521494" y="5367336"/>
            <a:ext cx="278892" cy="2514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900"/>
              <a:t>e</a:t>
            </a:r>
            <a:endParaRPr lang="en-US" sz="900"/>
          </a:p>
        </xdr:txBody>
      </xdr:sp>
    </xdr:grpSp>
    <xdr:clientData/>
  </xdr:twoCellAnchor>
  <xdr:twoCellAnchor>
    <xdr:from>
      <xdr:col>3</xdr:col>
      <xdr:colOff>503045</xdr:colOff>
      <xdr:row>80</xdr:row>
      <xdr:rowOff>114380</xdr:rowOff>
    </xdr:from>
    <xdr:to>
      <xdr:col>10</xdr:col>
      <xdr:colOff>67488</xdr:colOff>
      <xdr:row>94</xdr:row>
      <xdr:rowOff>149317</xdr:rowOff>
    </xdr:to>
    <xdr:grpSp>
      <xdr:nvGrpSpPr>
        <xdr:cNvPr id="354" name="Group 353">
          <a:extLst>
            <a:ext uri="{FF2B5EF4-FFF2-40B4-BE49-F238E27FC236}">
              <a16:creationId xmlns:a16="http://schemas.microsoft.com/office/drawing/2014/main" id="{3D8AA62C-70EA-487A-A068-7114C471512C}"/>
            </a:ext>
          </a:extLst>
        </xdr:cNvPr>
        <xdr:cNvGrpSpPr/>
      </xdr:nvGrpSpPr>
      <xdr:grpSpPr>
        <a:xfrm>
          <a:off x="2446145" y="15582980"/>
          <a:ext cx="4174543" cy="2701937"/>
          <a:chOff x="2513575" y="8784037"/>
          <a:chExt cx="4176604" cy="2705825"/>
        </a:xfrm>
      </xdr:grpSpPr>
      <xdr:grpSp>
        <xdr:nvGrpSpPr>
          <xdr:cNvPr id="355" name="Group 354">
            <a:extLst>
              <a:ext uri="{FF2B5EF4-FFF2-40B4-BE49-F238E27FC236}">
                <a16:creationId xmlns:a16="http://schemas.microsoft.com/office/drawing/2014/main" id="{4A60A9E4-6CA1-2D93-62B8-BEB1ECF7A5E4}"/>
              </a:ext>
            </a:extLst>
          </xdr:cNvPr>
          <xdr:cNvGrpSpPr/>
        </xdr:nvGrpSpPr>
        <xdr:grpSpPr>
          <a:xfrm>
            <a:off x="2513575" y="8784037"/>
            <a:ext cx="4176604" cy="2705825"/>
            <a:chOff x="2513575" y="8784037"/>
            <a:chExt cx="4176604" cy="2705825"/>
          </a:xfrm>
        </xdr:grpSpPr>
        <xdr:grpSp>
          <xdr:nvGrpSpPr>
            <xdr:cNvPr id="357" name="Group 356">
              <a:extLst>
                <a:ext uri="{FF2B5EF4-FFF2-40B4-BE49-F238E27FC236}">
                  <a16:creationId xmlns:a16="http://schemas.microsoft.com/office/drawing/2014/main" id="{F4F63A18-34B6-416A-98FB-74E2329800C9}"/>
                </a:ext>
              </a:extLst>
            </xdr:cNvPr>
            <xdr:cNvGrpSpPr/>
          </xdr:nvGrpSpPr>
          <xdr:grpSpPr>
            <a:xfrm>
              <a:off x="2513575" y="8784037"/>
              <a:ext cx="4176604" cy="2705825"/>
              <a:chOff x="46725" y="5208390"/>
              <a:chExt cx="4170596" cy="2705825"/>
            </a:xfrm>
          </xdr:grpSpPr>
          <xdr:grpSp>
            <xdr:nvGrpSpPr>
              <xdr:cNvPr id="359" name="Group 358">
                <a:extLst>
                  <a:ext uri="{FF2B5EF4-FFF2-40B4-BE49-F238E27FC236}">
                    <a16:creationId xmlns:a16="http://schemas.microsoft.com/office/drawing/2014/main" id="{A1462731-A605-68E1-D17A-B6C37990E2FE}"/>
                  </a:ext>
                </a:extLst>
              </xdr:cNvPr>
              <xdr:cNvGrpSpPr/>
            </xdr:nvGrpSpPr>
            <xdr:grpSpPr>
              <a:xfrm>
                <a:off x="46725" y="5208390"/>
                <a:ext cx="4170596" cy="2705825"/>
                <a:chOff x="2516421" y="5184577"/>
                <a:chExt cx="4170596" cy="2705825"/>
              </a:xfrm>
            </xdr:grpSpPr>
            <xdr:grpSp>
              <xdr:nvGrpSpPr>
                <xdr:cNvPr id="361" name="Group 360">
                  <a:extLst>
                    <a:ext uri="{FF2B5EF4-FFF2-40B4-BE49-F238E27FC236}">
                      <a16:creationId xmlns:a16="http://schemas.microsoft.com/office/drawing/2014/main" id="{8FDE4446-CBFF-F7BC-5CCF-54EA5DBCAE64}"/>
                    </a:ext>
                  </a:extLst>
                </xdr:cNvPr>
                <xdr:cNvGrpSpPr/>
              </xdr:nvGrpSpPr>
              <xdr:grpSpPr>
                <a:xfrm>
                  <a:off x="2516421" y="5184577"/>
                  <a:ext cx="4170596" cy="2705825"/>
                  <a:chOff x="2544366" y="1327545"/>
                  <a:chExt cx="4178080" cy="2707481"/>
                </a:xfrm>
              </xdr:grpSpPr>
              <xdr:grpSp>
                <xdr:nvGrpSpPr>
                  <xdr:cNvPr id="370" name="Group 369">
                    <a:extLst>
                      <a:ext uri="{FF2B5EF4-FFF2-40B4-BE49-F238E27FC236}">
                        <a16:creationId xmlns:a16="http://schemas.microsoft.com/office/drawing/2014/main" id="{AF7CA9A6-411D-7DD4-E32A-B28B2B63985E}"/>
                      </a:ext>
                    </a:extLst>
                  </xdr:cNvPr>
                  <xdr:cNvGrpSpPr/>
                </xdr:nvGrpSpPr>
                <xdr:grpSpPr>
                  <a:xfrm>
                    <a:off x="2544366" y="1327545"/>
                    <a:ext cx="4178080" cy="2707481"/>
                    <a:chOff x="2625329" y="1351358"/>
                    <a:chExt cx="4180461" cy="2708671"/>
                  </a:xfrm>
                </xdr:grpSpPr>
                <xdr:sp macro="" textlink="">
                  <xdr:nvSpPr>
                    <xdr:cNvPr id="372" name="Rectangle 371">
                      <a:extLst>
                        <a:ext uri="{FF2B5EF4-FFF2-40B4-BE49-F238E27FC236}">
                          <a16:creationId xmlns:a16="http://schemas.microsoft.com/office/drawing/2014/main" id="{9DCF38DC-508C-F7C0-6604-99D5FB306714}"/>
                        </a:ext>
                      </a:extLst>
                    </xdr:cNvPr>
                    <xdr:cNvSpPr/>
                  </xdr:nvSpPr>
                  <xdr:spPr>
                    <a:xfrm>
                      <a:off x="2625329" y="1351358"/>
                      <a:ext cx="4107657" cy="2708671"/>
                    </a:xfrm>
                    <a:prstGeom prst="rect">
                      <a:avLst/>
                    </a:prstGeom>
                    <a:solidFill>
                      <a:schemeClr val="bg1">
                        <a:lumMod val="85000"/>
                      </a:schemeClr>
                    </a:solidFill>
                    <a:ln w="12700"/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  <xdr:grpSp>
                  <xdr:nvGrpSpPr>
                    <xdr:cNvPr id="373" name="Group 372">
                      <a:extLst>
                        <a:ext uri="{FF2B5EF4-FFF2-40B4-BE49-F238E27FC236}">
                          <a16:creationId xmlns:a16="http://schemas.microsoft.com/office/drawing/2014/main" id="{078F99A8-6CC5-0FB1-2C38-670F8A66BA64}"/>
                        </a:ext>
                      </a:extLst>
                    </xdr:cNvPr>
                    <xdr:cNvGrpSpPr/>
                  </xdr:nvGrpSpPr>
                  <xdr:grpSpPr>
                    <a:xfrm>
                      <a:off x="2942101" y="1472620"/>
                      <a:ext cx="3863689" cy="1795169"/>
                      <a:chOff x="2953251" y="1643429"/>
                      <a:chExt cx="3855446" cy="1792097"/>
                    </a:xfrm>
                  </xdr:grpSpPr>
                  <xdr:sp macro="" textlink="">
                    <xdr:nvSpPr>
                      <xdr:cNvPr id="374" name="TextBox 373">
                        <a:extLst>
                          <a:ext uri="{FF2B5EF4-FFF2-40B4-BE49-F238E27FC236}">
                            <a16:creationId xmlns:a16="http://schemas.microsoft.com/office/drawing/2014/main" id="{A38E0E02-26DB-28EA-B0B6-A20A4FA7C96C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5574323" y="1643429"/>
                        <a:ext cx="1234374" cy="146957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ctr"/>
                      <a:lstStyle/>
                      <a:p>
                        <a:r>
                          <a:rPr lang="en-US" altLang="ko-KR" sz="900">
                            <a:solidFill>
                              <a:srgbClr val="0070C0"/>
                            </a:solidFill>
                          </a:rPr>
                          <a:t>Strain</a:t>
                        </a:r>
                        <a:endParaRPr lang="en-US" sz="900">
                          <a:solidFill>
                            <a:srgbClr val="0070C0"/>
                          </a:solidFill>
                        </a:endParaRPr>
                      </a:p>
                    </xdr:txBody>
                  </xdr:sp>
                  <xdr:sp macro="" textlink="">
                    <xdr:nvSpPr>
                      <xdr:cNvPr id="375" name="TextBox 374">
                        <a:extLst>
                          <a:ext uri="{FF2B5EF4-FFF2-40B4-BE49-F238E27FC236}">
                            <a16:creationId xmlns:a16="http://schemas.microsoft.com/office/drawing/2014/main" id="{FE20EC49-1E05-8065-E4CC-6D79B9DCB3BB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5703609" y="1795829"/>
                        <a:ext cx="393918" cy="18327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ctr"/>
                      <a:lstStyle/>
                      <a:p>
                        <a:r>
                          <a:rPr lang="el-GR" altLang="ko-KR" sz="900"/>
                          <a:t>ε</a:t>
                        </a:r>
                        <a:r>
                          <a:rPr lang="en-US" altLang="ko-KR" sz="900"/>
                          <a:t>cu</a:t>
                        </a:r>
                        <a:endParaRPr lang="en-US" sz="900"/>
                      </a:p>
                    </xdr:txBody>
                  </xdr:sp>
                  <xdr:sp macro="" textlink="">
                    <xdr:nvSpPr>
                      <xdr:cNvPr id="376" name="TextBox 375">
                        <a:extLst>
                          <a:ext uri="{FF2B5EF4-FFF2-40B4-BE49-F238E27FC236}">
                            <a16:creationId xmlns:a16="http://schemas.microsoft.com/office/drawing/2014/main" id="{14F6109F-CB22-C34E-C4C8-33E99B2D660F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4949887" y="3147959"/>
                        <a:ext cx="678002" cy="18327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ctr"/>
                      <a:lstStyle/>
                      <a:p>
                        <a:r>
                          <a:rPr lang="en-US" altLang="ko-KR" sz="900"/>
                          <a:t>fs = fy</a:t>
                        </a:r>
                        <a:endParaRPr lang="en-US" sz="900"/>
                      </a:p>
                    </xdr:txBody>
                  </xdr:sp>
                  <xdr:grpSp>
                    <xdr:nvGrpSpPr>
                      <xdr:cNvPr id="377" name="Group 376">
                        <a:extLst>
                          <a:ext uri="{FF2B5EF4-FFF2-40B4-BE49-F238E27FC236}">
                            <a16:creationId xmlns:a16="http://schemas.microsoft.com/office/drawing/2014/main" id="{2B6CD761-EEB4-267D-07A6-A5BDFF4B928C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2953251" y="1984288"/>
                        <a:ext cx="2645163" cy="1451238"/>
                        <a:chOff x="2953251" y="1984288"/>
                        <a:chExt cx="2645163" cy="1451238"/>
                      </a:xfrm>
                    </xdr:grpSpPr>
                    <xdr:grpSp>
                      <xdr:nvGrpSpPr>
                        <xdr:cNvPr id="378" name="Group 377">
                          <a:extLst>
                            <a:ext uri="{FF2B5EF4-FFF2-40B4-BE49-F238E27FC236}">
                              <a16:creationId xmlns:a16="http://schemas.microsoft.com/office/drawing/2014/main" id="{461D189A-3AEA-56AD-9271-815A4FF3EEB5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2953251" y="1984288"/>
                          <a:ext cx="2645163" cy="1451238"/>
                          <a:chOff x="186214" y="469911"/>
                          <a:chExt cx="2657695" cy="1434801"/>
                        </a:xfrm>
                      </xdr:grpSpPr>
                      <xdr:grpSp>
                        <xdr:nvGrpSpPr>
                          <xdr:cNvPr id="380" name="Group 379">
                            <a:extLst>
                              <a:ext uri="{FF2B5EF4-FFF2-40B4-BE49-F238E27FC236}">
                                <a16:creationId xmlns:a16="http://schemas.microsoft.com/office/drawing/2014/main" id="{8282F86F-CB0A-9ED6-4F35-CD259667501B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186214" y="469911"/>
                            <a:ext cx="2657695" cy="1434801"/>
                            <a:chOff x="186092" y="472741"/>
                            <a:chExt cx="2659851" cy="1448779"/>
                          </a:xfrm>
                        </xdr:grpSpPr>
                        <xdr:grpSp>
                          <xdr:nvGrpSpPr>
                            <xdr:cNvPr id="383" name="Group 382">
                              <a:extLst>
                                <a:ext uri="{FF2B5EF4-FFF2-40B4-BE49-F238E27FC236}">
                                  <a16:creationId xmlns:a16="http://schemas.microsoft.com/office/drawing/2014/main" id="{1CED42B3-B37B-132B-9022-E645C6BB43C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211373" y="472741"/>
                              <a:ext cx="2634570" cy="991675"/>
                              <a:chOff x="237350" y="459753"/>
                              <a:chExt cx="2634570" cy="991675"/>
                            </a:xfrm>
                          </xdr:grpSpPr>
                          <xdr:grpSp>
                            <xdr:nvGrpSpPr>
                              <xdr:cNvPr id="386" name="Group 385">
                                <a:extLst>
                                  <a:ext uri="{FF2B5EF4-FFF2-40B4-BE49-F238E27FC236}">
                                    <a16:creationId xmlns:a16="http://schemas.microsoft.com/office/drawing/2014/main" id="{BB6CB3FB-D2F3-6AE4-2544-607B325A9DFA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237350" y="459753"/>
                                <a:ext cx="2634570" cy="991675"/>
                                <a:chOff x="416087" y="533077"/>
                                <a:chExt cx="2632138" cy="981954"/>
                              </a:xfrm>
                            </xdr:grpSpPr>
                            <xdr:grpSp>
                              <xdr:nvGrpSpPr>
                                <xdr:cNvPr id="392" name="Group 391">
                                  <a:extLst>
                                    <a:ext uri="{FF2B5EF4-FFF2-40B4-BE49-F238E27FC236}">
                                      <a16:creationId xmlns:a16="http://schemas.microsoft.com/office/drawing/2014/main" id="{773EBD52-9C67-A4D2-6049-631690EB442D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946548" y="533077"/>
                                  <a:ext cx="2101677" cy="981954"/>
                                  <a:chOff x="2571640" y="537740"/>
                                  <a:chExt cx="2096121" cy="965917"/>
                                </a:xfrm>
                              </xdr:grpSpPr>
                              <xdr:grpSp>
                                <xdr:nvGrpSpPr>
                                  <xdr:cNvPr id="397" name="Group 396">
                                    <a:extLst>
                                      <a:ext uri="{FF2B5EF4-FFF2-40B4-BE49-F238E27FC236}">
                                        <a16:creationId xmlns:a16="http://schemas.microsoft.com/office/drawing/2014/main" id="{8AD350DC-6E9A-09F6-8CA0-09148E5F733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3029922" y="537740"/>
                                    <a:ext cx="1637839" cy="965917"/>
                                    <a:chOff x="6520113" y="168436"/>
                                    <a:chExt cx="2013899" cy="965431"/>
                                  </a:xfrm>
                                </xdr:grpSpPr>
                                <xdr:sp macro="" textlink="">
                                  <xdr:nvSpPr>
                                    <xdr:cNvPr id="399" name="Rectangle 398">
                                      <a:extLst>
                                        <a:ext uri="{FF2B5EF4-FFF2-40B4-BE49-F238E27FC236}">
                                          <a16:creationId xmlns:a16="http://schemas.microsoft.com/office/drawing/2014/main" id="{BE6D7D73-24CE-048A-295F-BA2FE37A338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6520113" y="171450"/>
                                      <a:ext cx="1270836" cy="962417"/>
                                    </a:xfrm>
                                    <a:prstGeom prst="rect">
                                      <a:avLst/>
                                    </a:prstGeom>
                                    <a:solidFill>
                                      <a:schemeClr val="accent1">
                                        <a:lumMod val="40000"/>
                                        <a:lumOff val="60000"/>
                                      </a:schemeClr>
                                    </a:solidFill>
                                    <a:ln w="22225">
                                      <a:solidFill>
                                        <a:schemeClr val="tx2"/>
                                      </a:solidFill>
                                    </a:ln>
                                  </xdr:spPr>
                                  <xdr:style>
                                    <a:lnRef idx="2">
                                      <a:schemeClr val="accent1">
                                        <a:shade val="15000"/>
                                      </a:schemeClr>
                                    </a:lnRef>
                                    <a:fillRef idx="1">
                                      <a:schemeClr val="accent1"/>
                                    </a:fillRef>
                                    <a:effectRef idx="0">
                                      <a:schemeClr val="accent1"/>
                                    </a:effectRef>
                                    <a:fontRef idx="minor">
                                      <a:schemeClr val="lt1"/>
                                    </a:fontRef>
                                  </xdr:style>
                                  <xdr:txBody>
                                    <a:bodyPr vertOverflow="clip" horzOverflow="clip" rtlCol="0" anchor="ctr"/>
                                    <a:lstStyle/>
                                    <a:p>
                                      <a:pPr algn="ctr"/>
                                      <a:r>
                                        <a:rPr lang="en-US" sz="900">
                                          <a:solidFill>
                                            <a:srgbClr val="FF0000"/>
                                          </a:solidFill>
                                        </a:rPr>
                                        <a:t>Compression</a:t>
                                      </a:r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00" name="Group 399">
                                      <a:extLst>
                                        <a:ext uri="{FF2B5EF4-FFF2-40B4-BE49-F238E27FC236}">
                                          <a16:creationId xmlns:a16="http://schemas.microsoft.com/office/drawing/2014/main" id="{92F02807-AD4B-53BD-B2DB-B16EBF8565A8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7826431" y="168436"/>
                                      <a:ext cx="707581" cy="661034"/>
                                      <a:chOff x="11633394" y="4191000"/>
                                      <a:chExt cx="571158" cy="310512"/>
                                    </a:xfrm>
                                  </xdr:grpSpPr>
                                  <xdr:sp macro="" textlink="">
                                    <xdr:nvSpPr>
                                      <xdr:cNvPr id="401" name="TextBox 4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F9CE031B-1B4D-630D-4DB4-8AA57DE481AD}"/>
                                          </a:ext>
                                        </a:extLst>
                                      </xdr:cNvPr>
                                      <xdr:cNvSpPr txBox="1"/>
                                    </xdr:nvSpPr>
                                    <xdr:spPr>
                                      <a:xfrm>
                                        <a:off x="11717254" y="4267060"/>
                                        <a:ext cx="487298" cy="114707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 w="9525" cmpd="sng">
                                        <a:noFill/>
                                      </a:ln>
                                    </xdr:spPr>
                                    <xdr:style>
                                      <a:lnRef idx="0">
                                        <a:scrgbClr r="0" g="0" b="0"/>
                                      </a:lnRef>
                                      <a:fillRef idx="0">
                                        <a:scrgbClr r="0" g="0" b="0"/>
                                      </a:fillRef>
                                      <a:effectRef idx="0">
                                        <a:scrgbClr r="0" g="0" b="0"/>
                                      </a:effectRef>
                                      <a:fontRef idx="minor">
                                        <a:schemeClr val="dk1"/>
                                      </a:fontRef>
                                    </xdr:style>
                                    <xdr:txBody>
                                      <a:bodyPr vertOverflow="clip" horzOverflow="clip" wrap="square" rtlCol="0" anchor="ctr"/>
                                      <a:lstStyle/>
                                      <a:p>
                                        <a:r>
                                          <a:rPr lang="en-US" altLang="ko-KR" sz="1000" b="1">
                                            <a:solidFill>
                                              <a:srgbClr val="FF0000"/>
                                            </a:solidFill>
                                          </a:rPr>
                                          <a:t>c3</a:t>
                                        </a:r>
                                        <a:endParaRPr lang="en-US" sz="1000" b="1">
                                          <a:solidFill>
                                            <a:srgbClr val="FF0000"/>
                                          </a:solidFill>
                                        </a:endParaRPr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02" name="Straight Connector 4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55DB9B1E-F9C5-03D5-03FE-4508F0FAC2D8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11639046" y="4191000"/>
                                        <a:ext cx="132711" cy="0"/>
                                      </a:xfrm>
                                      <a:prstGeom prst="line">
                                        <a:avLst/>
                                      </a:prstGeom>
                                      <a:ln w="3175">
                                        <a:headEnd type="none"/>
                                        <a:tailEnd type="oval" w="sm" len="sm"/>
                                      </a:ln>
                                    </xdr:spPr>
                                    <xdr:style>
                                      <a:lnRef idx="1">
                                        <a:schemeClr val="accent1"/>
                                      </a:lnRef>
                                      <a:fillRef idx="0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tx1"/>
                                      </a:fontRef>
                                    </xdr:style>
                                  </xdr:cxnSp>
                                  <xdr:cxnSp macro="">
                                    <xdr:nvCxnSpPr>
                                      <xdr:cNvPr id="403" name="Straight Connector 4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1619EF9D-7384-57A8-9521-7E5CB20E2D4E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11769797" y="4193910"/>
                                        <a:ext cx="0" cy="307602"/>
                                      </a:xfrm>
                                      <a:prstGeom prst="line">
                                        <a:avLst/>
                                      </a:prstGeom>
                                      <a:ln w="3175"/>
                                    </xdr:spPr>
                                    <xdr:style>
                                      <a:lnRef idx="1">
                                        <a:schemeClr val="accent1"/>
                                      </a:lnRef>
                                      <a:fillRef idx="0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tx1"/>
                                      </a:fontRef>
                                    </xdr:style>
                                  </xdr:cxnSp>
                                  <xdr:cxnSp macro="">
                                    <xdr:nvCxnSpPr>
                                      <xdr:cNvPr id="404" name="Straight Connector 4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7C278EAF-6446-030B-D192-36271EC020FF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11633394" y="4495699"/>
                                        <a:ext cx="137339" cy="0"/>
                                      </a:xfrm>
                                      <a:prstGeom prst="line">
                                        <a:avLst/>
                                      </a:prstGeom>
                                      <a:ln w="3175">
                                        <a:headEnd type="none"/>
                                        <a:tailEnd type="oval" w="sm" len="sm"/>
                                      </a:ln>
                                    </xdr:spPr>
                                    <xdr:style>
                                      <a:lnRef idx="1">
                                        <a:schemeClr val="accent1"/>
                                      </a:lnRef>
                                      <a:fillRef idx="0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tx1"/>
                                      </a:fontRef>
                                    </xdr:style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398" name="Straight Connector 397">
                                    <a:extLst>
                                      <a:ext uri="{FF2B5EF4-FFF2-40B4-BE49-F238E27FC236}">
                                        <a16:creationId xmlns:a16="http://schemas.microsoft.com/office/drawing/2014/main" id="{DD81B236-A300-5939-7BEC-A76D624AAE37}"/>
                                      </a:ext>
                                    </a:extLst>
                                  </xdr:cNvPr>
                                  <xdr:cNvCxnSpPr/>
                                </xdr:nvCxnSpPr>
                                <xdr:spPr>
                                  <a:xfrm>
                                    <a:off x="2571640" y="1253289"/>
                                    <a:ext cx="1710732" cy="0"/>
                                  </a:xfrm>
                                  <a:prstGeom prst="line">
                                    <a:avLst/>
                                  </a:prstGeom>
                                  <a:ln w="6350">
                                    <a:solidFill>
                                      <a:srgbClr val="FF0000"/>
                                    </a:solidFill>
                                    <a:prstDash val="sysDot"/>
                                  </a:ln>
                                </xdr:spPr>
                                <xdr:style>
                                  <a:lnRef idx="1">
                                    <a:schemeClr val="accent1"/>
                                  </a:lnRef>
                                  <a:fillRef idx="0">
                                    <a:schemeClr val="accent1"/>
                                  </a:fillRef>
                                  <a:effectRef idx="0">
                                    <a:schemeClr val="accent1"/>
                                  </a:effectRef>
                                  <a:fontRef idx="minor">
                                    <a:schemeClr val="tx1"/>
                                  </a:fontRef>
                                </xdr:style>
                              </xdr:cxnSp>
                            </xdr:grpSp>
                            <xdr:cxnSp macro="">
                              <xdr:nvCxnSpPr>
                                <xdr:cNvPr id="393" name="Straight Arrow Connector 392">
                                  <a:extLst>
                                    <a:ext uri="{FF2B5EF4-FFF2-40B4-BE49-F238E27FC236}">
                                      <a16:creationId xmlns:a16="http://schemas.microsoft.com/office/drawing/2014/main" id="{ECE9E40C-2D70-CDFD-8FA4-0FD390381C1D}"/>
                                    </a:ext>
                                  </a:extLst>
                                </xdr:cNvPr>
                                <xdr:cNvCxnSpPr/>
                              </xdr:nvCxnSpPr>
                              <xdr:spPr>
                                <a:xfrm flipH="1">
                                  <a:off x="642937" y="689564"/>
                                  <a:ext cx="357188" cy="0"/>
                                </a:xfrm>
                                <a:prstGeom prst="straightConnector1">
                                  <a:avLst/>
                                </a:prstGeom>
                                <a:ln>
                                  <a:solidFill>
                                    <a:srgbClr val="FF0000"/>
                                  </a:solidFill>
                                  <a:tailEnd type="triangle"/>
                                </a:ln>
                              </xdr:spPr>
                              <xdr:style>
                                <a:lnRef idx="1">
                                  <a:schemeClr val="accent1"/>
                                </a:lnRef>
                                <a:fillRef idx="0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tx1"/>
                                </a:fontRef>
                              </xdr:style>
                            </xdr:cxnSp>
                            <xdr:sp macro="" textlink="">
                              <xdr:nvSpPr>
                                <xdr:cNvPr id="394" name="Arc 393">
                                  <a:extLst>
                                    <a:ext uri="{FF2B5EF4-FFF2-40B4-BE49-F238E27FC236}">
                                      <a16:creationId xmlns:a16="http://schemas.microsoft.com/office/drawing/2014/main" id="{119FD4D3-227E-A409-022A-C03C561F8C57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 rot="18003407">
                                  <a:off x="678926" y="1107881"/>
                                  <a:ext cx="345660" cy="295610"/>
                                </a:xfrm>
                                <a:prstGeom prst="arc">
                                  <a:avLst>
                                    <a:gd name="adj1" fmla="val 7275827"/>
                                    <a:gd name="adj2" fmla="val 0"/>
                                  </a:avLst>
                                </a:prstGeom>
                                <a:ln>
                                  <a:solidFill>
                                    <a:srgbClr val="FF0000"/>
                                  </a:solidFill>
                                  <a:headEnd type="triangle" w="med" len="med"/>
                                  <a:tailEnd type="none" w="med" len="med"/>
                                </a:ln>
                              </xdr:spPr>
                              <xdr:style>
                                <a:lnRef idx="1">
                                  <a:schemeClr val="accent1"/>
                                </a:lnRef>
                                <a:fillRef idx="0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tx1"/>
                                </a:fontRef>
                              </xdr:style>
                              <xdr:txBody>
                                <a:bodyPr vertOverflow="clip" horzOverflow="clip" rtlCol="0" anchor="t"/>
                                <a:lstStyle/>
                                <a:p>
                                  <a:pPr algn="l"/>
                                  <a:endParaRPr lang="en-US" sz="1100"/>
                                </a:p>
                              </xdr:txBody>
                            </xdr:sp>
                            <xdr:sp macro="" textlink="">
                              <xdr:nvSpPr>
                                <xdr:cNvPr id="395" name="TextBox 394">
                                  <a:extLst>
                                    <a:ext uri="{FF2B5EF4-FFF2-40B4-BE49-F238E27FC236}">
                                      <a16:creationId xmlns:a16="http://schemas.microsoft.com/office/drawing/2014/main" id="{C94E3D6E-B1FA-E11D-E5B3-F06D1BF133D6}"/>
                                    </a:ext>
                                  </a:extLst>
                                </xdr:cNvPr>
                                <xdr:cNvSpPr txBox="1"/>
                              </xdr:nvSpPr>
                              <xdr:spPr>
                                <a:xfrm>
                                  <a:off x="416087" y="561169"/>
                                  <a:ext cx="524471" cy="214312"/>
                                </a:xfrm>
                                <a:prstGeom prst="rect">
                                  <a:avLst/>
                                </a:prstGeom>
                                <a:noFill/>
                                <a:ln w="9525" cmpd="sng">
                                  <a:noFill/>
                                </a:ln>
                              </xdr:spPr>
                              <xdr:style>
                                <a:lnRef idx="0">
                                  <a:scrgbClr r="0" g="0" b="0"/>
                                </a:lnRef>
                                <a:fillRef idx="0">
                                  <a:scrgbClr r="0" g="0" b="0"/>
                                </a:fillRef>
                                <a:effectRef idx="0">
                                  <a:scrgbClr r="0" g="0" b="0"/>
                                </a:effectRef>
                                <a:fontRef idx="minor">
                                  <a:schemeClr val="dk1"/>
                                </a:fontRef>
                              </xdr:style>
                              <xdr:txBody>
                                <a:bodyPr vertOverflow="clip" horzOverflow="clip" wrap="square" rtlCol="0" anchor="ctr"/>
                                <a:lstStyle/>
                                <a:p>
                                  <a:r>
                                    <a:rPr lang="en-US" altLang="ko-KR" sz="900" b="1">
                                      <a:solidFill>
                                        <a:srgbClr val="0070C0"/>
                                      </a:solidFill>
                                    </a:rPr>
                                    <a:t>Fs</a:t>
                                  </a:r>
                                  <a:endParaRPr lang="en-US" sz="900" b="1">
                                    <a:solidFill>
                                      <a:srgbClr val="0070C0"/>
                                    </a:solidFill>
                                  </a:endParaRPr>
                                </a:p>
                              </xdr:txBody>
                            </xdr:sp>
                            <xdr:sp macro="" textlink="">
                              <xdr:nvSpPr>
                                <xdr:cNvPr id="396" name="TextBox 395">
                                  <a:extLst>
                                    <a:ext uri="{FF2B5EF4-FFF2-40B4-BE49-F238E27FC236}">
                                      <a16:creationId xmlns:a16="http://schemas.microsoft.com/office/drawing/2014/main" id="{7C970838-DA79-010D-9490-386026DB0BF6}"/>
                                    </a:ext>
                                  </a:extLst>
                                </xdr:cNvPr>
                                <xdr:cNvSpPr txBox="1"/>
                              </xdr:nvSpPr>
                              <xdr:spPr>
                                <a:xfrm>
                                  <a:off x="423656" y="1131796"/>
                                  <a:ext cx="569301" cy="214312"/>
                                </a:xfrm>
                                <a:prstGeom prst="rect">
                                  <a:avLst/>
                                </a:prstGeom>
                                <a:noFill/>
                                <a:ln w="9525" cmpd="sng">
                                  <a:noFill/>
                                </a:ln>
                              </xdr:spPr>
                              <xdr:style>
                                <a:lnRef idx="0">
                                  <a:scrgbClr r="0" g="0" b="0"/>
                                </a:lnRef>
                                <a:fillRef idx="0">
                                  <a:scrgbClr r="0" g="0" b="0"/>
                                </a:fillRef>
                                <a:effectRef idx="0">
                                  <a:scrgbClr r="0" g="0" b="0"/>
                                </a:effectRef>
                                <a:fontRef idx="minor">
                                  <a:schemeClr val="dk1"/>
                                </a:fontRef>
                              </xdr:style>
                              <xdr:txBody>
                                <a:bodyPr vertOverflow="clip" horzOverflow="clip" wrap="square" rtlCol="0" anchor="ctr"/>
                                <a:lstStyle/>
                                <a:p>
                                  <a:r>
                                    <a:rPr lang="en-US" altLang="ko-KR" sz="900" b="1">
                                      <a:solidFill>
                                        <a:srgbClr val="0070C0"/>
                                      </a:solidFill>
                                    </a:rPr>
                                    <a:t>Mc+Ms</a:t>
                                  </a:r>
                                  <a:endParaRPr lang="en-US" sz="900" b="1">
                                    <a:solidFill>
                                      <a:srgbClr val="0070C0"/>
                                    </a:solidFill>
                                  </a:endParaRPr>
                                </a:p>
                              </xdr:txBody>
                            </xdr:sp>
                          </xdr:grpSp>
                          <xdr:grpSp>
                            <xdr:nvGrpSpPr>
                              <xdr:cNvPr id="387" name="Group 386">
                                <a:extLst>
                                  <a:ext uri="{FF2B5EF4-FFF2-40B4-BE49-F238E27FC236}">
                                    <a16:creationId xmlns:a16="http://schemas.microsoft.com/office/drawing/2014/main" id="{DF607CBB-C781-8DB9-54CD-FFCD751626D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1348396" y="588819"/>
                                <a:ext cx="780486" cy="49254"/>
                                <a:chOff x="1339736" y="580159"/>
                                <a:chExt cx="780486" cy="49254"/>
                              </a:xfrm>
                            </xdr:grpSpPr>
                            <xdr:sp macro="" textlink="">
                              <xdr:nvSpPr>
                                <xdr:cNvPr id="388" name="Oval 387">
                                  <a:extLst>
                                    <a:ext uri="{FF2B5EF4-FFF2-40B4-BE49-F238E27FC236}">
                                      <a16:creationId xmlns:a16="http://schemas.microsoft.com/office/drawing/2014/main" id="{4D2E4B2D-146A-8EE0-C226-4A529B2071DD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1339736" y="580159"/>
                                  <a:ext cx="45719" cy="45719"/>
                                </a:xfrm>
                                <a:prstGeom prst="ellipse">
                                  <a:avLst/>
                                </a:prstGeom>
                                <a:solidFill>
                                  <a:srgbClr val="FF0000"/>
                                </a:solidFill>
                                <a:ln>
                                  <a:noFill/>
                                </a:ln>
                              </xdr:spPr>
                              <xdr:style>
                                <a:lnRef idx="2">
                                  <a:schemeClr val="accent1">
                                    <a:shade val="15000"/>
                                  </a:schemeClr>
                                </a:lnRef>
                                <a:fillRef idx="1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lt1"/>
                                </a:fontRef>
                              </xdr:style>
                              <xdr:txBody>
                                <a:bodyPr vertOverflow="clip" horzOverflow="clip" rtlCol="0" anchor="t"/>
                                <a:lstStyle/>
                                <a:p>
                                  <a:pPr algn="l"/>
                                  <a:endParaRPr lang="en-US" sz="1100"/>
                                </a:p>
                              </xdr:txBody>
                            </xdr:sp>
                            <xdr:sp macro="" textlink="">
                              <xdr:nvSpPr>
                                <xdr:cNvPr id="389" name="Oval 388">
                                  <a:extLst>
                                    <a:ext uri="{FF2B5EF4-FFF2-40B4-BE49-F238E27FC236}">
                                      <a16:creationId xmlns:a16="http://schemas.microsoft.com/office/drawing/2014/main" id="{196D4E3F-3E28-7FC6-DA3C-8C43315BAC9E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1579202" y="581960"/>
                                  <a:ext cx="45719" cy="45719"/>
                                </a:xfrm>
                                <a:prstGeom prst="ellipse">
                                  <a:avLst/>
                                </a:prstGeom>
                                <a:solidFill>
                                  <a:srgbClr val="FF0000"/>
                                </a:solidFill>
                                <a:ln>
                                  <a:noFill/>
                                </a:ln>
                              </xdr:spPr>
                              <xdr:style>
                                <a:lnRef idx="2">
                                  <a:schemeClr val="accent1">
                                    <a:shade val="15000"/>
                                  </a:schemeClr>
                                </a:lnRef>
                                <a:fillRef idx="1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lt1"/>
                                </a:fontRef>
                              </xdr:style>
                              <xdr:txBody>
                                <a:bodyPr vertOverflow="clip" horzOverflow="clip" rtlCol="0" anchor="t"/>
                                <a:lstStyle/>
                                <a:p>
                                  <a:pPr algn="l"/>
                                  <a:endParaRPr lang="en-US" sz="1100"/>
                                </a:p>
                              </xdr:txBody>
                            </xdr:sp>
                            <xdr:sp macro="" textlink="">
                              <xdr:nvSpPr>
                                <xdr:cNvPr id="390" name="Oval 389">
                                  <a:extLst>
                                    <a:ext uri="{FF2B5EF4-FFF2-40B4-BE49-F238E27FC236}">
                                      <a16:creationId xmlns:a16="http://schemas.microsoft.com/office/drawing/2014/main" id="{AF11D75F-2374-D725-EC91-9704A4963B6F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1831183" y="582827"/>
                                  <a:ext cx="45719" cy="45719"/>
                                </a:xfrm>
                                <a:prstGeom prst="ellipse">
                                  <a:avLst/>
                                </a:prstGeom>
                                <a:solidFill>
                                  <a:srgbClr val="FF0000"/>
                                </a:solidFill>
                                <a:ln>
                                  <a:noFill/>
                                </a:ln>
                              </xdr:spPr>
                              <xdr:style>
                                <a:lnRef idx="2">
                                  <a:schemeClr val="accent1">
                                    <a:shade val="15000"/>
                                  </a:schemeClr>
                                </a:lnRef>
                                <a:fillRef idx="1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lt1"/>
                                </a:fontRef>
                              </xdr:style>
                              <xdr:txBody>
                                <a:bodyPr vertOverflow="clip" horzOverflow="clip" rtlCol="0" anchor="t"/>
                                <a:lstStyle/>
                                <a:p>
                                  <a:pPr algn="l"/>
                                  <a:endParaRPr lang="en-US" sz="1100"/>
                                </a:p>
                              </xdr:txBody>
                            </xdr:sp>
                            <xdr:sp macro="" textlink="">
                              <xdr:nvSpPr>
                                <xdr:cNvPr id="391" name="Oval 390">
                                  <a:extLst>
                                    <a:ext uri="{FF2B5EF4-FFF2-40B4-BE49-F238E27FC236}">
                                      <a16:creationId xmlns:a16="http://schemas.microsoft.com/office/drawing/2014/main" id="{C55965B0-29AA-D566-1E7F-8CA8318C228A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2074503" y="583694"/>
                                  <a:ext cx="45719" cy="45719"/>
                                </a:xfrm>
                                <a:prstGeom prst="ellipse">
                                  <a:avLst/>
                                </a:prstGeom>
                                <a:solidFill>
                                  <a:srgbClr val="FF0000"/>
                                </a:solidFill>
                                <a:ln>
                                  <a:noFill/>
                                </a:ln>
                              </xdr:spPr>
                              <xdr:style>
                                <a:lnRef idx="2">
                                  <a:schemeClr val="accent1">
                                    <a:shade val="15000"/>
                                  </a:schemeClr>
                                </a:lnRef>
                                <a:fillRef idx="1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lt1"/>
                                </a:fontRef>
                              </xdr:style>
                              <xdr:txBody>
                                <a:bodyPr vertOverflow="clip" horzOverflow="clip" rtlCol="0" anchor="t"/>
                                <a:lstStyle/>
                                <a:p>
                                  <a:pPr algn="l"/>
                                  <a:endParaRPr lang="en-US" sz="1100"/>
                                </a:p>
                              </xdr:txBody>
                            </xdr:sp>
                          </xdr:grpSp>
                        </xdr:grpSp>
                        <xdr:cxnSp macro="">
                          <xdr:nvCxnSpPr>
                            <xdr:cNvPr id="384" name="Straight Arrow Connector 383">
                              <a:extLst>
                                <a:ext uri="{FF2B5EF4-FFF2-40B4-BE49-F238E27FC236}">
                                  <a16:creationId xmlns:a16="http://schemas.microsoft.com/office/drawing/2014/main" id="{262EE282-7FB5-3F88-7303-5E31262D45D3}"/>
                                </a:ext>
                              </a:extLst>
                            </xdr:cNvPr>
                            <xdr:cNvCxnSpPr/>
                          </xdr:nvCxnSpPr>
                          <xdr:spPr>
                            <a:xfrm>
                              <a:off x="475977" y="1802776"/>
                              <a:ext cx="373803" cy="0"/>
                            </a:xfrm>
                            <a:prstGeom prst="straightConnector1">
                              <a:avLst/>
                            </a:prstGeom>
                            <a:ln>
                              <a:solidFill>
                                <a:srgbClr val="00B050"/>
                              </a:solidFill>
                              <a:tailEnd type="triangle"/>
                            </a:ln>
                          </xdr:spPr>
                          <xdr:style>
                            <a:lnRef idx="1">
                              <a:schemeClr val="accent1"/>
                            </a:lnRef>
                            <a:fillRef idx="0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  <xdr:sp macro="" textlink="">
                          <xdr:nvSpPr>
                            <xdr:cNvPr id="385" name="TextBox 384">
                              <a:extLst>
                                <a:ext uri="{FF2B5EF4-FFF2-40B4-BE49-F238E27FC236}">
                                  <a16:creationId xmlns:a16="http://schemas.microsoft.com/office/drawing/2014/main" id="{C8E5C127-3D54-7497-68EB-C28556EE81F3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186092" y="1705087"/>
                              <a:ext cx="524956" cy="216433"/>
                            </a:xfrm>
                            <a:prstGeom prst="rect">
                              <a:avLst/>
                            </a:prstGeom>
                            <a:noFill/>
                            <a:ln w="9525" cmpd="sng">
                              <a:noFill/>
                            </a:ln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dk1"/>
                            </a:fontRef>
                          </xdr:style>
                          <xdr:txBody>
                            <a:bodyPr vertOverflow="clip" horzOverflow="clip" wrap="square" rtlCol="0" anchor="ctr"/>
                            <a:lstStyle/>
                            <a:p>
                              <a:r>
                                <a:rPr lang="en-US" altLang="ko-KR" sz="900" b="1">
                                  <a:solidFill>
                                    <a:srgbClr val="0070C0"/>
                                  </a:solidFill>
                                </a:rPr>
                                <a:t>Fs</a:t>
                              </a:r>
                              <a:endParaRPr lang="en-US" sz="900" b="1">
                                <a:solidFill>
                                  <a:srgbClr val="0070C0"/>
                                </a:solidFill>
                              </a:endParaRPr>
                            </a:p>
                          </xdr:txBody>
                        </xdr:sp>
                      </xdr:grpSp>
                      <xdr:cxnSp macro="">
                        <xdr:nvCxnSpPr>
                          <xdr:cNvPr id="381" name="Straight Arrow Connector 380">
                            <a:extLst>
                              <a:ext uri="{FF2B5EF4-FFF2-40B4-BE49-F238E27FC236}">
                                <a16:creationId xmlns:a16="http://schemas.microsoft.com/office/drawing/2014/main" id="{A9C05750-44BB-BBC6-79B5-F455BD2B7A28}"/>
                              </a:ext>
                            </a:extLst>
                          </xdr:cNvPr>
                          <xdr:cNvCxnSpPr/>
                        </xdr:nvCxnSpPr>
                        <xdr:spPr>
                          <a:xfrm flipH="1">
                            <a:off x="434578" y="834439"/>
                            <a:ext cx="357228" cy="0"/>
                          </a:xfrm>
                          <a:prstGeom prst="straightConnector1">
                            <a:avLst/>
                          </a:prstGeom>
                          <a:ln>
                            <a:solidFill>
                              <a:srgbClr val="FF0000"/>
                            </a:solidFill>
                            <a:tailEnd type="triangle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sp macro="" textlink="">
                        <xdr:nvSpPr>
                          <xdr:cNvPr id="382" name="TextBox 381">
                            <a:extLst>
                              <a:ext uri="{FF2B5EF4-FFF2-40B4-BE49-F238E27FC236}">
                                <a16:creationId xmlns:a16="http://schemas.microsoft.com/office/drawing/2014/main" id="{1020DA98-77B2-568B-A98F-B8FA933A9CC4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205411" y="708709"/>
                            <a:ext cx="452437" cy="214345"/>
                          </a:xfrm>
                          <a:prstGeom prst="rect">
                            <a:avLst/>
                          </a:prstGeom>
                          <a:noFill/>
                          <a:ln w="9525" cmpd="sng">
                            <a:noFill/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ctr"/>
                          <a:lstStyle/>
                          <a:p>
                            <a:r>
                              <a:rPr lang="en-US" altLang="ko-KR" sz="900" b="1">
                                <a:solidFill>
                                  <a:srgbClr val="0070C0"/>
                                </a:solidFill>
                              </a:rPr>
                              <a:t>Fc</a:t>
                            </a:r>
                            <a:endParaRPr lang="en-US" sz="900" b="1">
                              <a:solidFill>
                                <a:srgbClr val="0070C0"/>
                              </a:solidFill>
                            </a:endParaRPr>
                          </a:p>
                        </xdr:txBody>
                      </xdr:sp>
                    </xdr:grpSp>
                    <xdr:sp macro="" textlink="">
                      <xdr:nvSpPr>
                        <xdr:cNvPr id="379" name="Arc 378">
                          <a:extLst>
                            <a:ext uri="{FF2B5EF4-FFF2-40B4-BE49-F238E27FC236}">
                              <a16:creationId xmlns:a16="http://schemas.microsoft.com/office/drawing/2014/main" id="{93FE08C5-512A-A28C-9890-5C6363CA571B}"/>
                            </a:ext>
                          </a:extLst>
                        </xdr:cNvPr>
                        <xdr:cNvSpPr/>
                      </xdr:nvSpPr>
                      <xdr:spPr>
                        <a:xfrm rot="18003407">
                          <a:off x="2978810" y="2519054"/>
                          <a:ext cx="355032" cy="349674"/>
                        </a:xfrm>
                        <a:prstGeom prst="arc">
                          <a:avLst>
                            <a:gd name="adj1" fmla="val 7275827"/>
                            <a:gd name="adj2" fmla="val 353914"/>
                          </a:avLst>
                        </a:prstGeom>
                        <a:ln>
                          <a:solidFill>
                            <a:srgbClr val="00B050"/>
                          </a:solidFill>
                          <a:headEnd type="none" w="med" len="med"/>
                          <a:tailEnd type="triangle" w="med" len="med"/>
                        </a:ln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</xdr:grpSp>
                </xdr:grpSp>
              </xdr:grpSp>
              <xdr:sp macro="" textlink="">
                <xdr:nvSpPr>
                  <xdr:cNvPr id="371" name="TextBox 370">
                    <a:extLst>
                      <a:ext uri="{FF2B5EF4-FFF2-40B4-BE49-F238E27FC236}">
                        <a16:creationId xmlns:a16="http://schemas.microsoft.com/office/drawing/2014/main" id="{822D3B0E-E956-A958-825B-C6A5BEF119C8}"/>
                      </a:ext>
                    </a:extLst>
                  </xdr:cNvPr>
                  <xdr:cNvSpPr txBox="1"/>
                </xdr:nvSpPr>
                <xdr:spPr>
                  <a:xfrm>
                    <a:off x="2668190" y="3533775"/>
                    <a:ext cx="919963" cy="457200"/>
                  </a:xfrm>
                  <a:prstGeom prst="rect">
                    <a:avLst/>
                  </a:prstGeom>
                  <a:noFill/>
                  <a:ln w="19050" cmpd="sng">
                    <a:solidFill>
                      <a:srgbClr val="FF0000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n-US" altLang="ko-KR" sz="1000" b="1">
                        <a:solidFill>
                          <a:srgbClr val="FF0000"/>
                        </a:solidFill>
                      </a:rPr>
                      <a:t>C = </a:t>
                    </a:r>
                    <a:r>
                      <a:rPr lang="en-US" altLang="ko-KR" sz="1000" b="1">
                        <a:solidFill>
                          <a:srgbClr val="FF0000"/>
                        </a:solidFill>
                        <a:sym typeface="Symbol" panose="05050102010706020507" pitchFamily="18" charset="2"/>
                      </a:rPr>
                      <a:t>c2  c3</a:t>
                    </a:r>
                    <a:endParaRPr lang="en-US" altLang="ko-KR" sz="1000" b="1">
                      <a:solidFill>
                        <a:srgbClr val="FF0000"/>
                      </a:solidFill>
                    </a:endParaRPr>
                  </a:p>
                  <a:p>
                    <a:r>
                      <a:rPr lang="en-US" sz="1000" b="1">
                        <a:solidFill>
                          <a:srgbClr val="FF0000"/>
                        </a:solidFill>
                      </a:rPr>
                      <a:t>e = e2  </a:t>
                    </a:r>
                    <a:r>
                      <a:rPr lang="en-US" sz="1000" b="1">
                        <a:solidFill>
                          <a:srgbClr val="FF0000"/>
                        </a:solidFill>
                        <a:sym typeface="Symbol" panose="05050102010706020507" pitchFamily="18" charset="2"/>
                      </a:rPr>
                      <a:t></a:t>
                    </a:r>
                    <a:r>
                      <a:rPr lang="en-US" sz="1000" b="1">
                        <a:solidFill>
                          <a:srgbClr val="FF0000"/>
                        </a:solidFill>
                      </a:rPr>
                      <a:t> e3</a:t>
                    </a:r>
                  </a:p>
                </xdr:txBody>
              </xdr:sp>
            </xdr:grpSp>
            <xdr:sp macro="" textlink="">
              <xdr:nvSpPr>
                <xdr:cNvPr id="362" name="Rectangle 361">
                  <a:extLst>
                    <a:ext uri="{FF2B5EF4-FFF2-40B4-BE49-F238E27FC236}">
                      <a16:creationId xmlns:a16="http://schemas.microsoft.com/office/drawing/2014/main" id="{BF7F243E-2C70-6A28-8463-340C7359969A}"/>
                    </a:ext>
                  </a:extLst>
                </xdr:cNvPr>
                <xdr:cNvSpPr/>
              </xdr:nvSpPr>
              <xdr:spPr>
                <a:xfrm>
                  <a:off x="3841755" y="6637219"/>
                  <a:ext cx="1036411" cy="509933"/>
                </a:xfrm>
                <a:prstGeom prst="rect">
                  <a:avLst/>
                </a:prstGeom>
                <a:solidFill>
                  <a:schemeClr val="accent6">
                    <a:lumMod val="40000"/>
                    <a:lumOff val="60000"/>
                  </a:schemeClr>
                </a:solidFill>
                <a:ln w="22225">
                  <a:solidFill>
                    <a:schemeClr val="tx2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 sz="900">
                      <a:solidFill>
                        <a:srgbClr val="FF0000"/>
                      </a:solidFill>
                    </a:rPr>
                    <a:t>Tension</a:t>
                  </a:r>
                </a:p>
              </xdr:txBody>
            </xdr:sp>
            <xdr:sp macro="" textlink="">
              <xdr:nvSpPr>
                <xdr:cNvPr id="363" name="Right Triangle 362">
                  <a:extLst>
                    <a:ext uri="{FF2B5EF4-FFF2-40B4-BE49-F238E27FC236}">
                      <a16:creationId xmlns:a16="http://schemas.microsoft.com/office/drawing/2014/main" id="{E198F550-900A-3696-AFD9-7C1289AC9AF7}"/>
                    </a:ext>
                  </a:extLst>
                </xdr:cNvPr>
                <xdr:cNvSpPr/>
              </xdr:nvSpPr>
              <xdr:spPr>
                <a:xfrm flipV="1">
                  <a:off x="5598438" y="5630891"/>
                  <a:ext cx="300602" cy="687844"/>
                </a:xfrm>
                <a:prstGeom prst="rtTriangle">
                  <a:avLst/>
                </a:prstGeom>
                <a:solidFill>
                  <a:schemeClr val="accent5">
                    <a:lumMod val="20000"/>
                    <a:lumOff val="80000"/>
                  </a:schemeClr>
                </a:solidFill>
                <a:ln w="12700"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r>
                    <a:rPr lang="en-US" altLang="ko-KR" sz="1100">
                      <a:ln w="12700" cap="sq">
                        <a:solidFill>
                          <a:srgbClr val="FF0000"/>
                        </a:solidFill>
                        <a:round/>
                      </a:ln>
                      <a:solidFill>
                        <a:srgbClr val="FF0000"/>
                      </a:solidFill>
                    </a:rPr>
                    <a:t>+</a:t>
                  </a:r>
                  <a:endParaRPr lang="ko-KR" altLang="en-US" sz="1100">
                    <a:ln w="12700" cap="sq">
                      <a:solidFill>
                        <a:srgbClr val="FF0000"/>
                      </a:solidFill>
                      <a:round/>
                    </a:ln>
                    <a:solidFill>
                      <a:srgbClr val="FF0000"/>
                    </a:solidFill>
                  </a:endParaRPr>
                </a:p>
              </xdr:txBody>
            </xdr:sp>
            <xdr:grpSp>
              <xdr:nvGrpSpPr>
                <xdr:cNvPr id="364" name="Group 363">
                  <a:extLst>
                    <a:ext uri="{FF2B5EF4-FFF2-40B4-BE49-F238E27FC236}">
                      <a16:creationId xmlns:a16="http://schemas.microsoft.com/office/drawing/2014/main" id="{C4989F4E-4E06-F580-FC2C-56B3C52B73C2}"/>
                    </a:ext>
                  </a:extLst>
                </xdr:cNvPr>
                <xdr:cNvGrpSpPr/>
              </xdr:nvGrpSpPr>
              <xdr:grpSpPr>
                <a:xfrm>
                  <a:off x="3982590" y="6943306"/>
                  <a:ext cx="776000" cy="49370"/>
                  <a:chOff x="3917956" y="6814033"/>
                  <a:chExt cx="776000" cy="49370"/>
                </a:xfrm>
              </xdr:grpSpPr>
              <xdr:sp macro="" textlink="">
                <xdr:nvSpPr>
                  <xdr:cNvPr id="366" name="Oval 365">
                    <a:extLst>
                      <a:ext uri="{FF2B5EF4-FFF2-40B4-BE49-F238E27FC236}">
                        <a16:creationId xmlns:a16="http://schemas.microsoft.com/office/drawing/2014/main" id="{DD738032-64BA-7690-6B4A-45681ABA5DDA}"/>
                      </a:ext>
                    </a:extLst>
                  </xdr:cNvPr>
                  <xdr:cNvSpPr/>
                </xdr:nvSpPr>
                <xdr:spPr>
                  <a:xfrm>
                    <a:off x="3917956" y="6814033"/>
                    <a:ext cx="45456" cy="45827"/>
                  </a:xfrm>
                  <a:prstGeom prst="ellipse">
                    <a:avLst/>
                  </a:prstGeom>
                  <a:solidFill>
                    <a:srgbClr val="FF0000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367" name="Oval 366">
                    <a:extLst>
                      <a:ext uri="{FF2B5EF4-FFF2-40B4-BE49-F238E27FC236}">
                        <a16:creationId xmlns:a16="http://schemas.microsoft.com/office/drawing/2014/main" id="{51453489-1B5E-7D0A-B975-4DE5FE05AFD6}"/>
                      </a:ext>
                    </a:extLst>
                  </xdr:cNvPr>
                  <xdr:cNvSpPr/>
                </xdr:nvSpPr>
                <xdr:spPr>
                  <a:xfrm>
                    <a:off x="4156046" y="6815838"/>
                    <a:ext cx="45456" cy="45827"/>
                  </a:xfrm>
                  <a:prstGeom prst="ellipse">
                    <a:avLst/>
                  </a:prstGeom>
                  <a:solidFill>
                    <a:srgbClr val="FF0000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368" name="Oval 367">
                    <a:extLst>
                      <a:ext uri="{FF2B5EF4-FFF2-40B4-BE49-F238E27FC236}">
                        <a16:creationId xmlns:a16="http://schemas.microsoft.com/office/drawing/2014/main" id="{D8972EBA-F151-B062-2A31-41BC3FEFCD08}"/>
                      </a:ext>
                    </a:extLst>
                  </xdr:cNvPr>
                  <xdr:cNvSpPr/>
                </xdr:nvSpPr>
                <xdr:spPr>
                  <a:xfrm>
                    <a:off x="4406578" y="6816707"/>
                    <a:ext cx="45456" cy="45827"/>
                  </a:xfrm>
                  <a:prstGeom prst="ellipse">
                    <a:avLst/>
                  </a:prstGeom>
                  <a:solidFill>
                    <a:srgbClr val="FF0000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369" name="Oval 368">
                    <a:extLst>
                      <a:ext uri="{FF2B5EF4-FFF2-40B4-BE49-F238E27FC236}">
                        <a16:creationId xmlns:a16="http://schemas.microsoft.com/office/drawing/2014/main" id="{20EF1708-2318-E52C-F899-CC0CA207986C}"/>
                      </a:ext>
                    </a:extLst>
                  </xdr:cNvPr>
                  <xdr:cNvSpPr/>
                </xdr:nvSpPr>
                <xdr:spPr>
                  <a:xfrm>
                    <a:off x="4648500" y="6817576"/>
                    <a:ext cx="45456" cy="45827"/>
                  </a:xfrm>
                  <a:prstGeom prst="ellipse">
                    <a:avLst/>
                  </a:prstGeom>
                  <a:solidFill>
                    <a:srgbClr val="FF0000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</xdr:grpSp>
            <xdr:sp macro="" textlink="">
              <xdr:nvSpPr>
                <xdr:cNvPr id="365" name="Right Triangle 364">
                  <a:extLst>
                    <a:ext uri="{FF2B5EF4-FFF2-40B4-BE49-F238E27FC236}">
                      <a16:creationId xmlns:a16="http://schemas.microsoft.com/office/drawing/2014/main" id="{C415D5B0-BFF5-662A-13FB-D76FA22155E6}"/>
                    </a:ext>
                  </a:extLst>
                </xdr:cNvPr>
                <xdr:cNvSpPr/>
              </xdr:nvSpPr>
              <xdr:spPr>
                <a:xfrm flipH="1">
                  <a:off x="5195597" y="6318736"/>
                  <a:ext cx="402792" cy="849212"/>
                </a:xfrm>
                <a:prstGeom prst="rtTriangle">
                  <a:avLst/>
                </a:prstGeom>
                <a:solidFill>
                  <a:schemeClr val="accent5">
                    <a:lumMod val="20000"/>
                    <a:lumOff val="80000"/>
                  </a:schemeClr>
                </a:solidFill>
                <a:ln w="12700"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lang="en-US" altLang="ko-KR" sz="1100">
                      <a:ln w="15875">
                        <a:solidFill>
                          <a:srgbClr val="FF0000"/>
                        </a:solidFill>
                      </a:ln>
                      <a:solidFill>
                        <a:srgbClr val="FF0000"/>
                      </a:solidFill>
                    </a:rPr>
                    <a:t>-</a:t>
                  </a:r>
                  <a:endParaRPr lang="ko-KR" altLang="en-US" sz="1100">
                    <a:ln w="15875">
                      <a:solidFill>
                        <a:srgbClr val="FF0000"/>
                      </a:solidFill>
                    </a:ln>
                    <a:solidFill>
                      <a:srgbClr val="FF0000"/>
                    </a:solidFill>
                  </a:endParaRPr>
                </a:p>
              </xdr:txBody>
            </xdr:sp>
          </xdr:grpSp>
          <xdr:cxnSp macro="">
            <xdr:nvCxnSpPr>
              <xdr:cNvPr id="360" name="Straight Connector 359">
                <a:extLst>
                  <a:ext uri="{FF2B5EF4-FFF2-40B4-BE49-F238E27FC236}">
                    <a16:creationId xmlns:a16="http://schemas.microsoft.com/office/drawing/2014/main" id="{9EF41FCE-4263-FD1E-C3D5-9E7201674CB0}"/>
                  </a:ext>
                </a:extLst>
              </xdr:cNvPr>
              <xdr:cNvCxnSpPr/>
            </xdr:nvCxnSpPr>
            <xdr:spPr>
              <a:xfrm>
                <a:off x="2421171" y="6343571"/>
                <a:ext cx="718679" cy="0"/>
              </a:xfrm>
              <a:prstGeom prst="line">
                <a:avLst/>
              </a:prstGeom>
              <a:ln w="6350">
                <a:solidFill>
                  <a:srgbClr val="FF0000"/>
                </a:solidFill>
                <a:prstDash val="sysDot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358" name="TextBox 357">
              <a:extLst>
                <a:ext uri="{FF2B5EF4-FFF2-40B4-BE49-F238E27FC236}">
                  <a16:creationId xmlns:a16="http://schemas.microsoft.com/office/drawing/2014/main" id="{A38C6158-13AA-B6E9-A00E-1C0C0E55200A}"/>
                </a:ext>
              </a:extLst>
            </xdr:cNvPr>
            <xdr:cNvSpPr txBox="1"/>
          </xdr:nvSpPr>
          <xdr:spPr>
            <a:xfrm>
              <a:off x="5554385" y="10469782"/>
              <a:ext cx="818379" cy="18339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900"/>
                <a:t>es = fy/Es</a:t>
              </a:r>
              <a:endParaRPr lang="en-US" sz="900"/>
            </a:p>
          </xdr:txBody>
        </xdr:sp>
      </xdr:grpSp>
      <xdr:cxnSp macro="">
        <xdr:nvCxnSpPr>
          <xdr:cNvPr id="356" name="Straight Connector 355">
            <a:extLst>
              <a:ext uri="{FF2B5EF4-FFF2-40B4-BE49-F238E27FC236}">
                <a16:creationId xmlns:a16="http://schemas.microsoft.com/office/drawing/2014/main" id="{523E86D6-0FD7-493B-7139-66D022B07C3E}"/>
              </a:ext>
            </a:extLst>
          </xdr:cNvPr>
          <xdr:cNvCxnSpPr/>
        </xdr:nvCxnSpPr>
        <xdr:spPr>
          <a:xfrm>
            <a:off x="4885838" y="10570425"/>
            <a:ext cx="719714" cy="0"/>
          </a:xfrm>
          <a:prstGeom prst="line">
            <a:avLst/>
          </a:prstGeom>
          <a:ln w="6350">
            <a:solidFill>
              <a:srgbClr val="FF0000"/>
            </a:solidFill>
            <a:prstDash val="sys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419100</xdr:colOff>
      <xdr:row>0</xdr:row>
      <xdr:rowOff>57150</xdr:rowOff>
    </xdr:from>
    <xdr:to>
      <xdr:col>3</xdr:col>
      <xdr:colOff>322245</xdr:colOff>
      <xdr:row>16</xdr:row>
      <xdr:rowOff>51227</xdr:rowOff>
    </xdr:to>
    <xdr:grpSp>
      <xdr:nvGrpSpPr>
        <xdr:cNvPr id="492" name="Group 491">
          <a:extLst>
            <a:ext uri="{FF2B5EF4-FFF2-40B4-BE49-F238E27FC236}">
              <a16:creationId xmlns:a16="http://schemas.microsoft.com/office/drawing/2014/main" id="{1B5D54EB-A3E4-430C-AD9B-442867295045}"/>
            </a:ext>
          </a:extLst>
        </xdr:cNvPr>
        <xdr:cNvGrpSpPr/>
      </xdr:nvGrpSpPr>
      <xdr:grpSpPr>
        <a:xfrm>
          <a:off x="419100" y="57150"/>
          <a:ext cx="1846245" cy="3127802"/>
          <a:chOff x="101203" y="4772335"/>
          <a:chExt cx="1849817" cy="3051602"/>
        </a:xfrm>
      </xdr:grpSpPr>
      <xdr:grpSp>
        <xdr:nvGrpSpPr>
          <xdr:cNvPr id="493" name="Group 492">
            <a:extLst>
              <a:ext uri="{FF2B5EF4-FFF2-40B4-BE49-F238E27FC236}">
                <a16:creationId xmlns:a16="http://schemas.microsoft.com/office/drawing/2014/main" id="{46963429-B7AC-BC5D-3BA0-EF0CE11E9EF8}"/>
              </a:ext>
            </a:extLst>
          </xdr:cNvPr>
          <xdr:cNvGrpSpPr/>
        </xdr:nvGrpSpPr>
        <xdr:grpSpPr>
          <a:xfrm>
            <a:off x="612913" y="4772335"/>
            <a:ext cx="1338107" cy="3051602"/>
            <a:chOff x="673846" y="970597"/>
            <a:chExt cx="1329161" cy="3051393"/>
          </a:xfrm>
        </xdr:grpSpPr>
        <xdr:grpSp>
          <xdr:nvGrpSpPr>
            <xdr:cNvPr id="502" name="Group 501">
              <a:extLst>
                <a:ext uri="{FF2B5EF4-FFF2-40B4-BE49-F238E27FC236}">
                  <a16:creationId xmlns:a16="http://schemas.microsoft.com/office/drawing/2014/main" id="{C4AFE344-C186-DA0B-6D91-1EF66129EECB}"/>
                </a:ext>
              </a:extLst>
            </xdr:cNvPr>
            <xdr:cNvGrpSpPr/>
          </xdr:nvGrpSpPr>
          <xdr:grpSpPr>
            <a:xfrm>
              <a:off x="673846" y="970597"/>
              <a:ext cx="1329161" cy="3051393"/>
              <a:chOff x="967408" y="1155528"/>
              <a:chExt cx="1332878" cy="3053332"/>
            </a:xfrm>
          </xdr:grpSpPr>
          <xdr:grpSp>
            <xdr:nvGrpSpPr>
              <xdr:cNvPr id="504" name="Group 503">
                <a:extLst>
                  <a:ext uri="{FF2B5EF4-FFF2-40B4-BE49-F238E27FC236}">
                    <a16:creationId xmlns:a16="http://schemas.microsoft.com/office/drawing/2014/main" id="{DBAB0023-7FB7-1922-4389-34D11A599F92}"/>
                  </a:ext>
                </a:extLst>
              </xdr:cNvPr>
              <xdr:cNvGrpSpPr/>
            </xdr:nvGrpSpPr>
            <xdr:grpSpPr>
              <a:xfrm>
                <a:off x="967408" y="1155528"/>
                <a:ext cx="1332878" cy="3053332"/>
                <a:chOff x="970886" y="1178237"/>
                <a:chExt cx="1339884" cy="3101420"/>
              </a:xfrm>
            </xdr:grpSpPr>
            <xdr:grpSp>
              <xdr:nvGrpSpPr>
                <xdr:cNvPr id="506" name="Group 505">
                  <a:extLst>
                    <a:ext uri="{FF2B5EF4-FFF2-40B4-BE49-F238E27FC236}">
                      <a16:creationId xmlns:a16="http://schemas.microsoft.com/office/drawing/2014/main" id="{E029FD9E-3E93-B803-16BD-51AFDF59C432}"/>
                    </a:ext>
                  </a:extLst>
                </xdr:cNvPr>
                <xdr:cNvGrpSpPr/>
              </xdr:nvGrpSpPr>
              <xdr:grpSpPr>
                <a:xfrm>
                  <a:off x="970886" y="1178237"/>
                  <a:ext cx="1339884" cy="3101420"/>
                  <a:chOff x="1596846" y="2909747"/>
                  <a:chExt cx="1332874" cy="3048799"/>
                </a:xfrm>
              </xdr:grpSpPr>
              <xdr:grpSp>
                <xdr:nvGrpSpPr>
                  <xdr:cNvPr id="508" name="Group 507">
                    <a:extLst>
                      <a:ext uri="{FF2B5EF4-FFF2-40B4-BE49-F238E27FC236}">
                        <a16:creationId xmlns:a16="http://schemas.microsoft.com/office/drawing/2014/main" id="{949CE9DF-3F4F-5283-65D2-375DF69D83D5}"/>
                      </a:ext>
                    </a:extLst>
                  </xdr:cNvPr>
                  <xdr:cNvGrpSpPr/>
                </xdr:nvGrpSpPr>
                <xdr:grpSpPr>
                  <a:xfrm>
                    <a:off x="1596846" y="3440176"/>
                    <a:ext cx="1332874" cy="2518370"/>
                    <a:chOff x="1212346" y="3064690"/>
                    <a:chExt cx="1330864" cy="2518370"/>
                  </a:xfrm>
                </xdr:grpSpPr>
                <xdr:sp macro="" textlink="">
                  <xdr:nvSpPr>
                    <xdr:cNvPr id="511" name="Parallelogram 510">
                      <a:extLst>
                        <a:ext uri="{FF2B5EF4-FFF2-40B4-BE49-F238E27FC236}">
                          <a16:creationId xmlns:a16="http://schemas.microsoft.com/office/drawing/2014/main" id="{D777F4D5-C550-1BF7-3E8A-337E50274A5C}"/>
                        </a:ext>
                      </a:extLst>
                    </xdr:cNvPr>
                    <xdr:cNvSpPr/>
                  </xdr:nvSpPr>
                  <xdr:spPr>
                    <a:xfrm>
                      <a:off x="1218197" y="3067051"/>
                      <a:ext cx="1312445" cy="640258"/>
                    </a:xfrm>
                    <a:prstGeom prst="parallelogram">
                      <a:avLst>
                        <a:gd name="adj" fmla="val 92143"/>
                      </a:avLst>
                    </a:prstGeom>
                    <a:solidFill>
                      <a:schemeClr val="accent5">
                        <a:lumMod val="40000"/>
                        <a:lumOff val="60000"/>
                      </a:schemeClr>
                    </a:solidFill>
                    <a:ln>
                      <a:solidFill>
                        <a:srgbClr val="0070C0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  <xdr:cxnSp macro="">
                  <xdr:nvCxnSpPr>
                    <xdr:cNvPr id="512" name="Straight Connector 511">
                      <a:extLst>
                        <a:ext uri="{FF2B5EF4-FFF2-40B4-BE49-F238E27FC236}">
                          <a16:creationId xmlns:a16="http://schemas.microsoft.com/office/drawing/2014/main" id="{2826E83F-D18C-4E23-6AB2-78EF1E36E8CD}"/>
                        </a:ext>
                      </a:extLst>
                    </xdr:cNvPr>
                    <xdr:cNvCxnSpPr/>
                  </xdr:nvCxnSpPr>
                  <xdr:spPr>
                    <a:xfrm>
                      <a:off x="1218197" y="3701192"/>
                      <a:ext cx="0" cy="1881868"/>
                    </a:xfrm>
                    <a:prstGeom prst="line">
                      <a:avLst/>
                    </a:prstGeom>
                    <a:ln w="28575"/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513" name="Straight Connector 512">
                      <a:extLst>
                        <a:ext uri="{FF2B5EF4-FFF2-40B4-BE49-F238E27FC236}">
                          <a16:creationId xmlns:a16="http://schemas.microsoft.com/office/drawing/2014/main" id="{542449E2-10A4-F734-667F-2DEC11297AAB}"/>
                        </a:ext>
                      </a:extLst>
                    </xdr:cNvPr>
                    <xdr:cNvCxnSpPr/>
                  </xdr:nvCxnSpPr>
                  <xdr:spPr>
                    <a:xfrm>
                      <a:off x="1943218" y="3707133"/>
                      <a:ext cx="0" cy="1869986"/>
                    </a:xfrm>
                    <a:prstGeom prst="line">
                      <a:avLst/>
                    </a:prstGeom>
                    <a:ln w="28575"/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514" name="Straight Connector 513">
                      <a:extLst>
                        <a:ext uri="{FF2B5EF4-FFF2-40B4-BE49-F238E27FC236}">
                          <a16:creationId xmlns:a16="http://schemas.microsoft.com/office/drawing/2014/main" id="{E48FC8DF-2374-F153-9360-A6C6E9908945}"/>
                        </a:ext>
                      </a:extLst>
                    </xdr:cNvPr>
                    <xdr:cNvCxnSpPr/>
                  </xdr:nvCxnSpPr>
                  <xdr:spPr>
                    <a:xfrm>
                      <a:off x="2530642" y="3076575"/>
                      <a:ext cx="0" cy="1870706"/>
                    </a:xfrm>
                    <a:prstGeom prst="line">
                      <a:avLst/>
                    </a:prstGeom>
                    <a:ln w="28575"/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515" name="Straight Connector 514">
                      <a:extLst>
                        <a:ext uri="{FF2B5EF4-FFF2-40B4-BE49-F238E27FC236}">
                          <a16:creationId xmlns:a16="http://schemas.microsoft.com/office/drawing/2014/main" id="{5B1E08ED-E2F1-B476-C9B1-2424CD2F3AF7}"/>
                        </a:ext>
                      </a:extLst>
                    </xdr:cNvPr>
                    <xdr:cNvCxnSpPr/>
                  </xdr:nvCxnSpPr>
                  <xdr:spPr>
                    <a:xfrm>
                      <a:off x="1809303" y="3064690"/>
                      <a:ext cx="0" cy="1864766"/>
                    </a:xfrm>
                    <a:prstGeom prst="line">
                      <a:avLst/>
                    </a:prstGeom>
                    <a:ln w="28575">
                      <a:prstDash val="sysDot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516" name="Straight Connector 515">
                      <a:extLst>
                        <a:ext uri="{FF2B5EF4-FFF2-40B4-BE49-F238E27FC236}">
                          <a16:creationId xmlns:a16="http://schemas.microsoft.com/office/drawing/2014/main" id="{934F5D01-C434-155F-CDB0-A31D2BCA196B}"/>
                        </a:ext>
                      </a:extLst>
                    </xdr:cNvPr>
                    <xdr:cNvCxnSpPr/>
                  </xdr:nvCxnSpPr>
                  <xdr:spPr>
                    <a:xfrm>
                      <a:off x="1212346" y="5570360"/>
                      <a:ext cx="737511" cy="0"/>
                    </a:xfrm>
                    <a:prstGeom prst="line">
                      <a:avLst/>
                    </a:prstGeom>
                    <a:ln w="28575">
                      <a:solidFill>
                        <a:srgbClr val="0070C0"/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517" name="Straight Connector 516">
                      <a:extLst>
                        <a:ext uri="{FF2B5EF4-FFF2-40B4-BE49-F238E27FC236}">
                          <a16:creationId xmlns:a16="http://schemas.microsoft.com/office/drawing/2014/main" id="{B709FB9F-17D5-E673-786E-68B970B5D636}"/>
                        </a:ext>
                      </a:extLst>
                    </xdr:cNvPr>
                    <xdr:cNvCxnSpPr/>
                  </xdr:nvCxnSpPr>
                  <xdr:spPr>
                    <a:xfrm flipV="1">
                      <a:off x="1937448" y="4917571"/>
                      <a:ext cx="605762" cy="660233"/>
                    </a:xfrm>
                    <a:prstGeom prst="line">
                      <a:avLst/>
                    </a:prstGeom>
                    <a:ln w="28575">
                      <a:solidFill>
                        <a:srgbClr val="0070C0"/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  <xdr:cxnSp macro="">
                <xdr:nvCxnSpPr>
                  <xdr:cNvPr id="509" name="Straight Arrow Connector 508">
                    <a:extLst>
                      <a:ext uri="{FF2B5EF4-FFF2-40B4-BE49-F238E27FC236}">
                        <a16:creationId xmlns:a16="http://schemas.microsoft.com/office/drawing/2014/main" id="{BA269043-D4E9-058E-1904-4C3556C29DB1}"/>
                      </a:ext>
                    </a:extLst>
                  </xdr:cNvPr>
                  <xdr:cNvCxnSpPr/>
                </xdr:nvCxnSpPr>
                <xdr:spPr>
                  <a:xfrm>
                    <a:off x="2400256" y="2975705"/>
                    <a:ext cx="0" cy="628650"/>
                  </a:xfrm>
                  <a:prstGeom prst="straightConnector1">
                    <a:avLst/>
                  </a:prstGeom>
                  <a:ln w="28575">
                    <a:solidFill>
                      <a:srgbClr val="FF0000"/>
                    </a:solidFill>
                    <a:tailEnd type="stealth" w="lg" len="lg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510" name="TextBox 509">
                    <a:extLst>
                      <a:ext uri="{FF2B5EF4-FFF2-40B4-BE49-F238E27FC236}">
                        <a16:creationId xmlns:a16="http://schemas.microsoft.com/office/drawing/2014/main" id="{386C1787-A9F2-CA9C-BF5A-1C384542FFC0}"/>
                      </a:ext>
                    </a:extLst>
                  </xdr:cNvPr>
                  <xdr:cNvSpPr txBox="1"/>
                </xdr:nvSpPr>
                <xdr:spPr>
                  <a:xfrm>
                    <a:off x="2361340" y="2909747"/>
                    <a:ext cx="523452" cy="21696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n-US" altLang="ko-KR" sz="1050" b="1">
                        <a:solidFill>
                          <a:srgbClr val="0070C0"/>
                        </a:solidFill>
                      </a:rPr>
                      <a:t>P</a:t>
                    </a:r>
                    <a:endParaRPr lang="en-US" sz="1050" b="1">
                      <a:solidFill>
                        <a:srgbClr val="0070C0"/>
                      </a:solidFill>
                    </a:endParaRPr>
                  </a:p>
                </xdr:txBody>
              </xdr:sp>
            </xdr:grpSp>
            <xdr:cxnSp macro="">
              <xdr:nvCxnSpPr>
                <xdr:cNvPr id="507" name="Straight Connector 506">
                  <a:extLst>
                    <a:ext uri="{FF2B5EF4-FFF2-40B4-BE49-F238E27FC236}">
                      <a16:creationId xmlns:a16="http://schemas.microsoft.com/office/drawing/2014/main" id="{BDEA52CD-6D79-B3DE-8353-BFFD01748607}"/>
                    </a:ext>
                  </a:extLst>
                </xdr:cNvPr>
                <xdr:cNvCxnSpPr>
                  <a:stCxn id="511" idx="5"/>
                  <a:endCxn id="511" idx="2"/>
                </xdr:cNvCxnSpPr>
              </xdr:nvCxnSpPr>
              <xdr:spPr>
                <a:xfrm>
                  <a:off x="1273335" y="2045876"/>
                  <a:ext cx="728223" cy="0"/>
                </a:xfrm>
                <a:prstGeom prst="line">
                  <a:avLst/>
                </a:prstGeom>
                <a:ln>
                  <a:solidFill>
                    <a:srgbClr val="FF0000"/>
                  </a:solidFill>
                  <a:prstDash val="sysDot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505" name="Parallelogram 504">
                <a:extLst>
                  <a:ext uri="{FF2B5EF4-FFF2-40B4-BE49-F238E27FC236}">
                    <a16:creationId xmlns:a16="http://schemas.microsoft.com/office/drawing/2014/main" id="{84D37436-ED0B-1D53-5E79-559DDEBDE30B}"/>
                  </a:ext>
                </a:extLst>
              </xdr:cNvPr>
              <xdr:cNvSpPr/>
            </xdr:nvSpPr>
            <xdr:spPr>
              <a:xfrm>
                <a:off x="975121" y="3559969"/>
                <a:ext cx="1314398" cy="641471"/>
              </a:xfrm>
              <a:prstGeom prst="parallelogram">
                <a:avLst>
                  <a:gd name="adj" fmla="val 92143"/>
                </a:avLst>
              </a:prstGeom>
              <a:noFill/>
              <a:ln>
                <a:solidFill>
                  <a:srgbClr val="0070C0"/>
                </a:solidFill>
                <a:prstDash val="sysDot"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cxnSp macro="">
          <xdr:nvCxnSpPr>
            <xdr:cNvPr id="503" name="Straight Connector 502">
              <a:extLst>
                <a:ext uri="{FF2B5EF4-FFF2-40B4-BE49-F238E27FC236}">
                  <a16:creationId xmlns:a16="http://schemas.microsoft.com/office/drawing/2014/main" id="{A03D8BB8-B12D-33AE-9484-69C717824951}"/>
                </a:ext>
              </a:extLst>
            </xdr:cNvPr>
            <xdr:cNvCxnSpPr>
              <a:stCxn id="511" idx="3"/>
              <a:endCxn id="511" idx="1"/>
            </xdr:cNvCxnSpPr>
          </xdr:nvCxnSpPr>
          <xdr:spPr>
            <a:xfrm flipV="1">
              <a:off x="1039845" y="1503838"/>
              <a:ext cx="590456" cy="640803"/>
            </a:xfrm>
            <a:prstGeom prst="line">
              <a:avLst/>
            </a:prstGeom>
            <a:ln>
              <a:solidFill>
                <a:srgbClr val="FF0000"/>
              </a:solidFill>
              <a:prstDash val="sysDot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936CF381-D41F-04DA-43AA-562F42934045}"/>
              </a:ext>
            </a:extLst>
          </xdr:cNvPr>
          <xdr:cNvCxnSpPr/>
        </xdr:nvCxnSpPr>
        <xdr:spPr>
          <a:xfrm flipH="1">
            <a:off x="684609" y="5292328"/>
            <a:ext cx="410766" cy="0"/>
          </a:xfrm>
          <a:prstGeom prst="line">
            <a:avLst/>
          </a:prstGeom>
          <a:ln w="3175">
            <a:headEnd type="none"/>
            <a:tailEnd type="oval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5" name="Straight Connector 494">
            <a:extLst>
              <a:ext uri="{FF2B5EF4-FFF2-40B4-BE49-F238E27FC236}">
                <a16:creationId xmlns:a16="http://schemas.microsoft.com/office/drawing/2014/main" id="{5D731621-B60E-2D9D-2A52-7930D22746EF}"/>
              </a:ext>
            </a:extLst>
          </xdr:cNvPr>
          <xdr:cNvCxnSpPr/>
        </xdr:nvCxnSpPr>
        <xdr:spPr>
          <a:xfrm flipH="1">
            <a:off x="104774" y="5926931"/>
            <a:ext cx="410766" cy="0"/>
          </a:xfrm>
          <a:prstGeom prst="line">
            <a:avLst/>
          </a:prstGeom>
          <a:ln w="3175">
            <a:headEnd type="none"/>
            <a:tailEnd type="oval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6" name="Straight Connector 495">
            <a:extLst>
              <a:ext uri="{FF2B5EF4-FFF2-40B4-BE49-F238E27FC236}">
                <a16:creationId xmlns:a16="http://schemas.microsoft.com/office/drawing/2014/main" id="{ADAE775F-1ACF-BF4B-B8C2-495889CBCC94}"/>
              </a:ext>
            </a:extLst>
          </xdr:cNvPr>
          <xdr:cNvCxnSpPr/>
        </xdr:nvCxnSpPr>
        <xdr:spPr>
          <a:xfrm flipH="1">
            <a:off x="101203" y="5280422"/>
            <a:ext cx="595312" cy="644753"/>
          </a:xfrm>
          <a:prstGeom prst="line">
            <a:avLst/>
          </a:prstGeom>
          <a:ln w="3175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7" name="Straight Connector 496">
            <a:extLst>
              <a:ext uri="{FF2B5EF4-FFF2-40B4-BE49-F238E27FC236}">
                <a16:creationId xmlns:a16="http://schemas.microsoft.com/office/drawing/2014/main" id="{73932FEC-DA2A-3E09-084B-C5FE30BC1C17}"/>
              </a:ext>
            </a:extLst>
          </xdr:cNvPr>
          <xdr:cNvCxnSpPr/>
        </xdr:nvCxnSpPr>
        <xdr:spPr>
          <a:xfrm flipH="1">
            <a:off x="785813" y="5464969"/>
            <a:ext cx="613172" cy="0"/>
          </a:xfrm>
          <a:prstGeom prst="line">
            <a:avLst/>
          </a:prstGeom>
          <a:ln w="3175">
            <a:headEnd type="none"/>
            <a:tailEnd type="oval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8" name="Straight Connector 497">
            <a:extLst>
              <a:ext uri="{FF2B5EF4-FFF2-40B4-BE49-F238E27FC236}">
                <a16:creationId xmlns:a16="http://schemas.microsoft.com/office/drawing/2014/main" id="{1D0AB926-620A-604F-FD5B-81957E7E636F}"/>
              </a:ext>
            </a:extLst>
          </xdr:cNvPr>
          <xdr:cNvCxnSpPr/>
        </xdr:nvCxnSpPr>
        <xdr:spPr>
          <a:xfrm flipH="1">
            <a:off x="640557" y="5617368"/>
            <a:ext cx="613172" cy="0"/>
          </a:xfrm>
          <a:prstGeom prst="line">
            <a:avLst/>
          </a:prstGeom>
          <a:ln w="3175">
            <a:headEnd type="none"/>
            <a:tailEnd type="oval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9" name="Straight Connector 498">
            <a:extLst>
              <a:ext uri="{FF2B5EF4-FFF2-40B4-BE49-F238E27FC236}">
                <a16:creationId xmlns:a16="http://schemas.microsoft.com/office/drawing/2014/main" id="{D8BC8054-8C02-4EE3-DE2E-D820EE832957}"/>
              </a:ext>
            </a:extLst>
          </xdr:cNvPr>
          <xdr:cNvCxnSpPr/>
        </xdr:nvCxnSpPr>
        <xdr:spPr>
          <a:xfrm flipH="1">
            <a:off x="648891" y="5459015"/>
            <a:ext cx="142874" cy="154740"/>
          </a:xfrm>
          <a:prstGeom prst="line">
            <a:avLst/>
          </a:prstGeom>
          <a:ln w="3175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00" name="TextBox 499">
            <a:extLst>
              <a:ext uri="{FF2B5EF4-FFF2-40B4-BE49-F238E27FC236}">
                <a16:creationId xmlns:a16="http://schemas.microsoft.com/office/drawing/2014/main" id="{2F32A856-1130-A274-E5BC-337CA9C2E0DA}"/>
              </a:ext>
            </a:extLst>
          </xdr:cNvPr>
          <xdr:cNvSpPr txBox="1"/>
        </xdr:nvSpPr>
        <xdr:spPr>
          <a:xfrm>
            <a:off x="238125" y="5417343"/>
            <a:ext cx="278892" cy="2514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900"/>
              <a:t>h</a:t>
            </a:r>
            <a:endParaRPr lang="en-US" sz="900"/>
          </a:p>
        </xdr:txBody>
      </xdr:sp>
      <xdr:sp macro="" textlink="">
        <xdr:nvSpPr>
          <xdr:cNvPr id="501" name="TextBox 500">
            <a:extLst>
              <a:ext uri="{FF2B5EF4-FFF2-40B4-BE49-F238E27FC236}">
                <a16:creationId xmlns:a16="http://schemas.microsoft.com/office/drawing/2014/main" id="{F782EB85-6054-D722-52C7-08787BFD0F0C}"/>
              </a:ext>
            </a:extLst>
          </xdr:cNvPr>
          <xdr:cNvSpPr txBox="1"/>
        </xdr:nvSpPr>
        <xdr:spPr>
          <a:xfrm>
            <a:off x="521494" y="5367336"/>
            <a:ext cx="278892" cy="2514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900"/>
              <a:t>e</a:t>
            </a:r>
            <a:endParaRPr lang="en-US" sz="900"/>
          </a:p>
        </xdr:txBody>
      </xdr:sp>
    </xdr:grpSp>
    <xdr:clientData/>
  </xdr:twoCellAnchor>
  <xdr:twoCellAnchor>
    <xdr:from>
      <xdr:col>4</xdr:col>
      <xdr:colOff>352985</xdr:colOff>
      <xdr:row>2</xdr:row>
      <xdr:rowOff>106906</xdr:rowOff>
    </xdr:from>
    <xdr:to>
      <xdr:col>13</xdr:col>
      <xdr:colOff>253912</xdr:colOff>
      <xdr:row>14</xdr:row>
      <xdr:rowOff>89859</xdr:rowOff>
    </xdr:to>
    <xdr:grpSp>
      <xdr:nvGrpSpPr>
        <xdr:cNvPr id="539" name="Group 538">
          <a:extLst>
            <a:ext uri="{FF2B5EF4-FFF2-40B4-BE49-F238E27FC236}">
              <a16:creationId xmlns:a16="http://schemas.microsoft.com/office/drawing/2014/main" id="{5C90CF58-55A6-A8FB-5C2F-1A8E77FCDBF6}"/>
            </a:ext>
          </a:extLst>
        </xdr:cNvPr>
        <xdr:cNvGrpSpPr/>
      </xdr:nvGrpSpPr>
      <xdr:grpSpPr>
        <a:xfrm>
          <a:off x="2943785" y="487906"/>
          <a:ext cx="5873102" cy="2326103"/>
          <a:chOff x="2948548" y="487906"/>
          <a:chExt cx="5871911" cy="2268953"/>
        </a:xfrm>
      </xdr:grpSpPr>
      <xdr:grpSp>
        <xdr:nvGrpSpPr>
          <xdr:cNvPr id="536" name="Group 535">
            <a:extLst>
              <a:ext uri="{FF2B5EF4-FFF2-40B4-BE49-F238E27FC236}">
                <a16:creationId xmlns:a16="http://schemas.microsoft.com/office/drawing/2014/main" id="{4E75FBF3-E693-E715-D489-B0DC29BB5DCD}"/>
              </a:ext>
            </a:extLst>
          </xdr:cNvPr>
          <xdr:cNvGrpSpPr/>
        </xdr:nvGrpSpPr>
        <xdr:grpSpPr>
          <a:xfrm>
            <a:off x="2948548" y="487906"/>
            <a:ext cx="5871911" cy="2268953"/>
            <a:chOff x="3421267" y="715055"/>
            <a:chExt cx="4780439" cy="1849813"/>
          </a:xfrm>
        </xdr:grpSpPr>
        <xdr:sp macro="" textlink="">
          <xdr:nvSpPr>
            <xdr:cNvPr id="520" name="Right Triangle 519">
              <a:extLst>
                <a:ext uri="{FF2B5EF4-FFF2-40B4-BE49-F238E27FC236}">
                  <a16:creationId xmlns:a16="http://schemas.microsoft.com/office/drawing/2014/main" id="{D2D4C1D0-C14F-4BBA-8579-7CE922B3FF9B}"/>
                </a:ext>
              </a:extLst>
            </xdr:cNvPr>
            <xdr:cNvSpPr/>
          </xdr:nvSpPr>
          <xdr:spPr>
            <a:xfrm flipV="1">
              <a:off x="7381875" y="1153204"/>
              <a:ext cx="217714" cy="383356"/>
            </a:xfrm>
            <a:prstGeom prst="rtTriangle">
              <a:avLst/>
            </a:prstGeom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rgbClr val="0070C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endParaRPr lang="ko-KR" altLang="en-US" sz="1100">
                <a:ln w="12700">
                  <a:solidFill>
                    <a:srgbClr val="FF0000"/>
                  </a:solidFill>
                </a:ln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524" name="Rectangle 523">
              <a:extLst>
                <a:ext uri="{FF2B5EF4-FFF2-40B4-BE49-F238E27FC236}">
                  <a16:creationId xmlns:a16="http://schemas.microsoft.com/office/drawing/2014/main" id="{68555E1C-F235-9FD5-C8D1-95F354C3CD9C}"/>
                </a:ext>
              </a:extLst>
            </xdr:cNvPr>
            <xdr:cNvSpPr/>
          </xdr:nvSpPr>
          <xdr:spPr>
            <a:xfrm>
              <a:off x="7177768" y="1915205"/>
              <a:ext cx="204107" cy="632733"/>
            </a:xfrm>
            <a:prstGeom prst="rect">
              <a:avLst/>
            </a:prstGeom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rgbClr val="0070C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424" name="Group 423">
              <a:extLst>
                <a:ext uri="{FF2B5EF4-FFF2-40B4-BE49-F238E27FC236}">
                  <a16:creationId xmlns:a16="http://schemas.microsoft.com/office/drawing/2014/main" id="{9AC59A9D-438D-47CA-8C44-7E980B9FCCD9}"/>
                </a:ext>
              </a:extLst>
            </xdr:cNvPr>
            <xdr:cNvGrpSpPr/>
          </xdr:nvGrpSpPr>
          <xdr:grpSpPr>
            <a:xfrm>
              <a:off x="3421267" y="715055"/>
              <a:ext cx="4780439" cy="1849813"/>
              <a:chOff x="5033797" y="338454"/>
              <a:chExt cx="4787497" cy="1849813"/>
            </a:xfrm>
          </xdr:grpSpPr>
          <xdr:sp macro="" textlink="">
            <xdr:nvSpPr>
              <xdr:cNvPr id="425" name="TextBox 424">
                <a:extLst>
                  <a:ext uri="{FF2B5EF4-FFF2-40B4-BE49-F238E27FC236}">
                    <a16:creationId xmlns:a16="http://schemas.microsoft.com/office/drawing/2014/main" id="{53A2736F-D855-2DC0-85CE-C8AFC46AE5F6}"/>
                  </a:ext>
                </a:extLst>
              </xdr:cNvPr>
              <xdr:cNvSpPr txBox="1"/>
            </xdr:nvSpPr>
            <xdr:spPr>
              <a:xfrm>
                <a:off x="7713162" y="924210"/>
                <a:ext cx="396163" cy="18317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r>
                  <a:rPr lang="el-GR" altLang="ko-KR" sz="900"/>
                  <a:t>ε</a:t>
                </a:r>
                <a:r>
                  <a:rPr lang="en-US" altLang="ko-KR" sz="900"/>
                  <a:t>ci</a:t>
                </a:r>
                <a:endParaRPr lang="en-US" sz="900"/>
              </a:p>
            </xdr:txBody>
          </xdr:sp>
          <xdr:grpSp>
            <xdr:nvGrpSpPr>
              <xdr:cNvPr id="426" name="Group 425">
                <a:extLst>
                  <a:ext uri="{FF2B5EF4-FFF2-40B4-BE49-F238E27FC236}">
                    <a16:creationId xmlns:a16="http://schemas.microsoft.com/office/drawing/2014/main" id="{ED72A543-095D-9892-D3CC-BC11C7441C80}"/>
                  </a:ext>
                </a:extLst>
              </xdr:cNvPr>
              <xdr:cNvGrpSpPr/>
            </xdr:nvGrpSpPr>
            <xdr:grpSpPr>
              <a:xfrm>
                <a:off x="5033797" y="338454"/>
                <a:ext cx="4787497" cy="1849813"/>
                <a:chOff x="376121" y="550051"/>
                <a:chExt cx="4795917" cy="1882504"/>
              </a:xfrm>
            </xdr:grpSpPr>
            <xdr:grpSp>
              <xdr:nvGrpSpPr>
                <xdr:cNvPr id="432" name="Group 431">
                  <a:extLst>
                    <a:ext uri="{FF2B5EF4-FFF2-40B4-BE49-F238E27FC236}">
                      <a16:creationId xmlns:a16="http://schemas.microsoft.com/office/drawing/2014/main" id="{842F7B58-C6E9-876A-05B0-B8C30369940B}"/>
                    </a:ext>
                  </a:extLst>
                </xdr:cNvPr>
                <xdr:cNvGrpSpPr/>
              </xdr:nvGrpSpPr>
              <xdr:grpSpPr>
                <a:xfrm>
                  <a:off x="376121" y="550051"/>
                  <a:ext cx="4635515" cy="1877176"/>
                  <a:chOff x="376162" y="119939"/>
                  <a:chExt cx="4642489" cy="1822585"/>
                </a:xfrm>
              </xdr:grpSpPr>
              <xdr:grpSp>
                <xdr:nvGrpSpPr>
                  <xdr:cNvPr id="437" name="Group 436">
                    <a:extLst>
                      <a:ext uri="{FF2B5EF4-FFF2-40B4-BE49-F238E27FC236}">
                        <a16:creationId xmlns:a16="http://schemas.microsoft.com/office/drawing/2014/main" id="{C3E46DF4-6C99-25A7-6522-1A5630D5E5A0}"/>
                      </a:ext>
                    </a:extLst>
                  </xdr:cNvPr>
                  <xdr:cNvGrpSpPr/>
                </xdr:nvGrpSpPr>
                <xdr:grpSpPr>
                  <a:xfrm>
                    <a:off x="376162" y="119939"/>
                    <a:ext cx="4642489" cy="1822585"/>
                    <a:chOff x="376162" y="119939"/>
                    <a:chExt cx="4642489" cy="1822585"/>
                  </a:xfrm>
                </xdr:grpSpPr>
                <xdr:grpSp>
                  <xdr:nvGrpSpPr>
                    <xdr:cNvPr id="439" name="Group 438">
                      <a:extLst>
                        <a:ext uri="{FF2B5EF4-FFF2-40B4-BE49-F238E27FC236}">
                          <a16:creationId xmlns:a16="http://schemas.microsoft.com/office/drawing/2014/main" id="{CD2D6E5E-6106-1C2B-F2BF-6AA916C18AF9}"/>
                        </a:ext>
                      </a:extLst>
                    </xdr:cNvPr>
                    <xdr:cNvGrpSpPr/>
                  </xdr:nvGrpSpPr>
                  <xdr:grpSpPr>
                    <a:xfrm>
                      <a:off x="376162" y="119939"/>
                      <a:ext cx="4642489" cy="1822585"/>
                      <a:chOff x="376162" y="119939"/>
                      <a:chExt cx="4642489" cy="1822585"/>
                    </a:xfrm>
                  </xdr:grpSpPr>
                  <xdr:sp macro="" textlink="">
                    <xdr:nvSpPr>
                      <xdr:cNvPr id="445" name="Rectangle 444">
                        <a:extLst>
                          <a:ext uri="{FF2B5EF4-FFF2-40B4-BE49-F238E27FC236}">
                            <a16:creationId xmlns:a16="http://schemas.microsoft.com/office/drawing/2014/main" id="{FCE97BA4-DFD8-6ABA-BF5D-89E564E81C3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228458" y="932684"/>
                        <a:ext cx="1034162" cy="994572"/>
                      </a:xfrm>
                      <a:prstGeom prst="rect">
                        <a:avLst/>
                      </a:prstGeom>
                      <a:solidFill>
                        <a:schemeClr val="accent6">
                          <a:lumMod val="40000"/>
                          <a:lumOff val="60000"/>
                        </a:schemeClr>
                      </a:solidFill>
                      <a:ln w="22225">
                        <a:solidFill>
                          <a:schemeClr val="tx2"/>
                        </a:solidFill>
                      </a:ln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/>
                      <a:lstStyle/>
                      <a:p>
                        <a:pPr algn="ctr"/>
                        <a:r>
                          <a:rPr lang="en-US" sz="900">
                            <a:solidFill>
                              <a:srgbClr val="FF0000"/>
                            </a:solidFill>
                          </a:rPr>
                          <a:t>Tension</a:t>
                        </a:r>
                      </a:p>
                    </xdr:txBody>
                  </xdr:sp>
                  <xdr:grpSp>
                    <xdr:nvGrpSpPr>
                      <xdr:cNvPr id="446" name="Group 445">
                        <a:extLst>
                          <a:ext uri="{FF2B5EF4-FFF2-40B4-BE49-F238E27FC236}">
                            <a16:creationId xmlns:a16="http://schemas.microsoft.com/office/drawing/2014/main" id="{98BAAB30-948F-831F-7CEC-D355C871C019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376162" y="119939"/>
                        <a:ext cx="4642489" cy="1822585"/>
                        <a:chOff x="376162" y="119939"/>
                        <a:chExt cx="4642489" cy="1822585"/>
                      </a:xfrm>
                    </xdr:grpSpPr>
                    <xdr:grpSp>
                      <xdr:nvGrpSpPr>
                        <xdr:cNvPr id="447" name="Group 446">
                          <a:extLst>
                            <a:ext uri="{FF2B5EF4-FFF2-40B4-BE49-F238E27FC236}">
                              <a16:creationId xmlns:a16="http://schemas.microsoft.com/office/drawing/2014/main" id="{8360C703-14F4-C370-9034-1702953FCFFB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376162" y="119939"/>
                          <a:ext cx="4642489" cy="1822585"/>
                          <a:chOff x="554783" y="196836"/>
                          <a:chExt cx="4635004" cy="1795182"/>
                        </a:xfrm>
                      </xdr:grpSpPr>
                      <xdr:grpSp>
                        <xdr:nvGrpSpPr>
                          <xdr:cNvPr id="458" name="Group 457">
                            <a:extLst>
                              <a:ext uri="{FF2B5EF4-FFF2-40B4-BE49-F238E27FC236}">
                                <a16:creationId xmlns:a16="http://schemas.microsoft.com/office/drawing/2014/main" id="{9D2AA2F7-D920-8108-6F14-B7A9F73A6894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932481" y="196836"/>
                            <a:ext cx="4257306" cy="1795182"/>
                            <a:chOff x="3007133" y="253719"/>
                            <a:chExt cx="4252552" cy="1765861"/>
                          </a:xfrm>
                        </xdr:grpSpPr>
                        <xdr:grpSp>
                          <xdr:nvGrpSpPr>
                            <xdr:cNvPr id="463" name="Group 462">
                              <a:extLst>
                                <a:ext uri="{FF2B5EF4-FFF2-40B4-BE49-F238E27FC236}">
                                  <a16:creationId xmlns:a16="http://schemas.microsoft.com/office/drawing/2014/main" id="{4B738087-89B6-AF11-0ED6-C5E4856A2491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3007133" y="253719"/>
                              <a:ext cx="4252552" cy="1765861"/>
                              <a:chOff x="2557611" y="206992"/>
                              <a:chExt cx="4246055" cy="1765861"/>
                            </a:xfrm>
                          </xdr:grpSpPr>
                          <xdr:grpSp>
                            <xdr:nvGrpSpPr>
                              <xdr:cNvPr id="468" name="Group 467">
                                <a:extLst>
                                  <a:ext uri="{FF2B5EF4-FFF2-40B4-BE49-F238E27FC236}">
                                    <a16:creationId xmlns:a16="http://schemas.microsoft.com/office/drawing/2014/main" id="{2A42B286-E2D9-E4F9-E77F-D101D80DF53A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2557611" y="206992"/>
                                <a:ext cx="4246055" cy="1765861"/>
                                <a:chOff x="2015069" y="149842"/>
                                <a:chExt cx="4246019" cy="1765861"/>
                              </a:xfrm>
                            </xdr:grpSpPr>
                            <xdr:cxnSp macro="">
                              <xdr:nvCxnSpPr>
                                <xdr:cNvPr id="472" name="Straight Connector 471">
                                  <a:extLst>
                                    <a:ext uri="{FF2B5EF4-FFF2-40B4-BE49-F238E27FC236}">
                                      <a16:creationId xmlns:a16="http://schemas.microsoft.com/office/drawing/2014/main" id="{F1479914-8F85-B38F-F997-0316EAFFC740}"/>
                                    </a:ext>
                                  </a:extLst>
                                </xdr:cNvPr>
                                <xdr:cNvCxnSpPr/>
                              </xdr:nvCxnSpPr>
                              <xdr:spPr>
                                <a:xfrm flipH="1">
                                  <a:off x="2243449" y="488023"/>
                                  <a:ext cx="171039" cy="0"/>
                                </a:xfrm>
                                <a:prstGeom prst="line">
                                  <a:avLst/>
                                </a:prstGeom>
                                <a:ln w="3175">
                                  <a:headEnd type="none"/>
                                  <a:tailEnd type="oval" w="sm" len="sm"/>
                                </a:ln>
                              </xdr:spPr>
                              <xdr:style>
                                <a:lnRef idx="1">
                                  <a:schemeClr val="accent1"/>
                                </a:lnRef>
                                <a:fillRef idx="0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tx1"/>
                                </a:fontRef>
                              </xdr:style>
                            </xdr:cxnSp>
                            <xdr:cxnSp macro="">
                              <xdr:nvCxnSpPr>
                                <xdr:cNvPr id="473" name="Straight Connector 472">
                                  <a:extLst>
                                    <a:ext uri="{FF2B5EF4-FFF2-40B4-BE49-F238E27FC236}">
                                      <a16:creationId xmlns:a16="http://schemas.microsoft.com/office/drawing/2014/main" id="{B03052D7-89DE-A09E-0162-CC9FAD50F7AD}"/>
                                    </a:ext>
                                  </a:extLst>
                                </xdr:cNvPr>
                                <xdr:cNvCxnSpPr/>
                              </xdr:nvCxnSpPr>
                              <xdr:spPr>
                                <a:xfrm>
                                  <a:off x="2241476" y="494295"/>
                                  <a:ext cx="0" cy="1268007"/>
                                </a:xfrm>
                                <a:prstGeom prst="line">
                                  <a:avLst/>
                                </a:prstGeom>
                                <a:ln w="3175"/>
                              </xdr:spPr>
                              <xdr:style>
                                <a:lnRef idx="1">
                                  <a:schemeClr val="accent1"/>
                                </a:lnRef>
                                <a:fillRef idx="0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tx1"/>
                                </a:fontRef>
                              </xdr:style>
                            </xdr:cxnSp>
                            <xdr:cxnSp macro="">
                              <xdr:nvCxnSpPr>
                                <xdr:cNvPr id="474" name="Straight Connector 473">
                                  <a:extLst>
                                    <a:ext uri="{FF2B5EF4-FFF2-40B4-BE49-F238E27FC236}">
                                      <a16:creationId xmlns:a16="http://schemas.microsoft.com/office/drawing/2014/main" id="{FFDA0561-8E23-BBC5-155B-2207226DF6ED}"/>
                                    </a:ext>
                                  </a:extLst>
                                </xdr:cNvPr>
                                <xdr:cNvCxnSpPr/>
                              </xdr:nvCxnSpPr>
                              <xdr:spPr>
                                <a:xfrm flipH="1">
                                  <a:off x="2242418" y="857196"/>
                                  <a:ext cx="166719" cy="0"/>
                                </a:xfrm>
                                <a:prstGeom prst="line">
                                  <a:avLst/>
                                </a:prstGeom>
                                <a:ln w="3175">
                                  <a:headEnd type="none"/>
                                  <a:tailEnd type="oval" w="sm" len="sm"/>
                                </a:ln>
                              </xdr:spPr>
                              <xdr:style>
                                <a:lnRef idx="1">
                                  <a:schemeClr val="accent1"/>
                                </a:lnRef>
                                <a:fillRef idx="0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tx1"/>
                                </a:fontRef>
                              </xdr:style>
                            </xdr:cxnSp>
                            <xdr:sp macro="" textlink="">
                              <xdr:nvSpPr>
                                <xdr:cNvPr id="475" name="TextBox 474">
                                  <a:extLst>
                                    <a:ext uri="{FF2B5EF4-FFF2-40B4-BE49-F238E27FC236}">
                                      <a16:creationId xmlns:a16="http://schemas.microsoft.com/office/drawing/2014/main" id="{52F8D771-DB17-6E77-F842-11DCDDA60B82}"/>
                                    </a:ext>
                                  </a:extLst>
                                </xdr:cNvPr>
                                <xdr:cNvSpPr txBox="1"/>
                              </xdr:nvSpPr>
                              <xdr:spPr>
                                <a:xfrm>
                                  <a:off x="2015069" y="550400"/>
                                  <a:ext cx="348106" cy="242941"/>
                                </a:xfrm>
                                <a:prstGeom prst="rect">
                                  <a:avLst/>
                                </a:prstGeom>
                                <a:noFill/>
                                <a:ln w="9525" cmpd="sng">
                                  <a:noFill/>
                                </a:ln>
                              </xdr:spPr>
                              <xdr:style>
                                <a:lnRef idx="0">
                                  <a:scrgbClr r="0" g="0" b="0"/>
                                </a:lnRef>
                                <a:fillRef idx="0">
                                  <a:scrgbClr r="0" g="0" b="0"/>
                                </a:fillRef>
                                <a:effectRef idx="0">
                                  <a:scrgbClr r="0" g="0" b="0"/>
                                </a:effectRef>
                                <a:fontRef idx="minor">
                                  <a:schemeClr val="dk1"/>
                                </a:fontRef>
                              </xdr:style>
                              <xdr:txBody>
                                <a:bodyPr vertOverflow="clip" horzOverflow="clip" wrap="square" rtlCol="0" anchor="ctr"/>
                                <a:lstStyle/>
                                <a:p>
                                  <a:r>
                                    <a:rPr lang="en-US" altLang="ko-KR" sz="900"/>
                                    <a:t>di</a:t>
                                  </a:r>
                                  <a:endParaRPr lang="en-US" sz="900"/>
                                </a:p>
                              </xdr:txBody>
                            </xdr:sp>
                            <xdr:grpSp>
                              <xdr:nvGrpSpPr>
                                <xdr:cNvPr id="476" name="Group 475">
                                  <a:extLst>
                                    <a:ext uri="{FF2B5EF4-FFF2-40B4-BE49-F238E27FC236}">
                                      <a16:creationId xmlns:a16="http://schemas.microsoft.com/office/drawing/2014/main" id="{DCC6AF98-056C-D2E6-4B55-314A613644B8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2487377" y="149842"/>
                                  <a:ext cx="3773711" cy="1765861"/>
                                  <a:chOff x="2487377" y="149842"/>
                                  <a:chExt cx="3773711" cy="1765861"/>
                                </a:xfrm>
                              </xdr:grpSpPr>
                              <xdr:grpSp>
                                <xdr:nvGrpSpPr>
                                  <xdr:cNvPr id="477" name="Group 476">
                                    <a:extLst>
                                      <a:ext uri="{FF2B5EF4-FFF2-40B4-BE49-F238E27FC236}">
                                        <a16:creationId xmlns:a16="http://schemas.microsoft.com/office/drawing/2014/main" id="{C2AE14D6-6E1D-6D6F-9B18-9D6F41D7FCF7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2487377" y="472597"/>
                                    <a:ext cx="3110054" cy="1435166"/>
                                    <a:chOff x="2621888" y="311506"/>
                                    <a:chExt cx="3803781" cy="1440015"/>
                                  </a:xfrm>
                                </xdr:grpSpPr>
                                <xdr:grpSp>
                                  <xdr:nvGrpSpPr>
                                    <xdr:cNvPr id="481" name="Group 480">
                                      <a:extLst>
                                        <a:ext uri="{FF2B5EF4-FFF2-40B4-BE49-F238E27FC236}">
                                          <a16:creationId xmlns:a16="http://schemas.microsoft.com/office/drawing/2014/main" id="{5AFAA0EA-6DA2-92FE-6BCF-935A92F78E51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2621888" y="311506"/>
                                      <a:ext cx="2459285" cy="1440015"/>
                                      <a:chOff x="2621888" y="311506"/>
                                      <a:chExt cx="2459285" cy="1440015"/>
                                    </a:xfrm>
                                  </xdr:grpSpPr>
                                  <xdr:grpSp>
                                    <xdr:nvGrpSpPr>
                                      <xdr:cNvPr id="483" name="Group 4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839C3AB7-47FA-7906-0975-28D62D2CE121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2621888" y="319526"/>
                                        <a:ext cx="1761010" cy="461514"/>
                                        <a:chOff x="6520113" y="168436"/>
                                        <a:chExt cx="1770453" cy="459728"/>
                                      </a:xfrm>
                                    </xdr:grpSpPr>
                                    <xdr:sp macro="" textlink="">
                                      <xdr:nvSpPr>
                                        <xdr:cNvPr id="486" name="Rectangle 48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F538CA9F-AD13-4DF0-2E98-576C2294C801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6520113" y="171451"/>
                                          <a:ext cx="1264361" cy="456713"/>
                                        </a:xfrm>
                                        <a:prstGeom prst="rect">
                                          <a:avLst/>
                                        </a:prstGeom>
                                        <a:pattFill prst="dkHorz">
                                          <a:fgClr>
                                            <a:schemeClr val="accent1">
                                              <a:lumMod val="40000"/>
                                              <a:lumOff val="60000"/>
                                            </a:schemeClr>
                                          </a:fgClr>
                                          <a:bgClr>
                                            <a:schemeClr val="bg1"/>
                                          </a:bgClr>
                                        </a:pattFill>
                                        <a:ln w="22225">
                                          <a:solidFill>
                                            <a:schemeClr val="tx2"/>
                                          </a:solidFill>
                                        </a:ln>
                                      </xdr:spPr>
                                      <xdr:style>
                                        <a:lnRef idx="2">
                                          <a:schemeClr val="accent1">
                                            <a:shade val="15000"/>
                                          </a:schemeClr>
                                        </a:lnRef>
                                        <a:fillRef idx="1">
                                          <a:schemeClr val="accent1"/>
                                        </a:fillRef>
                                        <a:effectRef idx="0">
                                          <a:schemeClr val="accent1"/>
                                        </a:effectRef>
                                        <a:fontRef idx="minor">
                                          <a:schemeClr val="lt1"/>
                                        </a:fontRef>
                                      </xdr:style>
                                      <xdr:txBody>
                                        <a:bodyPr vertOverflow="clip" horzOverflow="clip" rtlCol="0" anchor="ctr"/>
                                        <a:lstStyle/>
                                        <a:p>
                                          <a:pPr algn="ctr"/>
                                          <a:r>
                                            <a:rPr lang="en-US" sz="900">
                                              <a:solidFill>
                                                <a:srgbClr val="FF0000"/>
                                              </a:solidFill>
                                            </a:rPr>
                                            <a:t>Compression</a:t>
                                          </a:r>
                                        </a:p>
                                      </xdr:txBody>
                                    </xdr:sp>
                                    <xdr:grpSp>
                                      <xdr:nvGrpSpPr>
                                        <xdr:cNvPr id="487" name="Group 48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6D1F7FB1-C8BB-C4AA-9651-5C2DA666C558}"/>
                                            </a:ext>
                                          </a:extLst>
                                        </xdr:cNvPr>
                                        <xdr:cNvGrpSpPr/>
                                      </xdr:nvGrpSpPr>
                                      <xdr:grpSpPr>
                                        <a:xfrm>
                                          <a:off x="7826450" y="168436"/>
                                          <a:ext cx="464116" cy="456479"/>
                                          <a:chOff x="11633394" y="4191000"/>
                                          <a:chExt cx="374633" cy="21442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488" name="TextBox 487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ACABFD8A-3F8A-7538-6974-CE18681DD511}"/>
                                              </a:ext>
                                            </a:extLst>
                                          </xdr:cNvPr>
                                          <xdr:cNvSpPr txBox="1"/>
                                        </xdr:nvSpPr>
                                        <xdr:spPr>
                                          <a:xfrm>
                                            <a:off x="11730267" y="4233709"/>
                                            <a:ext cx="277760" cy="114707"/>
                                          </a:xfrm>
                                          <a:prstGeom prst="rect">
                                            <a:avLst/>
                                          </a:prstGeom>
                                          <a:noFill/>
                                          <a:ln w="9525" cmpd="sng">
                                            <a:noFill/>
                                          </a:ln>
                                        </xdr:spPr>
                                        <xdr:style>
                                          <a:lnRef idx="0">
                                            <a:scrgbClr r="0" g="0" b="0"/>
                                          </a:lnRef>
                                          <a:fillRef idx="0">
                                            <a:scrgbClr r="0" g="0" b="0"/>
                                          </a:fillRef>
                                          <a:effectRef idx="0">
                                            <a:scrgbClr r="0" g="0" b="0"/>
                                          </a:effectRef>
                                          <a:fontRef idx="minor">
                                            <a:schemeClr val="dk1"/>
                                          </a:fontRef>
                                        </xdr:style>
                                        <xdr:txBody>
                                          <a:bodyPr vertOverflow="clip" horzOverflow="clip" wrap="square" rtlCol="0" anchor="ctr"/>
                                          <a:lstStyle/>
                                          <a:p>
                                            <a:r>
                                              <a:rPr lang="en-US" altLang="ko-KR" sz="900"/>
                                              <a:t>c</a:t>
                                            </a:r>
                                            <a:endParaRPr lang="en-US" sz="900"/>
                                          </a:p>
                                        </xdr:txBody>
                                      </xdr:sp>
                                      <xdr:cxnSp macro="">
                                        <xdr:nvCxnSpPr>
                                          <xdr:cNvPr id="489" name="Straight Connector 48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265AB074-380F-F86F-57FD-9099FAE3079B}"/>
                                              </a:ext>
                                            </a:extLst>
                                          </xdr:cNvPr>
                                          <xdr:cNvCxnSpPr/>
                                        </xdr:nvCxnSpPr>
                                        <xdr:spPr>
                                          <a:xfrm>
                                            <a:off x="11639046" y="4191000"/>
                                            <a:ext cx="132711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ln w="3175">
                                            <a:headEnd type="none"/>
                                            <a:tailEnd type="oval" w="sm" len="sm"/>
                                          </a:ln>
                                        </xdr:spPr>
                                        <xdr:style>
                                          <a:lnRef idx="1">
                                            <a:schemeClr val="accent1"/>
                                          </a:lnRef>
                                          <a:fillRef idx="0">
                                            <a:schemeClr val="accent1"/>
                                          </a:fillRef>
                                          <a:effectRef idx="0">
                                            <a:schemeClr val="accent1"/>
                                          </a:effectRef>
                                          <a:fontRef idx="minor">
                                            <a:schemeClr val="tx1"/>
                                          </a:fontRef>
                                        </xdr:style>
                                      </xdr:cxnSp>
                                      <xdr:cxnSp macro="">
                                        <xdr:nvCxnSpPr>
                                          <xdr:cNvPr id="490" name="Straight Connector 489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9A34E2EE-DB0D-6889-711E-589EA2CC0281}"/>
                                              </a:ext>
                                            </a:extLst>
                                          </xdr:cNvPr>
                                          <xdr:cNvCxnSpPr/>
                                        </xdr:nvCxnSpPr>
                                        <xdr:spPr>
                                          <a:xfrm>
                                            <a:off x="11769797" y="4193910"/>
                                            <a:ext cx="0" cy="2115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ln w="3175"/>
                                        </xdr:spPr>
                                        <xdr:style>
                                          <a:lnRef idx="1">
                                            <a:schemeClr val="accent1"/>
                                          </a:lnRef>
                                          <a:fillRef idx="0">
                                            <a:schemeClr val="accent1"/>
                                          </a:fillRef>
                                          <a:effectRef idx="0">
                                            <a:schemeClr val="accent1"/>
                                          </a:effectRef>
                                          <a:fontRef idx="minor">
                                            <a:schemeClr val="tx1"/>
                                          </a:fontRef>
                                        </xdr:style>
                                      </xdr:cxnSp>
                                      <xdr:cxnSp macro="">
                                        <xdr:nvCxnSpPr>
                                          <xdr:cNvPr id="491" name="Straight Connector 490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F36F2F77-905B-82F5-2B99-EAA741F55B04}"/>
                                              </a:ext>
                                            </a:extLst>
                                          </xdr:cNvPr>
                                          <xdr:cNvCxnSpPr/>
                                        </xdr:nvCxnSpPr>
                                        <xdr:spPr>
                                          <a:xfrm>
                                            <a:off x="11633394" y="4405425"/>
                                            <a:ext cx="137339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ln w="3175">
                                            <a:headEnd type="none"/>
                                            <a:tailEnd type="oval" w="sm" len="sm"/>
                                          </a:ln>
                                        </xdr:spPr>
                                        <xdr:style>
                                          <a:lnRef idx="1">
                                            <a:schemeClr val="accent1"/>
                                          </a:lnRef>
                                          <a:fillRef idx="0">
                                            <a:schemeClr val="accent1"/>
                                          </a:fillRef>
                                          <a:effectRef idx="0">
                                            <a:schemeClr val="accent1"/>
                                          </a:effectRef>
                                          <a:fontRef idx="minor">
                                            <a:schemeClr val="tx1"/>
                                          </a:fontRef>
                                        </xdr:style>
                                      </xdr:cxnSp>
                                    </xdr:grpSp>
                                  </xdr:grpSp>
                                  <xdr:sp macro="" textlink="">
                                    <xdr:nvSpPr>
                                      <xdr:cNvPr id="484" name="Right Triangle 4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1F3B7DEE-B8CE-1443-444E-608072DAD316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 flipV="1">
                                        <a:off x="4787205" y="311506"/>
                                        <a:ext cx="293968" cy="476069"/>
                                      </a:xfrm>
                                      <a:prstGeom prst="rtTriangle">
                                        <a:avLst/>
                                      </a:prstGeom>
                                      <a:solidFill>
                                        <a:schemeClr val="accent5">
                                          <a:lumMod val="20000"/>
                                          <a:lumOff val="80000"/>
                                        </a:schemeClr>
                                      </a:solidFill>
                                      <a:ln w="12700"/>
                                    </xdr:spPr>
                                    <xdr:style>
                                      <a:lnRef idx="2">
                                        <a:schemeClr val="accent1">
                                          <a:shade val="15000"/>
                                        </a:schemeClr>
                                      </a:lnRef>
                                      <a:fillRef idx="1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lt1"/>
                                      </a:fontRef>
                                    </xdr:style>
                                    <xdr:txBody>
                                      <a:bodyPr vertOverflow="clip" horzOverflow="clip" rtlCol="0" anchor="t"/>
                                      <a:lstStyle/>
                                      <a:p>
                                        <a:pPr algn="ctr"/>
                                        <a:r>
                                          <a:rPr lang="en-US" altLang="ko-KR" sz="1100">
                                            <a:ln w="12700">
                                              <a:solidFill>
                                                <a:srgbClr val="FF0000"/>
                                              </a:solidFill>
                                            </a:ln>
                                            <a:solidFill>
                                              <a:srgbClr val="FF0000"/>
                                            </a:solidFill>
                                          </a:rPr>
                                          <a:t>+</a:t>
                                        </a:r>
                                        <a:endParaRPr lang="ko-KR" altLang="en-US" sz="1100">
                                          <a:ln w="12700">
                                            <a:solidFill>
                                              <a:srgbClr val="FF0000"/>
                                            </a:solidFill>
                                          </a:ln>
                                          <a:solidFill>
                                            <a:srgbClr val="FF0000"/>
                                          </a:solidFill>
                                        </a:endParaRPr>
                                      </a:p>
                                    </xdr:txBody>
                                  </xdr:sp>
                                  <xdr:sp macro="" textlink="">
                                    <xdr:nvSpPr>
                                      <xdr:cNvPr id="485" name="Right Triangle 4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5738B305-AB05-E446-0814-09EF71DC35A7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 flipH="1">
                                        <a:off x="4211201" y="787575"/>
                                        <a:ext cx="575999" cy="963946"/>
                                      </a:xfrm>
                                      <a:prstGeom prst="rtTriangle">
                                        <a:avLst/>
                                      </a:prstGeom>
                                      <a:solidFill>
                                        <a:schemeClr val="accent5">
                                          <a:lumMod val="20000"/>
                                          <a:lumOff val="80000"/>
                                        </a:schemeClr>
                                      </a:solidFill>
                                      <a:ln w="12700"/>
                                    </xdr:spPr>
                                    <xdr:style>
                                      <a:lnRef idx="2">
                                        <a:schemeClr val="accent1">
                                          <a:shade val="15000"/>
                                        </a:schemeClr>
                                      </a:lnRef>
                                      <a:fillRef idx="1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lt1"/>
                                      </a:fontRef>
                                    </xdr:style>
                                    <xdr:txBody>
                                      <a:bodyPr vertOverflow="clip" horzOverflow="clip" rtlCol="0" anchor="t"/>
                                      <a:lstStyle/>
                                      <a:p>
                                        <a:pPr algn="l"/>
                                        <a:r>
                                          <a:rPr lang="en-US" altLang="ko-KR" sz="1100">
                                            <a:ln w="15875">
                                              <a:solidFill>
                                                <a:srgbClr val="FF0000"/>
                                              </a:solidFill>
                                            </a:ln>
                                            <a:solidFill>
                                              <a:srgbClr val="FF0000"/>
                                            </a:solidFill>
                                          </a:rPr>
                                          <a:t>-</a:t>
                                        </a:r>
                                        <a:endParaRPr lang="ko-KR" altLang="en-US" sz="1100">
                                          <a:ln w="15875">
                                            <a:solidFill>
                                              <a:srgbClr val="FF0000"/>
                                            </a:solidFill>
                                          </a:ln>
                                          <a:solidFill>
                                            <a:srgbClr val="FF0000"/>
                                          </a:solidFill>
                                        </a:endParaRPr>
                                      </a:p>
                                    </xdr:txBody>
                                  </xdr:sp>
                                </xdr:grpSp>
                                <xdr:cxnSp macro="">
                                  <xdr:nvCxnSpPr>
                                    <xdr:cNvPr id="482" name="Straight Connector 481">
                                      <a:extLst>
                                        <a:ext uri="{FF2B5EF4-FFF2-40B4-BE49-F238E27FC236}">
                                          <a16:creationId xmlns:a16="http://schemas.microsoft.com/office/drawing/2014/main" id="{18566438-968F-7288-98BE-B4E56F229FB3}"/>
                                        </a:ext>
                                      </a:extLst>
                                    </xdr:cNvPr>
                                    <xdr:cNvCxnSpPr/>
                                  </xdr:nvCxnSpPr>
                                  <xdr:spPr>
                                    <a:xfrm>
                                      <a:off x="3890724" y="1612003"/>
                                      <a:ext cx="2534945" cy="0"/>
                                    </a:xfrm>
                                    <a:prstGeom prst="line">
                                      <a:avLst/>
                                    </a:prstGeom>
                                    <a:ln w="6350">
                                      <a:solidFill>
                                        <a:srgbClr val="FF0000"/>
                                      </a:solidFill>
                                      <a:prstDash val="sysDot"/>
                                    </a:ln>
                                  </xdr:spPr>
                                  <xdr:style>
                                    <a:lnRef idx="1">
                                      <a:schemeClr val="accent1"/>
                                    </a:lnRef>
                                    <a:fillRef idx="0">
                                      <a:schemeClr val="accent1"/>
                                    </a:fillRef>
                                    <a:effectRef idx="0">
                                      <a:schemeClr val="accent1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</xdr:cxnSp>
                              </xdr:grpSp>
                              <xdr:cxnSp macro="">
                                <xdr:nvCxnSpPr>
                                  <xdr:cNvPr id="478" name="Straight Connector 477">
                                    <a:extLst>
                                      <a:ext uri="{FF2B5EF4-FFF2-40B4-BE49-F238E27FC236}">
                                        <a16:creationId xmlns:a16="http://schemas.microsoft.com/office/drawing/2014/main" id="{4DB9E87A-5984-2CCC-00C1-E8F84B7FA5D9}"/>
                                      </a:ext>
                                    </a:extLst>
                                  </xdr:cNvPr>
                                  <xdr:cNvCxnSpPr/>
                                </xdr:nvCxnSpPr>
                                <xdr:spPr>
                                  <a:xfrm>
                                    <a:off x="4903601" y="466618"/>
                                    <a:ext cx="0" cy="1449085"/>
                                  </a:xfrm>
                                  <a:prstGeom prst="line">
                                    <a:avLst/>
                                  </a:prstGeom>
                                </xdr:spPr>
                                <xdr:style>
                                  <a:lnRef idx="1">
                                    <a:schemeClr val="accent1"/>
                                  </a:lnRef>
                                  <a:fillRef idx="0">
                                    <a:schemeClr val="accent1"/>
                                  </a:fillRef>
                                  <a:effectRef idx="0">
                                    <a:schemeClr val="accent1"/>
                                  </a:effectRef>
                                  <a:fontRef idx="minor">
                                    <a:schemeClr val="tx1"/>
                                  </a:fontRef>
                                </xdr:style>
                              </xdr:cxnSp>
                              <xdr:sp macro="" textlink="">
                                <xdr:nvSpPr>
                                  <xdr:cNvPr id="479" name="Freeform: Shape 478">
                                    <a:extLst>
                                      <a:ext uri="{FF2B5EF4-FFF2-40B4-BE49-F238E27FC236}">
                                        <a16:creationId xmlns:a16="http://schemas.microsoft.com/office/drawing/2014/main" id="{F6D57EEB-10F8-5D91-121E-8525F285C289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2467" y="463669"/>
                                    <a:ext cx="290318" cy="473623"/>
                                  </a:xfrm>
                                  <a:custGeom>
                                    <a:avLst/>
                                    <a:gdLst>
                                      <a:gd name="csX0" fmla="*/ 0 w 287547"/>
                                      <a:gd name="csY0" fmla="*/ 546340 h 546340"/>
                                      <a:gd name="csX1" fmla="*/ 0 w 287547"/>
                                      <a:gd name="csY1" fmla="*/ 0 h 546340"/>
                                      <a:gd name="csX2" fmla="*/ 287547 w 287547"/>
                                      <a:gd name="csY2" fmla="*/ 0 h 546340"/>
                                      <a:gd name="csX3" fmla="*/ 287547 w 287547"/>
                                      <a:gd name="csY3" fmla="*/ 197689 h 546340"/>
                                      <a:gd name="csX4" fmla="*/ 273170 w 287547"/>
                                      <a:gd name="csY4" fmla="*/ 287548 h 546340"/>
                                      <a:gd name="csX5" fmla="*/ 251604 w 287547"/>
                                      <a:gd name="csY5" fmla="*/ 352246 h 546340"/>
                                      <a:gd name="csX6" fmla="*/ 219255 w 287547"/>
                                      <a:gd name="csY6" fmla="*/ 395378 h 546340"/>
                                      <a:gd name="csX7" fmla="*/ 179717 w 287547"/>
                                      <a:gd name="csY7" fmla="*/ 449293 h 546340"/>
                                      <a:gd name="csX8" fmla="*/ 129396 w 287547"/>
                                      <a:gd name="csY8" fmla="*/ 492425 h 546340"/>
                                      <a:gd name="csX9" fmla="*/ 79075 w 287547"/>
                                      <a:gd name="csY9" fmla="*/ 521180 h 546340"/>
                                      <a:gd name="csX10" fmla="*/ 0 w 287547"/>
                                      <a:gd name="csY10" fmla="*/ 546340 h 546340"/>
                                    </a:gdLst>
                                    <a:ahLst/>
                                    <a:cxnLst>
                                      <a:cxn ang="0">
                                        <a:pos x="csX0" y="csY0"/>
                                      </a:cxn>
                                      <a:cxn ang="0">
                                        <a:pos x="csX1" y="csY1"/>
                                      </a:cxn>
                                      <a:cxn ang="0">
                                        <a:pos x="csX2" y="csY2"/>
                                      </a:cxn>
                                      <a:cxn ang="0">
                                        <a:pos x="csX3" y="csY3"/>
                                      </a:cxn>
                                      <a:cxn ang="0">
                                        <a:pos x="csX4" y="csY4"/>
                                      </a:cxn>
                                      <a:cxn ang="0">
                                        <a:pos x="csX5" y="csY5"/>
                                      </a:cxn>
                                      <a:cxn ang="0">
                                        <a:pos x="csX6" y="csY6"/>
                                      </a:cxn>
                                      <a:cxn ang="0">
                                        <a:pos x="csX7" y="csY7"/>
                                      </a:cxn>
                                      <a:cxn ang="0">
                                        <a:pos x="csX8" y="csY8"/>
                                      </a:cxn>
                                      <a:cxn ang="0">
                                        <a:pos x="csX9" y="csY9"/>
                                      </a:cxn>
                                      <a:cxn ang="0">
                                        <a:pos x="csX10" y="csY10"/>
                                      </a:cxn>
                                    </a:cxnLst>
                                    <a:rect l="l" t="t" r="r" b="b"/>
                                    <a:pathLst>
                                      <a:path w="287547" h="546340">
                                        <a:moveTo>
                                          <a:pt x="0" y="546340"/>
                                        </a:moveTo>
                                        <a:lnTo>
                                          <a:pt x="0" y="0"/>
                                        </a:lnTo>
                                        <a:lnTo>
                                          <a:pt x="287547" y="0"/>
                                        </a:lnTo>
                                        <a:lnTo>
                                          <a:pt x="287547" y="197689"/>
                                        </a:lnTo>
                                        <a:lnTo>
                                          <a:pt x="273170" y="287548"/>
                                        </a:lnTo>
                                        <a:lnTo>
                                          <a:pt x="251604" y="352246"/>
                                        </a:lnTo>
                                        <a:lnTo>
                                          <a:pt x="219255" y="395378"/>
                                        </a:lnTo>
                                        <a:lnTo>
                                          <a:pt x="179717" y="449293"/>
                                        </a:lnTo>
                                        <a:lnTo>
                                          <a:pt x="129396" y="492425"/>
                                        </a:lnTo>
                                        <a:lnTo>
                                          <a:pt x="79075" y="521180"/>
                                        </a:lnTo>
                                        <a:lnTo>
                                          <a:pt x="0" y="546340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solidFill>
                                    <a:schemeClr val="accent5">
                                      <a:lumMod val="20000"/>
                                      <a:lumOff val="80000"/>
                                    </a:schemeClr>
                                  </a:solidFill>
                                  <a:ln w="9525" cap="flat">
                                    <a:solidFill>
                                      <a:schemeClr val="accent1"/>
                                    </a:solidFill>
                                    <a:extLst>
                                      <a:ext uri="{C807C97D-BFC1-408E-A445-0C87EB9F89A2}">
                                        <ask:lineSketchStyleProps xmlns:ask="http://schemas.microsoft.com/office/drawing/2018/sketchyshapes" sd="1219033472">
                                          <a:custGeom>
                                            <a:avLst/>
                                            <a:gdLst>
                                              <a:gd name="csX0" fmla="*/ 0 w 287547"/>
                                              <a:gd name="csY0" fmla="*/ 546340 h 546340"/>
                                              <a:gd name="csX1" fmla="*/ 0 w 287547"/>
                                              <a:gd name="csY1" fmla="*/ 0 h 546340"/>
                                              <a:gd name="csX2" fmla="*/ 287547 w 287547"/>
                                              <a:gd name="csY2" fmla="*/ 0 h 546340"/>
                                              <a:gd name="csX3" fmla="*/ 287547 w 287547"/>
                                              <a:gd name="csY3" fmla="*/ 197689 h 546340"/>
                                              <a:gd name="csX4" fmla="*/ 273170 w 287547"/>
                                              <a:gd name="csY4" fmla="*/ 287548 h 546340"/>
                                              <a:gd name="csX5" fmla="*/ 251604 w 287547"/>
                                              <a:gd name="csY5" fmla="*/ 352246 h 546340"/>
                                              <a:gd name="csX6" fmla="*/ 219255 w 287547"/>
                                              <a:gd name="csY6" fmla="*/ 395378 h 546340"/>
                                              <a:gd name="csX7" fmla="*/ 179717 w 287547"/>
                                              <a:gd name="csY7" fmla="*/ 449293 h 546340"/>
                                              <a:gd name="csX8" fmla="*/ 129396 w 287547"/>
                                              <a:gd name="csY8" fmla="*/ 492425 h 546340"/>
                                              <a:gd name="csX9" fmla="*/ 79075 w 287547"/>
                                              <a:gd name="csY9" fmla="*/ 521180 h 546340"/>
                                              <a:gd name="csX10" fmla="*/ 0 w 287547"/>
                                              <a:gd name="csY10" fmla="*/ 546340 h 546340"/>
                                            </a:gdLst>
                                            <a:ahLst/>
                                            <a:cxnLst>
                                              <a:cxn ang="0">
                                                <a:pos x="csX0" y="csY0"/>
                                              </a:cxn>
                                              <a:cxn ang="0">
                                                <a:pos x="csX1" y="csY1"/>
                                              </a:cxn>
                                              <a:cxn ang="0">
                                                <a:pos x="csX2" y="csY2"/>
                                              </a:cxn>
                                              <a:cxn ang="0">
                                                <a:pos x="csX3" y="csY3"/>
                                              </a:cxn>
                                              <a:cxn ang="0">
                                                <a:pos x="csX4" y="csY4"/>
                                              </a:cxn>
                                              <a:cxn ang="0">
                                                <a:pos x="csX5" y="csY5"/>
                                              </a:cxn>
                                              <a:cxn ang="0">
                                                <a:pos x="csX6" y="csY6"/>
                                              </a:cxn>
                                              <a:cxn ang="0">
                                                <a:pos x="csX7" y="csY7"/>
                                              </a:cxn>
                                              <a:cxn ang="0">
                                                <a:pos x="csX8" y="csY8"/>
                                              </a:cxn>
                                              <a:cxn ang="0">
                                                <a:pos x="csX9" y="csY9"/>
                                              </a:cxn>
                                              <a:cxn ang="0">
                                                <a:pos x="csX10" y="csY10"/>
                                              </a:cxn>
                                            </a:cxnLst>
                                            <a:rect l="l" t="t" r="r" b="b"/>
                                            <a:pathLst>
                                              <a:path w="287547" h="546340" fill="none" extrusionOk="0">
                                                <a:moveTo>
                                                  <a:pt x="0" y="546340"/>
                                                </a:moveTo>
                                                <a:cubicBezTo>
                                                  <a:pt x="-37330" y="292668"/>
                                                  <a:pt x="45408" y="209259"/>
                                                  <a:pt x="0" y="0"/>
                                                </a:cubicBezTo>
                                                <a:cubicBezTo>
                                                  <a:pt x="94198" y="-24500"/>
                                                  <a:pt x="169949" y="26132"/>
                                                  <a:pt x="287547" y="0"/>
                                                </a:cubicBezTo>
                                                <a:cubicBezTo>
                                                  <a:pt x="293845" y="95507"/>
                                                  <a:pt x="286927" y="117929"/>
                                                  <a:pt x="287547" y="197689"/>
                                                </a:cubicBezTo>
                                                <a:cubicBezTo>
                                                  <a:pt x="290479" y="223025"/>
                                                  <a:pt x="273765" y="244622"/>
                                                  <a:pt x="273170" y="287548"/>
                                                </a:cubicBezTo>
                                                <a:cubicBezTo>
                                                  <a:pt x="269707" y="312985"/>
                                                  <a:pt x="252362" y="326853"/>
                                                  <a:pt x="251604" y="352246"/>
                                                </a:cubicBezTo>
                                                <a:cubicBezTo>
                                                  <a:pt x="240161" y="376333"/>
                                                  <a:pt x="223847" y="384401"/>
                                                  <a:pt x="219255" y="395378"/>
                                                </a:cubicBezTo>
                                                <a:cubicBezTo>
                                                  <a:pt x="212567" y="415970"/>
                                                  <a:pt x="190003" y="434020"/>
                                                  <a:pt x="179717" y="449293"/>
                                                </a:cubicBezTo>
                                                <a:cubicBezTo>
                                                  <a:pt x="163137" y="468765"/>
                                                  <a:pt x="142291" y="476919"/>
                                                  <a:pt x="129396" y="492425"/>
                                                </a:cubicBezTo>
                                                <a:cubicBezTo>
                                                  <a:pt x="116908" y="501226"/>
                                                  <a:pt x="89278" y="511593"/>
                                                  <a:pt x="79075" y="521180"/>
                                                </a:cubicBezTo>
                                                <a:cubicBezTo>
                                                  <a:pt x="61262" y="529215"/>
                                                  <a:pt x="23480" y="530615"/>
                                                  <a:pt x="0" y="546340"/>
                                                </a:cubicBezTo>
                                                <a:close/>
                                              </a:path>
                                              <a:path w="287547" h="546340" stroke="0" extrusionOk="0">
                                                <a:moveTo>
                                                  <a:pt x="0" y="546340"/>
                                                </a:moveTo>
                                                <a:cubicBezTo>
                                                  <a:pt x="-51339" y="318063"/>
                                                  <a:pt x="56845" y="141477"/>
                                                  <a:pt x="0" y="0"/>
                                                </a:cubicBezTo>
                                                <a:cubicBezTo>
                                                  <a:pt x="140782" y="-34457"/>
                                                  <a:pt x="176029" y="10704"/>
                                                  <a:pt x="287547" y="0"/>
                                                </a:cubicBezTo>
                                                <a:cubicBezTo>
                                                  <a:pt x="301140" y="95067"/>
                                                  <a:pt x="271753" y="113272"/>
                                                  <a:pt x="287547" y="197689"/>
                                                </a:cubicBezTo>
                                                <a:cubicBezTo>
                                                  <a:pt x="294660" y="217499"/>
                                                  <a:pt x="272011" y="248933"/>
                                                  <a:pt x="273170" y="287548"/>
                                                </a:cubicBezTo>
                                                <a:cubicBezTo>
                                                  <a:pt x="271472" y="310538"/>
                                                  <a:pt x="258547" y="328642"/>
                                                  <a:pt x="251604" y="352246"/>
                                                </a:cubicBezTo>
                                                <a:cubicBezTo>
                                                  <a:pt x="242578" y="371244"/>
                                                  <a:pt x="230839" y="372167"/>
                                                  <a:pt x="219255" y="395378"/>
                                                </a:cubicBezTo>
                                                <a:cubicBezTo>
                                                  <a:pt x="208205" y="419923"/>
                                                  <a:pt x="191974" y="422614"/>
                                                  <a:pt x="179717" y="449293"/>
                                                </a:cubicBezTo>
                                                <a:cubicBezTo>
                                                  <a:pt x="169751" y="458561"/>
                                                  <a:pt x="152794" y="469293"/>
                                                  <a:pt x="129396" y="492425"/>
                                                </a:cubicBezTo>
                                                <a:cubicBezTo>
                                                  <a:pt x="110564" y="505669"/>
                                                  <a:pt x="99707" y="507815"/>
                                                  <a:pt x="79075" y="521180"/>
                                                </a:cubicBezTo>
                                                <a:cubicBezTo>
                                                  <a:pt x="55969" y="534402"/>
                                                  <a:pt x="18783" y="534147"/>
                                                  <a:pt x="0" y="546340"/>
                                                </a:cubicBezTo>
                                                <a:close/>
                                              </a:path>
                                            </a:pathLst>
                                          </a:custGeom>
                                          <ask:type>
                                            <ask:lineSketchNone/>
                                          </ask:type>
                                        </ask:lineSketchStyleProps>
                                      </a:ext>
                                    </a:extLst>
                                  </a:ln>
                                </xdr:spPr>
                                <xdr:style>
                                  <a:lnRef idx="2">
                                    <a:schemeClr val="accent1">
                                      <a:shade val="15000"/>
                                    </a:schemeClr>
                                  </a:lnRef>
                                  <a:fillRef idx="1">
                                    <a:schemeClr val="accent1"/>
                                  </a:fillRef>
                                  <a:effectRef idx="0">
                                    <a:schemeClr val="accent1"/>
                                  </a:effectRef>
                                  <a:fontRef idx="minor">
                                    <a:schemeClr val="lt1"/>
                                  </a:fontRef>
                                </xdr:style>
                                <xdr:txBody>
                                  <a:bodyPr vertOverflow="clip" horzOverflow="clip" rtlCol="0" anchor="t"/>
                                  <a:lstStyle/>
                                  <a:p>
                                    <a:pPr algn="l"/>
                                    <a:endParaRPr lang="en-US" sz="1100"/>
                                  </a:p>
                                </xdr:txBody>
                              </xdr:sp>
                              <xdr:sp macro="" textlink="">
                                <xdr:nvSpPr>
                                  <xdr:cNvPr id="480" name="TextBox 479">
                                    <a:extLst>
                                      <a:ext uri="{FF2B5EF4-FFF2-40B4-BE49-F238E27FC236}">
                                        <a16:creationId xmlns:a16="http://schemas.microsoft.com/office/drawing/2014/main" id="{28CDA521-4ECC-33E4-9ED7-A457E8AF198A}"/>
                                      </a:ext>
                                    </a:extLst>
                                  </xdr:cNvPr>
                                  <xdr:cNvSpPr txBox="1"/>
                                </xdr:nvSpPr>
                                <xdr:spPr>
                                  <a:xfrm>
                                    <a:off x="4078110" y="149842"/>
                                    <a:ext cx="2182978" cy="182371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 w="9525" cmpd="sng">
                                    <a:noFill/>
                                  </a:ln>
                                </xdr:spPr>
                                <xdr:style>
                                  <a:lnRef idx="0">
                                    <a:scrgbClr r="0" g="0" b="0"/>
                                  </a:lnRef>
                                  <a:fillRef idx="0">
                                    <a:scrgbClr r="0" g="0" b="0"/>
                                  </a:fillRef>
                                  <a:effectRef idx="0">
                                    <a:scrgbClr r="0" g="0" b="0"/>
                                  </a:effectRef>
                                  <a:fontRef idx="minor">
                                    <a:schemeClr val="dk1"/>
                                  </a:fontRef>
                                </xdr:style>
                                <xdr:txBody>
                                  <a:bodyPr vertOverflow="clip" horzOverflow="clip" wrap="square" rtlCol="0" anchor="ctr"/>
                                  <a:lstStyle/>
                                  <a:p>
                                    <a:r>
                                      <a:rPr lang="en-US" altLang="ko-KR" sz="900">
                                        <a:solidFill>
                                          <a:srgbClr val="0070C0"/>
                                        </a:solidFill>
                                      </a:rPr>
                                      <a:t>Strain          Concrete Stress     Steel</a:t>
                                    </a:r>
                                    <a:r>
                                      <a:rPr lang="en-US" altLang="ko-KR" sz="900" baseline="0">
                                        <a:solidFill>
                                          <a:srgbClr val="0070C0"/>
                                        </a:solidFill>
                                      </a:rPr>
                                      <a:t> Stress</a:t>
                                    </a:r>
                                    <a:endParaRPr lang="en-US" sz="900">
                                      <a:solidFill>
                                        <a:srgbClr val="0070C0"/>
                                      </a:solidFill>
                                    </a:endParaRPr>
                                  </a:p>
                                </xdr:txBody>
                              </xdr:sp>
                            </xdr:grpSp>
                          </xdr:grpSp>
                          <xdr:cxnSp macro="">
                            <xdr:nvCxnSpPr>
                              <xdr:cNvPr id="469" name="Straight Connector 468">
                                <a:extLst>
                                  <a:ext uri="{FF2B5EF4-FFF2-40B4-BE49-F238E27FC236}">
                                    <a16:creationId xmlns:a16="http://schemas.microsoft.com/office/drawing/2014/main" id="{36CC1430-BFE6-FE37-E6EA-0214E2DA3738}"/>
                                  </a:ext>
                                </a:extLst>
                              </xdr:cNvPr>
                              <xdr:cNvCxnSpPr/>
                            </xdr:nvCxnSpPr>
                            <xdr:spPr>
                              <a:xfrm>
                                <a:off x="2679455" y="1253289"/>
                                <a:ext cx="1602918" cy="0"/>
                              </a:xfrm>
                              <a:prstGeom prst="line">
                                <a:avLst/>
                              </a:prstGeom>
                              <a:ln w="6350">
                                <a:solidFill>
                                  <a:srgbClr val="FF0000"/>
                                </a:solidFill>
                                <a:prstDash val="lgDashDot"/>
                              </a:ln>
                            </xdr:spPr>
                            <xdr:style>
                              <a:lnRef idx="1">
                                <a:schemeClr val="accent1"/>
                              </a:lnRef>
                              <a:fillRef idx="0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tx1"/>
                              </a:fontRef>
                            </xdr:style>
                          </xdr:cxnSp>
                          <xdr:cxnSp macro="">
                            <xdr:nvCxnSpPr>
                              <xdr:cNvPr id="470" name="Straight Connector 469">
                                <a:extLst>
                                  <a:ext uri="{FF2B5EF4-FFF2-40B4-BE49-F238E27FC236}">
                                    <a16:creationId xmlns:a16="http://schemas.microsoft.com/office/drawing/2014/main" id="{DEA5C497-81EA-5B65-4425-3CB340782E58}"/>
                                  </a:ext>
                                </a:extLst>
                              </xdr:cNvPr>
                              <xdr:cNvCxnSpPr/>
                            </xdr:nvCxnSpPr>
                            <xdr:spPr>
                              <a:xfrm flipH="1">
                                <a:off x="2785519" y="1253290"/>
                                <a:ext cx="167509" cy="0"/>
                              </a:xfrm>
                              <a:prstGeom prst="line">
                                <a:avLst/>
                              </a:prstGeom>
                              <a:ln w="3175">
                                <a:headEnd type="none"/>
                                <a:tailEnd type="oval" w="sm" len="sm"/>
                              </a:ln>
                            </xdr:spPr>
                            <xdr:style>
                              <a:lnRef idx="1">
                                <a:schemeClr val="accent1"/>
                              </a:lnRef>
                              <a:fillRef idx="0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tx1"/>
                              </a:fontRef>
                            </xdr:style>
                          </xdr:cxnSp>
                          <xdr:sp macro="" textlink="">
                            <xdr:nvSpPr>
                              <xdr:cNvPr id="471" name="TextBox 470">
                                <a:extLst>
                                  <a:ext uri="{FF2B5EF4-FFF2-40B4-BE49-F238E27FC236}">
                                    <a16:creationId xmlns:a16="http://schemas.microsoft.com/office/drawing/2014/main" id="{85DD902D-463D-E829-BEC2-CB5AD0EB6C88}"/>
                                  </a:ext>
                                </a:extLst>
                              </xdr:cNvPr>
                              <xdr:cNvSpPr txBox="1"/>
                            </xdr:nvSpPr>
                            <xdr:spPr>
                              <a:xfrm>
                                <a:off x="2585321" y="947855"/>
                                <a:ext cx="349756" cy="242941"/>
                              </a:xfrm>
                              <a:prstGeom prst="rect">
                                <a:avLst/>
                              </a:prstGeom>
                              <a:noFill/>
                              <a:ln w="9525" cmpd="sng">
                                <a:noFill/>
                              </a:ln>
                            </xdr:spPr>
                            <xdr:style>
                              <a:lnRef idx="0">
                                <a:scrgbClr r="0" g="0" b="0"/>
                              </a:lnRef>
                              <a:fillRef idx="0">
                                <a:scrgbClr r="0" g="0" b="0"/>
                              </a:fillRef>
                              <a:effectRef idx="0">
                                <a:scrgbClr r="0" g="0" b="0"/>
                              </a:effectRef>
                              <a:fontRef idx="minor">
                                <a:schemeClr val="dk1"/>
                              </a:fontRef>
                            </xdr:style>
                            <xdr:txBody>
                              <a:bodyPr vertOverflow="clip" horzOverflow="clip" wrap="square" rtlCol="0" anchor="ctr"/>
                              <a:lstStyle/>
                              <a:p>
                                <a:r>
                                  <a:rPr lang="en-US" altLang="ko-KR" sz="900"/>
                                  <a:t>yci</a:t>
                                </a:r>
                                <a:endParaRPr lang="en-US" sz="900"/>
                              </a:p>
                            </xdr:txBody>
                          </xdr:sp>
                        </xdr:grpSp>
                        <xdr:sp macro="" textlink="">
                          <xdr:nvSpPr>
                            <xdr:cNvPr id="464" name="TextBox 463">
                              <a:extLst>
                                <a:ext uri="{FF2B5EF4-FFF2-40B4-BE49-F238E27FC236}">
                                  <a16:creationId xmlns:a16="http://schemas.microsoft.com/office/drawing/2014/main" id="{C05F41EA-8E1B-B223-F76D-D7AC2F967C01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5225151" y="401973"/>
                              <a:ext cx="397213" cy="178340"/>
                            </a:xfrm>
                            <a:prstGeom prst="rect">
                              <a:avLst/>
                            </a:prstGeom>
                            <a:noFill/>
                            <a:ln w="9525" cmpd="sng">
                              <a:noFill/>
                            </a:ln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dk1"/>
                            </a:fontRef>
                          </xdr:style>
                          <xdr:txBody>
                            <a:bodyPr vertOverflow="clip" horzOverflow="clip" wrap="square" rtlCol="0" anchor="ctr"/>
                            <a:lstStyle/>
                            <a:p>
                              <a:r>
                                <a:rPr lang="el-GR" altLang="ko-KR" sz="900"/>
                                <a:t>ε</a:t>
                              </a:r>
                              <a:r>
                                <a:rPr lang="en-US" altLang="ko-KR" sz="900"/>
                                <a:t>cu</a:t>
                              </a:r>
                              <a:endParaRPr lang="en-US" sz="900"/>
                            </a:p>
                          </xdr:txBody>
                        </xdr:sp>
                        <xdr:cxnSp macro="">
                          <xdr:nvCxnSpPr>
                            <xdr:cNvPr id="465" name="Straight Connector 464">
                              <a:extLst>
                                <a:ext uri="{FF2B5EF4-FFF2-40B4-BE49-F238E27FC236}">
                                  <a16:creationId xmlns:a16="http://schemas.microsoft.com/office/drawing/2014/main" id="{9AF95A82-42BA-52F7-EEC9-1CB1652D4241}"/>
                                </a:ext>
                              </a:extLst>
                            </xdr:cNvPr>
                            <xdr:cNvCxnSpPr/>
                          </xdr:nvCxnSpPr>
                          <xdr:spPr>
                            <a:xfrm>
                              <a:off x="3489797" y="960606"/>
                              <a:ext cx="2587100" cy="0"/>
                            </a:xfrm>
                            <a:prstGeom prst="line">
                              <a:avLst/>
                            </a:prstGeom>
                            <a:ln w="6350">
                              <a:solidFill>
                                <a:srgbClr val="FF0000"/>
                              </a:solidFill>
                              <a:prstDash val="sysDot"/>
                            </a:ln>
                          </xdr:spPr>
                          <xdr:style>
                            <a:lnRef idx="1">
                              <a:schemeClr val="accent1"/>
                            </a:lnRef>
                            <a:fillRef idx="0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  <xdr:sp macro="" textlink="">
                          <xdr:nvSpPr>
                            <xdr:cNvPr id="466" name="TextBox 465">
                              <a:extLst>
                                <a:ext uri="{FF2B5EF4-FFF2-40B4-BE49-F238E27FC236}">
                                  <a16:creationId xmlns:a16="http://schemas.microsoft.com/office/drawing/2014/main" id="{05EAB0AA-56E5-CF4F-0048-39A3DFADF341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5408045" y="572564"/>
                              <a:ext cx="397213" cy="178340"/>
                            </a:xfrm>
                            <a:prstGeom prst="rect">
                              <a:avLst/>
                            </a:prstGeom>
                            <a:noFill/>
                            <a:ln w="9525" cmpd="sng">
                              <a:noFill/>
                            </a:ln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dk1"/>
                            </a:fontRef>
                          </xdr:style>
                          <xdr:txBody>
                            <a:bodyPr vertOverflow="clip" horzOverflow="clip" wrap="square" rtlCol="0" anchor="ctr"/>
                            <a:lstStyle/>
                            <a:p>
                              <a:r>
                                <a:rPr lang="el-GR" altLang="ko-KR" sz="900"/>
                                <a:t>ε</a:t>
                              </a:r>
                              <a:r>
                                <a:rPr lang="en-US" altLang="ko-KR" sz="900"/>
                                <a:t>si</a:t>
                              </a:r>
                              <a:endParaRPr lang="en-US" sz="900"/>
                            </a:p>
                          </xdr:txBody>
                        </xdr:sp>
                        <xdr:sp macro="" textlink="">
                          <xdr:nvSpPr>
                            <xdr:cNvPr id="467" name="TextBox 466">
                              <a:extLst>
                                <a:ext uri="{FF2B5EF4-FFF2-40B4-BE49-F238E27FC236}">
                                  <a16:creationId xmlns:a16="http://schemas.microsoft.com/office/drawing/2014/main" id="{D49CB19D-97AB-7AD8-06FF-11DAB35754D0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6081315" y="853266"/>
                              <a:ext cx="397213" cy="178340"/>
                            </a:xfrm>
                            <a:prstGeom prst="rect">
                              <a:avLst/>
                            </a:prstGeom>
                            <a:noFill/>
                            <a:ln w="9525" cmpd="sng">
                              <a:noFill/>
                            </a:ln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dk1"/>
                            </a:fontRef>
                          </xdr:style>
                          <xdr:txBody>
                            <a:bodyPr vertOverflow="clip" horzOverflow="clip" wrap="square" rtlCol="0" anchor="ctr"/>
                            <a:lstStyle/>
                            <a:p>
                              <a:r>
                                <a:rPr lang="en-US" altLang="ko-KR" sz="900"/>
                                <a:t>fci</a:t>
                              </a:r>
                              <a:endParaRPr lang="en-US" sz="900"/>
                            </a:p>
                          </xdr:txBody>
                        </xdr:sp>
                      </xdr:grpSp>
                      <xdr:cxnSp macro="">
                        <xdr:nvCxnSpPr>
                          <xdr:cNvPr id="459" name="Straight Arrow Connector 458">
                            <a:extLst>
                              <a:ext uri="{FF2B5EF4-FFF2-40B4-BE49-F238E27FC236}">
                                <a16:creationId xmlns:a16="http://schemas.microsoft.com/office/drawing/2014/main" id="{48997DA5-893A-B94B-CA32-A4FAF85185B4}"/>
                              </a:ext>
                            </a:extLst>
                          </xdr:cNvPr>
                          <xdr:cNvCxnSpPr/>
                        </xdr:nvCxnSpPr>
                        <xdr:spPr>
                          <a:xfrm flipH="1">
                            <a:off x="642937" y="916781"/>
                            <a:ext cx="357188" cy="0"/>
                          </a:xfrm>
                          <a:prstGeom prst="straightConnector1">
                            <a:avLst/>
                          </a:prstGeom>
                          <a:ln>
                            <a:solidFill>
                              <a:srgbClr val="FF0000"/>
                            </a:solidFill>
                            <a:tailEnd type="triangle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sp macro="" textlink="">
                        <xdr:nvSpPr>
                          <xdr:cNvPr id="460" name="Arc 459">
                            <a:extLst>
                              <a:ext uri="{FF2B5EF4-FFF2-40B4-BE49-F238E27FC236}">
                                <a16:creationId xmlns:a16="http://schemas.microsoft.com/office/drawing/2014/main" id="{54C84771-4FF7-F7BA-D772-1466D4EFA409}"/>
                              </a:ext>
                            </a:extLst>
                          </xdr:cNvPr>
                          <xdr:cNvSpPr/>
                        </xdr:nvSpPr>
                        <xdr:spPr>
                          <a:xfrm rot="18003407">
                            <a:off x="677305" y="1105084"/>
                            <a:ext cx="345660" cy="299354"/>
                          </a:xfrm>
                          <a:prstGeom prst="arc">
                            <a:avLst>
                              <a:gd name="adj1" fmla="val 7275827"/>
                              <a:gd name="adj2" fmla="val 0"/>
                            </a:avLst>
                          </a:prstGeom>
                          <a:ln>
                            <a:solidFill>
                              <a:srgbClr val="FF0000"/>
                            </a:solidFill>
                            <a:headEnd type="triangle" w="med" len="med"/>
                            <a:tailEnd type="none" w="med" len="med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sp macro="" textlink="">
                        <xdr:nvSpPr>
                          <xdr:cNvPr id="461" name="TextBox 460">
                            <a:extLst>
                              <a:ext uri="{FF2B5EF4-FFF2-40B4-BE49-F238E27FC236}">
                                <a16:creationId xmlns:a16="http://schemas.microsoft.com/office/drawing/2014/main" id="{3FC99A27-ECDE-0D6A-51F2-90F3870F96E7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3718" y="712806"/>
                            <a:ext cx="345392" cy="214312"/>
                          </a:xfrm>
                          <a:prstGeom prst="rect">
                            <a:avLst/>
                          </a:prstGeom>
                          <a:noFill/>
                          <a:ln w="9525" cmpd="sng">
                            <a:noFill/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ctr"/>
                          <a:lstStyle/>
                          <a:p>
                            <a:r>
                              <a:rPr lang="en-US" altLang="ko-KR" sz="900" b="1">
                                <a:solidFill>
                                  <a:srgbClr val="0070C0"/>
                                </a:solidFill>
                              </a:rPr>
                              <a:t>Fci</a:t>
                            </a:r>
                            <a:endParaRPr lang="en-US" sz="900" b="1">
                              <a:solidFill>
                                <a:srgbClr val="0070C0"/>
                              </a:solidFill>
                            </a:endParaRPr>
                          </a:p>
                        </xdr:txBody>
                      </xdr:sp>
                      <xdr:sp macro="" textlink="">
                        <xdr:nvSpPr>
                          <xdr:cNvPr id="462" name="TextBox 461">
                            <a:extLst>
                              <a:ext uri="{FF2B5EF4-FFF2-40B4-BE49-F238E27FC236}">
                                <a16:creationId xmlns:a16="http://schemas.microsoft.com/office/drawing/2014/main" id="{249C90E9-FF78-4746-6D1D-9FCB3BD82825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54783" y="1402189"/>
                            <a:ext cx="652707" cy="232205"/>
                          </a:xfrm>
                          <a:prstGeom prst="rect">
                            <a:avLst/>
                          </a:prstGeom>
                          <a:noFill/>
                          <a:ln w="9525" cmpd="sng">
                            <a:noFill/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ctr"/>
                          <a:lstStyle/>
                          <a:p>
                            <a:r>
                              <a:rPr lang="en-US" altLang="ko-KR" sz="900" b="1">
                                <a:solidFill>
                                  <a:srgbClr val="0070C0"/>
                                </a:solidFill>
                              </a:rPr>
                              <a:t>Mci+Msi</a:t>
                            </a:r>
                            <a:endParaRPr lang="en-US" sz="900" b="1">
                              <a:solidFill>
                                <a:srgbClr val="0070C0"/>
                              </a:solidFill>
                            </a:endParaRPr>
                          </a:p>
                        </xdr:txBody>
                      </xdr:sp>
                    </xdr:grpSp>
                    <xdr:grpSp>
                      <xdr:nvGrpSpPr>
                        <xdr:cNvPr id="448" name="Group 447">
                          <a:extLst>
                            <a:ext uri="{FF2B5EF4-FFF2-40B4-BE49-F238E27FC236}">
                              <a16:creationId xmlns:a16="http://schemas.microsoft.com/office/drawing/2014/main" id="{D6843A6E-1CC1-4BF7-AB2C-28FDD2CC2E4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1366437" y="574172"/>
                          <a:ext cx="778670" cy="48964"/>
                          <a:chOff x="3899019" y="596426"/>
                          <a:chExt cx="778670" cy="48964"/>
                        </a:xfrm>
                      </xdr:grpSpPr>
                      <xdr:sp macro="" textlink="">
                        <xdr:nvSpPr>
                          <xdr:cNvPr id="454" name="Oval 453">
                            <a:extLst>
                              <a:ext uri="{FF2B5EF4-FFF2-40B4-BE49-F238E27FC236}">
                                <a16:creationId xmlns:a16="http://schemas.microsoft.com/office/drawing/2014/main" id="{0F24AA22-F642-29CD-C0F4-F1A67FE1BAEC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3899019" y="596426"/>
                            <a:ext cx="45613" cy="45450"/>
                          </a:xfrm>
                          <a:prstGeom prst="ellipse">
                            <a:avLst/>
                          </a:prstGeom>
                          <a:solidFill>
                            <a:srgbClr val="FF0000"/>
                          </a:solidFill>
                          <a:ln>
                            <a:noFill/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sp macro="" textlink="">
                        <xdr:nvSpPr>
                          <xdr:cNvPr id="455" name="Oval 454">
                            <a:extLst>
                              <a:ext uri="{FF2B5EF4-FFF2-40B4-BE49-F238E27FC236}">
                                <a16:creationId xmlns:a16="http://schemas.microsoft.com/office/drawing/2014/main" id="{80A5C7B5-1EA5-A0A7-545C-A73DE4FE02A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137928" y="598216"/>
                            <a:ext cx="45613" cy="45450"/>
                          </a:xfrm>
                          <a:prstGeom prst="ellipse">
                            <a:avLst/>
                          </a:prstGeom>
                          <a:solidFill>
                            <a:srgbClr val="FF0000"/>
                          </a:solidFill>
                          <a:ln>
                            <a:noFill/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sp macro="" textlink="">
                        <xdr:nvSpPr>
                          <xdr:cNvPr id="456" name="Oval 455">
                            <a:extLst>
                              <a:ext uri="{FF2B5EF4-FFF2-40B4-BE49-F238E27FC236}">
                                <a16:creationId xmlns:a16="http://schemas.microsoft.com/office/drawing/2014/main" id="{6ACF443F-8C1A-EFD1-AA85-17B9F1CA4226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389323" y="599078"/>
                            <a:ext cx="45613" cy="45450"/>
                          </a:xfrm>
                          <a:prstGeom prst="ellipse">
                            <a:avLst/>
                          </a:prstGeom>
                          <a:solidFill>
                            <a:srgbClr val="FF0000"/>
                          </a:solidFill>
                          <a:ln>
                            <a:noFill/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sp macro="" textlink="">
                        <xdr:nvSpPr>
                          <xdr:cNvPr id="457" name="Oval 456">
                            <a:extLst>
                              <a:ext uri="{FF2B5EF4-FFF2-40B4-BE49-F238E27FC236}">
                                <a16:creationId xmlns:a16="http://schemas.microsoft.com/office/drawing/2014/main" id="{DEE07FFB-949F-A998-E2E2-7BEDDB8CF8DB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632076" y="599940"/>
                            <a:ext cx="45613" cy="45450"/>
                          </a:xfrm>
                          <a:prstGeom prst="ellipse">
                            <a:avLst/>
                          </a:prstGeom>
                          <a:solidFill>
                            <a:srgbClr val="FF0000"/>
                          </a:solidFill>
                          <a:ln>
                            <a:noFill/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</xdr:grpSp>
                    <xdr:grpSp>
                      <xdr:nvGrpSpPr>
                        <xdr:cNvPr id="449" name="Group 448">
                          <a:extLst>
                            <a:ext uri="{FF2B5EF4-FFF2-40B4-BE49-F238E27FC236}">
                              <a16:creationId xmlns:a16="http://schemas.microsoft.com/office/drawing/2014/main" id="{A830E5DB-1FB8-354B-D221-6A4BA056D1C7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1367505" y="1759187"/>
                          <a:ext cx="778670" cy="48964"/>
                          <a:chOff x="3899019" y="538563"/>
                          <a:chExt cx="778670" cy="48964"/>
                        </a:xfrm>
                      </xdr:grpSpPr>
                      <xdr:sp macro="" textlink="">
                        <xdr:nvSpPr>
                          <xdr:cNvPr id="450" name="Oval 449">
                            <a:extLst>
                              <a:ext uri="{FF2B5EF4-FFF2-40B4-BE49-F238E27FC236}">
                                <a16:creationId xmlns:a16="http://schemas.microsoft.com/office/drawing/2014/main" id="{8AA88166-6222-00BA-8887-8410BBD2532C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3899019" y="538563"/>
                            <a:ext cx="45613" cy="45450"/>
                          </a:xfrm>
                          <a:prstGeom prst="ellipse">
                            <a:avLst/>
                          </a:prstGeom>
                          <a:solidFill>
                            <a:srgbClr val="FF0000"/>
                          </a:solidFill>
                          <a:ln>
                            <a:noFill/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sp macro="" textlink="">
                        <xdr:nvSpPr>
                          <xdr:cNvPr id="451" name="Oval 450">
                            <a:extLst>
                              <a:ext uri="{FF2B5EF4-FFF2-40B4-BE49-F238E27FC236}">
                                <a16:creationId xmlns:a16="http://schemas.microsoft.com/office/drawing/2014/main" id="{A357FE19-F6A5-9E28-5E29-ECB28207CE58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137928" y="540353"/>
                            <a:ext cx="45613" cy="45450"/>
                          </a:xfrm>
                          <a:prstGeom prst="ellipse">
                            <a:avLst/>
                          </a:prstGeom>
                          <a:solidFill>
                            <a:srgbClr val="FF0000"/>
                          </a:solidFill>
                          <a:ln>
                            <a:noFill/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sp macro="" textlink="">
                        <xdr:nvSpPr>
                          <xdr:cNvPr id="452" name="Oval 451">
                            <a:extLst>
                              <a:ext uri="{FF2B5EF4-FFF2-40B4-BE49-F238E27FC236}">
                                <a16:creationId xmlns:a16="http://schemas.microsoft.com/office/drawing/2014/main" id="{F3C83C0C-B950-473F-F848-C18E9464C8D2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389323" y="541215"/>
                            <a:ext cx="45613" cy="45450"/>
                          </a:xfrm>
                          <a:prstGeom prst="ellipse">
                            <a:avLst/>
                          </a:prstGeom>
                          <a:solidFill>
                            <a:srgbClr val="FF0000"/>
                          </a:solidFill>
                          <a:ln>
                            <a:noFill/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sp macro="" textlink="">
                        <xdr:nvSpPr>
                          <xdr:cNvPr id="453" name="Oval 452">
                            <a:extLst>
                              <a:ext uri="{FF2B5EF4-FFF2-40B4-BE49-F238E27FC236}">
                                <a16:creationId xmlns:a16="http://schemas.microsoft.com/office/drawing/2014/main" id="{B4367D96-50E4-57D4-C518-BB107BDA85ED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632076" y="542077"/>
                            <a:ext cx="45613" cy="45450"/>
                          </a:xfrm>
                          <a:prstGeom prst="ellipse">
                            <a:avLst/>
                          </a:prstGeom>
                          <a:solidFill>
                            <a:srgbClr val="FF0000"/>
                          </a:solidFill>
                          <a:ln>
                            <a:noFill/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</xdr:grpSp>
                  </xdr:grpSp>
                </xdr:grpSp>
                <xdr:cxnSp macro="">
                  <xdr:nvCxnSpPr>
                    <xdr:cNvPr id="440" name="Straight Arrow Connector 439">
                      <a:extLst>
                        <a:ext uri="{FF2B5EF4-FFF2-40B4-BE49-F238E27FC236}">
                          <a16:creationId xmlns:a16="http://schemas.microsoft.com/office/drawing/2014/main" id="{A277FC9D-C8F4-5419-B3E0-57FB38AE87A9}"/>
                        </a:ext>
                      </a:extLst>
                    </xdr:cNvPr>
                    <xdr:cNvCxnSpPr/>
                  </xdr:nvCxnSpPr>
                  <xdr:spPr>
                    <a:xfrm flipH="1">
                      <a:off x="454332" y="585418"/>
                      <a:ext cx="357765" cy="0"/>
                    </a:xfrm>
                    <a:prstGeom prst="straightConnector1">
                      <a:avLst/>
                    </a:prstGeom>
                    <a:ln>
                      <a:solidFill>
                        <a:srgbClr val="FF0000"/>
                      </a:solidFill>
                      <a:tailEnd type="triangle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sp macro="" textlink="">
                  <xdr:nvSpPr>
                    <xdr:cNvPr id="441" name="TextBox 440">
                      <a:extLst>
                        <a:ext uri="{FF2B5EF4-FFF2-40B4-BE49-F238E27FC236}">
                          <a16:creationId xmlns:a16="http://schemas.microsoft.com/office/drawing/2014/main" id="{86CEF86C-CEFC-7792-6EF3-74D7F770F966}"/>
                        </a:ext>
                      </a:extLst>
                    </xdr:cNvPr>
                    <xdr:cNvSpPr txBox="1"/>
                  </xdr:nvSpPr>
                  <xdr:spPr>
                    <a:xfrm>
                      <a:off x="389339" y="382781"/>
                      <a:ext cx="422422" cy="16023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r>
                        <a:rPr lang="en-US" altLang="ko-KR" sz="900" b="1">
                          <a:solidFill>
                            <a:srgbClr val="0070C0"/>
                          </a:solidFill>
                        </a:rPr>
                        <a:t>Fs.com</a:t>
                      </a:r>
                      <a:endParaRPr lang="en-US" sz="900" b="1">
                        <a:solidFill>
                          <a:srgbClr val="0070C0"/>
                        </a:solidFill>
                      </a:endParaRPr>
                    </a:p>
                  </xdr:txBody>
                </xdr:sp>
              </xdr:grpSp>
              <xdr:cxnSp macro="">
                <xdr:nvCxnSpPr>
                  <xdr:cNvPr id="438" name="Straight Connector 437">
                    <a:extLst>
                      <a:ext uri="{FF2B5EF4-FFF2-40B4-BE49-F238E27FC236}">
                        <a16:creationId xmlns:a16="http://schemas.microsoft.com/office/drawing/2014/main" id="{8CCCB59C-0D8D-F51D-A986-689D69551626}"/>
                      </a:ext>
                    </a:extLst>
                  </xdr:cNvPr>
                  <xdr:cNvCxnSpPr/>
                </xdr:nvCxnSpPr>
                <xdr:spPr>
                  <a:xfrm>
                    <a:off x="2271201" y="603604"/>
                    <a:ext cx="2272357" cy="0"/>
                  </a:xfrm>
                  <a:prstGeom prst="line">
                    <a:avLst/>
                  </a:prstGeom>
                  <a:ln w="6350">
                    <a:solidFill>
                      <a:srgbClr val="FF0000"/>
                    </a:solidFill>
                    <a:prstDash val="sysDot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cxnSp macro="">
              <xdr:nvCxnSpPr>
                <xdr:cNvPr id="429" name="Straight Connector 428">
                  <a:extLst>
                    <a:ext uri="{FF2B5EF4-FFF2-40B4-BE49-F238E27FC236}">
                      <a16:creationId xmlns:a16="http://schemas.microsoft.com/office/drawing/2014/main" id="{A01AE35E-54D2-E49D-23A6-BF401AAA8E9B}"/>
                    </a:ext>
                  </a:extLst>
                </xdr:cNvPr>
                <xdr:cNvCxnSpPr/>
              </xdr:nvCxnSpPr>
              <xdr:spPr>
                <a:xfrm>
                  <a:off x="2269379" y="1390266"/>
                  <a:ext cx="2902659" cy="0"/>
                </a:xfrm>
                <a:prstGeom prst="line">
                  <a:avLst/>
                </a:prstGeom>
                <a:ln w="6350">
                  <a:solidFill>
                    <a:srgbClr val="FF0000"/>
                  </a:solidFill>
                  <a:prstDash val="sysDot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30" name="Straight Arrow Connector 429">
                  <a:extLst>
                    <a:ext uri="{FF2B5EF4-FFF2-40B4-BE49-F238E27FC236}">
                      <a16:creationId xmlns:a16="http://schemas.microsoft.com/office/drawing/2014/main" id="{400CDE41-9949-BA15-6C9F-319A9C09C148}"/>
                    </a:ext>
                  </a:extLst>
                </xdr:cNvPr>
                <xdr:cNvCxnSpPr/>
              </xdr:nvCxnSpPr>
              <xdr:spPr>
                <a:xfrm>
                  <a:off x="452696" y="2268732"/>
                  <a:ext cx="371436" cy="0"/>
                </a:xfrm>
                <a:prstGeom prst="straightConnector1">
                  <a:avLst/>
                </a:prstGeom>
                <a:ln>
                  <a:solidFill>
                    <a:srgbClr val="FF0000"/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31" name="TextBox 430">
                  <a:extLst>
                    <a:ext uri="{FF2B5EF4-FFF2-40B4-BE49-F238E27FC236}">
                      <a16:creationId xmlns:a16="http://schemas.microsoft.com/office/drawing/2014/main" id="{D75C64C3-AC65-780C-2B94-0D7926042960}"/>
                    </a:ext>
                  </a:extLst>
                </xdr:cNvPr>
                <xdr:cNvSpPr txBox="1"/>
              </xdr:nvSpPr>
              <xdr:spPr>
                <a:xfrm>
                  <a:off x="446454" y="2267522"/>
                  <a:ext cx="429048" cy="165033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n-US" altLang="ko-KR" sz="900" b="1">
                      <a:solidFill>
                        <a:srgbClr val="0070C0"/>
                      </a:solidFill>
                    </a:rPr>
                    <a:t>Fs.ten</a:t>
                  </a:r>
                  <a:endParaRPr lang="en-US" sz="900" b="1">
                    <a:solidFill>
                      <a:srgbClr val="0070C0"/>
                    </a:solidFill>
                  </a:endParaRPr>
                </a:p>
              </xdr:txBody>
            </xdr:sp>
          </xdr:grpSp>
        </xdr:grpSp>
        <xdr:sp macro="" textlink="">
          <xdr:nvSpPr>
            <xdr:cNvPr id="522" name="Right Triangle 521">
              <a:extLst>
                <a:ext uri="{FF2B5EF4-FFF2-40B4-BE49-F238E27FC236}">
                  <a16:creationId xmlns:a16="http://schemas.microsoft.com/office/drawing/2014/main" id="{CD85650B-F621-4CDA-B7AD-F8B7403C8761}"/>
                </a:ext>
              </a:extLst>
            </xdr:cNvPr>
            <xdr:cNvSpPr/>
          </xdr:nvSpPr>
          <xdr:spPr>
            <a:xfrm flipH="1">
              <a:off x="7177767" y="1537608"/>
              <a:ext cx="205388" cy="377598"/>
            </a:xfrm>
            <a:prstGeom prst="rtTriangle">
              <a:avLst/>
            </a:prstGeom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rgbClr val="0070C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>
                <a:ln w="15875">
                  <a:solidFill>
                    <a:srgbClr val="FF0000"/>
                  </a:solidFill>
                </a:ln>
                <a:solidFill>
                  <a:srgbClr val="FF0000"/>
                </a:solidFill>
              </a:endParaRPr>
            </a:p>
          </xdr:txBody>
        </xdr:sp>
        <xdr:cxnSp macro="">
          <xdr:nvCxnSpPr>
            <xdr:cNvPr id="523" name="Straight Connector 522">
              <a:extLst>
                <a:ext uri="{FF2B5EF4-FFF2-40B4-BE49-F238E27FC236}">
                  <a16:creationId xmlns:a16="http://schemas.microsoft.com/office/drawing/2014/main" id="{2A14AF70-FEF4-47E6-8F40-A1FA97B08092}"/>
                </a:ext>
              </a:extLst>
            </xdr:cNvPr>
            <xdr:cNvCxnSpPr/>
          </xdr:nvCxnSpPr>
          <xdr:spPr>
            <a:xfrm>
              <a:off x="5296581" y="1915205"/>
              <a:ext cx="2092098" cy="0"/>
            </a:xfrm>
            <a:prstGeom prst="line">
              <a:avLst/>
            </a:prstGeom>
            <a:ln w="6350">
              <a:solidFill>
                <a:srgbClr val="FF0000"/>
              </a:solidFill>
              <a:prstDash val="sysDot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25" name="Rectangle 524">
              <a:extLst>
                <a:ext uri="{FF2B5EF4-FFF2-40B4-BE49-F238E27FC236}">
                  <a16:creationId xmlns:a16="http://schemas.microsoft.com/office/drawing/2014/main" id="{D02D2783-24ED-465E-A7A6-AFEA98CC18E2}"/>
                </a:ext>
              </a:extLst>
            </xdr:cNvPr>
            <xdr:cNvSpPr/>
          </xdr:nvSpPr>
          <xdr:spPr>
            <a:xfrm>
              <a:off x="7381875" y="1023938"/>
              <a:ext cx="217714" cy="129268"/>
            </a:xfrm>
            <a:prstGeom prst="rect">
              <a:avLst/>
            </a:prstGeom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rgbClr val="0070C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26" name="TextBox 525">
              <a:extLst>
                <a:ext uri="{FF2B5EF4-FFF2-40B4-BE49-F238E27FC236}">
                  <a16:creationId xmlns:a16="http://schemas.microsoft.com/office/drawing/2014/main" id="{5C381A38-8118-4DAF-8EB3-A36B7D1147F5}"/>
                </a:ext>
              </a:extLst>
            </xdr:cNvPr>
            <xdr:cNvSpPr txBox="1"/>
          </xdr:nvSpPr>
          <xdr:spPr>
            <a:xfrm>
              <a:off x="5970134" y="1758724"/>
              <a:ext cx="642937" cy="18629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l-GR" altLang="ko-KR" sz="900"/>
                <a:t>ε</a:t>
              </a:r>
              <a:r>
                <a:rPr lang="en-US" altLang="ko-KR" sz="900"/>
                <a:t>su=fy/Es</a:t>
              </a:r>
              <a:endParaRPr lang="en-US" sz="900"/>
            </a:p>
          </xdr:txBody>
        </xdr:sp>
        <xdr:sp macro="" textlink="">
          <xdr:nvSpPr>
            <xdr:cNvPr id="527" name="TextBox 526">
              <a:extLst>
                <a:ext uri="{FF2B5EF4-FFF2-40B4-BE49-F238E27FC236}">
                  <a16:creationId xmlns:a16="http://schemas.microsoft.com/office/drawing/2014/main" id="{1267FFC3-E634-491E-8AE7-6AC733914208}"/>
                </a:ext>
              </a:extLst>
            </xdr:cNvPr>
            <xdr:cNvSpPr txBox="1"/>
          </xdr:nvSpPr>
          <xdr:spPr>
            <a:xfrm>
              <a:off x="7334250" y="1741714"/>
              <a:ext cx="299358" cy="18629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900"/>
                <a:t>fy</a:t>
              </a:r>
              <a:endParaRPr lang="en-US" sz="900"/>
            </a:p>
          </xdr:txBody>
        </xdr:sp>
        <xdr:sp macro="" textlink="">
          <xdr:nvSpPr>
            <xdr:cNvPr id="529" name="TextBox 528">
              <a:extLst>
                <a:ext uri="{FF2B5EF4-FFF2-40B4-BE49-F238E27FC236}">
                  <a16:creationId xmlns:a16="http://schemas.microsoft.com/office/drawing/2014/main" id="{38BB4A4A-5C40-4403-8429-29733F5E02F2}"/>
                </a:ext>
              </a:extLst>
            </xdr:cNvPr>
            <xdr:cNvSpPr txBox="1"/>
          </xdr:nvSpPr>
          <xdr:spPr>
            <a:xfrm>
              <a:off x="7330848" y="2306410"/>
              <a:ext cx="299358" cy="18629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900"/>
                <a:t>fy</a:t>
              </a:r>
              <a:endParaRPr lang="en-US" sz="900"/>
            </a:p>
          </xdr:txBody>
        </xdr:sp>
        <xdr:sp macro="" textlink="">
          <xdr:nvSpPr>
            <xdr:cNvPr id="531" name="TextBox 530">
              <a:extLst>
                <a:ext uri="{FF2B5EF4-FFF2-40B4-BE49-F238E27FC236}">
                  <a16:creationId xmlns:a16="http://schemas.microsoft.com/office/drawing/2014/main" id="{D062AC8D-E96D-47C1-84D8-8D198D81673A}"/>
                </a:ext>
              </a:extLst>
            </xdr:cNvPr>
            <xdr:cNvSpPr txBox="1"/>
          </xdr:nvSpPr>
          <xdr:spPr>
            <a:xfrm>
              <a:off x="5997348" y="2245178"/>
              <a:ext cx="642937" cy="18629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l-GR" altLang="ko-KR" sz="900"/>
                <a:t>ε</a:t>
              </a:r>
              <a:r>
                <a:rPr lang="en-US" altLang="ko-KR" sz="900"/>
                <a:t>si</a:t>
              </a:r>
              <a:endParaRPr lang="en-US" sz="900"/>
            </a:p>
          </xdr:txBody>
        </xdr:sp>
        <xdr:sp macro="" textlink="">
          <xdr:nvSpPr>
            <xdr:cNvPr id="533" name="TextBox 532">
              <a:extLst>
                <a:ext uri="{FF2B5EF4-FFF2-40B4-BE49-F238E27FC236}">
                  <a16:creationId xmlns:a16="http://schemas.microsoft.com/office/drawing/2014/main" id="{863B3D9C-A926-4349-BF11-D2805F8E2920}"/>
                </a:ext>
              </a:extLst>
            </xdr:cNvPr>
            <xdr:cNvSpPr txBox="1"/>
          </xdr:nvSpPr>
          <xdr:spPr>
            <a:xfrm>
              <a:off x="7517947" y="1112383"/>
              <a:ext cx="396417" cy="18629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900"/>
                <a:t>fsi</a:t>
              </a:r>
              <a:endParaRPr lang="en-US" sz="900"/>
            </a:p>
          </xdr:txBody>
        </xdr:sp>
      </xdr:grpSp>
      <xdr:sp macro="" textlink="">
        <xdr:nvSpPr>
          <xdr:cNvPr id="537" name="Oval 536">
            <a:extLst>
              <a:ext uri="{FF2B5EF4-FFF2-40B4-BE49-F238E27FC236}">
                <a16:creationId xmlns:a16="http://schemas.microsoft.com/office/drawing/2014/main" id="{64C75232-7DAF-EE08-AEDE-3B292EC7B868}"/>
              </a:ext>
            </a:extLst>
          </xdr:cNvPr>
          <xdr:cNvSpPr/>
        </xdr:nvSpPr>
        <xdr:spPr>
          <a:xfrm>
            <a:off x="6054328" y="678657"/>
            <a:ext cx="529828" cy="202406"/>
          </a:xfrm>
          <a:prstGeom prst="ellipse">
            <a:avLst/>
          </a:prstGeom>
          <a:no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38" name="Oval 537">
            <a:extLst>
              <a:ext uri="{FF2B5EF4-FFF2-40B4-BE49-F238E27FC236}">
                <a16:creationId xmlns:a16="http://schemas.microsoft.com/office/drawing/2014/main" id="{40B928E6-718E-4881-AA56-CA8C8CD6E5DA}"/>
              </a:ext>
            </a:extLst>
          </xdr:cNvPr>
          <xdr:cNvSpPr/>
        </xdr:nvSpPr>
        <xdr:spPr>
          <a:xfrm>
            <a:off x="5339954" y="1119188"/>
            <a:ext cx="339327" cy="160734"/>
          </a:xfrm>
          <a:prstGeom prst="ellipse">
            <a:avLst/>
          </a:prstGeom>
          <a:no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446484</xdr:colOff>
      <xdr:row>13</xdr:row>
      <xdr:rowOff>71438</xdr:rowOff>
    </xdr:from>
    <xdr:to>
      <xdr:col>6</xdr:col>
      <xdr:colOff>3250</xdr:colOff>
      <xdr:row>13</xdr:row>
      <xdr:rowOff>71438</xdr:rowOff>
    </xdr:to>
    <xdr:cxnSp macro="">
      <xdr:nvCxnSpPr>
        <xdr:cNvPr id="540" name="Straight Connector 539">
          <a:extLst>
            <a:ext uri="{FF2B5EF4-FFF2-40B4-BE49-F238E27FC236}">
              <a16:creationId xmlns:a16="http://schemas.microsoft.com/office/drawing/2014/main" id="{C97BAF1A-AEB2-483B-B12C-FB1FFC4D8670}"/>
            </a:ext>
          </a:extLst>
        </xdr:cNvPr>
        <xdr:cNvCxnSpPr/>
      </xdr:nvCxnSpPr>
      <xdr:spPr>
        <a:xfrm flipH="1">
          <a:off x="3690937" y="2547938"/>
          <a:ext cx="205657" cy="0"/>
        </a:xfrm>
        <a:prstGeom prst="line">
          <a:avLst/>
        </a:prstGeom>
        <a:ln w="3175">
          <a:headEnd type="none"/>
          <a:tailEnd type="oval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192251</xdr:colOff>
      <xdr:row>10</xdr:row>
      <xdr:rowOff>166437</xdr:rowOff>
    </xdr:from>
    <xdr:to>
      <xdr:col>6</xdr:col>
      <xdr:colOff>77390</xdr:colOff>
      <xdr:row>12</xdr:row>
      <xdr:rowOff>96708</xdr:rowOff>
    </xdr:to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F328F3F3-D709-4B7A-A5BE-D02B36E64F18}"/>
            </a:ext>
          </a:extLst>
        </xdr:cNvPr>
        <xdr:cNvSpPr txBox="1"/>
      </xdr:nvSpPr>
      <xdr:spPr>
        <a:xfrm>
          <a:off x="3436704" y="2071437"/>
          <a:ext cx="534030" cy="3112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900"/>
            <a:t>ys.ten</a:t>
          </a:r>
          <a:endParaRPr lang="en-US" sz="900"/>
        </a:p>
      </xdr:txBody>
    </xdr:sp>
    <xdr:clientData/>
  </xdr:twoCellAnchor>
  <xdr:twoCellAnchor>
    <xdr:from>
      <xdr:col>22</xdr:col>
      <xdr:colOff>352425</xdr:colOff>
      <xdr:row>13</xdr:row>
      <xdr:rowOff>161925</xdr:rowOff>
    </xdr:from>
    <xdr:to>
      <xdr:col>28</xdr:col>
      <xdr:colOff>76199</xdr:colOff>
      <xdr:row>19</xdr:row>
      <xdr:rowOff>133351</xdr:rowOff>
    </xdr:to>
    <xdr:sp macro="" textlink="">
      <xdr:nvSpPr>
        <xdr:cNvPr id="547" name="Speech Bubble: Oval 546">
          <a:extLst>
            <a:ext uri="{FF2B5EF4-FFF2-40B4-BE49-F238E27FC236}">
              <a16:creationId xmlns:a16="http://schemas.microsoft.com/office/drawing/2014/main" id="{17999E8A-4A66-C62C-EBC0-CCC2BD09C35D}"/>
            </a:ext>
          </a:extLst>
        </xdr:cNvPr>
        <xdr:cNvSpPr/>
      </xdr:nvSpPr>
      <xdr:spPr>
        <a:xfrm>
          <a:off x="14735175" y="2695575"/>
          <a:ext cx="3428999" cy="1171576"/>
        </a:xfrm>
        <a:prstGeom prst="wedgeEllipseCallout">
          <a:avLst>
            <a:gd name="adj1" fmla="val -94936"/>
            <a:gd name="adj2" fmla="val 138396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rgbClr val="0070C0"/>
              </a:solidFill>
            </a:rPr>
            <a:t>c = </a:t>
          </a:r>
          <a:r>
            <a:rPr lang="en-US" sz="1400" b="1">
              <a:solidFill>
                <a:srgbClr val="0070C0"/>
              </a:solidFill>
              <a:sym typeface="Symbol" panose="05050102010706020507" pitchFamily="18" charset="2"/>
            </a:rPr>
            <a:t></a:t>
          </a:r>
          <a:r>
            <a:rPr lang="en-US" sz="1400" b="1" baseline="0">
              <a:solidFill>
                <a:srgbClr val="0070C0"/>
              </a:solidFill>
              <a:sym typeface="Symbol" panose="05050102010706020507" pitchFamily="18" charset="2"/>
            </a:rPr>
            <a:t> -&gt; 530 (c1)</a:t>
          </a:r>
        </a:p>
        <a:p>
          <a:pPr algn="l"/>
          <a:r>
            <a:rPr lang="en-US" sz="1400" b="1" baseline="0">
              <a:solidFill>
                <a:srgbClr val="0070C0"/>
              </a:solidFill>
              <a:sym typeface="Symbol" panose="05050102010706020507" pitchFamily="18" charset="2"/>
            </a:rPr>
            <a:t>Criteria C/C1</a:t>
          </a:r>
        </a:p>
        <a:p>
          <a:pPr algn="l"/>
          <a:r>
            <a:rPr lang="en-US" sz="1400" b="1" baseline="0">
              <a:solidFill>
                <a:srgbClr val="0070C0"/>
              </a:solidFill>
              <a:sym typeface="Symbol" panose="05050102010706020507" pitchFamily="18" charset="2"/>
            </a:rPr>
            <a:t>c/c1 = 20, 10, 5, 4, 3, 2, 1</a:t>
          </a:r>
        </a:p>
      </xdr:txBody>
    </xdr:sp>
    <xdr:clientData/>
  </xdr:twoCellAnchor>
  <xdr:twoCellAnchor>
    <xdr:from>
      <xdr:col>23</xdr:col>
      <xdr:colOff>438150</xdr:colOff>
      <xdr:row>21</xdr:row>
      <xdr:rowOff>66675</xdr:rowOff>
    </xdr:from>
    <xdr:to>
      <xdr:col>28</xdr:col>
      <xdr:colOff>533400</xdr:colOff>
      <xdr:row>26</xdr:row>
      <xdr:rowOff>209550</xdr:rowOff>
    </xdr:to>
    <xdr:sp macro="" textlink="">
      <xdr:nvSpPr>
        <xdr:cNvPr id="548" name="Speech Bubble: Oval 547">
          <a:extLst>
            <a:ext uri="{FF2B5EF4-FFF2-40B4-BE49-F238E27FC236}">
              <a16:creationId xmlns:a16="http://schemas.microsoft.com/office/drawing/2014/main" id="{95F61AB7-B561-4261-9E9D-ADC36B189D54}"/>
            </a:ext>
          </a:extLst>
        </xdr:cNvPr>
        <xdr:cNvSpPr/>
      </xdr:nvSpPr>
      <xdr:spPr>
        <a:xfrm>
          <a:off x="15430500" y="4181475"/>
          <a:ext cx="3190875" cy="1114425"/>
        </a:xfrm>
        <a:prstGeom prst="wedgeEllipseCallout">
          <a:avLst>
            <a:gd name="adj1" fmla="val -121214"/>
            <a:gd name="adj2" fmla="val 32946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rgbClr val="0070C0"/>
              </a:solidFill>
            </a:rPr>
            <a:t>fs = 0 -&gt; fy</a:t>
          </a:r>
        </a:p>
        <a:p>
          <a:pPr algn="l"/>
          <a:r>
            <a:rPr lang="en-US" sz="1400" b="1" baseline="0">
              <a:solidFill>
                <a:srgbClr val="0070C0"/>
              </a:solidFill>
              <a:sym typeface="Symbol" panose="05050102010706020507" pitchFamily="18" charset="2"/>
            </a:rPr>
            <a:t>Criteria fs/fy</a:t>
          </a:r>
        </a:p>
        <a:p>
          <a:pPr algn="l"/>
          <a:r>
            <a:rPr lang="en-US" sz="1400" b="1" baseline="0">
              <a:solidFill>
                <a:srgbClr val="0070C0"/>
              </a:solidFill>
              <a:sym typeface="Symbol" panose="05050102010706020507" pitchFamily="18" charset="2"/>
            </a:rPr>
            <a:t>fs = 0, 0.25, 0.5, 0.75, 1.0 fy</a:t>
          </a:r>
        </a:p>
      </xdr:txBody>
    </xdr:sp>
    <xdr:clientData/>
  </xdr:twoCellAnchor>
  <xdr:twoCellAnchor>
    <xdr:from>
      <xdr:col>24</xdr:col>
      <xdr:colOff>409574</xdr:colOff>
      <xdr:row>27</xdr:row>
      <xdr:rowOff>142873</xdr:rowOff>
    </xdr:from>
    <xdr:to>
      <xdr:col>28</xdr:col>
      <xdr:colOff>371475</xdr:colOff>
      <xdr:row>38</xdr:row>
      <xdr:rowOff>28574</xdr:rowOff>
    </xdr:to>
    <xdr:sp macro="" textlink="">
      <xdr:nvSpPr>
        <xdr:cNvPr id="549" name="Speech Bubble: Oval 548">
          <a:extLst>
            <a:ext uri="{FF2B5EF4-FFF2-40B4-BE49-F238E27FC236}">
              <a16:creationId xmlns:a16="http://schemas.microsoft.com/office/drawing/2014/main" id="{CDD5963E-F11F-4E62-8162-D9381D514B3F}"/>
            </a:ext>
          </a:extLst>
        </xdr:cNvPr>
        <xdr:cNvSpPr/>
      </xdr:nvSpPr>
      <xdr:spPr>
        <a:xfrm>
          <a:off x="16011524" y="5495923"/>
          <a:ext cx="2447926" cy="2000251"/>
        </a:xfrm>
        <a:prstGeom prst="wedgeEllipseCallout">
          <a:avLst>
            <a:gd name="adj1" fmla="val -166277"/>
            <a:gd name="adj2" fmla="val -56918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rgbClr val="0070C0"/>
              </a:solidFill>
            </a:rPr>
            <a:t>fy = constant</a:t>
          </a:r>
        </a:p>
        <a:p>
          <a:pPr algn="l"/>
          <a:r>
            <a:rPr lang="el-GR" sz="1400" b="1" baseline="0">
              <a:solidFill>
                <a:srgbClr val="0070C0"/>
              </a:solidFill>
              <a:sym typeface="Symbol" panose="05050102010706020507" pitchFamily="18" charset="2"/>
            </a:rPr>
            <a:t>ε</a:t>
          </a:r>
          <a:r>
            <a:rPr lang="en-US" sz="1400" b="1" baseline="0">
              <a:solidFill>
                <a:srgbClr val="0070C0"/>
              </a:solidFill>
              <a:sym typeface="Symbol" panose="05050102010706020507" pitchFamily="18" charset="2"/>
            </a:rPr>
            <a:t>s = 0.002 increase</a:t>
          </a:r>
        </a:p>
        <a:p>
          <a:pPr algn="l"/>
          <a:r>
            <a:rPr lang="el-GR" sz="1400" b="1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ε</a:t>
          </a:r>
          <a:r>
            <a:rPr lang="en-US" sz="1400" b="1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s = 0.002, 0.003, ...</a:t>
          </a:r>
        </a:p>
        <a:p>
          <a:pPr algn="l"/>
          <a:r>
            <a:rPr lang="en-US" sz="1400" b="1" baseline="0">
              <a:solidFill>
                <a:srgbClr val="0070C0"/>
              </a:solidFill>
              <a:effectLst/>
              <a:latin typeface="+mn-lt"/>
              <a:ea typeface="+mn-ea"/>
              <a:cs typeface="+mn-cs"/>
              <a:sym typeface="Symbol" panose="05050102010706020507" pitchFamily="18" charset="2"/>
            </a:rPr>
            <a:t>Criteria </a:t>
          </a:r>
          <a:r>
            <a:rPr lang="el-GR" sz="1400" b="1" baseline="0">
              <a:solidFill>
                <a:srgbClr val="0070C0"/>
              </a:solidFill>
              <a:effectLst/>
              <a:latin typeface="+mn-lt"/>
              <a:ea typeface="+mn-ea"/>
              <a:cs typeface="+mn-cs"/>
              <a:sym typeface="Symbol" panose="05050102010706020507" pitchFamily="18" charset="2"/>
            </a:rPr>
            <a:t>ε</a:t>
          </a:r>
          <a:r>
            <a:rPr lang="en-US" sz="1400" b="1" baseline="0">
              <a:solidFill>
                <a:srgbClr val="0070C0"/>
              </a:solidFill>
              <a:effectLst/>
              <a:latin typeface="+mn-lt"/>
              <a:ea typeface="+mn-ea"/>
              <a:cs typeface="+mn-cs"/>
              <a:sym typeface="Symbol" panose="05050102010706020507" pitchFamily="18" charset="2"/>
            </a:rPr>
            <a:t>s</a:t>
          </a:r>
          <a:endParaRPr lang="en-US" sz="1400" b="1" baseline="0">
            <a:solidFill>
              <a:srgbClr val="0070C0"/>
            </a:solidFill>
            <a:sym typeface="Symbol" panose="05050102010706020507" pitchFamily="18" charset="2"/>
          </a:endParaRPr>
        </a:p>
      </xdr:txBody>
    </xdr:sp>
    <xdr:clientData/>
  </xdr:twoCellAnchor>
  <xdr:twoCellAnchor>
    <xdr:from>
      <xdr:col>14</xdr:col>
      <xdr:colOff>123825</xdr:colOff>
      <xdr:row>32</xdr:row>
      <xdr:rowOff>133350</xdr:rowOff>
    </xdr:from>
    <xdr:to>
      <xdr:col>16</xdr:col>
      <xdr:colOff>190500</xdr:colOff>
      <xdr:row>63</xdr:row>
      <xdr:rowOff>66675</xdr:rowOff>
    </xdr:to>
    <xdr:grpSp>
      <xdr:nvGrpSpPr>
        <xdr:cNvPr id="568" name="Group 567">
          <a:extLst>
            <a:ext uri="{FF2B5EF4-FFF2-40B4-BE49-F238E27FC236}">
              <a16:creationId xmlns:a16="http://schemas.microsoft.com/office/drawing/2014/main" id="{5EF98E51-AB6A-19E6-B163-48824F0C54C4}"/>
            </a:ext>
          </a:extLst>
        </xdr:cNvPr>
        <xdr:cNvGrpSpPr/>
      </xdr:nvGrpSpPr>
      <xdr:grpSpPr>
        <a:xfrm>
          <a:off x="9296400" y="6457950"/>
          <a:ext cx="1381125" cy="5838825"/>
          <a:chOff x="15544800" y="7639050"/>
          <a:chExt cx="1381125" cy="5838825"/>
        </a:xfrm>
      </xdr:grpSpPr>
      <xdr:grpSp>
        <xdr:nvGrpSpPr>
          <xdr:cNvPr id="543" name="Group 542">
            <a:extLst>
              <a:ext uri="{FF2B5EF4-FFF2-40B4-BE49-F238E27FC236}">
                <a16:creationId xmlns:a16="http://schemas.microsoft.com/office/drawing/2014/main" id="{4010BC1F-7D4A-7B2D-E494-A4D5DF3FE954}"/>
              </a:ext>
            </a:extLst>
          </xdr:cNvPr>
          <xdr:cNvGrpSpPr/>
        </xdr:nvGrpSpPr>
        <xdr:grpSpPr>
          <a:xfrm>
            <a:off x="15554325" y="7639050"/>
            <a:ext cx="1371600" cy="5838825"/>
            <a:chOff x="7667625" y="4048125"/>
            <a:chExt cx="1371600" cy="5838825"/>
          </a:xfrm>
        </xdr:grpSpPr>
        <xdr:cxnSp macro="">
          <xdr:nvCxnSpPr>
            <xdr:cNvPr id="407" name="Straight Arrow Connector 406">
              <a:extLst>
                <a:ext uri="{FF2B5EF4-FFF2-40B4-BE49-F238E27FC236}">
                  <a16:creationId xmlns:a16="http://schemas.microsoft.com/office/drawing/2014/main" id="{735699F0-8C3B-7A86-4D11-E94F364BC232}"/>
                </a:ext>
              </a:extLst>
            </xdr:cNvPr>
            <xdr:cNvCxnSpPr/>
          </xdr:nvCxnSpPr>
          <xdr:spPr>
            <a:xfrm>
              <a:off x="7858125" y="4343400"/>
              <a:ext cx="0" cy="5543550"/>
            </a:xfrm>
            <a:prstGeom prst="straightConnector1">
              <a:avLst/>
            </a:prstGeom>
            <a:ln w="28575">
              <a:solidFill>
                <a:srgbClr val="00B050"/>
              </a:solidFill>
              <a:tailEnd type="triangle" w="lg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09" name="TextBox 408">
              <a:extLst>
                <a:ext uri="{FF2B5EF4-FFF2-40B4-BE49-F238E27FC236}">
                  <a16:creationId xmlns:a16="http://schemas.microsoft.com/office/drawing/2014/main" id="{908D6634-1530-4424-87C1-E09C9349D868}"/>
                </a:ext>
              </a:extLst>
            </xdr:cNvPr>
            <xdr:cNvSpPr txBox="1"/>
          </xdr:nvSpPr>
          <xdr:spPr>
            <a:xfrm>
              <a:off x="7724775" y="4048125"/>
              <a:ext cx="523187" cy="21736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100" b="1">
                  <a:solidFill>
                    <a:srgbClr val="FF0000"/>
                  </a:solidFill>
                </a:rPr>
                <a:t>c</a:t>
              </a:r>
              <a:endParaRPr lang="en-US" sz="1100" b="1">
                <a:solidFill>
                  <a:srgbClr val="FF0000"/>
                </a:solidFill>
              </a:endParaRPr>
            </a:p>
          </xdr:txBody>
        </xdr:sp>
        <xdr:grpSp>
          <xdr:nvGrpSpPr>
            <xdr:cNvPr id="414" name="Group 413">
              <a:extLst>
                <a:ext uri="{FF2B5EF4-FFF2-40B4-BE49-F238E27FC236}">
                  <a16:creationId xmlns:a16="http://schemas.microsoft.com/office/drawing/2014/main" id="{CD559E0B-7A8C-841C-1B79-3115A5C84363}"/>
                </a:ext>
              </a:extLst>
            </xdr:cNvPr>
            <xdr:cNvGrpSpPr/>
          </xdr:nvGrpSpPr>
          <xdr:grpSpPr>
            <a:xfrm>
              <a:off x="7696200" y="4591050"/>
              <a:ext cx="866087" cy="217365"/>
              <a:chOff x="7696200" y="1809750"/>
              <a:chExt cx="866087" cy="217365"/>
            </a:xfrm>
          </xdr:grpSpPr>
          <xdr:cxnSp macro="">
            <xdr:nvCxnSpPr>
              <xdr:cNvPr id="412" name="Straight Connector 411">
                <a:extLst>
                  <a:ext uri="{FF2B5EF4-FFF2-40B4-BE49-F238E27FC236}">
                    <a16:creationId xmlns:a16="http://schemas.microsoft.com/office/drawing/2014/main" id="{9817D97E-5DF6-3BC6-A7FF-E26372FF5FA3}"/>
                  </a:ext>
                </a:extLst>
              </xdr:cNvPr>
              <xdr:cNvCxnSpPr/>
            </xdr:nvCxnSpPr>
            <xdr:spPr>
              <a:xfrm>
                <a:off x="7696200" y="1933575"/>
                <a:ext cx="361950" cy="0"/>
              </a:xfrm>
              <a:prstGeom prst="line">
                <a:avLst/>
              </a:prstGeom>
              <a:ln w="28575">
                <a:solidFill>
                  <a:srgbClr val="00B05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413" name="TextBox 412">
                <a:extLst>
                  <a:ext uri="{FF2B5EF4-FFF2-40B4-BE49-F238E27FC236}">
                    <a16:creationId xmlns:a16="http://schemas.microsoft.com/office/drawing/2014/main" id="{C69B6939-3509-48E8-82DB-B5E0DD0717F6}"/>
                  </a:ext>
                </a:extLst>
              </xdr:cNvPr>
              <xdr:cNvSpPr txBox="1"/>
            </xdr:nvSpPr>
            <xdr:spPr>
              <a:xfrm>
                <a:off x="8039100" y="1809750"/>
                <a:ext cx="523187" cy="21736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r>
                  <a:rPr lang="en-US" altLang="ko-KR" sz="1100" b="1">
                    <a:solidFill>
                      <a:srgbClr val="FF0000"/>
                    </a:solidFill>
                    <a:sym typeface="Symbol" panose="05050102010706020507" pitchFamily="18" charset="2"/>
                  </a:rPr>
                  <a:t></a:t>
                </a:r>
                <a:endParaRPr lang="en-US" sz="1100" b="1">
                  <a:solidFill>
                    <a:srgbClr val="FF0000"/>
                  </a:solidFill>
                </a:endParaRPr>
              </a:p>
            </xdr:txBody>
          </xdr:sp>
        </xdr:grpSp>
        <xdr:grpSp>
          <xdr:nvGrpSpPr>
            <xdr:cNvPr id="415" name="Group 414">
              <a:extLst>
                <a:ext uri="{FF2B5EF4-FFF2-40B4-BE49-F238E27FC236}">
                  <a16:creationId xmlns:a16="http://schemas.microsoft.com/office/drawing/2014/main" id="{72C77D86-2758-40E7-8ECA-3AEFB5F2B1C8}"/>
                </a:ext>
              </a:extLst>
            </xdr:cNvPr>
            <xdr:cNvGrpSpPr/>
          </xdr:nvGrpSpPr>
          <xdr:grpSpPr>
            <a:xfrm>
              <a:off x="7667625" y="7667626"/>
              <a:ext cx="1371600" cy="152400"/>
              <a:chOff x="7696200" y="1866901"/>
              <a:chExt cx="1371600" cy="152400"/>
            </a:xfrm>
          </xdr:grpSpPr>
          <xdr:cxnSp macro="">
            <xdr:nvCxnSpPr>
              <xdr:cNvPr id="416" name="Straight Connector 415">
                <a:extLst>
                  <a:ext uri="{FF2B5EF4-FFF2-40B4-BE49-F238E27FC236}">
                    <a16:creationId xmlns:a16="http://schemas.microsoft.com/office/drawing/2014/main" id="{74D43C03-16D1-7BFC-551B-7F71036FC06B}"/>
                  </a:ext>
                </a:extLst>
              </xdr:cNvPr>
              <xdr:cNvCxnSpPr/>
            </xdr:nvCxnSpPr>
            <xdr:spPr>
              <a:xfrm>
                <a:off x="7696200" y="1933575"/>
                <a:ext cx="361950" cy="0"/>
              </a:xfrm>
              <a:prstGeom prst="line">
                <a:avLst/>
              </a:prstGeom>
              <a:ln w="28575">
                <a:solidFill>
                  <a:srgbClr val="00B05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417" name="TextBox 416">
                <a:extLst>
                  <a:ext uri="{FF2B5EF4-FFF2-40B4-BE49-F238E27FC236}">
                    <a16:creationId xmlns:a16="http://schemas.microsoft.com/office/drawing/2014/main" id="{B3E40C53-17F5-15CD-8783-522AEC4FA240}"/>
                  </a:ext>
                </a:extLst>
              </xdr:cNvPr>
              <xdr:cNvSpPr txBox="1"/>
            </xdr:nvSpPr>
            <xdr:spPr>
              <a:xfrm>
                <a:off x="8039100" y="1866901"/>
                <a:ext cx="1028700" cy="1524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r>
                  <a:rPr lang="en-US" altLang="ko-KR" sz="1100" b="1">
                    <a:solidFill>
                      <a:srgbClr val="FF0000"/>
                    </a:solidFill>
                    <a:sym typeface="Symbol" panose="05050102010706020507" pitchFamily="18" charset="2"/>
                  </a:rPr>
                  <a:t>C1 = H - cover</a:t>
                </a:r>
                <a:endParaRPr lang="en-US" sz="1100" b="1">
                  <a:solidFill>
                    <a:srgbClr val="FF0000"/>
                  </a:solidFill>
                </a:endParaRPr>
              </a:p>
            </xdr:txBody>
          </xdr:sp>
        </xdr:grpSp>
      </xdr:grpSp>
      <xdr:grpSp>
        <xdr:nvGrpSpPr>
          <xdr:cNvPr id="552" name="Group 551">
            <a:extLst>
              <a:ext uri="{FF2B5EF4-FFF2-40B4-BE49-F238E27FC236}">
                <a16:creationId xmlns:a16="http://schemas.microsoft.com/office/drawing/2014/main" id="{CB06DABE-6351-EB85-233B-AC8F3D9C5CEA}"/>
              </a:ext>
            </a:extLst>
          </xdr:cNvPr>
          <xdr:cNvGrpSpPr/>
        </xdr:nvGrpSpPr>
        <xdr:grpSpPr>
          <a:xfrm>
            <a:off x="15544800" y="8629650"/>
            <a:ext cx="1009650" cy="219075"/>
            <a:chOff x="15554325" y="8848725"/>
            <a:chExt cx="1009650" cy="219075"/>
          </a:xfrm>
        </xdr:grpSpPr>
        <xdr:cxnSp macro="">
          <xdr:nvCxnSpPr>
            <xdr:cNvPr id="550" name="Straight Connector 549">
              <a:extLst>
                <a:ext uri="{FF2B5EF4-FFF2-40B4-BE49-F238E27FC236}">
                  <a16:creationId xmlns:a16="http://schemas.microsoft.com/office/drawing/2014/main" id="{60AF216E-D4B7-4FD8-92E6-5093E6625203}"/>
                </a:ext>
              </a:extLst>
            </xdr:cNvPr>
            <xdr:cNvCxnSpPr/>
          </xdr:nvCxnSpPr>
          <xdr:spPr>
            <a:xfrm>
              <a:off x="15554325" y="8972550"/>
              <a:ext cx="361950" cy="0"/>
            </a:xfrm>
            <a:prstGeom prst="line">
              <a:avLst/>
            </a:prstGeom>
            <a:ln w="28575">
              <a:solidFill>
                <a:srgbClr val="0070C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51" name="TextBox 550">
              <a:extLst>
                <a:ext uri="{FF2B5EF4-FFF2-40B4-BE49-F238E27FC236}">
                  <a16:creationId xmlns:a16="http://schemas.microsoft.com/office/drawing/2014/main" id="{B3E794CF-6A5E-4531-82FA-30757C5D6D39}"/>
                </a:ext>
              </a:extLst>
            </xdr:cNvPr>
            <xdr:cNvSpPr txBox="1"/>
          </xdr:nvSpPr>
          <xdr:spPr>
            <a:xfrm>
              <a:off x="15897225" y="8848725"/>
              <a:ext cx="666750" cy="2190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100" b="1">
                  <a:solidFill>
                    <a:srgbClr val="FF0000"/>
                  </a:solidFill>
                  <a:sym typeface="Symbol" panose="05050102010706020507" pitchFamily="18" charset="2"/>
                </a:rPr>
                <a:t>20*C1</a:t>
              </a:r>
              <a:endParaRPr lang="en-US" sz="1100" b="1">
                <a:solidFill>
                  <a:srgbClr val="FF0000"/>
                </a:solidFill>
              </a:endParaRPr>
            </a:p>
          </xdr:txBody>
        </xdr:sp>
      </xdr:grpSp>
      <xdr:grpSp>
        <xdr:nvGrpSpPr>
          <xdr:cNvPr id="553" name="Group 552">
            <a:extLst>
              <a:ext uri="{FF2B5EF4-FFF2-40B4-BE49-F238E27FC236}">
                <a16:creationId xmlns:a16="http://schemas.microsoft.com/office/drawing/2014/main" id="{4292F429-E844-4109-88BB-BBD06963ADB8}"/>
              </a:ext>
            </a:extLst>
          </xdr:cNvPr>
          <xdr:cNvGrpSpPr/>
        </xdr:nvGrpSpPr>
        <xdr:grpSpPr>
          <a:xfrm>
            <a:off x="15563850" y="9115425"/>
            <a:ext cx="1009650" cy="219075"/>
            <a:chOff x="15554325" y="8848725"/>
            <a:chExt cx="1009650" cy="219075"/>
          </a:xfrm>
        </xdr:grpSpPr>
        <xdr:cxnSp macro="">
          <xdr:nvCxnSpPr>
            <xdr:cNvPr id="554" name="Straight Connector 553">
              <a:extLst>
                <a:ext uri="{FF2B5EF4-FFF2-40B4-BE49-F238E27FC236}">
                  <a16:creationId xmlns:a16="http://schemas.microsoft.com/office/drawing/2014/main" id="{57344C88-E189-C837-2A81-3CB644E69881}"/>
                </a:ext>
              </a:extLst>
            </xdr:cNvPr>
            <xdr:cNvCxnSpPr/>
          </xdr:nvCxnSpPr>
          <xdr:spPr>
            <a:xfrm>
              <a:off x="15554325" y="8972550"/>
              <a:ext cx="361950" cy="0"/>
            </a:xfrm>
            <a:prstGeom prst="line">
              <a:avLst/>
            </a:prstGeom>
            <a:ln w="28575">
              <a:solidFill>
                <a:srgbClr val="0070C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55" name="TextBox 554">
              <a:extLst>
                <a:ext uri="{FF2B5EF4-FFF2-40B4-BE49-F238E27FC236}">
                  <a16:creationId xmlns:a16="http://schemas.microsoft.com/office/drawing/2014/main" id="{282D59C6-9FA7-B686-0A46-C6667216F776}"/>
                </a:ext>
              </a:extLst>
            </xdr:cNvPr>
            <xdr:cNvSpPr txBox="1"/>
          </xdr:nvSpPr>
          <xdr:spPr>
            <a:xfrm>
              <a:off x="15897225" y="8848725"/>
              <a:ext cx="666750" cy="2190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100" b="1">
                  <a:solidFill>
                    <a:srgbClr val="FF0000"/>
                  </a:solidFill>
                  <a:sym typeface="Symbol" panose="05050102010706020507" pitchFamily="18" charset="2"/>
                </a:rPr>
                <a:t>10*C1</a:t>
              </a:r>
              <a:endParaRPr lang="en-US" sz="1100" b="1">
                <a:solidFill>
                  <a:srgbClr val="FF0000"/>
                </a:solidFill>
              </a:endParaRPr>
            </a:p>
          </xdr:txBody>
        </xdr:sp>
      </xdr:grpSp>
      <xdr:grpSp>
        <xdr:nvGrpSpPr>
          <xdr:cNvPr id="556" name="Group 555">
            <a:extLst>
              <a:ext uri="{FF2B5EF4-FFF2-40B4-BE49-F238E27FC236}">
                <a16:creationId xmlns:a16="http://schemas.microsoft.com/office/drawing/2014/main" id="{D0CD9A3B-2B82-4185-9F8D-B92C24BA0691}"/>
              </a:ext>
            </a:extLst>
          </xdr:cNvPr>
          <xdr:cNvGrpSpPr/>
        </xdr:nvGrpSpPr>
        <xdr:grpSpPr>
          <a:xfrm>
            <a:off x="15573375" y="9544050"/>
            <a:ext cx="1009650" cy="219075"/>
            <a:chOff x="15554325" y="8848725"/>
            <a:chExt cx="1009650" cy="219075"/>
          </a:xfrm>
        </xdr:grpSpPr>
        <xdr:cxnSp macro="">
          <xdr:nvCxnSpPr>
            <xdr:cNvPr id="557" name="Straight Connector 556">
              <a:extLst>
                <a:ext uri="{FF2B5EF4-FFF2-40B4-BE49-F238E27FC236}">
                  <a16:creationId xmlns:a16="http://schemas.microsoft.com/office/drawing/2014/main" id="{BDE5A2F2-7209-7A79-A384-986D613EF864}"/>
                </a:ext>
              </a:extLst>
            </xdr:cNvPr>
            <xdr:cNvCxnSpPr/>
          </xdr:nvCxnSpPr>
          <xdr:spPr>
            <a:xfrm>
              <a:off x="15554325" y="8972550"/>
              <a:ext cx="361950" cy="0"/>
            </a:xfrm>
            <a:prstGeom prst="line">
              <a:avLst/>
            </a:prstGeom>
            <a:ln w="28575">
              <a:solidFill>
                <a:srgbClr val="0070C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58" name="TextBox 557">
              <a:extLst>
                <a:ext uri="{FF2B5EF4-FFF2-40B4-BE49-F238E27FC236}">
                  <a16:creationId xmlns:a16="http://schemas.microsoft.com/office/drawing/2014/main" id="{240AB89E-59AB-AC1A-28E6-C8A18A003328}"/>
                </a:ext>
              </a:extLst>
            </xdr:cNvPr>
            <xdr:cNvSpPr txBox="1"/>
          </xdr:nvSpPr>
          <xdr:spPr>
            <a:xfrm>
              <a:off x="15897225" y="8848725"/>
              <a:ext cx="666750" cy="2190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100" b="1">
                  <a:solidFill>
                    <a:srgbClr val="FF0000"/>
                  </a:solidFill>
                  <a:sym typeface="Symbol" panose="05050102010706020507" pitchFamily="18" charset="2"/>
                </a:rPr>
                <a:t>5*C1</a:t>
              </a:r>
              <a:endParaRPr lang="en-US" sz="1100" b="1">
                <a:solidFill>
                  <a:srgbClr val="FF0000"/>
                </a:solidFill>
              </a:endParaRPr>
            </a:p>
          </xdr:txBody>
        </xdr:sp>
      </xdr:grpSp>
      <xdr:grpSp>
        <xdr:nvGrpSpPr>
          <xdr:cNvPr id="559" name="Group 558">
            <a:extLst>
              <a:ext uri="{FF2B5EF4-FFF2-40B4-BE49-F238E27FC236}">
                <a16:creationId xmlns:a16="http://schemas.microsoft.com/office/drawing/2014/main" id="{BBEC6368-418E-442E-9D2E-6ACD3943B766}"/>
              </a:ext>
            </a:extLst>
          </xdr:cNvPr>
          <xdr:cNvGrpSpPr/>
        </xdr:nvGrpSpPr>
        <xdr:grpSpPr>
          <a:xfrm>
            <a:off x="15573375" y="9953625"/>
            <a:ext cx="1009650" cy="219075"/>
            <a:chOff x="15554325" y="8848725"/>
            <a:chExt cx="1009650" cy="219075"/>
          </a:xfrm>
        </xdr:grpSpPr>
        <xdr:cxnSp macro="">
          <xdr:nvCxnSpPr>
            <xdr:cNvPr id="560" name="Straight Connector 559">
              <a:extLst>
                <a:ext uri="{FF2B5EF4-FFF2-40B4-BE49-F238E27FC236}">
                  <a16:creationId xmlns:a16="http://schemas.microsoft.com/office/drawing/2014/main" id="{048FB43E-1DB5-6792-0B67-B06C7A34AE81}"/>
                </a:ext>
              </a:extLst>
            </xdr:cNvPr>
            <xdr:cNvCxnSpPr/>
          </xdr:nvCxnSpPr>
          <xdr:spPr>
            <a:xfrm>
              <a:off x="15554325" y="8972550"/>
              <a:ext cx="361950" cy="0"/>
            </a:xfrm>
            <a:prstGeom prst="line">
              <a:avLst/>
            </a:prstGeom>
            <a:ln w="28575">
              <a:solidFill>
                <a:srgbClr val="0070C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61" name="TextBox 560">
              <a:extLst>
                <a:ext uri="{FF2B5EF4-FFF2-40B4-BE49-F238E27FC236}">
                  <a16:creationId xmlns:a16="http://schemas.microsoft.com/office/drawing/2014/main" id="{BACC7EFE-F073-D64F-21D7-9285B7B1F930}"/>
                </a:ext>
              </a:extLst>
            </xdr:cNvPr>
            <xdr:cNvSpPr txBox="1"/>
          </xdr:nvSpPr>
          <xdr:spPr>
            <a:xfrm>
              <a:off x="15897225" y="8848725"/>
              <a:ext cx="666750" cy="2190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100" b="1">
                  <a:solidFill>
                    <a:srgbClr val="FF0000"/>
                  </a:solidFill>
                  <a:sym typeface="Symbol" panose="05050102010706020507" pitchFamily="18" charset="2"/>
                </a:rPr>
                <a:t>4*C1</a:t>
              </a:r>
              <a:endParaRPr lang="en-US" sz="1100" b="1">
                <a:solidFill>
                  <a:srgbClr val="FF0000"/>
                </a:solidFill>
              </a:endParaRPr>
            </a:p>
          </xdr:txBody>
        </xdr:sp>
      </xdr:grpSp>
      <xdr:grpSp>
        <xdr:nvGrpSpPr>
          <xdr:cNvPr id="562" name="Group 561">
            <a:extLst>
              <a:ext uri="{FF2B5EF4-FFF2-40B4-BE49-F238E27FC236}">
                <a16:creationId xmlns:a16="http://schemas.microsoft.com/office/drawing/2014/main" id="{533AC1F4-FAAD-40F0-AFA3-63B8A43AD9AA}"/>
              </a:ext>
            </a:extLst>
          </xdr:cNvPr>
          <xdr:cNvGrpSpPr/>
        </xdr:nvGrpSpPr>
        <xdr:grpSpPr>
          <a:xfrm>
            <a:off x="15563850" y="10382250"/>
            <a:ext cx="1009650" cy="219075"/>
            <a:chOff x="15554325" y="8848725"/>
            <a:chExt cx="1009650" cy="219075"/>
          </a:xfrm>
        </xdr:grpSpPr>
        <xdr:cxnSp macro="">
          <xdr:nvCxnSpPr>
            <xdr:cNvPr id="563" name="Straight Connector 562">
              <a:extLst>
                <a:ext uri="{FF2B5EF4-FFF2-40B4-BE49-F238E27FC236}">
                  <a16:creationId xmlns:a16="http://schemas.microsoft.com/office/drawing/2014/main" id="{F7508ABB-C839-1286-4C56-F3806997FC44}"/>
                </a:ext>
              </a:extLst>
            </xdr:cNvPr>
            <xdr:cNvCxnSpPr/>
          </xdr:nvCxnSpPr>
          <xdr:spPr>
            <a:xfrm>
              <a:off x="15554325" y="8972550"/>
              <a:ext cx="361950" cy="0"/>
            </a:xfrm>
            <a:prstGeom prst="line">
              <a:avLst/>
            </a:prstGeom>
            <a:ln w="28575">
              <a:solidFill>
                <a:srgbClr val="0070C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64" name="TextBox 563">
              <a:extLst>
                <a:ext uri="{FF2B5EF4-FFF2-40B4-BE49-F238E27FC236}">
                  <a16:creationId xmlns:a16="http://schemas.microsoft.com/office/drawing/2014/main" id="{3EF6CEC3-5269-9CC1-35A5-E224C68A4B6D}"/>
                </a:ext>
              </a:extLst>
            </xdr:cNvPr>
            <xdr:cNvSpPr txBox="1"/>
          </xdr:nvSpPr>
          <xdr:spPr>
            <a:xfrm>
              <a:off x="15897225" y="8848725"/>
              <a:ext cx="666750" cy="2190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100" b="1">
                  <a:solidFill>
                    <a:srgbClr val="FF0000"/>
                  </a:solidFill>
                  <a:sym typeface="Symbol" panose="05050102010706020507" pitchFamily="18" charset="2"/>
                </a:rPr>
                <a:t>3*C1</a:t>
              </a:r>
              <a:endParaRPr lang="en-US" sz="1100" b="1">
                <a:solidFill>
                  <a:srgbClr val="FF0000"/>
                </a:solidFill>
              </a:endParaRPr>
            </a:p>
          </xdr:txBody>
        </xdr:sp>
      </xdr:grpSp>
      <xdr:grpSp>
        <xdr:nvGrpSpPr>
          <xdr:cNvPr id="565" name="Group 564">
            <a:extLst>
              <a:ext uri="{FF2B5EF4-FFF2-40B4-BE49-F238E27FC236}">
                <a16:creationId xmlns:a16="http://schemas.microsoft.com/office/drawing/2014/main" id="{F0F6E8A8-482B-4D66-B9C5-79B315620CB0}"/>
              </a:ext>
            </a:extLst>
          </xdr:cNvPr>
          <xdr:cNvGrpSpPr/>
        </xdr:nvGrpSpPr>
        <xdr:grpSpPr>
          <a:xfrm>
            <a:off x="15563850" y="10791825"/>
            <a:ext cx="1009650" cy="219075"/>
            <a:chOff x="15554325" y="8848725"/>
            <a:chExt cx="1009650" cy="219075"/>
          </a:xfrm>
        </xdr:grpSpPr>
        <xdr:cxnSp macro="">
          <xdr:nvCxnSpPr>
            <xdr:cNvPr id="566" name="Straight Connector 565">
              <a:extLst>
                <a:ext uri="{FF2B5EF4-FFF2-40B4-BE49-F238E27FC236}">
                  <a16:creationId xmlns:a16="http://schemas.microsoft.com/office/drawing/2014/main" id="{E28186BB-9288-33B2-7237-AB5AA9A0282D}"/>
                </a:ext>
              </a:extLst>
            </xdr:cNvPr>
            <xdr:cNvCxnSpPr/>
          </xdr:nvCxnSpPr>
          <xdr:spPr>
            <a:xfrm>
              <a:off x="15554325" y="8972550"/>
              <a:ext cx="361950" cy="0"/>
            </a:xfrm>
            <a:prstGeom prst="line">
              <a:avLst/>
            </a:prstGeom>
            <a:ln w="28575">
              <a:solidFill>
                <a:srgbClr val="0070C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67" name="TextBox 566">
              <a:extLst>
                <a:ext uri="{FF2B5EF4-FFF2-40B4-BE49-F238E27FC236}">
                  <a16:creationId xmlns:a16="http://schemas.microsoft.com/office/drawing/2014/main" id="{68848A71-BA4D-CE3D-93D1-50506ADD337D}"/>
                </a:ext>
              </a:extLst>
            </xdr:cNvPr>
            <xdr:cNvSpPr txBox="1"/>
          </xdr:nvSpPr>
          <xdr:spPr>
            <a:xfrm>
              <a:off x="15897225" y="8848725"/>
              <a:ext cx="666750" cy="2190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100" b="1">
                  <a:solidFill>
                    <a:srgbClr val="FF0000"/>
                  </a:solidFill>
                  <a:sym typeface="Symbol" panose="05050102010706020507" pitchFamily="18" charset="2"/>
                </a:rPr>
                <a:t>2*C1</a:t>
              </a:r>
              <a:endParaRPr lang="en-US" sz="1100" b="1">
                <a:solidFill>
                  <a:srgbClr val="FF0000"/>
                </a:solidFill>
              </a:endParaRPr>
            </a:p>
          </xdr:txBody>
        </xdr:sp>
      </xdr:grpSp>
    </xdr:grpSp>
    <xdr:clientData/>
  </xdr:twoCellAnchor>
  <xdr:twoCellAnchor>
    <xdr:from>
      <xdr:col>16</xdr:col>
      <xdr:colOff>257175</xdr:colOff>
      <xdr:row>32</xdr:row>
      <xdr:rowOff>171450</xdr:rowOff>
    </xdr:from>
    <xdr:to>
      <xdr:col>18</xdr:col>
      <xdr:colOff>171450</xdr:colOff>
      <xdr:row>66</xdr:row>
      <xdr:rowOff>180975</xdr:rowOff>
    </xdr:to>
    <xdr:grpSp>
      <xdr:nvGrpSpPr>
        <xdr:cNvPr id="610" name="Group 609">
          <a:extLst>
            <a:ext uri="{FF2B5EF4-FFF2-40B4-BE49-F238E27FC236}">
              <a16:creationId xmlns:a16="http://schemas.microsoft.com/office/drawing/2014/main" id="{FAB58EE6-BE49-D3F5-30B1-0810F0D523A7}"/>
            </a:ext>
          </a:extLst>
        </xdr:cNvPr>
        <xdr:cNvGrpSpPr/>
      </xdr:nvGrpSpPr>
      <xdr:grpSpPr>
        <a:xfrm>
          <a:off x="10744200" y="6496050"/>
          <a:ext cx="1371600" cy="6486525"/>
          <a:chOff x="16259175" y="8115300"/>
          <a:chExt cx="1371600" cy="6486525"/>
        </a:xfrm>
      </xdr:grpSpPr>
      <xdr:grpSp>
        <xdr:nvGrpSpPr>
          <xdr:cNvPr id="570" name="Group 569">
            <a:extLst>
              <a:ext uri="{FF2B5EF4-FFF2-40B4-BE49-F238E27FC236}">
                <a16:creationId xmlns:a16="http://schemas.microsoft.com/office/drawing/2014/main" id="{13B5F6B8-85EA-588C-3897-64363ED60D3C}"/>
              </a:ext>
            </a:extLst>
          </xdr:cNvPr>
          <xdr:cNvGrpSpPr/>
        </xdr:nvGrpSpPr>
        <xdr:grpSpPr>
          <a:xfrm>
            <a:off x="16259175" y="8115300"/>
            <a:ext cx="1371600" cy="6486525"/>
            <a:chOff x="7667625" y="4048125"/>
            <a:chExt cx="1371600" cy="6486525"/>
          </a:xfrm>
        </xdr:grpSpPr>
        <xdr:cxnSp macro="">
          <xdr:nvCxnSpPr>
            <xdr:cNvPr id="589" name="Straight Arrow Connector 588">
              <a:extLst>
                <a:ext uri="{FF2B5EF4-FFF2-40B4-BE49-F238E27FC236}">
                  <a16:creationId xmlns:a16="http://schemas.microsoft.com/office/drawing/2014/main" id="{969A22C9-369F-3E85-51AA-5449E6443426}"/>
                </a:ext>
              </a:extLst>
            </xdr:cNvPr>
            <xdr:cNvCxnSpPr/>
          </xdr:nvCxnSpPr>
          <xdr:spPr>
            <a:xfrm>
              <a:off x="7858125" y="4343400"/>
              <a:ext cx="0" cy="6191250"/>
            </a:xfrm>
            <a:prstGeom prst="straightConnector1">
              <a:avLst/>
            </a:prstGeom>
            <a:ln w="28575">
              <a:solidFill>
                <a:srgbClr val="00B050"/>
              </a:solidFill>
              <a:tailEnd type="triangle" w="lg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90" name="TextBox 589">
              <a:extLst>
                <a:ext uri="{FF2B5EF4-FFF2-40B4-BE49-F238E27FC236}">
                  <a16:creationId xmlns:a16="http://schemas.microsoft.com/office/drawing/2014/main" id="{2C391C1A-CD0A-210D-8E5A-DF65F0BFF7A9}"/>
                </a:ext>
              </a:extLst>
            </xdr:cNvPr>
            <xdr:cNvSpPr txBox="1"/>
          </xdr:nvSpPr>
          <xdr:spPr>
            <a:xfrm>
              <a:off x="7724775" y="4048125"/>
              <a:ext cx="523187" cy="21736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100" b="1">
                  <a:solidFill>
                    <a:srgbClr val="FF0000"/>
                  </a:solidFill>
                </a:rPr>
                <a:t>fs</a:t>
              </a:r>
              <a:endParaRPr lang="en-US" sz="1100" b="1">
                <a:solidFill>
                  <a:srgbClr val="FF0000"/>
                </a:solidFill>
              </a:endParaRPr>
            </a:p>
          </xdr:txBody>
        </xdr:sp>
        <xdr:grpSp>
          <xdr:nvGrpSpPr>
            <xdr:cNvPr id="592" name="Group 591">
              <a:extLst>
                <a:ext uri="{FF2B5EF4-FFF2-40B4-BE49-F238E27FC236}">
                  <a16:creationId xmlns:a16="http://schemas.microsoft.com/office/drawing/2014/main" id="{5FD9F6C3-7B2F-7DAC-0FC7-9C01FA7AAA9B}"/>
                </a:ext>
              </a:extLst>
            </xdr:cNvPr>
            <xdr:cNvGrpSpPr/>
          </xdr:nvGrpSpPr>
          <xdr:grpSpPr>
            <a:xfrm>
              <a:off x="7667625" y="7667626"/>
              <a:ext cx="1371600" cy="152400"/>
              <a:chOff x="7696200" y="1866901"/>
              <a:chExt cx="1371600" cy="152400"/>
            </a:xfrm>
          </xdr:grpSpPr>
          <xdr:cxnSp macro="">
            <xdr:nvCxnSpPr>
              <xdr:cNvPr id="593" name="Straight Connector 592">
                <a:extLst>
                  <a:ext uri="{FF2B5EF4-FFF2-40B4-BE49-F238E27FC236}">
                    <a16:creationId xmlns:a16="http://schemas.microsoft.com/office/drawing/2014/main" id="{B655DA41-B817-9113-F028-DE4A812F0B4C}"/>
                  </a:ext>
                </a:extLst>
              </xdr:cNvPr>
              <xdr:cNvCxnSpPr/>
            </xdr:nvCxnSpPr>
            <xdr:spPr>
              <a:xfrm>
                <a:off x="7696200" y="1933575"/>
                <a:ext cx="361950" cy="0"/>
              </a:xfrm>
              <a:prstGeom prst="line">
                <a:avLst/>
              </a:prstGeom>
              <a:ln w="28575">
                <a:solidFill>
                  <a:srgbClr val="00B05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594" name="TextBox 593">
                <a:extLst>
                  <a:ext uri="{FF2B5EF4-FFF2-40B4-BE49-F238E27FC236}">
                    <a16:creationId xmlns:a16="http://schemas.microsoft.com/office/drawing/2014/main" id="{6D0EA31C-FD5F-16CA-AC6D-76EBC3E04890}"/>
                  </a:ext>
                </a:extLst>
              </xdr:cNvPr>
              <xdr:cNvSpPr txBox="1"/>
            </xdr:nvSpPr>
            <xdr:spPr>
              <a:xfrm>
                <a:off x="8039100" y="1866901"/>
                <a:ext cx="1028700" cy="1524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r>
                  <a:rPr lang="en-US" altLang="ko-KR" sz="1100" b="1">
                    <a:solidFill>
                      <a:srgbClr val="FF0000"/>
                    </a:solidFill>
                    <a:sym typeface="Symbol" panose="05050102010706020507" pitchFamily="18" charset="2"/>
                  </a:rPr>
                  <a:t>fs = 0</a:t>
                </a:r>
                <a:endParaRPr lang="en-US" sz="1100" b="1">
                  <a:solidFill>
                    <a:srgbClr val="FF0000"/>
                  </a:solidFill>
                </a:endParaRPr>
              </a:p>
            </xdr:txBody>
          </xdr:sp>
        </xdr:grpSp>
      </xdr:grpSp>
      <xdr:grpSp>
        <xdr:nvGrpSpPr>
          <xdr:cNvPr id="600" name="Group 599">
            <a:extLst>
              <a:ext uri="{FF2B5EF4-FFF2-40B4-BE49-F238E27FC236}">
                <a16:creationId xmlns:a16="http://schemas.microsoft.com/office/drawing/2014/main" id="{DF239279-CEB0-2FF7-BACD-95796E31A604}"/>
              </a:ext>
            </a:extLst>
          </xdr:cNvPr>
          <xdr:cNvGrpSpPr/>
        </xdr:nvGrpSpPr>
        <xdr:grpSpPr>
          <a:xfrm>
            <a:off x="16278225" y="12087225"/>
            <a:ext cx="1219200" cy="200025"/>
            <a:chOff x="16278225" y="12087225"/>
            <a:chExt cx="1219200" cy="200025"/>
          </a:xfrm>
        </xdr:grpSpPr>
        <xdr:cxnSp macro="">
          <xdr:nvCxnSpPr>
            <xdr:cNvPr id="598" name="Straight Connector 597">
              <a:extLst>
                <a:ext uri="{FF2B5EF4-FFF2-40B4-BE49-F238E27FC236}">
                  <a16:creationId xmlns:a16="http://schemas.microsoft.com/office/drawing/2014/main" id="{FC536C53-5D69-41F3-BA0A-61D2BB8619E4}"/>
                </a:ext>
              </a:extLst>
            </xdr:cNvPr>
            <xdr:cNvCxnSpPr/>
          </xdr:nvCxnSpPr>
          <xdr:spPr>
            <a:xfrm>
              <a:off x="16278225" y="12211050"/>
              <a:ext cx="361950" cy="0"/>
            </a:xfrm>
            <a:prstGeom prst="line">
              <a:avLst/>
            </a:prstGeom>
            <a:ln w="28575">
              <a:solidFill>
                <a:srgbClr val="0070C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99" name="TextBox 598">
              <a:extLst>
                <a:ext uri="{FF2B5EF4-FFF2-40B4-BE49-F238E27FC236}">
                  <a16:creationId xmlns:a16="http://schemas.microsoft.com/office/drawing/2014/main" id="{D302EB04-6E18-406A-ACF9-375001681B77}"/>
                </a:ext>
              </a:extLst>
            </xdr:cNvPr>
            <xdr:cNvSpPr txBox="1"/>
          </xdr:nvSpPr>
          <xdr:spPr>
            <a:xfrm>
              <a:off x="16621125" y="12087225"/>
              <a:ext cx="876300" cy="2000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100" b="1">
                  <a:solidFill>
                    <a:srgbClr val="FF0000"/>
                  </a:solidFill>
                  <a:sym typeface="Symbol" panose="05050102010706020507" pitchFamily="18" charset="2"/>
                </a:rPr>
                <a:t>fs = 0.25 fy</a:t>
              </a:r>
              <a:endParaRPr lang="en-US" sz="1100" b="1">
                <a:solidFill>
                  <a:srgbClr val="FF0000"/>
                </a:solidFill>
              </a:endParaRPr>
            </a:p>
          </xdr:txBody>
        </xdr:sp>
      </xdr:grpSp>
      <xdr:grpSp>
        <xdr:nvGrpSpPr>
          <xdr:cNvPr id="601" name="Group 600">
            <a:extLst>
              <a:ext uri="{FF2B5EF4-FFF2-40B4-BE49-F238E27FC236}">
                <a16:creationId xmlns:a16="http://schemas.microsoft.com/office/drawing/2014/main" id="{CD037763-4BB0-43C0-90E3-F02591EB2909}"/>
              </a:ext>
            </a:extLst>
          </xdr:cNvPr>
          <xdr:cNvGrpSpPr/>
        </xdr:nvGrpSpPr>
        <xdr:grpSpPr>
          <a:xfrm>
            <a:off x="16287750" y="12506325"/>
            <a:ext cx="1143000" cy="209550"/>
            <a:chOff x="16278225" y="12087225"/>
            <a:chExt cx="1143000" cy="228600"/>
          </a:xfrm>
        </xdr:grpSpPr>
        <xdr:cxnSp macro="">
          <xdr:nvCxnSpPr>
            <xdr:cNvPr id="602" name="Straight Connector 601">
              <a:extLst>
                <a:ext uri="{FF2B5EF4-FFF2-40B4-BE49-F238E27FC236}">
                  <a16:creationId xmlns:a16="http://schemas.microsoft.com/office/drawing/2014/main" id="{1E0FC41D-5262-C8E6-1AC1-942D4890F2A6}"/>
                </a:ext>
              </a:extLst>
            </xdr:cNvPr>
            <xdr:cNvCxnSpPr/>
          </xdr:nvCxnSpPr>
          <xdr:spPr>
            <a:xfrm>
              <a:off x="16278225" y="12211050"/>
              <a:ext cx="361950" cy="0"/>
            </a:xfrm>
            <a:prstGeom prst="line">
              <a:avLst/>
            </a:prstGeom>
            <a:ln w="28575">
              <a:solidFill>
                <a:srgbClr val="0070C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03" name="TextBox 602">
              <a:extLst>
                <a:ext uri="{FF2B5EF4-FFF2-40B4-BE49-F238E27FC236}">
                  <a16:creationId xmlns:a16="http://schemas.microsoft.com/office/drawing/2014/main" id="{97972D1D-6722-43AB-200D-36488378725F}"/>
                </a:ext>
              </a:extLst>
            </xdr:cNvPr>
            <xdr:cNvSpPr txBox="1"/>
          </xdr:nvSpPr>
          <xdr:spPr>
            <a:xfrm>
              <a:off x="16621125" y="12087225"/>
              <a:ext cx="800100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100" b="1">
                  <a:solidFill>
                    <a:srgbClr val="FF0000"/>
                  </a:solidFill>
                  <a:sym typeface="Symbol" panose="05050102010706020507" pitchFamily="18" charset="2"/>
                </a:rPr>
                <a:t>fs = 0.5fy</a:t>
              </a:r>
              <a:endParaRPr lang="en-US" sz="1100" b="1">
                <a:solidFill>
                  <a:srgbClr val="FF0000"/>
                </a:solidFill>
              </a:endParaRPr>
            </a:p>
          </xdr:txBody>
        </xdr:sp>
      </xdr:grpSp>
      <xdr:grpSp>
        <xdr:nvGrpSpPr>
          <xdr:cNvPr id="604" name="Group 603">
            <a:extLst>
              <a:ext uri="{FF2B5EF4-FFF2-40B4-BE49-F238E27FC236}">
                <a16:creationId xmlns:a16="http://schemas.microsoft.com/office/drawing/2014/main" id="{157EC20E-CE9F-441F-BCF1-961E79B1C783}"/>
              </a:ext>
            </a:extLst>
          </xdr:cNvPr>
          <xdr:cNvGrpSpPr/>
        </xdr:nvGrpSpPr>
        <xdr:grpSpPr>
          <a:xfrm>
            <a:off x="16278225" y="12896851"/>
            <a:ext cx="1219200" cy="190500"/>
            <a:chOff x="16278225" y="12087226"/>
            <a:chExt cx="1219200" cy="190500"/>
          </a:xfrm>
        </xdr:grpSpPr>
        <xdr:cxnSp macro="">
          <xdr:nvCxnSpPr>
            <xdr:cNvPr id="605" name="Straight Connector 604">
              <a:extLst>
                <a:ext uri="{FF2B5EF4-FFF2-40B4-BE49-F238E27FC236}">
                  <a16:creationId xmlns:a16="http://schemas.microsoft.com/office/drawing/2014/main" id="{978D56E5-FAD0-8804-4869-87A628FED9FB}"/>
                </a:ext>
              </a:extLst>
            </xdr:cNvPr>
            <xdr:cNvCxnSpPr/>
          </xdr:nvCxnSpPr>
          <xdr:spPr>
            <a:xfrm>
              <a:off x="16278225" y="12211050"/>
              <a:ext cx="361950" cy="0"/>
            </a:xfrm>
            <a:prstGeom prst="line">
              <a:avLst/>
            </a:prstGeom>
            <a:ln w="28575">
              <a:solidFill>
                <a:srgbClr val="0070C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06" name="TextBox 605">
              <a:extLst>
                <a:ext uri="{FF2B5EF4-FFF2-40B4-BE49-F238E27FC236}">
                  <a16:creationId xmlns:a16="http://schemas.microsoft.com/office/drawing/2014/main" id="{6DE56FB4-4110-6F92-4F00-9D1305D3D59F}"/>
                </a:ext>
              </a:extLst>
            </xdr:cNvPr>
            <xdr:cNvSpPr txBox="1"/>
          </xdr:nvSpPr>
          <xdr:spPr>
            <a:xfrm>
              <a:off x="16621125" y="12087226"/>
              <a:ext cx="876300" cy="190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100" b="1">
                  <a:solidFill>
                    <a:srgbClr val="FF0000"/>
                  </a:solidFill>
                  <a:sym typeface="Symbol" panose="05050102010706020507" pitchFamily="18" charset="2"/>
                </a:rPr>
                <a:t>fs = 0.75fy</a:t>
              </a:r>
              <a:endParaRPr lang="en-US" sz="1100" b="1">
                <a:solidFill>
                  <a:srgbClr val="FF0000"/>
                </a:solidFill>
              </a:endParaRPr>
            </a:p>
          </xdr:txBody>
        </xdr:sp>
      </xdr:grpSp>
      <xdr:grpSp>
        <xdr:nvGrpSpPr>
          <xdr:cNvPr id="607" name="Group 606">
            <a:extLst>
              <a:ext uri="{FF2B5EF4-FFF2-40B4-BE49-F238E27FC236}">
                <a16:creationId xmlns:a16="http://schemas.microsoft.com/office/drawing/2014/main" id="{6A3382C1-EDA2-4B15-8913-3AF7B90011EE}"/>
              </a:ext>
            </a:extLst>
          </xdr:cNvPr>
          <xdr:cNvGrpSpPr/>
        </xdr:nvGrpSpPr>
        <xdr:grpSpPr>
          <a:xfrm>
            <a:off x="16278225" y="13296900"/>
            <a:ext cx="1009650" cy="219075"/>
            <a:chOff x="16278225" y="12087225"/>
            <a:chExt cx="1009650" cy="219075"/>
          </a:xfrm>
        </xdr:grpSpPr>
        <xdr:cxnSp macro="">
          <xdr:nvCxnSpPr>
            <xdr:cNvPr id="608" name="Straight Connector 607">
              <a:extLst>
                <a:ext uri="{FF2B5EF4-FFF2-40B4-BE49-F238E27FC236}">
                  <a16:creationId xmlns:a16="http://schemas.microsoft.com/office/drawing/2014/main" id="{312604E9-3B92-1D42-E36A-CE1C727999C0}"/>
                </a:ext>
              </a:extLst>
            </xdr:cNvPr>
            <xdr:cNvCxnSpPr/>
          </xdr:nvCxnSpPr>
          <xdr:spPr>
            <a:xfrm>
              <a:off x="16278225" y="12211050"/>
              <a:ext cx="361950" cy="0"/>
            </a:xfrm>
            <a:prstGeom prst="line">
              <a:avLst/>
            </a:prstGeom>
            <a:ln w="28575">
              <a:solidFill>
                <a:srgbClr val="0070C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09" name="TextBox 608">
              <a:extLst>
                <a:ext uri="{FF2B5EF4-FFF2-40B4-BE49-F238E27FC236}">
                  <a16:creationId xmlns:a16="http://schemas.microsoft.com/office/drawing/2014/main" id="{9D7A0ECB-69C7-1475-2D3B-565C57056E7F}"/>
                </a:ext>
              </a:extLst>
            </xdr:cNvPr>
            <xdr:cNvSpPr txBox="1"/>
          </xdr:nvSpPr>
          <xdr:spPr>
            <a:xfrm>
              <a:off x="16621125" y="12087225"/>
              <a:ext cx="666750" cy="2190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100" b="1">
                  <a:solidFill>
                    <a:srgbClr val="FF0000"/>
                  </a:solidFill>
                  <a:sym typeface="Symbol" panose="05050102010706020507" pitchFamily="18" charset="2"/>
                </a:rPr>
                <a:t>fs = fy</a:t>
              </a:r>
              <a:endParaRPr lang="en-US" sz="1100" b="1">
                <a:solidFill>
                  <a:srgbClr val="FF0000"/>
                </a:solidFill>
              </a:endParaRPr>
            </a:p>
          </xdr:txBody>
        </xdr:sp>
      </xdr:grpSp>
    </xdr:grpSp>
    <xdr:clientData/>
  </xdr:twoCellAnchor>
  <xdr:twoCellAnchor>
    <xdr:from>
      <xdr:col>18</xdr:col>
      <xdr:colOff>0</xdr:colOff>
      <xdr:row>33</xdr:row>
      <xdr:rowOff>0</xdr:rowOff>
    </xdr:from>
    <xdr:to>
      <xdr:col>20</xdr:col>
      <xdr:colOff>438150</xdr:colOff>
      <xdr:row>82</xdr:row>
      <xdr:rowOff>9525</xdr:rowOff>
    </xdr:to>
    <xdr:grpSp>
      <xdr:nvGrpSpPr>
        <xdr:cNvPr id="650" name="Group 649">
          <a:extLst>
            <a:ext uri="{FF2B5EF4-FFF2-40B4-BE49-F238E27FC236}">
              <a16:creationId xmlns:a16="http://schemas.microsoft.com/office/drawing/2014/main" id="{9C32C2DC-1E76-B954-1ADD-2EC24234EF49}"/>
            </a:ext>
          </a:extLst>
        </xdr:cNvPr>
        <xdr:cNvGrpSpPr/>
      </xdr:nvGrpSpPr>
      <xdr:grpSpPr>
        <a:xfrm>
          <a:off x="11944350" y="6515100"/>
          <a:ext cx="1657350" cy="9344025"/>
          <a:chOff x="17459325" y="8134350"/>
          <a:chExt cx="1657350" cy="9344025"/>
        </a:xfrm>
      </xdr:grpSpPr>
      <xdr:grpSp>
        <xdr:nvGrpSpPr>
          <xdr:cNvPr id="644" name="Group 643">
            <a:extLst>
              <a:ext uri="{FF2B5EF4-FFF2-40B4-BE49-F238E27FC236}">
                <a16:creationId xmlns:a16="http://schemas.microsoft.com/office/drawing/2014/main" id="{88961416-3F4F-7771-DEBF-3DE4E2ADC14E}"/>
              </a:ext>
            </a:extLst>
          </xdr:cNvPr>
          <xdr:cNvGrpSpPr/>
        </xdr:nvGrpSpPr>
        <xdr:grpSpPr>
          <a:xfrm>
            <a:off x="17459325" y="8134350"/>
            <a:ext cx="1657350" cy="9344025"/>
            <a:chOff x="17459325" y="8134350"/>
            <a:chExt cx="1657350" cy="9344025"/>
          </a:xfrm>
        </xdr:grpSpPr>
        <xdr:grpSp>
          <xdr:nvGrpSpPr>
            <xdr:cNvPr id="611" name="Group 610">
              <a:extLst>
                <a:ext uri="{FF2B5EF4-FFF2-40B4-BE49-F238E27FC236}">
                  <a16:creationId xmlns:a16="http://schemas.microsoft.com/office/drawing/2014/main" id="{A1F6A622-AC2E-4D42-B6AD-F7696FC8E025}"/>
                </a:ext>
              </a:extLst>
            </xdr:cNvPr>
            <xdr:cNvGrpSpPr/>
          </xdr:nvGrpSpPr>
          <xdr:grpSpPr>
            <a:xfrm>
              <a:off x="17478375" y="8134350"/>
              <a:ext cx="1638300" cy="9344025"/>
              <a:chOff x="16278225" y="8115300"/>
              <a:chExt cx="1638300" cy="9344025"/>
            </a:xfrm>
          </xdr:grpSpPr>
          <xdr:grpSp>
            <xdr:nvGrpSpPr>
              <xdr:cNvPr id="612" name="Group 611">
                <a:extLst>
                  <a:ext uri="{FF2B5EF4-FFF2-40B4-BE49-F238E27FC236}">
                    <a16:creationId xmlns:a16="http://schemas.microsoft.com/office/drawing/2014/main" id="{039AD6C6-530A-7AD1-B06F-BC286EB507F2}"/>
                  </a:ext>
                </a:extLst>
              </xdr:cNvPr>
              <xdr:cNvGrpSpPr/>
            </xdr:nvGrpSpPr>
            <xdr:grpSpPr>
              <a:xfrm>
                <a:off x="16316325" y="8115300"/>
                <a:ext cx="523187" cy="9344025"/>
                <a:chOff x="7724775" y="4048125"/>
                <a:chExt cx="523187" cy="9344025"/>
              </a:xfrm>
            </xdr:grpSpPr>
            <xdr:cxnSp macro="">
              <xdr:nvCxnSpPr>
                <xdr:cNvPr id="625" name="Straight Arrow Connector 624">
                  <a:extLst>
                    <a:ext uri="{FF2B5EF4-FFF2-40B4-BE49-F238E27FC236}">
                      <a16:creationId xmlns:a16="http://schemas.microsoft.com/office/drawing/2014/main" id="{A3F953AF-6DBC-CF6F-53F8-0D31A7DBE3CA}"/>
                    </a:ext>
                  </a:extLst>
                </xdr:cNvPr>
                <xdr:cNvCxnSpPr/>
              </xdr:nvCxnSpPr>
              <xdr:spPr>
                <a:xfrm>
                  <a:off x="7858125" y="4343400"/>
                  <a:ext cx="0" cy="9048750"/>
                </a:xfrm>
                <a:prstGeom prst="straightConnector1">
                  <a:avLst/>
                </a:prstGeom>
                <a:ln w="28575">
                  <a:solidFill>
                    <a:srgbClr val="00B050"/>
                  </a:solidFill>
                  <a:tailEnd type="triangle" w="lg" len="lg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626" name="TextBox 625">
                  <a:extLst>
                    <a:ext uri="{FF2B5EF4-FFF2-40B4-BE49-F238E27FC236}">
                      <a16:creationId xmlns:a16="http://schemas.microsoft.com/office/drawing/2014/main" id="{A9EB986A-9259-AD18-B0DB-A7939A417230}"/>
                    </a:ext>
                  </a:extLst>
                </xdr:cNvPr>
                <xdr:cNvSpPr txBox="1"/>
              </xdr:nvSpPr>
              <xdr:spPr>
                <a:xfrm>
                  <a:off x="7724775" y="4048125"/>
                  <a:ext cx="523187" cy="21736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l-GR" sz="1100" b="1" baseline="0">
                      <a:solidFill>
                        <a:srgbClr val="FF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ε</a:t>
                  </a:r>
                  <a:r>
                    <a:rPr lang="en-US" altLang="ko-KR" sz="1100" b="1">
                      <a:solidFill>
                        <a:srgbClr val="FF0000"/>
                      </a:solidFill>
                    </a:rPr>
                    <a:t>s</a:t>
                  </a:r>
                  <a:endParaRPr lang="en-US" sz="1100" b="1">
                    <a:solidFill>
                      <a:srgbClr val="FF0000"/>
                    </a:solidFill>
                  </a:endParaRPr>
                </a:p>
              </xdr:txBody>
            </xdr:sp>
          </xdr:grpSp>
          <xdr:grpSp>
            <xdr:nvGrpSpPr>
              <xdr:cNvPr id="616" name="Group 615">
                <a:extLst>
                  <a:ext uri="{FF2B5EF4-FFF2-40B4-BE49-F238E27FC236}">
                    <a16:creationId xmlns:a16="http://schemas.microsoft.com/office/drawing/2014/main" id="{52536104-C10E-2E3B-0ABC-2CE92D382371}"/>
                  </a:ext>
                </a:extLst>
              </xdr:cNvPr>
              <xdr:cNvGrpSpPr/>
            </xdr:nvGrpSpPr>
            <xdr:grpSpPr>
              <a:xfrm>
                <a:off x="16278225" y="13192125"/>
                <a:ext cx="1638300" cy="438150"/>
                <a:chOff x="16278225" y="11982450"/>
                <a:chExt cx="1638300" cy="438150"/>
              </a:xfrm>
            </xdr:grpSpPr>
            <xdr:cxnSp macro="">
              <xdr:nvCxnSpPr>
                <xdr:cNvPr id="617" name="Straight Connector 616">
                  <a:extLst>
                    <a:ext uri="{FF2B5EF4-FFF2-40B4-BE49-F238E27FC236}">
                      <a16:creationId xmlns:a16="http://schemas.microsoft.com/office/drawing/2014/main" id="{C12C8C44-0631-1332-01DE-54E58F52A3C4}"/>
                    </a:ext>
                  </a:extLst>
                </xdr:cNvPr>
                <xdr:cNvCxnSpPr/>
              </xdr:nvCxnSpPr>
              <xdr:spPr>
                <a:xfrm>
                  <a:off x="16278225" y="12211050"/>
                  <a:ext cx="361950" cy="0"/>
                </a:xfrm>
                <a:prstGeom prst="line">
                  <a:avLst/>
                </a:prstGeom>
                <a:ln w="28575">
                  <a:solidFill>
                    <a:srgbClr val="0070C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618" name="TextBox 617">
                  <a:extLst>
                    <a:ext uri="{FF2B5EF4-FFF2-40B4-BE49-F238E27FC236}">
                      <a16:creationId xmlns:a16="http://schemas.microsoft.com/office/drawing/2014/main" id="{DCE2711B-8844-6E3C-3204-37B3B6B24FF6}"/>
                    </a:ext>
                  </a:extLst>
                </xdr:cNvPr>
                <xdr:cNvSpPr txBox="1"/>
              </xdr:nvSpPr>
              <xdr:spPr>
                <a:xfrm>
                  <a:off x="16659225" y="11982450"/>
                  <a:ext cx="1257300" cy="438150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l-GR" altLang="ko-KR" sz="1100" b="1">
                      <a:solidFill>
                        <a:srgbClr val="FF0000"/>
                      </a:solidFill>
                      <a:sym typeface="Symbol" panose="05050102010706020507" pitchFamily="18" charset="2"/>
                    </a:rPr>
                    <a:t>ε</a:t>
                  </a:r>
                  <a:r>
                    <a:rPr lang="en-US" altLang="ko-KR" sz="1100" b="1">
                      <a:solidFill>
                        <a:srgbClr val="FF0000"/>
                      </a:solidFill>
                      <a:sym typeface="Symbol" panose="05050102010706020507" pitchFamily="18" charset="2"/>
                    </a:rPr>
                    <a:t>s = fy/Es</a:t>
                  </a:r>
                  <a:r>
                    <a:rPr lang="en-US" altLang="ko-KR" sz="1100" b="1" baseline="0">
                      <a:solidFill>
                        <a:srgbClr val="FF0000"/>
                      </a:solidFill>
                      <a:sym typeface="Symbol" panose="05050102010706020507" pitchFamily="18" charset="2"/>
                    </a:rPr>
                    <a:t> (0.002)</a:t>
                  </a:r>
                  <a:endParaRPr lang="en-US" sz="1100" b="1">
                    <a:solidFill>
                      <a:srgbClr val="FF0000"/>
                    </a:solidFill>
                  </a:endParaRPr>
                </a:p>
              </xdr:txBody>
            </xdr:sp>
          </xdr:grpSp>
        </xdr:grpSp>
        <xdr:cxnSp macro="">
          <xdr:nvCxnSpPr>
            <xdr:cNvPr id="631" name="Straight Connector 630">
              <a:extLst>
                <a:ext uri="{FF2B5EF4-FFF2-40B4-BE49-F238E27FC236}">
                  <a16:creationId xmlns:a16="http://schemas.microsoft.com/office/drawing/2014/main" id="{315255A5-826B-4D7F-A873-DF9C8FA12148}"/>
                </a:ext>
              </a:extLst>
            </xdr:cNvPr>
            <xdr:cNvCxnSpPr/>
          </xdr:nvCxnSpPr>
          <xdr:spPr>
            <a:xfrm>
              <a:off x="17478375" y="13925549"/>
              <a:ext cx="361950" cy="0"/>
            </a:xfrm>
            <a:prstGeom prst="line">
              <a:avLst/>
            </a:prstGeom>
            <a:ln w="28575">
              <a:solidFill>
                <a:srgbClr val="0070C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32" name="TextBox 631">
              <a:extLst>
                <a:ext uri="{FF2B5EF4-FFF2-40B4-BE49-F238E27FC236}">
                  <a16:creationId xmlns:a16="http://schemas.microsoft.com/office/drawing/2014/main" id="{ACB9D332-F1CD-4E02-9721-0B5072B802B3}"/>
                </a:ext>
              </a:extLst>
            </xdr:cNvPr>
            <xdr:cNvSpPr txBox="1"/>
          </xdr:nvSpPr>
          <xdr:spPr>
            <a:xfrm>
              <a:off x="17821275" y="13801725"/>
              <a:ext cx="876300" cy="190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l-GR" altLang="ko-KR" sz="1100" b="1">
                  <a:solidFill>
                    <a:srgbClr val="FF0000"/>
                  </a:solidFill>
                  <a:sym typeface="Symbol" panose="05050102010706020507" pitchFamily="18" charset="2"/>
                </a:rPr>
                <a:t>ε</a:t>
              </a:r>
              <a:r>
                <a:rPr lang="en-US" altLang="ko-KR" sz="1100" b="1">
                  <a:solidFill>
                    <a:srgbClr val="FF0000"/>
                  </a:solidFill>
                  <a:sym typeface="Symbol" panose="05050102010706020507" pitchFamily="18" charset="2"/>
                </a:rPr>
                <a:t>s = 0.003</a:t>
              </a:r>
            </a:p>
          </xdr:txBody>
        </xdr:sp>
        <xdr:cxnSp macro="">
          <xdr:nvCxnSpPr>
            <xdr:cNvPr id="633" name="Straight Connector 632">
              <a:extLst>
                <a:ext uri="{FF2B5EF4-FFF2-40B4-BE49-F238E27FC236}">
                  <a16:creationId xmlns:a16="http://schemas.microsoft.com/office/drawing/2014/main" id="{8702581C-05C3-4BB7-93B4-87B3BAE531CE}"/>
                </a:ext>
              </a:extLst>
            </xdr:cNvPr>
            <xdr:cNvCxnSpPr/>
          </xdr:nvCxnSpPr>
          <xdr:spPr>
            <a:xfrm>
              <a:off x="17468850" y="14316074"/>
              <a:ext cx="361950" cy="0"/>
            </a:xfrm>
            <a:prstGeom prst="line">
              <a:avLst/>
            </a:prstGeom>
            <a:ln w="28575">
              <a:solidFill>
                <a:srgbClr val="0070C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34" name="TextBox 633">
              <a:extLst>
                <a:ext uri="{FF2B5EF4-FFF2-40B4-BE49-F238E27FC236}">
                  <a16:creationId xmlns:a16="http://schemas.microsoft.com/office/drawing/2014/main" id="{B92795FB-4086-4493-AB31-99D3495BD8C5}"/>
                </a:ext>
              </a:extLst>
            </xdr:cNvPr>
            <xdr:cNvSpPr txBox="1"/>
          </xdr:nvSpPr>
          <xdr:spPr>
            <a:xfrm>
              <a:off x="17811750" y="14192250"/>
              <a:ext cx="876300" cy="2476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l-GR" altLang="ko-KR" sz="1100" b="1">
                  <a:solidFill>
                    <a:srgbClr val="FF0000"/>
                  </a:solidFill>
                  <a:sym typeface="Symbol" panose="05050102010706020507" pitchFamily="18" charset="2"/>
                </a:rPr>
                <a:t>ε</a:t>
              </a:r>
              <a:r>
                <a:rPr lang="en-US" altLang="ko-KR" sz="1100" b="1">
                  <a:solidFill>
                    <a:srgbClr val="FF0000"/>
                  </a:solidFill>
                  <a:sym typeface="Symbol" panose="05050102010706020507" pitchFamily="18" charset="2"/>
                </a:rPr>
                <a:t>s = 0.004</a:t>
              </a:r>
            </a:p>
          </xdr:txBody>
        </xdr:sp>
        <xdr:cxnSp macro="">
          <xdr:nvCxnSpPr>
            <xdr:cNvPr id="636" name="Straight Connector 635">
              <a:extLst>
                <a:ext uri="{FF2B5EF4-FFF2-40B4-BE49-F238E27FC236}">
                  <a16:creationId xmlns:a16="http://schemas.microsoft.com/office/drawing/2014/main" id="{256DBB29-3E74-4CDB-B0DD-E6C9F66DBD90}"/>
                </a:ext>
              </a:extLst>
            </xdr:cNvPr>
            <xdr:cNvCxnSpPr/>
          </xdr:nvCxnSpPr>
          <xdr:spPr>
            <a:xfrm>
              <a:off x="17468850" y="14697074"/>
              <a:ext cx="361950" cy="0"/>
            </a:xfrm>
            <a:prstGeom prst="line">
              <a:avLst/>
            </a:prstGeom>
            <a:ln w="28575">
              <a:solidFill>
                <a:srgbClr val="0070C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37" name="TextBox 636">
              <a:extLst>
                <a:ext uri="{FF2B5EF4-FFF2-40B4-BE49-F238E27FC236}">
                  <a16:creationId xmlns:a16="http://schemas.microsoft.com/office/drawing/2014/main" id="{9BE80001-EE7A-4B19-A3AA-33A4CDF21CFD}"/>
                </a:ext>
              </a:extLst>
            </xdr:cNvPr>
            <xdr:cNvSpPr txBox="1"/>
          </xdr:nvSpPr>
          <xdr:spPr>
            <a:xfrm>
              <a:off x="17811750" y="14592300"/>
              <a:ext cx="876300" cy="190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l-GR" altLang="ko-KR" sz="1100" b="1">
                  <a:solidFill>
                    <a:srgbClr val="FF0000"/>
                  </a:solidFill>
                  <a:sym typeface="Symbol" panose="05050102010706020507" pitchFamily="18" charset="2"/>
                </a:rPr>
                <a:t>ε</a:t>
              </a:r>
              <a:r>
                <a:rPr lang="en-US" altLang="ko-KR" sz="1100" b="1">
                  <a:solidFill>
                    <a:srgbClr val="FF0000"/>
                  </a:solidFill>
                  <a:sym typeface="Symbol" panose="05050102010706020507" pitchFamily="18" charset="2"/>
                </a:rPr>
                <a:t>s = 0.005</a:t>
              </a:r>
            </a:p>
          </xdr:txBody>
        </xdr:sp>
        <xdr:cxnSp macro="">
          <xdr:nvCxnSpPr>
            <xdr:cNvPr id="638" name="Straight Connector 637">
              <a:extLst>
                <a:ext uri="{FF2B5EF4-FFF2-40B4-BE49-F238E27FC236}">
                  <a16:creationId xmlns:a16="http://schemas.microsoft.com/office/drawing/2014/main" id="{DFD1B976-E04A-4375-9F31-7FAD8BB43FE1}"/>
                </a:ext>
              </a:extLst>
            </xdr:cNvPr>
            <xdr:cNvCxnSpPr/>
          </xdr:nvCxnSpPr>
          <xdr:spPr>
            <a:xfrm>
              <a:off x="17478375" y="15068549"/>
              <a:ext cx="361950" cy="0"/>
            </a:xfrm>
            <a:prstGeom prst="line">
              <a:avLst/>
            </a:prstGeom>
            <a:ln w="28575">
              <a:solidFill>
                <a:srgbClr val="0070C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39" name="TextBox 638">
              <a:extLst>
                <a:ext uri="{FF2B5EF4-FFF2-40B4-BE49-F238E27FC236}">
                  <a16:creationId xmlns:a16="http://schemas.microsoft.com/office/drawing/2014/main" id="{4759CF28-AEC9-42B3-A64B-2AAFB391E941}"/>
                </a:ext>
              </a:extLst>
            </xdr:cNvPr>
            <xdr:cNvSpPr txBox="1"/>
          </xdr:nvSpPr>
          <xdr:spPr>
            <a:xfrm>
              <a:off x="17821275" y="14963775"/>
              <a:ext cx="876300" cy="190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l-GR" sz="1100" b="1">
                  <a:solidFill>
                    <a:srgbClr val="FF0000"/>
                  </a:solidFill>
                </a:rPr>
                <a:t>ε</a:t>
              </a:r>
              <a:r>
                <a:rPr lang="en-US" sz="1100" b="1">
                  <a:solidFill>
                    <a:srgbClr val="FF0000"/>
                  </a:solidFill>
                </a:rPr>
                <a:t>s = 0.0075</a:t>
              </a:r>
            </a:p>
          </xdr:txBody>
        </xdr:sp>
        <xdr:cxnSp macro="">
          <xdr:nvCxnSpPr>
            <xdr:cNvPr id="640" name="Straight Connector 639">
              <a:extLst>
                <a:ext uri="{FF2B5EF4-FFF2-40B4-BE49-F238E27FC236}">
                  <a16:creationId xmlns:a16="http://schemas.microsoft.com/office/drawing/2014/main" id="{537EB140-051C-46F4-BE77-D2146C7B2049}"/>
                </a:ext>
              </a:extLst>
            </xdr:cNvPr>
            <xdr:cNvCxnSpPr/>
          </xdr:nvCxnSpPr>
          <xdr:spPr>
            <a:xfrm>
              <a:off x="17459325" y="15440024"/>
              <a:ext cx="361950" cy="0"/>
            </a:xfrm>
            <a:prstGeom prst="line">
              <a:avLst/>
            </a:prstGeom>
            <a:ln w="28575">
              <a:solidFill>
                <a:srgbClr val="0070C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41" name="TextBox 640">
              <a:extLst>
                <a:ext uri="{FF2B5EF4-FFF2-40B4-BE49-F238E27FC236}">
                  <a16:creationId xmlns:a16="http://schemas.microsoft.com/office/drawing/2014/main" id="{075A5588-31B7-4734-9665-4C3F78611A6F}"/>
                </a:ext>
              </a:extLst>
            </xdr:cNvPr>
            <xdr:cNvSpPr txBox="1"/>
          </xdr:nvSpPr>
          <xdr:spPr>
            <a:xfrm>
              <a:off x="17802225" y="15335250"/>
              <a:ext cx="876300" cy="190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l-GR" altLang="ko-KR" sz="1100" b="1">
                  <a:solidFill>
                    <a:srgbClr val="FF0000"/>
                  </a:solidFill>
                  <a:sym typeface="Symbol" panose="05050102010706020507" pitchFamily="18" charset="2"/>
                </a:rPr>
                <a:t>ε</a:t>
              </a:r>
              <a:r>
                <a:rPr lang="en-US" altLang="ko-KR" sz="1100" b="1">
                  <a:solidFill>
                    <a:srgbClr val="FF0000"/>
                  </a:solidFill>
                  <a:sym typeface="Symbol" panose="05050102010706020507" pitchFamily="18" charset="2"/>
                </a:rPr>
                <a:t>s = 0.01</a:t>
              </a:r>
            </a:p>
          </xdr:txBody>
        </xdr:sp>
        <xdr:cxnSp macro="">
          <xdr:nvCxnSpPr>
            <xdr:cNvPr id="642" name="Straight Connector 641">
              <a:extLst>
                <a:ext uri="{FF2B5EF4-FFF2-40B4-BE49-F238E27FC236}">
                  <a16:creationId xmlns:a16="http://schemas.microsoft.com/office/drawing/2014/main" id="{A8687098-74B2-41E8-A3FD-654A108390B1}"/>
                </a:ext>
              </a:extLst>
            </xdr:cNvPr>
            <xdr:cNvCxnSpPr/>
          </xdr:nvCxnSpPr>
          <xdr:spPr>
            <a:xfrm>
              <a:off x="17468850" y="15830549"/>
              <a:ext cx="361950" cy="0"/>
            </a:xfrm>
            <a:prstGeom prst="line">
              <a:avLst/>
            </a:prstGeom>
            <a:ln w="28575">
              <a:solidFill>
                <a:srgbClr val="0070C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43" name="TextBox 642">
              <a:extLst>
                <a:ext uri="{FF2B5EF4-FFF2-40B4-BE49-F238E27FC236}">
                  <a16:creationId xmlns:a16="http://schemas.microsoft.com/office/drawing/2014/main" id="{C1AC0080-E4A5-4DE0-BF04-240BC286B099}"/>
                </a:ext>
              </a:extLst>
            </xdr:cNvPr>
            <xdr:cNvSpPr txBox="1"/>
          </xdr:nvSpPr>
          <xdr:spPr>
            <a:xfrm>
              <a:off x="17811750" y="15725775"/>
              <a:ext cx="876300" cy="190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l-GR" altLang="ko-KR" sz="1100" b="1">
                  <a:solidFill>
                    <a:srgbClr val="FF0000"/>
                  </a:solidFill>
                  <a:sym typeface="Symbol" panose="05050102010706020507" pitchFamily="18" charset="2"/>
                </a:rPr>
                <a:t>ε</a:t>
              </a:r>
              <a:r>
                <a:rPr lang="en-US" altLang="ko-KR" sz="1100" b="1">
                  <a:solidFill>
                    <a:srgbClr val="FF0000"/>
                  </a:solidFill>
                  <a:sym typeface="Symbol" panose="05050102010706020507" pitchFamily="18" charset="2"/>
                </a:rPr>
                <a:t>s = 0.02</a:t>
              </a:r>
            </a:p>
          </xdr:txBody>
        </xdr:sp>
      </xdr:grpSp>
      <xdr:cxnSp macro="">
        <xdr:nvCxnSpPr>
          <xdr:cNvPr id="646" name="Straight Connector 645">
            <a:extLst>
              <a:ext uri="{FF2B5EF4-FFF2-40B4-BE49-F238E27FC236}">
                <a16:creationId xmlns:a16="http://schemas.microsoft.com/office/drawing/2014/main" id="{32D37DBC-E14A-496E-AA41-EFC2E7027A83}"/>
              </a:ext>
            </a:extLst>
          </xdr:cNvPr>
          <xdr:cNvCxnSpPr/>
        </xdr:nvCxnSpPr>
        <xdr:spPr>
          <a:xfrm>
            <a:off x="17468850" y="16230599"/>
            <a:ext cx="361950" cy="0"/>
          </a:xfrm>
          <a:prstGeom prst="line">
            <a:avLst/>
          </a:prstGeom>
          <a:ln w="28575">
            <a:solidFill>
              <a:srgbClr val="0070C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47" name="TextBox 646">
            <a:extLst>
              <a:ext uri="{FF2B5EF4-FFF2-40B4-BE49-F238E27FC236}">
                <a16:creationId xmlns:a16="http://schemas.microsoft.com/office/drawing/2014/main" id="{20D2422D-C6CF-4F38-8146-5D3FB38FA3FE}"/>
              </a:ext>
            </a:extLst>
          </xdr:cNvPr>
          <xdr:cNvSpPr txBox="1"/>
        </xdr:nvSpPr>
        <xdr:spPr>
          <a:xfrm>
            <a:off x="17811750" y="16125825"/>
            <a:ext cx="876300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l-GR" altLang="ko-KR" sz="1100" b="1">
                <a:solidFill>
                  <a:srgbClr val="FF0000"/>
                </a:solidFill>
                <a:sym typeface="Symbol" panose="05050102010706020507" pitchFamily="18" charset="2"/>
              </a:rPr>
              <a:t>ε</a:t>
            </a:r>
            <a:r>
              <a:rPr lang="en-US" altLang="ko-KR" sz="1100" b="1">
                <a:solidFill>
                  <a:srgbClr val="FF0000"/>
                </a:solidFill>
                <a:sym typeface="Symbol" panose="05050102010706020507" pitchFamily="18" charset="2"/>
              </a:rPr>
              <a:t>s = 0.05</a:t>
            </a:r>
          </a:p>
        </xdr:txBody>
      </xdr:sp>
      <xdr:cxnSp macro="">
        <xdr:nvCxnSpPr>
          <xdr:cNvPr id="648" name="Straight Connector 647">
            <a:extLst>
              <a:ext uri="{FF2B5EF4-FFF2-40B4-BE49-F238E27FC236}">
                <a16:creationId xmlns:a16="http://schemas.microsoft.com/office/drawing/2014/main" id="{FEB6CAA1-9483-43DA-8630-4514DAA921F6}"/>
              </a:ext>
            </a:extLst>
          </xdr:cNvPr>
          <xdr:cNvCxnSpPr/>
        </xdr:nvCxnSpPr>
        <xdr:spPr>
          <a:xfrm>
            <a:off x="17468850" y="16602074"/>
            <a:ext cx="361950" cy="0"/>
          </a:xfrm>
          <a:prstGeom prst="line">
            <a:avLst/>
          </a:prstGeom>
          <a:ln w="28575">
            <a:solidFill>
              <a:srgbClr val="0070C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49" name="TextBox 648">
            <a:extLst>
              <a:ext uri="{FF2B5EF4-FFF2-40B4-BE49-F238E27FC236}">
                <a16:creationId xmlns:a16="http://schemas.microsoft.com/office/drawing/2014/main" id="{B2452E4B-FBE2-4CA8-99F5-F70F812BC590}"/>
              </a:ext>
            </a:extLst>
          </xdr:cNvPr>
          <xdr:cNvSpPr txBox="1"/>
        </xdr:nvSpPr>
        <xdr:spPr>
          <a:xfrm>
            <a:off x="17811750" y="16497300"/>
            <a:ext cx="876300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l-GR" altLang="ko-KR" sz="1100" b="1">
                <a:solidFill>
                  <a:srgbClr val="FF0000"/>
                </a:solidFill>
                <a:sym typeface="Symbol" panose="05050102010706020507" pitchFamily="18" charset="2"/>
              </a:rPr>
              <a:t>ε</a:t>
            </a:r>
            <a:r>
              <a:rPr lang="en-US" altLang="ko-KR" sz="1100" b="1">
                <a:solidFill>
                  <a:srgbClr val="FF0000"/>
                </a:solidFill>
                <a:sym typeface="Symbol" panose="05050102010706020507" pitchFamily="18" charset="2"/>
              </a:rPr>
              <a:t>s = 0.1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561352</xdr:colOff>
      <xdr:row>3</xdr:row>
      <xdr:rowOff>171088</xdr:rowOff>
    </xdr:from>
    <xdr:to>
      <xdr:col>4</xdr:col>
      <xdr:colOff>117759</xdr:colOff>
      <xdr:row>12</xdr:row>
      <xdr:rowOff>102834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761E02A5-7ED2-0CE3-49E9-8A70D3CFC844}"/>
            </a:ext>
          </a:extLst>
        </xdr:cNvPr>
        <xdr:cNvGrpSpPr/>
      </xdr:nvGrpSpPr>
      <xdr:grpSpPr>
        <a:xfrm>
          <a:off x="561352" y="761638"/>
          <a:ext cx="2147207" cy="1712921"/>
          <a:chOff x="1944103" y="193390"/>
          <a:chExt cx="2144652" cy="1646246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9C1645CE-337F-A78D-01EE-F28C84C9DB78}"/>
              </a:ext>
            </a:extLst>
          </xdr:cNvPr>
          <xdr:cNvGrpSpPr/>
        </xdr:nvGrpSpPr>
        <xdr:grpSpPr>
          <a:xfrm>
            <a:off x="1944103" y="382722"/>
            <a:ext cx="1031012" cy="1456914"/>
            <a:chOff x="1228223" y="471212"/>
            <a:chExt cx="1037227" cy="1459227"/>
          </a:xfrm>
        </xdr:grpSpPr>
        <xdr:sp macro="" textlink="">
          <xdr:nvSpPr>
            <xdr:cNvPr id="39" name="Rectangle 38">
              <a:extLst>
                <a:ext uri="{FF2B5EF4-FFF2-40B4-BE49-F238E27FC236}">
                  <a16:creationId xmlns:a16="http://schemas.microsoft.com/office/drawing/2014/main" id="{BF221478-F2AF-91A3-A5A7-7457F2019125}"/>
                </a:ext>
              </a:extLst>
            </xdr:cNvPr>
            <xdr:cNvSpPr/>
          </xdr:nvSpPr>
          <xdr:spPr>
            <a:xfrm>
              <a:off x="1228223" y="471212"/>
              <a:ext cx="1037227" cy="1459227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  <a:ln w="22225">
              <a:solidFill>
                <a:schemeClr val="tx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900">
                  <a:solidFill>
                    <a:srgbClr val="FF0000"/>
                  </a:solidFill>
                </a:rPr>
                <a:t>Compression</a:t>
              </a:r>
            </a:p>
          </xdr:txBody>
        </xdr:sp>
        <xdr:grpSp>
          <xdr:nvGrpSpPr>
            <xdr:cNvPr id="10" name="Group 9">
              <a:extLst>
                <a:ext uri="{FF2B5EF4-FFF2-40B4-BE49-F238E27FC236}">
                  <a16:creationId xmlns:a16="http://schemas.microsoft.com/office/drawing/2014/main" id="{E5890393-44A9-EE48-3058-1E095FEDA5AC}"/>
                </a:ext>
              </a:extLst>
            </xdr:cNvPr>
            <xdr:cNvGrpSpPr/>
          </xdr:nvGrpSpPr>
          <xdr:grpSpPr>
            <a:xfrm>
              <a:off x="1348396" y="588819"/>
              <a:ext cx="780486" cy="49254"/>
              <a:chOff x="1339736" y="580159"/>
              <a:chExt cx="780486" cy="49254"/>
            </a:xfrm>
          </xdr:grpSpPr>
          <xdr:sp macro="" textlink="">
            <xdr:nvSpPr>
              <xdr:cNvPr id="16" name="Oval 15">
                <a:extLst>
                  <a:ext uri="{FF2B5EF4-FFF2-40B4-BE49-F238E27FC236}">
                    <a16:creationId xmlns:a16="http://schemas.microsoft.com/office/drawing/2014/main" id="{0779022D-106A-2396-3176-F64DF9C02AD7}"/>
                  </a:ext>
                </a:extLst>
              </xdr:cNvPr>
              <xdr:cNvSpPr/>
            </xdr:nvSpPr>
            <xdr:spPr>
              <a:xfrm>
                <a:off x="1339736" y="580159"/>
                <a:ext cx="45719" cy="45719"/>
              </a:xfrm>
              <a:prstGeom prst="ellips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7" name="Oval 16">
                <a:extLst>
                  <a:ext uri="{FF2B5EF4-FFF2-40B4-BE49-F238E27FC236}">
                    <a16:creationId xmlns:a16="http://schemas.microsoft.com/office/drawing/2014/main" id="{8D79E358-E23B-0116-D901-8EFC3A77576E}"/>
                  </a:ext>
                </a:extLst>
              </xdr:cNvPr>
              <xdr:cNvSpPr/>
            </xdr:nvSpPr>
            <xdr:spPr>
              <a:xfrm>
                <a:off x="1579202" y="581960"/>
                <a:ext cx="45719" cy="45719"/>
              </a:xfrm>
              <a:prstGeom prst="ellips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8" name="Oval 17">
                <a:extLst>
                  <a:ext uri="{FF2B5EF4-FFF2-40B4-BE49-F238E27FC236}">
                    <a16:creationId xmlns:a16="http://schemas.microsoft.com/office/drawing/2014/main" id="{356BD556-D94C-D39A-CB2B-12531428E11A}"/>
                  </a:ext>
                </a:extLst>
              </xdr:cNvPr>
              <xdr:cNvSpPr/>
            </xdr:nvSpPr>
            <xdr:spPr>
              <a:xfrm>
                <a:off x="1831183" y="582827"/>
                <a:ext cx="45719" cy="45719"/>
              </a:xfrm>
              <a:prstGeom prst="ellips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9" name="Oval 18">
                <a:extLst>
                  <a:ext uri="{FF2B5EF4-FFF2-40B4-BE49-F238E27FC236}">
                    <a16:creationId xmlns:a16="http://schemas.microsoft.com/office/drawing/2014/main" id="{30B6749E-89A1-C12D-86BB-DF5EBD1A4DE2}"/>
                  </a:ext>
                </a:extLst>
              </xdr:cNvPr>
              <xdr:cNvSpPr/>
            </xdr:nvSpPr>
            <xdr:spPr>
              <a:xfrm>
                <a:off x="2074503" y="583694"/>
                <a:ext cx="45719" cy="45719"/>
              </a:xfrm>
              <a:prstGeom prst="ellips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grpSp>
          <xdr:nvGrpSpPr>
            <xdr:cNvPr id="11" name="Group 10">
              <a:extLst>
                <a:ext uri="{FF2B5EF4-FFF2-40B4-BE49-F238E27FC236}">
                  <a16:creationId xmlns:a16="http://schemas.microsoft.com/office/drawing/2014/main" id="{0C8A7CBF-6E8E-39AD-82D9-4DC02E77398B}"/>
                </a:ext>
              </a:extLst>
            </xdr:cNvPr>
            <xdr:cNvGrpSpPr/>
          </xdr:nvGrpSpPr>
          <xdr:grpSpPr>
            <a:xfrm>
              <a:off x="1372466" y="1757795"/>
              <a:ext cx="780486" cy="49254"/>
              <a:chOff x="1339736" y="580159"/>
              <a:chExt cx="780486" cy="49254"/>
            </a:xfrm>
          </xdr:grpSpPr>
          <xdr:sp macro="" textlink="">
            <xdr:nvSpPr>
              <xdr:cNvPr id="12" name="Oval 11">
                <a:extLst>
                  <a:ext uri="{FF2B5EF4-FFF2-40B4-BE49-F238E27FC236}">
                    <a16:creationId xmlns:a16="http://schemas.microsoft.com/office/drawing/2014/main" id="{45CE3B77-6F6D-CBD1-6792-78464CFDCA53}"/>
                  </a:ext>
                </a:extLst>
              </xdr:cNvPr>
              <xdr:cNvSpPr/>
            </xdr:nvSpPr>
            <xdr:spPr>
              <a:xfrm>
                <a:off x="1339736" y="580159"/>
                <a:ext cx="45719" cy="45719"/>
              </a:xfrm>
              <a:prstGeom prst="ellips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3" name="Oval 12">
                <a:extLst>
                  <a:ext uri="{FF2B5EF4-FFF2-40B4-BE49-F238E27FC236}">
                    <a16:creationId xmlns:a16="http://schemas.microsoft.com/office/drawing/2014/main" id="{6412CE97-0AD9-74A8-EED7-3D55CF86DD14}"/>
                  </a:ext>
                </a:extLst>
              </xdr:cNvPr>
              <xdr:cNvSpPr/>
            </xdr:nvSpPr>
            <xdr:spPr>
              <a:xfrm>
                <a:off x="1579202" y="581960"/>
                <a:ext cx="45719" cy="45719"/>
              </a:xfrm>
              <a:prstGeom prst="ellips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4" name="Oval 13">
                <a:extLst>
                  <a:ext uri="{FF2B5EF4-FFF2-40B4-BE49-F238E27FC236}">
                    <a16:creationId xmlns:a16="http://schemas.microsoft.com/office/drawing/2014/main" id="{75BEB573-B0A6-BD26-96A2-99C92E4D99FA}"/>
                  </a:ext>
                </a:extLst>
              </xdr:cNvPr>
              <xdr:cNvSpPr/>
            </xdr:nvSpPr>
            <xdr:spPr>
              <a:xfrm>
                <a:off x="1831183" y="582827"/>
                <a:ext cx="45719" cy="45719"/>
              </a:xfrm>
              <a:prstGeom prst="ellips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5" name="Oval 14">
                <a:extLst>
                  <a:ext uri="{FF2B5EF4-FFF2-40B4-BE49-F238E27FC236}">
                    <a16:creationId xmlns:a16="http://schemas.microsoft.com/office/drawing/2014/main" id="{1E4230E3-D29C-46E0-610F-1F2DD3689ED9}"/>
                  </a:ext>
                </a:extLst>
              </xdr:cNvPr>
              <xdr:cNvSpPr/>
            </xdr:nvSpPr>
            <xdr:spPr>
              <a:xfrm>
                <a:off x="2074503" y="583694"/>
                <a:ext cx="45719" cy="45719"/>
              </a:xfrm>
              <a:prstGeom prst="ellips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</xdr:grpSp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8F39AB5E-D8B7-E220-45B0-BE31DE660C20}"/>
              </a:ext>
            </a:extLst>
          </xdr:cNvPr>
          <xdr:cNvSpPr/>
        </xdr:nvSpPr>
        <xdr:spPr>
          <a:xfrm>
            <a:off x="3221382" y="389004"/>
            <a:ext cx="216114" cy="1437554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12700"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3DD4C959-7658-47ED-A5CC-84B1A053ECA1}"/>
              </a:ext>
            </a:extLst>
          </xdr:cNvPr>
          <xdr:cNvSpPr txBox="1"/>
        </xdr:nvSpPr>
        <xdr:spPr>
          <a:xfrm>
            <a:off x="3070082" y="193390"/>
            <a:ext cx="743551" cy="1797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l-GR" altLang="ko-KR" sz="900"/>
              <a:t>ε</a:t>
            </a:r>
            <a:r>
              <a:rPr lang="en-US" altLang="ko-KR" sz="900"/>
              <a:t>cu = 0.003</a:t>
            </a:r>
            <a:endParaRPr lang="en-US" sz="900"/>
          </a:p>
        </xdr:txBody>
      </xdr:sp>
      <xdr:cxnSp macro="">
        <xdr:nvCxnSpPr>
          <xdr:cNvPr id="43" name="Straight Arrow Connector 42">
            <a:extLst>
              <a:ext uri="{FF2B5EF4-FFF2-40B4-BE49-F238E27FC236}">
                <a16:creationId xmlns:a16="http://schemas.microsoft.com/office/drawing/2014/main" id="{70C3F439-EC1A-4563-B694-085330B6C85C}"/>
              </a:ext>
            </a:extLst>
          </xdr:cNvPr>
          <xdr:cNvCxnSpPr/>
        </xdr:nvCxnSpPr>
        <xdr:spPr>
          <a:xfrm flipH="1">
            <a:off x="3626760" y="1052553"/>
            <a:ext cx="356049" cy="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069A8F71-D4C6-4492-9127-EAFBD9FCF3A9}"/>
              </a:ext>
            </a:extLst>
          </xdr:cNvPr>
          <xdr:cNvSpPr txBox="1"/>
        </xdr:nvSpPr>
        <xdr:spPr>
          <a:xfrm>
            <a:off x="3537548" y="1064557"/>
            <a:ext cx="451167" cy="2145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900" b="1">
                <a:solidFill>
                  <a:srgbClr val="0070C0"/>
                </a:solidFill>
              </a:rPr>
              <a:t>Fc</a:t>
            </a:r>
            <a:endParaRPr lang="en-US" sz="900" b="1">
              <a:solidFill>
                <a:srgbClr val="0070C0"/>
              </a:solidFill>
            </a:endParaRPr>
          </a:p>
        </xdr:txBody>
      </xdr:sp>
      <xdr:cxnSp macro="">
        <xdr:nvCxnSpPr>
          <xdr:cNvPr id="45" name="Straight Arrow Connector 44">
            <a:extLst>
              <a:ext uri="{FF2B5EF4-FFF2-40B4-BE49-F238E27FC236}">
                <a16:creationId xmlns:a16="http://schemas.microsoft.com/office/drawing/2014/main" id="{429390FD-23FA-4221-99DC-87787ED3807E}"/>
              </a:ext>
            </a:extLst>
          </xdr:cNvPr>
          <xdr:cNvCxnSpPr/>
        </xdr:nvCxnSpPr>
        <xdr:spPr>
          <a:xfrm flipH="1">
            <a:off x="3619169" y="480646"/>
            <a:ext cx="356049" cy="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CAE318F5-5A2D-4F00-A75A-5549EA6F38E9}"/>
              </a:ext>
            </a:extLst>
          </xdr:cNvPr>
          <xdr:cNvSpPr txBox="1"/>
        </xdr:nvSpPr>
        <xdr:spPr>
          <a:xfrm>
            <a:off x="3537548" y="505064"/>
            <a:ext cx="523192" cy="2145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900" b="1">
                <a:solidFill>
                  <a:srgbClr val="0070C0"/>
                </a:solidFill>
              </a:rPr>
              <a:t>Fs</a:t>
            </a:r>
            <a:endParaRPr lang="en-US" sz="900" b="1">
              <a:solidFill>
                <a:srgbClr val="0070C0"/>
              </a:solidFill>
            </a:endParaRPr>
          </a:p>
        </xdr:txBody>
      </xdr:sp>
      <xdr:cxnSp macro="">
        <xdr:nvCxnSpPr>
          <xdr:cNvPr id="47" name="Straight Arrow Connector 46">
            <a:extLst>
              <a:ext uri="{FF2B5EF4-FFF2-40B4-BE49-F238E27FC236}">
                <a16:creationId xmlns:a16="http://schemas.microsoft.com/office/drawing/2014/main" id="{87306D98-8117-4E13-BCC8-8AAE8237DF60}"/>
              </a:ext>
            </a:extLst>
          </xdr:cNvPr>
          <xdr:cNvCxnSpPr/>
        </xdr:nvCxnSpPr>
        <xdr:spPr>
          <a:xfrm flipH="1">
            <a:off x="3649606" y="1664073"/>
            <a:ext cx="356049" cy="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8051831-34E4-45D9-B4AF-24A4627E1E27}"/>
              </a:ext>
            </a:extLst>
          </xdr:cNvPr>
          <xdr:cNvSpPr txBox="1"/>
        </xdr:nvSpPr>
        <xdr:spPr>
          <a:xfrm>
            <a:off x="3565563" y="1441557"/>
            <a:ext cx="523192" cy="2145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900" b="1">
                <a:solidFill>
                  <a:srgbClr val="0070C0"/>
                </a:solidFill>
              </a:rPr>
              <a:t>Fs</a:t>
            </a:r>
            <a:endParaRPr lang="en-US" sz="900" b="1">
              <a:solidFill>
                <a:srgbClr val="0070C0"/>
              </a:solidFill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4</xdr:row>
      <xdr:rowOff>114300</xdr:rowOff>
    </xdr:from>
    <xdr:to>
      <xdr:col>10</xdr:col>
      <xdr:colOff>295276</xdr:colOff>
      <xdr:row>16</xdr:row>
      <xdr:rowOff>19050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F14FF88E-E624-437E-93B2-13E081952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338861</xdr:colOff>
      <xdr:row>2</xdr:row>
      <xdr:rowOff>175849</xdr:rowOff>
    </xdr:from>
    <xdr:to>
      <xdr:col>6</xdr:col>
      <xdr:colOff>378082</xdr:colOff>
      <xdr:row>16</xdr:row>
      <xdr:rowOff>6650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994575D8-06DC-FE32-2A20-6A664229E529}"/>
            </a:ext>
          </a:extLst>
        </xdr:cNvPr>
        <xdr:cNvGrpSpPr/>
      </xdr:nvGrpSpPr>
      <xdr:grpSpPr>
        <a:xfrm>
          <a:off x="338861" y="613999"/>
          <a:ext cx="4077821" cy="2526376"/>
          <a:chOff x="338861" y="613999"/>
          <a:chExt cx="4077821" cy="2526376"/>
        </a:xfrm>
      </xdr:grpSpPr>
      <xdr:grpSp>
        <xdr:nvGrpSpPr>
          <xdr:cNvPr id="85" name="Group 84">
            <a:extLst>
              <a:ext uri="{FF2B5EF4-FFF2-40B4-BE49-F238E27FC236}">
                <a16:creationId xmlns:a16="http://schemas.microsoft.com/office/drawing/2014/main" id="{68ECA62D-3FFA-9471-8FE8-BA59D88EB2EF}"/>
              </a:ext>
            </a:extLst>
          </xdr:cNvPr>
          <xdr:cNvGrpSpPr/>
        </xdr:nvGrpSpPr>
        <xdr:grpSpPr>
          <a:xfrm>
            <a:off x="338861" y="613999"/>
            <a:ext cx="4077821" cy="2526376"/>
            <a:chOff x="338861" y="603312"/>
            <a:chExt cx="4067599" cy="2516387"/>
          </a:xfrm>
        </xdr:grpSpPr>
        <xdr:grpSp>
          <xdr:nvGrpSpPr>
            <xdr:cNvPr id="82" name="Group 81">
              <a:extLst>
                <a:ext uri="{FF2B5EF4-FFF2-40B4-BE49-F238E27FC236}">
                  <a16:creationId xmlns:a16="http://schemas.microsoft.com/office/drawing/2014/main" id="{B3263395-88F2-7682-AC91-1AE0D5C65956}"/>
                </a:ext>
              </a:extLst>
            </xdr:cNvPr>
            <xdr:cNvGrpSpPr/>
          </xdr:nvGrpSpPr>
          <xdr:grpSpPr>
            <a:xfrm>
              <a:off x="338861" y="603312"/>
              <a:ext cx="4067599" cy="2516387"/>
              <a:chOff x="338861" y="603312"/>
              <a:chExt cx="4067599" cy="2516387"/>
            </a:xfrm>
          </xdr:grpSpPr>
          <xdr:grpSp>
            <xdr:nvGrpSpPr>
              <xdr:cNvPr id="80" name="Group 79">
                <a:extLst>
                  <a:ext uri="{FF2B5EF4-FFF2-40B4-BE49-F238E27FC236}">
                    <a16:creationId xmlns:a16="http://schemas.microsoft.com/office/drawing/2014/main" id="{6B41A7C2-43A1-82C8-9E78-2302535C2932}"/>
                  </a:ext>
                </a:extLst>
              </xdr:cNvPr>
              <xdr:cNvGrpSpPr/>
            </xdr:nvGrpSpPr>
            <xdr:grpSpPr>
              <a:xfrm>
                <a:off x="338861" y="603312"/>
                <a:ext cx="4067599" cy="2516387"/>
                <a:chOff x="338861" y="603312"/>
                <a:chExt cx="4067599" cy="2516387"/>
              </a:xfrm>
            </xdr:grpSpPr>
            <xdr:grpSp>
              <xdr:nvGrpSpPr>
                <xdr:cNvPr id="2" name="Group 1">
                  <a:extLst>
                    <a:ext uri="{FF2B5EF4-FFF2-40B4-BE49-F238E27FC236}">
                      <a16:creationId xmlns:a16="http://schemas.microsoft.com/office/drawing/2014/main" id="{8A9AF295-5C3D-462F-98E6-9E910DF67E76}"/>
                    </a:ext>
                  </a:extLst>
                </xdr:cNvPr>
                <xdr:cNvGrpSpPr/>
              </xdr:nvGrpSpPr>
              <xdr:grpSpPr>
                <a:xfrm>
                  <a:off x="338861" y="603312"/>
                  <a:ext cx="4067599" cy="2516387"/>
                  <a:chOff x="357911" y="413974"/>
                  <a:chExt cx="3925421" cy="2516387"/>
                </a:xfrm>
              </xdr:grpSpPr>
              <xdr:sp macro="" textlink="">
                <xdr:nvSpPr>
                  <xdr:cNvPr id="3" name="TextBox 2">
                    <a:extLst>
                      <a:ext uri="{FF2B5EF4-FFF2-40B4-BE49-F238E27FC236}">
                        <a16:creationId xmlns:a16="http://schemas.microsoft.com/office/drawing/2014/main" id="{F301DBDC-B7C1-DB14-4C19-3AC2916DA1BF}"/>
                      </a:ext>
                    </a:extLst>
                  </xdr:cNvPr>
                  <xdr:cNvSpPr txBox="1"/>
                </xdr:nvSpPr>
                <xdr:spPr>
                  <a:xfrm>
                    <a:off x="3140531" y="1059735"/>
                    <a:ext cx="396163" cy="183179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l-GR" altLang="ko-KR" sz="900"/>
                      <a:t>ε</a:t>
                    </a:r>
                    <a:r>
                      <a:rPr lang="en-US" altLang="ko-KR" sz="900"/>
                      <a:t>ci</a:t>
                    </a:r>
                    <a:endParaRPr lang="en-US" sz="900"/>
                  </a:p>
                </xdr:txBody>
              </xdr:sp>
              <xdr:grpSp>
                <xdr:nvGrpSpPr>
                  <xdr:cNvPr id="4" name="Group 3">
                    <a:extLst>
                      <a:ext uri="{FF2B5EF4-FFF2-40B4-BE49-F238E27FC236}">
                        <a16:creationId xmlns:a16="http://schemas.microsoft.com/office/drawing/2014/main" id="{B0EB66E3-0CE2-9C81-0400-C7059B2F32D3}"/>
                      </a:ext>
                    </a:extLst>
                  </xdr:cNvPr>
                  <xdr:cNvGrpSpPr/>
                </xdr:nvGrpSpPr>
                <xdr:grpSpPr>
                  <a:xfrm>
                    <a:off x="357911" y="413974"/>
                    <a:ext cx="3925421" cy="2516387"/>
                    <a:chOff x="348386" y="166324"/>
                    <a:chExt cx="3914270" cy="2529348"/>
                  </a:xfrm>
                </xdr:grpSpPr>
                <xdr:grpSp>
                  <xdr:nvGrpSpPr>
                    <xdr:cNvPr id="5" name="Group 4">
                      <a:extLst>
                        <a:ext uri="{FF2B5EF4-FFF2-40B4-BE49-F238E27FC236}">
                          <a16:creationId xmlns:a16="http://schemas.microsoft.com/office/drawing/2014/main" id="{E8CB75A1-CC2F-A37B-EA48-013ED8A63F3E}"/>
                        </a:ext>
                      </a:extLst>
                    </xdr:cNvPr>
                    <xdr:cNvGrpSpPr/>
                  </xdr:nvGrpSpPr>
                  <xdr:grpSpPr>
                    <a:xfrm>
                      <a:off x="348386" y="166324"/>
                      <a:ext cx="3914270" cy="2529348"/>
                      <a:chOff x="348386" y="166324"/>
                      <a:chExt cx="3938240" cy="2540965"/>
                    </a:xfrm>
                  </xdr:grpSpPr>
                  <xdr:grpSp>
                    <xdr:nvGrpSpPr>
                      <xdr:cNvPr id="10" name="Group 9">
                        <a:extLst>
                          <a:ext uri="{FF2B5EF4-FFF2-40B4-BE49-F238E27FC236}">
                            <a16:creationId xmlns:a16="http://schemas.microsoft.com/office/drawing/2014/main" id="{F7F54043-84E0-BD33-F052-06110442777A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348386" y="166324"/>
                        <a:ext cx="3938240" cy="2540965"/>
                        <a:chOff x="348386" y="166324"/>
                        <a:chExt cx="3938240" cy="2540965"/>
                      </a:xfrm>
                    </xdr:grpSpPr>
                    <xdr:grpSp>
                      <xdr:nvGrpSpPr>
                        <xdr:cNvPr id="19" name="Group 18">
                          <a:extLst>
                            <a:ext uri="{FF2B5EF4-FFF2-40B4-BE49-F238E27FC236}">
                              <a16:creationId xmlns:a16="http://schemas.microsoft.com/office/drawing/2014/main" id="{8C767B7A-108E-E5A4-B65E-9AF10F6580D5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15160" y="166324"/>
                          <a:ext cx="3871466" cy="2540965"/>
                          <a:chOff x="415160" y="166324"/>
                          <a:chExt cx="3871466" cy="2540965"/>
                        </a:xfrm>
                      </xdr:grpSpPr>
                      <xdr:grpSp>
                        <xdr:nvGrpSpPr>
                          <xdr:cNvPr id="20" name="Group 19">
                            <a:extLst>
                              <a:ext uri="{FF2B5EF4-FFF2-40B4-BE49-F238E27FC236}">
                                <a16:creationId xmlns:a16="http://schemas.microsoft.com/office/drawing/2014/main" id="{20952466-4814-AA2D-B82C-9EC94301EE55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15160" y="166324"/>
                            <a:ext cx="3871466" cy="2540965"/>
                            <a:chOff x="593718" y="242524"/>
                            <a:chExt cx="3865225" cy="2502761"/>
                          </a:xfrm>
                        </xdr:grpSpPr>
                        <xdr:grpSp>
                          <xdr:nvGrpSpPr>
                            <xdr:cNvPr id="31" name="Group 30">
                              <a:extLst>
                                <a:ext uri="{FF2B5EF4-FFF2-40B4-BE49-F238E27FC236}">
                                  <a16:creationId xmlns:a16="http://schemas.microsoft.com/office/drawing/2014/main" id="{279EFE43-0827-4ED7-E97F-041A064167C5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969988" y="242524"/>
                              <a:ext cx="3488955" cy="2502761"/>
                              <a:chOff x="3044598" y="298660"/>
                              <a:chExt cx="3485059" cy="2461883"/>
                            </a:xfrm>
                          </xdr:grpSpPr>
                          <xdr:grpSp>
                            <xdr:nvGrpSpPr>
                              <xdr:cNvPr id="36" name="Group 35">
                                <a:extLst>
                                  <a:ext uri="{FF2B5EF4-FFF2-40B4-BE49-F238E27FC236}">
                                    <a16:creationId xmlns:a16="http://schemas.microsoft.com/office/drawing/2014/main" id="{1E5AFC65-B55E-E55C-588D-2482A74C1703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3044598" y="298660"/>
                                <a:ext cx="3276059" cy="2461883"/>
                                <a:chOff x="2595019" y="251933"/>
                                <a:chExt cx="3271054" cy="2461883"/>
                              </a:xfrm>
                            </xdr:grpSpPr>
                            <xdr:grpSp>
                              <xdr:nvGrpSpPr>
                                <xdr:cNvPr id="41" name="Group 40">
                                  <a:extLst>
                                    <a:ext uri="{FF2B5EF4-FFF2-40B4-BE49-F238E27FC236}">
                                      <a16:creationId xmlns:a16="http://schemas.microsoft.com/office/drawing/2014/main" id="{312506B5-D619-BAAA-28B1-65E52F764EEF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2784020" y="251933"/>
                                  <a:ext cx="3082053" cy="2461883"/>
                                  <a:chOff x="2241476" y="194783"/>
                                  <a:chExt cx="3082027" cy="2461883"/>
                                </a:xfrm>
                              </xdr:grpSpPr>
                              <xdr:cxnSp macro="">
                                <xdr:nvCxnSpPr>
                                  <xdr:cNvPr id="46" name="Straight Connector 45">
                                    <a:extLst>
                                      <a:ext uri="{FF2B5EF4-FFF2-40B4-BE49-F238E27FC236}">
                                        <a16:creationId xmlns:a16="http://schemas.microsoft.com/office/drawing/2014/main" id="{1B3EDE85-34CA-A594-01F8-7D435A6EE14A}"/>
                                      </a:ext>
                                    </a:extLst>
                                  </xdr:cNvPr>
                                  <xdr:cNvCxnSpPr/>
                                </xdr:nvCxnSpPr>
                                <xdr:spPr>
                                  <a:xfrm>
                                    <a:off x="2241476" y="841697"/>
                                    <a:ext cx="0" cy="364469"/>
                                  </a:xfrm>
                                  <a:prstGeom prst="line">
                                    <a:avLst/>
                                  </a:prstGeom>
                                  <a:ln w="3175"/>
                                </xdr:spPr>
                                <xdr:style>
                                  <a:lnRef idx="1">
                                    <a:schemeClr val="accent1"/>
                                  </a:lnRef>
                                  <a:fillRef idx="0">
                                    <a:schemeClr val="accent1"/>
                                  </a:fillRef>
                                  <a:effectRef idx="0">
                                    <a:schemeClr val="accent1"/>
                                  </a:effectRef>
                                  <a:fontRef idx="minor">
                                    <a:schemeClr val="tx1"/>
                                  </a:fontRef>
                                </xdr:style>
                              </xdr:cxnSp>
                              <xdr:cxnSp macro="">
                                <xdr:nvCxnSpPr>
                                  <xdr:cNvPr id="47" name="Straight Connector 46">
                                    <a:extLst>
                                      <a:ext uri="{FF2B5EF4-FFF2-40B4-BE49-F238E27FC236}">
                                        <a16:creationId xmlns:a16="http://schemas.microsoft.com/office/drawing/2014/main" id="{8C7F7F8A-9DCA-6135-77CB-8C38D3BC08DD}"/>
                                      </a:ext>
                                    </a:extLst>
                                  </xdr:cNvPr>
                                  <xdr:cNvCxnSpPr/>
                                </xdr:nvCxnSpPr>
                                <xdr:spPr>
                                  <a:xfrm flipH="1">
                                    <a:off x="2242418" y="857196"/>
                                    <a:ext cx="166719" cy="0"/>
                                  </a:xfrm>
                                  <a:prstGeom prst="line">
                                    <a:avLst/>
                                  </a:prstGeom>
                                  <a:ln w="3175">
                                    <a:headEnd type="none"/>
                                    <a:tailEnd type="oval" w="sm" len="sm"/>
                                  </a:ln>
                                </xdr:spPr>
                                <xdr:style>
                                  <a:lnRef idx="1">
                                    <a:schemeClr val="accent1"/>
                                  </a:lnRef>
                                  <a:fillRef idx="0">
                                    <a:schemeClr val="accent1"/>
                                  </a:fillRef>
                                  <a:effectRef idx="0">
                                    <a:schemeClr val="accent1"/>
                                  </a:effectRef>
                                  <a:fontRef idx="minor">
                                    <a:schemeClr val="tx1"/>
                                  </a:fontRef>
                                </xdr:style>
                              </xdr:cxnSp>
                              <xdr:grpSp>
                                <xdr:nvGrpSpPr>
                                  <xdr:cNvPr id="49" name="Group 48">
                                    <a:extLst>
                                      <a:ext uri="{FF2B5EF4-FFF2-40B4-BE49-F238E27FC236}">
                                        <a16:creationId xmlns:a16="http://schemas.microsoft.com/office/drawing/2014/main" id="{36D5EB58-CD89-434A-275C-5046D87BBA91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2487378" y="194783"/>
                                    <a:ext cx="2836125" cy="2461883"/>
                                    <a:chOff x="2487378" y="194783"/>
                                    <a:chExt cx="2836125" cy="2461883"/>
                                  </a:xfrm>
                                </xdr:grpSpPr>
                                <xdr:grpSp>
                                  <xdr:nvGrpSpPr>
                                    <xdr:cNvPr id="50" name="Group 49">
                                      <a:extLst>
                                        <a:ext uri="{FF2B5EF4-FFF2-40B4-BE49-F238E27FC236}">
                                          <a16:creationId xmlns:a16="http://schemas.microsoft.com/office/drawing/2014/main" id="{6A0387F0-64B5-B6B5-B6CA-90894939F556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2487378" y="472597"/>
                                      <a:ext cx="2410655" cy="2184069"/>
                                      <a:chOff x="2621891" y="311506"/>
                                      <a:chExt cx="2948375" cy="2191448"/>
                                    </a:xfrm>
                                  </xdr:grpSpPr>
                                  <xdr:cxnSp macro="">
                                    <xdr:nvCxnSpPr>
                                      <xdr:cNvPr id="54" name="Straight Connector 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BCFE9BDC-4142-9779-6C9F-AB8637AA2BAD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3890723" y="2502954"/>
                                        <a:ext cx="1679543" cy="0"/>
                                      </a:xfrm>
                                      <a:prstGeom prst="line">
                                        <a:avLst/>
                                      </a:prstGeom>
                                      <a:ln w="6350">
                                        <a:solidFill>
                                          <a:srgbClr val="FF0000"/>
                                        </a:solidFill>
                                        <a:prstDash val="sysDot"/>
                                      </a:ln>
                                    </xdr:spPr>
                                    <xdr:style>
                                      <a:lnRef idx="1">
                                        <a:schemeClr val="accent1"/>
                                      </a:lnRef>
                                      <a:fillRef idx="0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tx1"/>
                                      </a:fontRef>
                                    </xdr:style>
                                  </xdr:cxnSp>
                                  <xdr:grpSp>
                                    <xdr:nvGrpSpPr>
                                      <xdr:cNvPr id="55" name="Group 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FD9E6632-0C30-6885-C598-A1E2C4ABA091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2621891" y="311506"/>
                                        <a:ext cx="2493045" cy="2189481"/>
                                        <a:chOff x="2621891" y="311506"/>
                                        <a:chExt cx="2493045" cy="2189481"/>
                                      </a:xfrm>
                                    </xdr:grpSpPr>
                                    <xdr:grpSp>
                                      <xdr:nvGrpSpPr>
                                        <xdr:cNvPr id="56" name="Group 5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DA3C9999-05CD-A683-063D-CB472FCD43CF}"/>
                                            </a:ext>
                                          </a:extLst>
                                        </xdr:cNvPr>
                                        <xdr:cNvGrpSpPr/>
                                      </xdr:nvGrpSpPr>
                                      <xdr:grpSpPr>
                                        <a:xfrm>
                                          <a:off x="2621891" y="319527"/>
                                          <a:ext cx="1903046" cy="2181460"/>
                                          <a:chOff x="6520113" y="168437"/>
                                          <a:chExt cx="1913250" cy="2173017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59" name="Rectangle 5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89410595-BB9E-E615-C221-59C5385345CE}"/>
                                              </a:ext>
                                            </a:extLst>
                                          </xdr:cNvPr>
                                          <xdr:cNvSpPr/>
                                        </xdr:nvSpPr>
                                        <xdr:spPr>
                                          <a:xfrm>
                                            <a:off x="6520113" y="171450"/>
                                            <a:ext cx="1270836" cy="1411254"/>
                                          </a:xfrm>
                                          <a:prstGeom prst="rect">
                                            <a:avLst/>
                                          </a:prstGeom>
                                          <a:pattFill prst="dkHorz">
                                            <a:fgClr>
                                              <a:schemeClr val="accent1">
                                                <a:lumMod val="40000"/>
                                                <a:lumOff val="60000"/>
                                              </a:schemeClr>
                                            </a:fgClr>
                                            <a:bgClr>
                                              <a:schemeClr val="bg1"/>
                                            </a:bgClr>
                                          </a:pattFill>
                                          <a:ln w="22225">
                                            <a:solidFill>
                                              <a:schemeClr val="tx2"/>
                                            </a:solidFill>
                                          </a:ln>
                                        </xdr:spPr>
                                        <xdr:style>
                                          <a:lnRef idx="2">
                                            <a:schemeClr val="accent1">
                                              <a:shade val="15000"/>
                                            </a:schemeClr>
                                          </a:lnRef>
                                          <a:fillRef idx="1">
                                            <a:schemeClr val="accent1"/>
                                          </a:fillRef>
                                          <a:effectRef idx="0">
                                            <a:schemeClr val="accent1"/>
                                          </a:effectRef>
                                          <a:fontRef idx="minor">
                                            <a:schemeClr val="lt1"/>
                                          </a:fontRef>
                                        </xdr:style>
                                        <xdr:txBody>
                                          <a:bodyPr vertOverflow="clip" horzOverflow="clip" rtlCol="0" anchor="ctr"/>
                                          <a:lstStyle/>
                                          <a:p>
                                            <a:pPr algn="ctr"/>
                                            <a:r>
                                              <a:rPr lang="en-US" sz="900">
                                                <a:solidFill>
                                                  <a:srgbClr val="FF0000"/>
                                                </a:solidFill>
                                              </a:rPr>
                                              <a:t>Compression</a:t>
                                            </a:r>
                                          </a:p>
                                        </xdr:txBody>
                                      </xdr:sp>
                                      <xdr:grpSp>
                                        <xdr:nvGrpSpPr>
                                          <xdr:cNvPr id="60" name="Group 59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FA2A825B-3523-CC75-C687-F05AE3297CAD}"/>
                                              </a:ext>
                                            </a:extLst>
                                          </xdr:cNvPr>
                                          <xdr:cNvGrpSpPr/>
                                        </xdr:nvGrpSpPr>
                                        <xdr:grpSpPr>
                                          <a:xfrm>
                                            <a:off x="7833431" y="168437"/>
                                            <a:ext cx="599932" cy="2173017"/>
                                            <a:chOff x="11639046" y="4191000"/>
                                            <a:chExt cx="484264" cy="1020746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1" name="TextBox 60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DF4BADDF-252F-421B-D4D5-560E3787F561}"/>
                                                </a:ext>
                                              </a:extLst>
                                            </xdr:cNvPr>
                                            <xdr:cNvSpPr txBox="1"/>
                                          </xdr:nvSpPr>
                                          <xdr:spPr>
                                            <a:xfrm>
                                              <a:off x="11839434" y="4627582"/>
                                              <a:ext cx="277760" cy="114707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noFill/>
                                            <a:ln w="9525" cmpd="sng">
                                              <a:noFill/>
                                            </a:ln>
                                          </xdr:spPr>
                                          <xdr:style>
                                            <a:lnRef idx="0">
                                              <a:scrgbClr r="0" g="0" b="0"/>
                                            </a:lnRef>
                                            <a:fillRef idx="0">
                                              <a:scrgbClr r="0" g="0" b="0"/>
                                            </a:fillRef>
                                            <a:effectRef idx="0">
                                              <a:scrgbClr r="0" g="0" b="0"/>
                                            </a:effectRef>
                                            <a:fontRef idx="minor">
                                              <a:schemeClr val="dk1"/>
                                            </a:fontRef>
                                          </xdr:style>
                                          <xdr:txBody>
                                            <a:bodyPr vertOverflow="clip" horzOverflow="clip" wrap="square" rtlCol="0" anchor="ctr"/>
                                            <a:lstStyle/>
                                            <a:p>
                                              <a:r>
                                                <a:rPr lang="en-US" altLang="ko-KR" sz="900"/>
                                                <a:t>c</a:t>
                                              </a:r>
                                              <a:endParaRPr lang="en-US" sz="900"/>
                                            </a:p>
                                          </xdr:txBody>
                                        </xdr:sp>
                                        <xdr:cxnSp macro="">
                                          <xdr:nvCxnSpPr>
                                            <xdr:cNvPr id="62" name="Straight Connector 61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54DF420B-1218-274F-9F68-893E9C121DFA}"/>
                                                </a:ext>
                                              </a:extLst>
                                            </xdr:cNvPr>
                                            <xdr:cNvCxnSpPr/>
                                          </xdr:nvCxnSpPr>
                                          <xdr:spPr>
                                            <a:xfrm>
                                              <a:off x="11639046" y="4191000"/>
                                              <a:ext cx="279752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ln w="3175">
                                              <a:headEnd type="none"/>
                                              <a:tailEnd type="oval" w="sm" len="sm"/>
                                            </a:ln>
                                          </xdr:spPr>
                                          <xdr:style>
                                            <a:lnRef idx="1">
                                              <a:schemeClr val="accent1"/>
                                            </a:lnRef>
                                            <a:fillRef idx="0">
                                              <a:schemeClr val="accent1"/>
                                            </a:fillRef>
                                            <a:effectRef idx="0">
                                              <a:schemeClr val="accent1"/>
                                            </a:effectRef>
                                            <a:fontRef idx="minor">
                                              <a:schemeClr val="tx1"/>
                                            </a:fontRef>
                                          </xdr:style>
                                        </xdr:cxnSp>
                                        <xdr:cxnSp macro="">
                                          <xdr:nvCxnSpPr>
                                            <xdr:cNvPr id="63" name="Straight Connector 62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44F733FD-D180-46CD-DE55-4FA28B200FD2}"/>
                                                </a:ext>
                                              </a:extLst>
                                            </xdr:cNvPr>
                                            <xdr:cNvCxnSpPr/>
                                          </xdr:nvCxnSpPr>
                                          <xdr:spPr>
                                            <a:xfrm>
                                              <a:off x="11916515" y="4193910"/>
                                              <a:ext cx="0" cy="1017836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ln w="3175"/>
                                          </xdr:spPr>
                                          <xdr:style>
                                            <a:lnRef idx="1">
                                              <a:schemeClr val="accent1"/>
                                            </a:lnRef>
                                            <a:fillRef idx="0">
                                              <a:schemeClr val="accent1"/>
                                            </a:fillRef>
                                            <a:effectRef idx="0">
                                              <a:schemeClr val="accent1"/>
                                            </a:effectRef>
                                            <a:fontRef idx="minor">
                                              <a:schemeClr val="tx1"/>
                                            </a:fontRef>
                                          </xdr:style>
                                        </xdr:cxnSp>
                                        <xdr:cxnSp macro="">
                                          <xdr:nvCxnSpPr>
                                            <xdr:cNvPr id="64" name="Straight Connector 63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75C1DEBA-F710-A3DD-4347-B80CB35785DC}"/>
                                                </a:ext>
                                              </a:extLst>
                                            </xdr:cNvPr>
                                            <xdr:cNvCxnSpPr/>
                                          </xdr:nvCxnSpPr>
                                          <xdr:spPr>
                                            <a:xfrm flipH="1">
                                              <a:off x="11917451" y="5209141"/>
                                              <a:ext cx="205859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ln w="3175">
                                              <a:headEnd type="none"/>
                                              <a:tailEnd type="oval" w="sm" len="sm"/>
                                            </a:ln>
                                          </xdr:spPr>
                                          <xdr:style>
                                            <a:lnRef idx="1">
                                              <a:schemeClr val="accent1"/>
                                            </a:lnRef>
                                            <a:fillRef idx="0">
                                              <a:schemeClr val="accent1"/>
                                            </a:fillRef>
                                            <a:effectRef idx="0">
                                              <a:schemeClr val="accent1"/>
                                            </a:effectRef>
                                            <a:fontRef idx="minor">
                                              <a:schemeClr val="tx1"/>
                                            </a:fontRef>
                                          </xdr:style>
                                        </xdr:cxnSp>
                                      </xdr:grpSp>
                                    </xdr:grpSp>
                                    <xdr:sp macro="" textlink="">
                                      <xdr:nvSpPr>
                                        <xdr:cNvPr id="57" name="Right Triangle 5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DC7C6CB1-32AD-5AD2-F28F-2C0CEC89DE4E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 flipV="1">
                                          <a:off x="4545777" y="311506"/>
                                          <a:ext cx="569159" cy="2184918"/>
                                        </a:xfrm>
                                        <a:prstGeom prst="rtTriangle">
                                          <a:avLst/>
                                        </a:prstGeom>
                                        <a:solidFill>
                                          <a:schemeClr val="accent5">
                                            <a:lumMod val="20000"/>
                                            <a:lumOff val="80000"/>
                                          </a:schemeClr>
                                        </a:solidFill>
                                        <a:ln w="12700"/>
                                      </xdr:spPr>
                                      <xdr:style>
                                        <a:lnRef idx="2">
                                          <a:schemeClr val="accent1">
                                            <a:shade val="15000"/>
                                          </a:schemeClr>
                                        </a:lnRef>
                                        <a:fillRef idx="1">
                                          <a:schemeClr val="accent1"/>
                                        </a:fillRef>
                                        <a:effectRef idx="0">
                                          <a:schemeClr val="accent1"/>
                                        </a:effectRef>
                                        <a:fontRef idx="minor">
                                          <a:schemeClr val="lt1"/>
                                        </a:fontRef>
                                      </xdr:style>
                                      <xdr:txBody>
                                        <a:bodyPr vertOverflow="clip" horzOverflow="clip" rtlCol="0" anchor="t"/>
                                        <a:lstStyle/>
                                        <a:p>
                                          <a:pPr algn="ctr"/>
                                          <a:r>
                                            <a:rPr lang="en-US" altLang="ko-KR" sz="1100">
                                              <a:ln w="12700">
                                                <a:solidFill>
                                                  <a:srgbClr val="FF0000"/>
                                                </a:solidFill>
                                              </a:ln>
                                              <a:solidFill>
                                                <a:srgbClr val="FF0000"/>
                                              </a:solidFill>
                                            </a:rPr>
                                            <a:t>+</a:t>
                                          </a:r>
                                          <a:endParaRPr lang="ko-KR" altLang="en-US" sz="1100">
                                            <a:ln w="12700">
                                              <a:solidFill>
                                                <a:srgbClr val="FF0000"/>
                                              </a:solidFill>
                                            </a:ln>
                                            <a:solidFill>
                                              <a:srgbClr val="FF0000"/>
                                            </a:solidFill>
                                          </a:endParaRPr>
                                        </a:p>
                                      </xdr:txBody>
                                    </xdr:sp>
                                  </xdr:grpSp>
                                </xdr:grpSp>
                                <xdr:cxnSp macro="">
                                  <xdr:nvCxnSpPr>
                                    <xdr:cNvPr id="51" name="Straight Connector 50">
                                      <a:extLst>
                                        <a:ext uri="{FF2B5EF4-FFF2-40B4-BE49-F238E27FC236}">
                                          <a16:creationId xmlns:a16="http://schemas.microsoft.com/office/drawing/2014/main" id="{777B4C20-A2A1-EB4B-6B66-280B7B823AC9}"/>
                                        </a:ext>
                                      </a:extLst>
                                    </xdr:cNvPr>
                                    <xdr:cNvCxnSpPr/>
                                  </xdr:nvCxnSpPr>
                                  <xdr:spPr>
                                    <a:xfrm>
                                      <a:off x="4903601" y="466618"/>
                                      <a:ext cx="0" cy="2169904"/>
                                    </a:xfrm>
                                    <a:prstGeom prst="line">
                                      <a:avLst/>
                                    </a:prstGeom>
                                  </xdr:spPr>
                                  <xdr:style>
                                    <a:lnRef idx="1">
                                      <a:schemeClr val="accent1"/>
                                    </a:lnRef>
                                    <a:fillRef idx="0">
                                      <a:schemeClr val="accent1"/>
                                    </a:fillRef>
                                    <a:effectRef idx="0">
                                      <a:schemeClr val="accent1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</xdr:cxnSp>
                                <xdr:sp macro="" textlink="">
                                  <xdr:nvSpPr>
                                    <xdr:cNvPr id="52" name="Freeform: Shape 51">
                                      <a:extLst>
                                        <a:ext uri="{FF2B5EF4-FFF2-40B4-BE49-F238E27FC236}">
                                          <a16:creationId xmlns:a16="http://schemas.microsoft.com/office/drawing/2014/main" id="{9074EF96-7B75-342F-F459-6B8433EDD9A8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2467" y="463669"/>
                                      <a:ext cx="290318" cy="2177398"/>
                                    </a:xfrm>
                                    <a:custGeom>
                                      <a:avLst/>
                                      <a:gdLst>
                                        <a:gd name="csX0" fmla="*/ 0 w 287547"/>
                                        <a:gd name="csY0" fmla="*/ 546340 h 546340"/>
                                        <a:gd name="csX1" fmla="*/ 0 w 287547"/>
                                        <a:gd name="csY1" fmla="*/ 0 h 546340"/>
                                        <a:gd name="csX2" fmla="*/ 287547 w 287547"/>
                                        <a:gd name="csY2" fmla="*/ 0 h 546340"/>
                                        <a:gd name="csX3" fmla="*/ 287547 w 287547"/>
                                        <a:gd name="csY3" fmla="*/ 197689 h 546340"/>
                                        <a:gd name="csX4" fmla="*/ 273170 w 287547"/>
                                        <a:gd name="csY4" fmla="*/ 287548 h 546340"/>
                                        <a:gd name="csX5" fmla="*/ 251604 w 287547"/>
                                        <a:gd name="csY5" fmla="*/ 352246 h 546340"/>
                                        <a:gd name="csX6" fmla="*/ 219255 w 287547"/>
                                        <a:gd name="csY6" fmla="*/ 395378 h 546340"/>
                                        <a:gd name="csX7" fmla="*/ 179717 w 287547"/>
                                        <a:gd name="csY7" fmla="*/ 449293 h 546340"/>
                                        <a:gd name="csX8" fmla="*/ 129396 w 287547"/>
                                        <a:gd name="csY8" fmla="*/ 492425 h 546340"/>
                                        <a:gd name="csX9" fmla="*/ 79075 w 287547"/>
                                        <a:gd name="csY9" fmla="*/ 521180 h 546340"/>
                                        <a:gd name="csX10" fmla="*/ 0 w 287547"/>
                                        <a:gd name="csY10" fmla="*/ 546340 h 546340"/>
                                      </a:gdLst>
                                      <a:ahLst/>
                                      <a:cxnLst>
                                        <a:cxn ang="0">
                                          <a:pos x="csX0" y="csY0"/>
                                        </a:cxn>
                                        <a:cxn ang="0">
                                          <a:pos x="csX1" y="csY1"/>
                                        </a:cxn>
                                        <a:cxn ang="0">
                                          <a:pos x="csX2" y="csY2"/>
                                        </a:cxn>
                                        <a:cxn ang="0">
                                          <a:pos x="csX3" y="csY3"/>
                                        </a:cxn>
                                        <a:cxn ang="0">
                                          <a:pos x="csX4" y="csY4"/>
                                        </a:cxn>
                                        <a:cxn ang="0">
                                          <a:pos x="csX5" y="csY5"/>
                                        </a:cxn>
                                        <a:cxn ang="0">
                                          <a:pos x="csX6" y="csY6"/>
                                        </a:cxn>
                                        <a:cxn ang="0">
                                          <a:pos x="csX7" y="csY7"/>
                                        </a:cxn>
                                        <a:cxn ang="0">
                                          <a:pos x="csX8" y="csY8"/>
                                        </a:cxn>
                                        <a:cxn ang="0">
                                          <a:pos x="csX9" y="csY9"/>
                                        </a:cxn>
                                        <a:cxn ang="0">
                                          <a:pos x="csX10" y="csY10"/>
                                        </a:cxn>
                                      </a:cxnLst>
                                      <a:rect l="l" t="t" r="r" b="b"/>
                                      <a:pathLst>
                                        <a:path w="287547" h="546340">
                                          <a:moveTo>
                                            <a:pt x="0" y="546340"/>
                                          </a:moveTo>
                                          <a:lnTo>
                                            <a:pt x="0" y="0"/>
                                          </a:lnTo>
                                          <a:lnTo>
                                            <a:pt x="287547" y="0"/>
                                          </a:lnTo>
                                          <a:lnTo>
                                            <a:pt x="287547" y="197689"/>
                                          </a:lnTo>
                                          <a:lnTo>
                                            <a:pt x="273170" y="287548"/>
                                          </a:lnTo>
                                          <a:lnTo>
                                            <a:pt x="251604" y="352246"/>
                                          </a:lnTo>
                                          <a:lnTo>
                                            <a:pt x="219255" y="395378"/>
                                          </a:lnTo>
                                          <a:lnTo>
                                            <a:pt x="179717" y="449293"/>
                                          </a:lnTo>
                                          <a:lnTo>
                                            <a:pt x="129396" y="492425"/>
                                          </a:lnTo>
                                          <a:lnTo>
                                            <a:pt x="79075" y="521180"/>
                                          </a:lnTo>
                                          <a:lnTo>
                                            <a:pt x="0" y="546340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solidFill>
                                      <a:schemeClr val="accent5">
                                        <a:lumMod val="20000"/>
                                        <a:lumOff val="80000"/>
                                      </a:schemeClr>
                                    </a:solidFill>
                                    <a:ln w="9525" cap="flat">
                                      <a:solidFill>
                                        <a:schemeClr val="accent1"/>
                                      </a:solidFill>
                                      <a:extLst>
                                        <a:ext uri="{C807C97D-BFC1-408E-A445-0C87EB9F89A2}">
                                          <ask:lineSketchStyleProps xmlns:ask="http://schemas.microsoft.com/office/drawing/2018/sketchyshapes" sd="1219033472">
                                            <a:custGeom>
                                              <a:avLst/>
                                              <a:gdLst>
                                                <a:gd name="csX0" fmla="*/ 0 w 287547"/>
                                                <a:gd name="csY0" fmla="*/ 546340 h 546340"/>
                                                <a:gd name="csX1" fmla="*/ 0 w 287547"/>
                                                <a:gd name="csY1" fmla="*/ 0 h 546340"/>
                                                <a:gd name="csX2" fmla="*/ 287547 w 287547"/>
                                                <a:gd name="csY2" fmla="*/ 0 h 546340"/>
                                                <a:gd name="csX3" fmla="*/ 287547 w 287547"/>
                                                <a:gd name="csY3" fmla="*/ 197689 h 546340"/>
                                                <a:gd name="csX4" fmla="*/ 273170 w 287547"/>
                                                <a:gd name="csY4" fmla="*/ 287548 h 546340"/>
                                                <a:gd name="csX5" fmla="*/ 251604 w 287547"/>
                                                <a:gd name="csY5" fmla="*/ 352246 h 546340"/>
                                                <a:gd name="csX6" fmla="*/ 219255 w 287547"/>
                                                <a:gd name="csY6" fmla="*/ 395378 h 546340"/>
                                                <a:gd name="csX7" fmla="*/ 179717 w 287547"/>
                                                <a:gd name="csY7" fmla="*/ 449293 h 546340"/>
                                                <a:gd name="csX8" fmla="*/ 129396 w 287547"/>
                                                <a:gd name="csY8" fmla="*/ 492425 h 546340"/>
                                                <a:gd name="csX9" fmla="*/ 79075 w 287547"/>
                                                <a:gd name="csY9" fmla="*/ 521180 h 546340"/>
                                                <a:gd name="csX10" fmla="*/ 0 w 287547"/>
                                                <a:gd name="csY10" fmla="*/ 546340 h 546340"/>
                                              </a:gdLst>
                                              <a:ahLst/>
                                              <a:cxnLst>
                                                <a:cxn ang="0">
                                                  <a:pos x="csX0" y="csY0"/>
                                                </a:cxn>
                                                <a:cxn ang="0">
                                                  <a:pos x="csX1" y="csY1"/>
                                                </a:cxn>
                                                <a:cxn ang="0">
                                                  <a:pos x="csX2" y="csY2"/>
                                                </a:cxn>
                                                <a:cxn ang="0">
                                                  <a:pos x="csX3" y="csY3"/>
                                                </a:cxn>
                                                <a:cxn ang="0">
                                                  <a:pos x="csX4" y="csY4"/>
                                                </a:cxn>
                                                <a:cxn ang="0">
                                                  <a:pos x="csX5" y="csY5"/>
                                                </a:cxn>
                                                <a:cxn ang="0">
                                                  <a:pos x="csX6" y="csY6"/>
                                                </a:cxn>
                                                <a:cxn ang="0">
                                                  <a:pos x="csX7" y="csY7"/>
                                                </a:cxn>
                                                <a:cxn ang="0">
                                                  <a:pos x="csX8" y="csY8"/>
                                                </a:cxn>
                                                <a:cxn ang="0">
                                                  <a:pos x="csX9" y="csY9"/>
                                                </a:cxn>
                                                <a:cxn ang="0">
                                                  <a:pos x="csX10" y="csY10"/>
                                                </a:cxn>
                                              </a:cxnLst>
                                              <a:rect l="l" t="t" r="r" b="b"/>
                                              <a:pathLst>
                                                <a:path w="287547" h="546340" fill="none" extrusionOk="0">
                                                  <a:moveTo>
                                                    <a:pt x="0" y="546340"/>
                                                  </a:moveTo>
                                                  <a:cubicBezTo>
                                                    <a:pt x="-37330" y="292668"/>
                                                    <a:pt x="45408" y="209259"/>
                                                    <a:pt x="0" y="0"/>
                                                  </a:cubicBezTo>
                                                  <a:cubicBezTo>
                                                    <a:pt x="94198" y="-24500"/>
                                                    <a:pt x="169949" y="26132"/>
                                                    <a:pt x="287547" y="0"/>
                                                  </a:cubicBezTo>
                                                  <a:cubicBezTo>
                                                    <a:pt x="293845" y="95507"/>
                                                    <a:pt x="286927" y="117929"/>
                                                    <a:pt x="287547" y="197689"/>
                                                  </a:cubicBezTo>
                                                  <a:cubicBezTo>
                                                    <a:pt x="290479" y="223025"/>
                                                    <a:pt x="273765" y="244622"/>
                                                    <a:pt x="273170" y="287548"/>
                                                  </a:cubicBezTo>
                                                  <a:cubicBezTo>
                                                    <a:pt x="269707" y="312985"/>
                                                    <a:pt x="252362" y="326853"/>
                                                    <a:pt x="251604" y="352246"/>
                                                  </a:cubicBezTo>
                                                  <a:cubicBezTo>
                                                    <a:pt x="240161" y="376333"/>
                                                    <a:pt x="223847" y="384401"/>
                                                    <a:pt x="219255" y="395378"/>
                                                  </a:cubicBezTo>
                                                  <a:cubicBezTo>
                                                    <a:pt x="212567" y="415970"/>
                                                    <a:pt x="190003" y="434020"/>
                                                    <a:pt x="179717" y="449293"/>
                                                  </a:cubicBezTo>
                                                  <a:cubicBezTo>
                                                    <a:pt x="163137" y="468765"/>
                                                    <a:pt x="142291" y="476919"/>
                                                    <a:pt x="129396" y="492425"/>
                                                  </a:cubicBezTo>
                                                  <a:cubicBezTo>
                                                    <a:pt x="116908" y="501226"/>
                                                    <a:pt x="89278" y="511593"/>
                                                    <a:pt x="79075" y="521180"/>
                                                  </a:cubicBezTo>
                                                  <a:cubicBezTo>
                                                    <a:pt x="61262" y="529215"/>
                                                    <a:pt x="23480" y="530615"/>
                                                    <a:pt x="0" y="546340"/>
                                                  </a:cubicBezTo>
                                                  <a:close/>
                                                </a:path>
                                                <a:path w="287547" h="546340" stroke="0" extrusionOk="0">
                                                  <a:moveTo>
                                                    <a:pt x="0" y="546340"/>
                                                  </a:moveTo>
                                                  <a:cubicBezTo>
                                                    <a:pt x="-51339" y="318063"/>
                                                    <a:pt x="56845" y="141477"/>
                                                    <a:pt x="0" y="0"/>
                                                  </a:cubicBezTo>
                                                  <a:cubicBezTo>
                                                    <a:pt x="140782" y="-34457"/>
                                                    <a:pt x="176029" y="10704"/>
                                                    <a:pt x="287547" y="0"/>
                                                  </a:cubicBezTo>
                                                  <a:cubicBezTo>
                                                    <a:pt x="301140" y="95067"/>
                                                    <a:pt x="271753" y="113272"/>
                                                    <a:pt x="287547" y="197689"/>
                                                  </a:cubicBezTo>
                                                  <a:cubicBezTo>
                                                    <a:pt x="294660" y="217499"/>
                                                    <a:pt x="272011" y="248933"/>
                                                    <a:pt x="273170" y="287548"/>
                                                  </a:cubicBezTo>
                                                  <a:cubicBezTo>
                                                    <a:pt x="271472" y="310538"/>
                                                    <a:pt x="258547" y="328642"/>
                                                    <a:pt x="251604" y="352246"/>
                                                  </a:cubicBezTo>
                                                  <a:cubicBezTo>
                                                    <a:pt x="242578" y="371244"/>
                                                    <a:pt x="230839" y="372167"/>
                                                    <a:pt x="219255" y="395378"/>
                                                  </a:cubicBezTo>
                                                  <a:cubicBezTo>
                                                    <a:pt x="208205" y="419923"/>
                                                    <a:pt x="191974" y="422614"/>
                                                    <a:pt x="179717" y="449293"/>
                                                  </a:cubicBezTo>
                                                  <a:cubicBezTo>
                                                    <a:pt x="169751" y="458561"/>
                                                    <a:pt x="152794" y="469293"/>
                                                    <a:pt x="129396" y="492425"/>
                                                  </a:cubicBezTo>
                                                  <a:cubicBezTo>
                                                    <a:pt x="110564" y="505669"/>
                                                    <a:pt x="99707" y="507815"/>
                                                    <a:pt x="79075" y="521180"/>
                                                  </a:cubicBezTo>
                                                  <a:cubicBezTo>
                                                    <a:pt x="55969" y="534402"/>
                                                    <a:pt x="18783" y="534147"/>
                                                    <a:pt x="0" y="546340"/>
                                                  </a:cubicBezTo>
                                                  <a:close/>
                                                </a:path>
                                              </a:pathLst>
                                            </a:custGeom>
                                            <ask:type>
                                              <ask:lineSketchNone/>
                                            </ask:type>
                                          </ask:lineSketchStyleProps>
                                        </a:ext>
                                      </a:extLst>
                                    </a:ln>
                                  </xdr:spPr>
                                  <xdr:style>
                                    <a:lnRef idx="2">
                                      <a:schemeClr val="accent1">
                                        <a:shade val="15000"/>
                                      </a:schemeClr>
                                    </a:lnRef>
                                    <a:fillRef idx="1">
                                      <a:schemeClr val="accent1"/>
                                    </a:fillRef>
                                    <a:effectRef idx="0">
                                      <a:schemeClr val="accent1"/>
                                    </a:effectRef>
                                    <a:fontRef idx="minor">
                                      <a:schemeClr val="lt1"/>
                                    </a:fontRef>
                                  </xdr:style>
                                  <xdr:txBody>
                                    <a:bodyPr vertOverflow="clip" horzOverflow="clip" rtlCol="0" anchor="t"/>
                                    <a:lstStyle/>
                                    <a:p>
                                      <a:pPr algn="l"/>
                                      <a:endParaRPr lang="en-US" sz="1100"/>
                                    </a:p>
                                  </xdr:txBody>
                                </xdr:sp>
                                <xdr:sp macro="" textlink="">
                                  <xdr:nvSpPr>
                                    <xdr:cNvPr id="53" name="TextBox 52">
                                      <a:extLst>
                                        <a:ext uri="{FF2B5EF4-FFF2-40B4-BE49-F238E27FC236}">
                                          <a16:creationId xmlns:a16="http://schemas.microsoft.com/office/drawing/2014/main" id="{E47AFB3D-0A6B-CB44-6B57-982C72B774A1}"/>
                                        </a:ext>
                                      </a:extLst>
                                    </xdr:cNvPr>
                                    <xdr:cNvSpPr txBox="1"/>
                                  </xdr:nvSpPr>
                                  <xdr:spPr>
                                    <a:xfrm>
                                      <a:off x="4089640" y="194783"/>
                                      <a:ext cx="1233863" cy="143774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 w="9525" cmpd="sng">
                                      <a:noFill/>
                                    </a:ln>
                                  </xdr:spPr>
                                  <xdr:style>
                                    <a:lnRef idx="0">
                                      <a:scrgbClr r="0" g="0" b="0"/>
                                    </a:lnRef>
                                    <a:fillRef idx="0">
                                      <a:scrgbClr r="0" g="0" b="0"/>
                                    </a:fillRef>
                                    <a:effectRef idx="0">
                                      <a:scrgbClr r="0" g="0" b="0"/>
                                    </a:effectRef>
                                    <a:fontRef idx="minor">
                                      <a:schemeClr val="dk1"/>
                                    </a:fontRef>
                                  </xdr:style>
                                  <xdr:txBody>
                                    <a:bodyPr vertOverflow="clip" horzOverflow="clip" wrap="square" rtlCol="0" anchor="ctr"/>
                                    <a:lstStyle/>
                                    <a:p>
                                      <a:r>
                                        <a:rPr lang="en-US" altLang="ko-KR" sz="900">
                                          <a:solidFill>
                                            <a:srgbClr val="0070C0"/>
                                          </a:solidFill>
                                        </a:rPr>
                                        <a:t>Strain                  Stress</a:t>
                                      </a:r>
                                      <a:endParaRPr lang="en-US" sz="900">
                                        <a:solidFill>
                                          <a:srgbClr val="0070C0"/>
                                        </a:solidFill>
                                      </a:endParaRPr>
                                    </a:p>
                                  </xdr:txBody>
                                </xdr:sp>
                              </xdr:grpSp>
                            </xdr:grpSp>
                            <xdr:cxnSp macro="">
                              <xdr:nvCxnSpPr>
                                <xdr:cNvPr id="42" name="Straight Connector 41">
                                  <a:extLst>
                                    <a:ext uri="{FF2B5EF4-FFF2-40B4-BE49-F238E27FC236}">
                                      <a16:creationId xmlns:a16="http://schemas.microsoft.com/office/drawing/2014/main" id="{5E0E47B7-4B5F-DD68-11C6-15D3982CEED5}"/>
                                    </a:ext>
                                  </a:extLst>
                                </xdr:cNvPr>
                                <xdr:cNvCxnSpPr/>
                              </xdr:nvCxnSpPr>
                              <xdr:spPr>
                                <a:xfrm>
                                  <a:off x="2679455" y="1253289"/>
                                  <a:ext cx="2236110" cy="0"/>
                                </a:xfrm>
                                <a:prstGeom prst="line">
                                  <a:avLst/>
                                </a:prstGeom>
                                <a:ln w="6350">
                                  <a:solidFill>
                                    <a:srgbClr val="FF0000"/>
                                  </a:solidFill>
                                  <a:prstDash val="sysDot"/>
                                </a:ln>
                              </xdr:spPr>
                              <xdr:style>
                                <a:lnRef idx="1">
                                  <a:schemeClr val="accent1"/>
                                </a:lnRef>
                                <a:fillRef idx="0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tx1"/>
                                </a:fontRef>
                              </xdr:style>
                            </xdr:cxnSp>
                            <xdr:cxnSp macro="">
                              <xdr:nvCxnSpPr>
                                <xdr:cNvPr id="43" name="Straight Connector 42">
                                  <a:extLst>
                                    <a:ext uri="{FF2B5EF4-FFF2-40B4-BE49-F238E27FC236}">
                                      <a16:creationId xmlns:a16="http://schemas.microsoft.com/office/drawing/2014/main" id="{C76CE2E2-3356-8EDA-3A21-0D5B5B07903E}"/>
                                    </a:ext>
                                  </a:extLst>
                                </xdr:cNvPr>
                                <xdr:cNvCxnSpPr/>
                              </xdr:nvCxnSpPr>
                              <xdr:spPr>
                                <a:xfrm flipH="1">
                                  <a:off x="2785519" y="1253290"/>
                                  <a:ext cx="167509" cy="0"/>
                                </a:xfrm>
                                <a:prstGeom prst="line">
                                  <a:avLst/>
                                </a:prstGeom>
                                <a:ln w="3175">
                                  <a:headEnd type="none"/>
                                  <a:tailEnd type="oval" w="sm" len="sm"/>
                                </a:ln>
                              </xdr:spPr>
                              <xdr:style>
                                <a:lnRef idx="1">
                                  <a:schemeClr val="accent1"/>
                                </a:lnRef>
                                <a:fillRef idx="0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tx1"/>
                                </a:fontRef>
                              </xdr:style>
                            </xdr:cxnSp>
                            <xdr:sp macro="" textlink="">
                              <xdr:nvSpPr>
                                <xdr:cNvPr id="44" name="TextBox 43">
                                  <a:extLst>
                                    <a:ext uri="{FF2B5EF4-FFF2-40B4-BE49-F238E27FC236}">
                                      <a16:creationId xmlns:a16="http://schemas.microsoft.com/office/drawing/2014/main" id="{7716E80D-9D90-82A0-5133-703BAB42F231}"/>
                                    </a:ext>
                                  </a:extLst>
                                </xdr:cNvPr>
                                <xdr:cNvSpPr txBox="1"/>
                              </xdr:nvSpPr>
                              <xdr:spPr>
                                <a:xfrm>
                                  <a:off x="2595019" y="952501"/>
                                  <a:ext cx="349756" cy="242941"/>
                                </a:xfrm>
                                <a:prstGeom prst="rect">
                                  <a:avLst/>
                                </a:prstGeom>
                                <a:noFill/>
                                <a:ln w="9525" cmpd="sng">
                                  <a:noFill/>
                                </a:ln>
                              </xdr:spPr>
                              <xdr:style>
                                <a:lnRef idx="0">
                                  <a:scrgbClr r="0" g="0" b="0"/>
                                </a:lnRef>
                                <a:fillRef idx="0">
                                  <a:scrgbClr r="0" g="0" b="0"/>
                                </a:fillRef>
                                <a:effectRef idx="0">
                                  <a:scrgbClr r="0" g="0" b="0"/>
                                </a:effectRef>
                                <a:fontRef idx="minor">
                                  <a:schemeClr val="dk1"/>
                                </a:fontRef>
                              </xdr:style>
                              <xdr:txBody>
                                <a:bodyPr vertOverflow="clip" horzOverflow="clip" wrap="square" rtlCol="0" anchor="ctr"/>
                                <a:lstStyle/>
                                <a:p>
                                  <a:r>
                                    <a:rPr lang="en-US" altLang="ko-KR" sz="900"/>
                                    <a:t>y</a:t>
                                  </a:r>
                                  <a:endParaRPr lang="en-US" sz="900"/>
                                </a:p>
                              </xdr:txBody>
                            </xdr:sp>
                          </xdr:grpSp>
                          <xdr:sp macro="" textlink="">
                            <xdr:nvSpPr>
                              <xdr:cNvPr id="37" name="TextBox 36">
                                <a:extLst>
                                  <a:ext uri="{FF2B5EF4-FFF2-40B4-BE49-F238E27FC236}">
                                    <a16:creationId xmlns:a16="http://schemas.microsoft.com/office/drawing/2014/main" id="{51D55A88-BDB4-77FB-81EA-F108EF1D6616}"/>
                                  </a:ext>
                                </a:extLst>
                              </xdr:cNvPr>
                              <xdr:cNvSpPr txBox="1"/>
                            </xdr:nvSpPr>
                            <xdr:spPr>
                              <a:xfrm>
                                <a:off x="5103551" y="418256"/>
                                <a:ext cx="397213" cy="178340"/>
                              </a:xfrm>
                              <a:prstGeom prst="rect">
                                <a:avLst/>
                              </a:prstGeom>
                              <a:noFill/>
                              <a:ln w="9525" cmpd="sng">
                                <a:noFill/>
                              </a:ln>
                            </xdr:spPr>
                            <xdr:style>
                              <a:lnRef idx="0">
                                <a:scrgbClr r="0" g="0" b="0"/>
                              </a:lnRef>
                              <a:fillRef idx="0">
                                <a:scrgbClr r="0" g="0" b="0"/>
                              </a:fillRef>
                              <a:effectRef idx="0">
                                <a:scrgbClr r="0" g="0" b="0"/>
                              </a:effectRef>
                              <a:fontRef idx="minor">
                                <a:schemeClr val="dk1"/>
                              </a:fontRef>
                            </xdr:style>
                            <xdr:txBody>
                              <a:bodyPr vertOverflow="clip" horzOverflow="clip" wrap="square" rtlCol="0" anchor="ctr"/>
                              <a:lstStyle/>
                              <a:p>
                                <a:r>
                                  <a:rPr lang="el-GR" altLang="ko-KR" sz="900"/>
                                  <a:t>ε</a:t>
                                </a:r>
                                <a:r>
                                  <a:rPr lang="en-US" altLang="ko-KR" sz="900"/>
                                  <a:t>cu</a:t>
                                </a:r>
                                <a:endParaRPr lang="en-US" sz="900"/>
                              </a:p>
                            </xdr:txBody>
                          </xdr:sp>
                          <xdr:cxnSp macro="">
                            <xdr:nvCxnSpPr>
                              <xdr:cNvPr id="38" name="Straight Connector 37">
                                <a:extLst>
                                  <a:ext uri="{FF2B5EF4-FFF2-40B4-BE49-F238E27FC236}">
                                    <a16:creationId xmlns:a16="http://schemas.microsoft.com/office/drawing/2014/main" id="{D5B13621-9BE5-A47B-DAA9-0DCC64C471B0}"/>
                                  </a:ext>
                                </a:extLst>
                              </xdr:cNvPr>
                              <xdr:cNvCxnSpPr/>
                            </xdr:nvCxnSpPr>
                            <xdr:spPr>
                              <a:xfrm>
                                <a:off x="3489797" y="960606"/>
                                <a:ext cx="2706574" cy="0"/>
                              </a:xfrm>
                              <a:prstGeom prst="line">
                                <a:avLst/>
                              </a:prstGeom>
                              <a:ln w="6350">
                                <a:solidFill>
                                  <a:srgbClr val="FF0000"/>
                                </a:solidFill>
                                <a:prstDash val="sysDot"/>
                              </a:ln>
                            </xdr:spPr>
                            <xdr:style>
                              <a:lnRef idx="1">
                                <a:schemeClr val="accent1"/>
                              </a:lnRef>
                              <a:fillRef idx="0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tx1"/>
                              </a:fontRef>
                            </xdr:style>
                          </xdr:cxnSp>
                          <xdr:sp macro="" textlink="">
                            <xdr:nvSpPr>
                              <xdr:cNvPr id="39" name="TextBox 38">
                                <a:extLst>
                                  <a:ext uri="{FF2B5EF4-FFF2-40B4-BE49-F238E27FC236}">
                                    <a16:creationId xmlns:a16="http://schemas.microsoft.com/office/drawing/2014/main" id="{A61D4A45-565D-3310-29A6-83B29A1ABF7E}"/>
                                  </a:ext>
                                </a:extLst>
                              </xdr:cNvPr>
                              <xdr:cNvSpPr txBox="1"/>
                            </xdr:nvSpPr>
                            <xdr:spPr>
                              <a:xfrm>
                                <a:off x="5435314" y="621412"/>
                                <a:ext cx="397213" cy="178340"/>
                              </a:xfrm>
                              <a:prstGeom prst="rect">
                                <a:avLst/>
                              </a:prstGeom>
                              <a:noFill/>
                              <a:ln w="9525" cmpd="sng">
                                <a:noFill/>
                              </a:ln>
                            </xdr:spPr>
                            <xdr:style>
                              <a:lnRef idx="0">
                                <a:scrgbClr r="0" g="0" b="0"/>
                              </a:lnRef>
                              <a:fillRef idx="0">
                                <a:scrgbClr r="0" g="0" b="0"/>
                              </a:fillRef>
                              <a:effectRef idx="0">
                                <a:scrgbClr r="0" g="0" b="0"/>
                              </a:effectRef>
                              <a:fontRef idx="minor">
                                <a:schemeClr val="dk1"/>
                              </a:fontRef>
                            </xdr:style>
                            <xdr:txBody>
                              <a:bodyPr vertOverflow="clip" horzOverflow="clip" wrap="square" rtlCol="0" anchor="ctr"/>
                              <a:lstStyle/>
                              <a:p>
                                <a:r>
                                  <a:rPr lang="el-GR" altLang="ko-KR" sz="900"/>
                                  <a:t>ε</a:t>
                                </a:r>
                                <a:r>
                                  <a:rPr lang="en-US" altLang="ko-KR" sz="900"/>
                                  <a:t>si</a:t>
                                </a:r>
                                <a:endParaRPr lang="en-US" sz="900"/>
                              </a:p>
                            </xdr:txBody>
                          </xdr:sp>
                          <xdr:sp macro="" textlink="">
                            <xdr:nvSpPr>
                              <xdr:cNvPr id="40" name="TextBox 39">
                                <a:extLst>
                                  <a:ext uri="{FF2B5EF4-FFF2-40B4-BE49-F238E27FC236}">
                                    <a16:creationId xmlns:a16="http://schemas.microsoft.com/office/drawing/2014/main" id="{E32E7125-09F9-CAFE-A34E-1A70BBEE3F15}"/>
                                  </a:ext>
                                </a:extLst>
                              </xdr:cNvPr>
                              <xdr:cNvSpPr txBox="1"/>
                            </xdr:nvSpPr>
                            <xdr:spPr>
                              <a:xfrm>
                                <a:off x="6132444" y="937938"/>
                                <a:ext cx="397213" cy="178340"/>
                              </a:xfrm>
                              <a:prstGeom prst="rect">
                                <a:avLst/>
                              </a:prstGeom>
                              <a:noFill/>
                              <a:ln w="9525" cmpd="sng">
                                <a:noFill/>
                              </a:ln>
                            </xdr:spPr>
                            <xdr:style>
                              <a:lnRef idx="0">
                                <a:scrgbClr r="0" g="0" b="0"/>
                              </a:lnRef>
                              <a:fillRef idx="0">
                                <a:scrgbClr r="0" g="0" b="0"/>
                              </a:fillRef>
                              <a:effectRef idx="0">
                                <a:scrgbClr r="0" g="0" b="0"/>
                              </a:effectRef>
                              <a:fontRef idx="minor">
                                <a:schemeClr val="dk1"/>
                              </a:fontRef>
                            </xdr:style>
                            <xdr:txBody>
                              <a:bodyPr vertOverflow="clip" horzOverflow="clip" wrap="square" rtlCol="0" anchor="ctr"/>
                              <a:lstStyle/>
                              <a:p>
                                <a:r>
                                  <a:rPr lang="en-US" altLang="ko-KR" sz="900"/>
                                  <a:t>fci</a:t>
                                </a:r>
                                <a:endParaRPr lang="en-US" sz="900"/>
                              </a:p>
                            </xdr:txBody>
                          </xdr:sp>
                        </xdr:grpSp>
                        <xdr:cxnSp macro="">
                          <xdr:nvCxnSpPr>
                            <xdr:cNvPr id="32" name="Straight Arrow Connector 31">
                              <a:extLst>
                                <a:ext uri="{FF2B5EF4-FFF2-40B4-BE49-F238E27FC236}">
                                  <a16:creationId xmlns:a16="http://schemas.microsoft.com/office/drawing/2014/main" id="{FF9431A5-EC89-BF95-100E-D501E939F058}"/>
                                </a:ext>
                              </a:extLst>
                            </xdr:cNvPr>
                            <xdr:cNvCxnSpPr/>
                          </xdr:nvCxnSpPr>
                          <xdr:spPr>
                            <a:xfrm flipH="1">
                              <a:off x="642937" y="916781"/>
                              <a:ext cx="357188" cy="0"/>
                            </a:xfrm>
                            <a:prstGeom prst="straightConnector1">
                              <a:avLst/>
                            </a:prstGeom>
                            <a:ln>
                              <a:solidFill>
                                <a:srgbClr val="FF0000"/>
                              </a:solidFill>
                              <a:tailEnd type="triangle"/>
                            </a:ln>
                          </xdr:spPr>
                          <xdr:style>
                            <a:lnRef idx="1">
                              <a:schemeClr val="accent1"/>
                            </a:lnRef>
                            <a:fillRef idx="0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  <xdr:sp macro="" textlink="">
                          <xdr:nvSpPr>
                            <xdr:cNvPr id="33" name="Arc 32">
                              <a:extLst>
                                <a:ext uri="{FF2B5EF4-FFF2-40B4-BE49-F238E27FC236}">
                                  <a16:creationId xmlns:a16="http://schemas.microsoft.com/office/drawing/2014/main" id="{FB25A1A3-5B1D-B71F-9EF8-55C116B8B622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 rot="18003407">
                              <a:off x="677305" y="1105084"/>
                              <a:ext cx="345660" cy="299354"/>
                            </a:xfrm>
                            <a:prstGeom prst="arc">
                              <a:avLst>
                                <a:gd name="adj1" fmla="val 7275827"/>
                                <a:gd name="adj2" fmla="val 0"/>
                              </a:avLst>
                            </a:prstGeom>
                            <a:ln>
                              <a:solidFill>
                                <a:srgbClr val="FF0000"/>
                              </a:solidFill>
                              <a:headEnd type="triangle" w="med" len="med"/>
                              <a:tailEnd type="none" w="med" len="med"/>
                            </a:ln>
                          </xdr:spPr>
                          <xdr:style>
                            <a:lnRef idx="1">
                              <a:schemeClr val="accent1"/>
                            </a:lnRef>
                            <a:fillRef idx="0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tx1"/>
                            </a:fontRef>
                          </xdr:style>
                          <xdr:txBody>
                            <a:bodyPr vertOverflow="clip" horzOverflow="clip" rtlCol="0" anchor="t"/>
                            <a:lstStyle/>
                            <a:p>
                              <a:pPr algn="l"/>
                              <a:endParaRPr lang="en-US" sz="1100"/>
                            </a:p>
                          </xdr:txBody>
                        </xdr:sp>
                        <xdr:sp macro="" textlink="">
                          <xdr:nvSpPr>
                            <xdr:cNvPr id="34" name="TextBox 33">
                              <a:extLst>
                                <a:ext uri="{FF2B5EF4-FFF2-40B4-BE49-F238E27FC236}">
                                  <a16:creationId xmlns:a16="http://schemas.microsoft.com/office/drawing/2014/main" id="{EAB3EA50-4B39-EE64-3861-DC589B8452CC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593718" y="712806"/>
                              <a:ext cx="345392" cy="214312"/>
                            </a:xfrm>
                            <a:prstGeom prst="rect">
                              <a:avLst/>
                            </a:prstGeom>
                            <a:noFill/>
                            <a:ln w="9525" cmpd="sng">
                              <a:noFill/>
                            </a:ln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dk1"/>
                            </a:fontRef>
                          </xdr:style>
                          <xdr:txBody>
                            <a:bodyPr vertOverflow="clip" horzOverflow="clip" wrap="square" rtlCol="0" anchor="ctr"/>
                            <a:lstStyle/>
                            <a:p>
                              <a:r>
                                <a:rPr lang="en-US" altLang="ko-KR" sz="900" b="1">
                                  <a:solidFill>
                                    <a:srgbClr val="0070C0"/>
                                  </a:solidFill>
                                </a:rPr>
                                <a:t>Fci</a:t>
                              </a:r>
                              <a:endParaRPr lang="en-US" sz="900" b="1">
                                <a:solidFill>
                                  <a:srgbClr val="0070C0"/>
                                </a:solidFill>
                              </a:endParaRPr>
                            </a:p>
                          </xdr:txBody>
                        </xdr:sp>
                        <xdr:sp macro="" textlink="">
                          <xdr:nvSpPr>
                            <xdr:cNvPr id="35" name="TextBox 34">
                              <a:extLst>
                                <a:ext uri="{FF2B5EF4-FFF2-40B4-BE49-F238E27FC236}">
                                  <a16:creationId xmlns:a16="http://schemas.microsoft.com/office/drawing/2014/main" id="{3C04E73E-39D4-EC09-396D-97C15A93539C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861900" y="1279693"/>
                              <a:ext cx="421371" cy="232205"/>
                            </a:xfrm>
                            <a:prstGeom prst="rect">
                              <a:avLst/>
                            </a:prstGeom>
                            <a:noFill/>
                            <a:ln w="9525" cmpd="sng">
                              <a:noFill/>
                            </a:ln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dk1"/>
                            </a:fontRef>
                          </xdr:style>
                          <xdr:txBody>
                            <a:bodyPr vertOverflow="clip" horzOverflow="clip" wrap="square" rtlCol="0" anchor="ctr"/>
                            <a:lstStyle/>
                            <a:p>
                              <a:r>
                                <a:rPr lang="en-US" altLang="ko-KR" sz="900" b="1">
                                  <a:solidFill>
                                    <a:srgbClr val="0070C0"/>
                                  </a:solidFill>
                                </a:rPr>
                                <a:t>Mci</a:t>
                              </a:r>
                              <a:endParaRPr lang="en-US" sz="900" b="1">
                                <a:solidFill>
                                  <a:srgbClr val="0070C0"/>
                                </a:solidFill>
                              </a:endParaRPr>
                            </a:p>
                          </xdr:txBody>
                        </xdr:sp>
                      </xdr:grpSp>
                      <xdr:grpSp>
                        <xdr:nvGrpSpPr>
                          <xdr:cNvPr id="21" name="Group 20">
                            <a:extLst>
                              <a:ext uri="{FF2B5EF4-FFF2-40B4-BE49-F238E27FC236}">
                                <a16:creationId xmlns:a16="http://schemas.microsoft.com/office/drawing/2014/main" id="{FFD70F3E-2373-D83F-E016-78C205CB3B89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1366437" y="574172"/>
                            <a:ext cx="778670" cy="48964"/>
                            <a:chOff x="3899019" y="596426"/>
                            <a:chExt cx="778670" cy="48964"/>
                          </a:xfrm>
                        </xdr:grpSpPr>
                        <xdr:sp macro="" textlink="">
                          <xdr:nvSpPr>
                            <xdr:cNvPr id="27" name="Oval 26">
                              <a:extLst>
                                <a:ext uri="{FF2B5EF4-FFF2-40B4-BE49-F238E27FC236}">
                                  <a16:creationId xmlns:a16="http://schemas.microsoft.com/office/drawing/2014/main" id="{74FA4998-9032-0FFC-168B-DE38D54AB3DB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3899019" y="596426"/>
                              <a:ext cx="45613" cy="45450"/>
                            </a:xfrm>
                            <a:prstGeom prst="ellipse">
                              <a:avLst/>
                            </a:prstGeom>
                            <a:solidFill>
                              <a:srgbClr val="FF0000"/>
                            </a:solidFill>
                            <a:ln>
                              <a:noFill/>
                            </a:ln>
                          </xdr:spPr>
                          <xdr:style>
                            <a:lnRef idx="2">
                              <a:schemeClr val="accent1">
                                <a:shade val="15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t"/>
                            <a:lstStyle/>
                            <a:p>
                              <a:pPr algn="l"/>
                              <a:endParaRPr lang="en-US" sz="1100"/>
                            </a:p>
                          </xdr:txBody>
                        </xdr:sp>
                        <xdr:sp macro="" textlink="">
                          <xdr:nvSpPr>
                            <xdr:cNvPr id="28" name="Oval 27">
                              <a:extLst>
                                <a:ext uri="{FF2B5EF4-FFF2-40B4-BE49-F238E27FC236}">
                                  <a16:creationId xmlns:a16="http://schemas.microsoft.com/office/drawing/2014/main" id="{EA268429-9711-8C71-E7EE-D7CF248BCD7B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137928" y="598216"/>
                              <a:ext cx="45613" cy="45450"/>
                            </a:xfrm>
                            <a:prstGeom prst="ellipse">
                              <a:avLst/>
                            </a:prstGeom>
                            <a:solidFill>
                              <a:srgbClr val="FF0000"/>
                            </a:solidFill>
                            <a:ln>
                              <a:noFill/>
                            </a:ln>
                          </xdr:spPr>
                          <xdr:style>
                            <a:lnRef idx="2">
                              <a:schemeClr val="accent1">
                                <a:shade val="15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t"/>
                            <a:lstStyle/>
                            <a:p>
                              <a:pPr algn="l"/>
                              <a:endParaRPr lang="en-US" sz="1100"/>
                            </a:p>
                          </xdr:txBody>
                        </xdr:sp>
                        <xdr:sp macro="" textlink="">
                          <xdr:nvSpPr>
                            <xdr:cNvPr id="29" name="Oval 28">
                              <a:extLst>
                                <a:ext uri="{FF2B5EF4-FFF2-40B4-BE49-F238E27FC236}">
                                  <a16:creationId xmlns:a16="http://schemas.microsoft.com/office/drawing/2014/main" id="{D144B0D2-AEF3-A896-31F5-AEFB44D0CFA4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389323" y="599078"/>
                              <a:ext cx="45613" cy="45450"/>
                            </a:xfrm>
                            <a:prstGeom prst="ellipse">
                              <a:avLst/>
                            </a:prstGeom>
                            <a:solidFill>
                              <a:srgbClr val="FF0000"/>
                            </a:solidFill>
                            <a:ln>
                              <a:noFill/>
                            </a:ln>
                          </xdr:spPr>
                          <xdr:style>
                            <a:lnRef idx="2">
                              <a:schemeClr val="accent1">
                                <a:shade val="15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t"/>
                            <a:lstStyle/>
                            <a:p>
                              <a:pPr algn="l"/>
                              <a:endParaRPr lang="en-US" sz="1100"/>
                            </a:p>
                          </xdr:txBody>
                        </xdr:sp>
                        <xdr:sp macro="" textlink="">
                          <xdr:nvSpPr>
                            <xdr:cNvPr id="30" name="Oval 29">
                              <a:extLst>
                                <a:ext uri="{FF2B5EF4-FFF2-40B4-BE49-F238E27FC236}">
                                  <a16:creationId xmlns:a16="http://schemas.microsoft.com/office/drawing/2014/main" id="{F74B404D-8B96-0D9C-BFFA-69E02DD60078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632076" y="599940"/>
                              <a:ext cx="45613" cy="45450"/>
                            </a:xfrm>
                            <a:prstGeom prst="ellipse">
                              <a:avLst/>
                            </a:prstGeom>
                            <a:solidFill>
                              <a:srgbClr val="FF0000"/>
                            </a:solidFill>
                            <a:ln>
                              <a:noFill/>
                            </a:ln>
                          </xdr:spPr>
                          <xdr:style>
                            <a:lnRef idx="2">
                              <a:schemeClr val="accent1">
                                <a:shade val="15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t"/>
                            <a:lstStyle/>
                            <a:p>
                              <a:pPr algn="l"/>
                              <a:endParaRPr lang="en-US" sz="1100"/>
                            </a:p>
                          </xdr:txBody>
                        </xdr:sp>
                      </xdr:grpSp>
                      <xdr:grpSp>
                        <xdr:nvGrpSpPr>
                          <xdr:cNvPr id="22" name="Group 21">
                            <a:extLst>
                              <a:ext uri="{FF2B5EF4-FFF2-40B4-BE49-F238E27FC236}">
                                <a16:creationId xmlns:a16="http://schemas.microsoft.com/office/drawing/2014/main" id="{DFAFF42B-3F86-32ED-C113-B91415C87E5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1367505" y="1759187"/>
                            <a:ext cx="778670" cy="48964"/>
                            <a:chOff x="3899019" y="538563"/>
                            <a:chExt cx="778670" cy="48964"/>
                          </a:xfrm>
                        </xdr:grpSpPr>
                        <xdr:sp macro="" textlink="">
                          <xdr:nvSpPr>
                            <xdr:cNvPr id="23" name="Oval 22">
                              <a:extLst>
                                <a:ext uri="{FF2B5EF4-FFF2-40B4-BE49-F238E27FC236}">
                                  <a16:creationId xmlns:a16="http://schemas.microsoft.com/office/drawing/2014/main" id="{54049BF9-D8D9-09F4-9026-D1E436BC7A96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3899019" y="538563"/>
                              <a:ext cx="45613" cy="45450"/>
                            </a:xfrm>
                            <a:prstGeom prst="ellipse">
                              <a:avLst/>
                            </a:prstGeom>
                            <a:solidFill>
                              <a:srgbClr val="FF0000"/>
                            </a:solidFill>
                            <a:ln>
                              <a:noFill/>
                            </a:ln>
                          </xdr:spPr>
                          <xdr:style>
                            <a:lnRef idx="2">
                              <a:schemeClr val="accent1">
                                <a:shade val="15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t"/>
                            <a:lstStyle/>
                            <a:p>
                              <a:pPr algn="l"/>
                              <a:endParaRPr lang="en-US" sz="1100"/>
                            </a:p>
                          </xdr:txBody>
                        </xdr:sp>
                        <xdr:sp macro="" textlink="">
                          <xdr:nvSpPr>
                            <xdr:cNvPr id="24" name="Oval 23">
                              <a:extLst>
                                <a:ext uri="{FF2B5EF4-FFF2-40B4-BE49-F238E27FC236}">
                                  <a16:creationId xmlns:a16="http://schemas.microsoft.com/office/drawing/2014/main" id="{EED959AF-501F-2FC2-439D-7D2E0315A709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137928" y="540353"/>
                              <a:ext cx="45613" cy="45450"/>
                            </a:xfrm>
                            <a:prstGeom prst="ellipse">
                              <a:avLst/>
                            </a:prstGeom>
                            <a:solidFill>
                              <a:srgbClr val="FF0000"/>
                            </a:solidFill>
                            <a:ln>
                              <a:noFill/>
                            </a:ln>
                          </xdr:spPr>
                          <xdr:style>
                            <a:lnRef idx="2">
                              <a:schemeClr val="accent1">
                                <a:shade val="15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t"/>
                            <a:lstStyle/>
                            <a:p>
                              <a:pPr algn="l"/>
                              <a:endParaRPr lang="en-US" sz="1100"/>
                            </a:p>
                          </xdr:txBody>
                        </xdr:sp>
                        <xdr:sp macro="" textlink="">
                          <xdr:nvSpPr>
                            <xdr:cNvPr id="25" name="Oval 24">
                              <a:extLst>
                                <a:ext uri="{FF2B5EF4-FFF2-40B4-BE49-F238E27FC236}">
                                  <a16:creationId xmlns:a16="http://schemas.microsoft.com/office/drawing/2014/main" id="{9384710B-9CA9-7E44-5E56-7064BADF34A5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389323" y="541215"/>
                              <a:ext cx="45613" cy="45450"/>
                            </a:xfrm>
                            <a:prstGeom prst="ellipse">
                              <a:avLst/>
                            </a:prstGeom>
                            <a:solidFill>
                              <a:srgbClr val="FF0000"/>
                            </a:solidFill>
                            <a:ln>
                              <a:noFill/>
                            </a:ln>
                          </xdr:spPr>
                          <xdr:style>
                            <a:lnRef idx="2">
                              <a:schemeClr val="accent1">
                                <a:shade val="15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t"/>
                            <a:lstStyle/>
                            <a:p>
                              <a:pPr algn="l"/>
                              <a:endParaRPr lang="en-US" sz="1100"/>
                            </a:p>
                          </xdr:txBody>
                        </xdr:sp>
                        <xdr:sp macro="" textlink="">
                          <xdr:nvSpPr>
                            <xdr:cNvPr id="26" name="Oval 25">
                              <a:extLst>
                                <a:ext uri="{FF2B5EF4-FFF2-40B4-BE49-F238E27FC236}">
                                  <a16:creationId xmlns:a16="http://schemas.microsoft.com/office/drawing/2014/main" id="{188A148B-0655-72FC-82F8-77AA9C9C8576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632076" y="542077"/>
                              <a:ext cx="45613" cy="45450"/>
                            </a:xfrm>
                            <a:prstGeom prst="ellipse">
                              <a:avLst/>
                            </a:prstGeom>
                            <a:solidFill>
                              <a:srgbClr val="FF0000"/>
                            </a:solidFill>
                            <a:ln>
                              <a:noFill/>
                            </a:ln>
                          </xdr:spPr>
                          <xdr:style>
                            <a:lnRef idx="2">
                              <a:schemeClr val="accent1">
                                <a:shade val="15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t"/>
                            <a:lstStyle/>
                            <a:p>
                              <a:pPr algn="l"/>
                              <a:endParaRPr lang="en-US" sz="1100"/>
                            </a:p>
                          </xdr:txBody>
                        </xdr:sp>
                      </xdr:grpSp>
                    </xdr:grpSp>
                    <xdr:cxnSp macro="">
                      <xdr:nvCxnSpPr>
                        <xdr:cNvPr id="13" name="Straight Arrow Connector 12">
                          <a:extLst>
                            <a:ext uri="{FF2B5EF4-FFF2-40B4-BE49-F238E27FC236}">
                              <a16:creationId xmlns:a16="http://schemas.microsoft.com/office/drawing/2014/main" id="{027B822F-6273-DD94-3E43-E1CFB346451C}"/>
                            </a:ext>
                          </a:extLst>
                        </xdr:cNvPr>
                        <xdr:cNvCxnSpPr/>
                      </xdr:nvCxnSpPr>
                      <xdr:spPr>
                        <a:xfrm flipH="1">
                          <a:off x="454332" y="585418"/>
                          <a:ext cx="357765" cy="0"/>
                        </a:xfrm>
                        <a:prstGeom prst="straightConnector1">
                          <a:avLst/>
                        </a:prstGeom>
                        <a:ln>
                          <a:solidFill>
                            <a:srgbClr val="FF0000"/>
                          </a:solidFill>
                          <a:tailEnd type="triangle"/>
                        </a:ln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sp macro="" textlink="">
                      <xdr:nvSpPr>
                        <xdr:cNvPr id="14" name="TextBox 13">
                          <a:extLst>
                            <a:ext uri="{FF2B5EF4-FFF2-40B4-BE49-F238E27FC236}">
                              <a16:creationId xmlns:a16="http://schemas.microsoft.com/office/drawing/2014/main" id="{3D994A8F-5E2B-5CA0-2C18-27F32CFAF9C1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453996" y="382781"/>
                          <a:ext cx="357764" cy="160234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ctr"/>
                        <a:lstStyle/>
                        <a:p>
                          <a:r>
                            <a:rPr lang="en-US" altLang="ko-KR" sz="900" b="1">
                              <a:solidFill>
                                <a:srgbClr val="0070C0"/>
                              </a:solidFill>
                            </a:rPr>
                            <a:t>Fsi</a:t>
                          </a:r>
                          <a:endParaRPr lang="en-US" sz="900" b="1">
                            <a:solidFill>
                              <a:srgbClr val="0070C0"/>
                            </a:solidFill>
                          </a:endParaRPr>
                        </a:p>
                      </xdr:txBody>
                    </xdr:sp>
                    <xdr:cxnSp macro="">
                      <xdr:nvCxnSpPr>
                        <xdr:cNvPr id="15" name="Straight Arrow Connector 14">
                          <a:extLst>
                            <a:ext uri="{FF2B5EF4-FFF2-40B4-BE49-F238E27FC236}">
                              <a16:creationId xmlns:a16="http://schemas.microsoft.com/office/drawing/2014/main" id="{D4A03AB7-AEDB-E06E-9CD5-195BCFFA482B}"/>
                            </a:ext>
                          </a:extLst>
                        </xdr:cNvPr>
                        <xdr:cNvCxnSpPr/>
                      </xdr:nvCxnSpPr>
                      <xdr:spPr>
                        <a:xfrm flipH="1">
                          <a:off x="498842" y="1649192"/>
                          <a:ext cx="357765" cy="0"/>
                        </a:xfrm>
                        <a:prstGeom prst="straightConnector1">
                          <a:avLst/>
                        </a:prstGeom>
                        <a:ln>
                          <a:solidFill>
                            <a:srgbClr val="00B050"/>
                          </a:solidFill>
                          <a:tailEnd type="triangle"/>
                        </a:ln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sp macro="" textlink="">
                      <xdr:nvSpPr>
                        <xdr:cNvPr id="16" name="TextBox 15">
                          <a:extLst>
                            <a:ext uri="{FF2B5EF4-FFF2-40B4-BE49-F238E27FC236}">
                              <a16:creationId xmlns:a16="http://schemas.microsoft.com/office/drawing/2014/main" id="{3917D239-07B5-DB0F-3D60-D4BD9597E83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796030" y="1525102"/>
                          <a:ext cx="345950" cy="217583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ctr"/>
                        <a:lstStyle/>
                        <a:p>
                          <a:r>
                            <a:rPr lang="en-US" altLang="ko-KR" sz="900" b="1">
                              <a:solidFill>
                                <a:srgbClr val="0070C0"/>
                              </a:solidFill>
                            </a:rPr>
                            <a:t>Fci</a:t>
                          </a:r>
                          <a:endParaRPr lang="en-US" sz="900" b="1">
                            <a:solidFill>
                              <a:srgbClr val="0070C0"/>
                            </a:solidFill>
                          </a:endParaRPr>
                        </a:p>
                      </xdr:txBody>
                    </xdr:sp>
                    <xdr:sp macro="" textlink="">
                      <xdr:nvSpPr>
                        <xdr:cNvPr id="17" name="Arc 16">
                          <a:extLst>
                            <a:ext uri="{FF2B5EF4-FFF2-40B4-BE49-F238E27FC236}">
                              <a16:creationId xmlns:a16="http://schemas.microsoft.com/office/drawing/2014/main" id="{9CDC8B35-F0BF-5C4A-550D-1C3BCE378E4B}"/>
                            </a:ext>
                          </a:extLst>
                        </xdr:cNvPr>
                        <xdr:cNvSpPr/>
                      </xdr:nvSpPr>
                      <xdr:spPr>
                        <a:xfrm rot="16698894">
                          <a:off x="296898" y="1079211"/>
                          <a:ext cx="354323" cy="251348"/>
                        </a:xfrm>
                        <a:prstGeom prst="arc">
                          <a:avLst>
                            <a:gd name="adj1" fmla="val 8660341"/>
                            <a:gd name="adj2" fmla="val 1570092"/>
                          </a:avLst>
                        </a:prstGeom>
                        <a:ln>
                          <a:solidFill>
                            <a:srgbClr val="00B050"/>
                          </a:solidFill>
                          <a:headEnd type="none" w="med" len="med"/>
                          <a:tailEnd type="triangle" w="med" len="med"/>
                        </a:ln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</xdr:grpSp>
                  <xdr:cxnSp macro="">
                    <xdr:nvCxnSpPr>
                      <xdr:cNvPr id="11" name="Straight Connector 10">
                        <a:extLst>
                          <a:ext uri="{FF2B5EF4-FFF2-40B4-BE49-F238E27FC236}">
                            <a16:creationId xmlns:a16="http://schemas.microsoft.com/office/drawing/2014/main" id="{14D82C73-C9AD-48FE-86DE-E03947B0E60C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2271201" y="606966"/>
                        <a:ext cx="951276" cy="0"/>
                      </a:xfrm>
                      <a:prstGeom prst="line">
                        <a:avLst/>
                      </a:prstGeom>
                      <a:ln w="6350">
                        <a:solidFill>
                          <a:srgbClr val="FF0000"/>
                        </a:solidFill>
                        <a:prstDash val="sysDot"/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</xdr:grpSp>
                <xdr:sp macro="" textlink="">
                  <xdr:nvSpPr>
                    <xdr:cNvPr id="6" name="Oval 5">
                      <a:extLst>
                        <a:ext uri="{FF2B5EF4-FFF2-40B4-BE49-F238E27FC236}">
                          <a16:creationId xmlns:a16="http://schemas.microsoft.com/office/drawing/2014/main" id="{7141630C-7514-4103-388F-B67E7F61B437}"/>
                        </a:ext>
                      </a:extLst>
                    </xdr:cNvPr>
                    <xdr:cNvSpPr/>
                  </xdr:nvSpPr>
                  <xdr:spPr>
                    <a:xfrm>
                      <a:off x="1356731" y="748061"/>
                      <a:ext cx="45335" cy="45242"/>
                    </a:xfrm>
                    <a:prstGeom prst="ellipse">
                      <a:avLst/>
                    </a:prstGeom>
                    <a:solidFill>
                      <a:srgbClr val="FF0000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  <xdr:sp macro="" textlink="">
                  <xdr:nvSpPr>
                    <xdr:cNvPr id="7" name="Oval 6">
                      <a:extLst>
                        <a:ext uri="{FF2B5EF4-FFF2-40B4-BE49-F238E27FC236}">
                          <a16:creationId xmlns:a16="http://schemas.microsoft.com/office/drawing/2014/main" id="{5D3B8A17-7586-FFA9-EDD2-B9D43463D21A}"/>
                        </a:ext>
                      </a:extLst>
                    </xdr:cNvPr>
                    <xdr:cNvSpPr/>
                  </xdr:nvSpPr>
                  <xdr:spPr>
                    <a:xfrm>
                      <a:off x="2085278" y="751778"/>
                      <a:ext cx="45335" cy="45242"/>
                    </a:xfrm>
                    <a:prstGeom prst="ellipse">
                      <a:avLst/>
                    </a:prstGeom>
                    <a:solidFill>
                      <a:srgbClr val="FF0000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  <xdr:sp macro="" textlink="">
                  <xdr:nvSpPr>
                    <xdr:cNvPr id="8" name="Oval 7">
                      <a:extLst>
                        <a:ext uri="{FF2B5EF4-FFF2-40B4-BE49-F238E27FC236}">
                          <a16:creationId xmlns:a16="http://schemas.microsoft.com/office/drawing/2014/main" id="{F40C44D7-4111-DFCC-F873-F7B85DDB39C6}"/>
                        </a:ext>
                      </a:extLst>
                    </xdr:cNvPr>
                    <xdr:cNvSpPr/>
                  </xdr:nvSpPr>
                  <xdr:spPr>
                    <a:xfrm>
                      <a:off x="1359519" y="1591837"/>
                      <a:ext cx="45335" cy="45242"/>
                    </a:xfrm>
                    <a:prstGeom prst="ellipse">
                      <a:avLst/>
                    </a:prstGeom>
                    <a:solidFill>
                      <a:srgbClr val="FF0000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  <xdr:sp macro="" textlink="">
                  <xdr:nvSpPr>
                    <xdr:cNvPr id="9" name="Oval 8">
                      <a:extLst>
                        <a:ext uri="{FF2B5EF4-FFF2-40B4-BE49-F238E27FC236}">
                          <a16:creationId xmlns:a16="http://schemas.microsoft.com/office/drawing/2014/main" id="{FF53B823-4215-5037-83B4-77289DB3ACB3}"/>
                        </a:ext>
                      </a:extLst>
                    </xdr:cNvPr>
                    <xdr:cNvSpPr/>
                  </xdr:nvSpPr>
                  <xdr:spPr>
                    <a:xfrm>
                      <a:off x="2092711" y="1586261"/>
                      <a:ext cx="45335" cy="45242"/>
                    </a:xfrm>
                    <a:prstGeom prst="ellipse">
                      <a:avLst/>
                    </a:prstGeom>
                    <a:solidFill>
                      <a:srgbClr val="FF0000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</xdr:grpSp>
            </xdr:grpSp>
            <xdr:cxnSp macro="">
              <xdr:nvCxnSpPr>
                <xdr:cNvPr id="70" name="Straight Connector 69">
                  <a:extLst>
                    <a:ext uri="{FF2B5EF4-FFF2-40B4-BE49-F238E27FC236}">
                      <a16:creationId xmlns:a16="http://schemas.microsoft.com/office/drawing/2014/main" id="{51ABCC03-F49C-48E0-8AA0-05FEFD11CEAA}"/>
                    </a:ext>
                  </a:extLst>
                </xdr:cNvPr>
                <xdr:cNvCxnSpPr/>
              </xdr:nvCxnSpPr>
              <xdr:spPr>
                <a:xfrm>
                  <a:off x="2244183" y="2206300"/>
                  <a:ext cx="274134" cy="0"/>
                </a:xfrm>
                <a:prstGeom prst="line">
                  <a:avLst/>
                </a:prstGeom>
                <a:ln w="3175">
                  <a:headEnd type="none"/>
                  <a:tailEnd type="oval" w="sm" len="sm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1" name="Straight Connector 70">
                  <a:extLst>
                    <a:ext uri="{FF2B5EF4-FFF2-40B4-BE49-F238E27FC236}">
                      <a16:creationId xmlns:a16="http://schemas.microsoft.com/office/drawing/2014/main" id="{C217DA3A-D1B2-445E-8975-2EBA19C60800}"/>
                    </a:ext>
                  </a:extLst>
                </xdr:cNvPr>
                <xdr:cNvCxnSpPr/>
              </xdr:nvCxnSpPr>
              <xdr:spPr>
                <a:xfrm>
                  <a:off x="2355846" y="895102"/>
                  <a:ext cx="162471" cy="0"/>
                </a:xfrm>
                <a:prstGeom prst="line">
                  <a:avLst/>
                </a:prstGeom>
                <a:ln w="3175">
                  <a:headEnd type="none"/>
                  <a:tailEnd type="oval" w="sm" len="sm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4" name="Straight Connector 73">
                  <a:extLst>
                    <a:ext uri="{FF2B5EF4-FFF2-40B4-BE49-F238E27FC236}">
                      <a16:creationId xmlns:a16="http://schemas.microsoft.com/office/drawing/2014/main" id="{D878DA32-26D0-444D-9CA6-66B6A74D0465}"/>
                    </a:ext>
                  </a:extLst>
                </xdr:cNvPr>
                <xdr:cNvCxnSpPr/>
              </xdr:nvCxnSpPr>
              <xdr:spPr>
                <a:xfrm>
                  <a:off x="2517994" y="891385"/>
                  <a:ext cx="0" cy="1338859"/>
                </a:xfrm>
                <a:prstGeom prst="line">
                  <a:avLst/>
                </a:prstGeom>
                <a:ln w="3175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81" name="TextBox 80">
                <a:extLst>
                  <a:ext uri="{FF2B5EF4-FFF2-40B4-BE49-F238E27FC236}">
                    <a16:creationId xmlns:a16="http://schemas.microsoft.com/office/drawing/2014/main" id="{5B79C762-98F7-4477-874D-BD89B9B25F9F}"/>
                  </a:ext>
                </a:extLst>
              </xdr:cNvPr>
              <xdr:cNvSpPr txBox="1"/>
            </xdr:nvSpPr>
            <xdr:spPr>
              <a:xfrm>
                <a:off x="2355373" y="1360666"/>
                <a:ext cx="290275" cy="24972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r>
                  <a:rPr lang="en-US" altLang="ko-KR" sz="900"/>
                  <a:t>c1</a:t>
                </a:r>
                <a:endParaRPr lang="en-US" sz="900"/>
              </a:p>
            </xdr:txBody>
          </xdr:sp>
        </xdr:grpSp>
        <xdr:cxnSp macro="">
          <xdr:nvCxnSpPr>
            <xdr:cNvPr id="83" name="Straight Arrow Connector 82">
              <a:extLst>
                <a:ext uri="{FF2B5EF4-FFF2-40B4-BE49-F238E27FC236}">
                  <a16:creationId xmlns:a16="http://schemas.microsoft.com/office/drawing/2014/main" id="{614A9C59-0086-448D-B5E0-8B111AE03490}"/>
                </a:ext>
              </a:extLst>
            </xdr:cNvPr>
            <xdr:cNvCxnSpPr/>
          </xdr:nvCxnSpPr>
          <xdr:spPr>
            <a:xfrm flipH="1">
              <a:off x="492859" y="2207897"/>
              <a:ext cx="369516" cy="0"/>
            </a:xfrm>
            <a:prstGeom prst="straightConnector1">
              <a:avLst/>
            </a:prstGeom>
            <a:ln>
              <a:solidFill>
                <a:srgbClr val="00B05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B05D3BCC-E000-46C1-BB0E-A0CE5C75CD95}"/>
                </a:ext>
              </a:extLst>
            </xdr:cNvPr>
            <xdr:cNvSpPr txBox="1"/>
          </xdr:nvSpPr>
          <xdr:spPr>
            <a:xfrm>
              <a:off x="827048" y="2132672"/>
              <a:ext cx="369515" cy="15868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900" b="1">
                  <a:solidFill>
                    <a:srgbClr val="0070C0"/>
                  </a:solidFill>
                </a:rPr>
                <a:t>Fsi</a:t>
              </a:r>
              <a:endParaRPr lang="en-US" sz="900" b="1">
                <a:solidFill>
                  <a:srgbClr val="0070C0"/>
                </a:solidFill>
              </a:endParaRPr>
            </a:p>
          </xdr:txBody>
        </xdr:sp>
      </xdr:grpSp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4BE6073E-14FB-4D3A-A90A-1C809B93F473}"/>
              </a:ext>
            </a:extLst>
          </xdr:cNvPr>
          <xdr:cNvSpPr txBox="1"/>
        </xdr:nvSpPr>
        <xdr:spPr>
          <a:xfrm>
            <a:off x="3178629" y="1525360"/>
            <a:ext cx="411544" cy="1849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l-GR" altLang="ko-KR" sz="900"/>
              <a:t>ε</a:t>
            </a:r>
            <a:r>
              <a:rPr lang="en-US" altLang="ko-KR" sz="900"/>
              <a:t>0</a:t>
            </a:r>
            <a:endParaRPr lang="en-US" sz="9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4</xdr:row>
      <xdr:rowOff>114300</xdr:rowOff>
    </xdr:from>
    <xdr:to>
      <xdr:col>10</xdr:col>
      <xdr:colOff>295276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A504BC-CA18-4CC7-BD76-F24539AA9D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238125</xdr:colOff>
      <xdr:row>3</xdr:row>
      <xdr:rowOff>95250</xdr:rowOff>
    </xdr:from>
    <xdr:to>
      <xdr:col>6</xdr:col>
      <xdr:colOff>124945</xdr:colOff>
      <xdr:row>12</xdr:row>
      <xdr:rowOff>188380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98DA8904-9B10-47CB-BADE-6718DBC117DE}"/>
            </a:ext>
          </a:extLst>
        </xdr:cNvPr>
        <xdr:cNvGrpSpPr/>
      </xdr:nvGrpSpPr>
      <xdr:grpSpPr>
        <a:xfrm>
          <a:off x="238125" y="733425"/>
          <a:ext cx="3925420" cy="1826680"/>
          <a:chOff x="5006111" y="385399"/>
          <a:chExt cx="3925420" cy="1826680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FE7711EC-4F1A-F892-8E4D-FE70F93E7CE2}"/>
              </a:ext>
            </a:extLst>
          </xdr:cNvPr>
          <xdr:cNvSpPr txBox="1"/>
        </xdr:nvSpPr>
        <xdr:spPr>
          <a:xfrm>
            <a:off x="7706348" y="1063684"/>
            <a:ext cx="396163" cy="183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l-GR" altLang="ko-KR" sz="900"/>
              <a:t>ε</a:t>
            </a:r>
            <a:r>
              <a:rPr lang="en-US" altLang="ko-KR" sz="900"/>
              <a:t>ci</a:t>
            </a:r>
            <a:endParaRPr lang="en-US" sz="900"/>
          </a:p>
        </xdr:txBody>
      </xdr:sp>
      <xdr:grpSp>
        <xdr:nvGrpSpPr>
          <xdr:cNvPr id="73" name="Group 72">
            <a:extLst>
              <a:ext uri="{FF2B5EF4-FFF2-40B4-BE49-F238E27FC236}">
                <a16:creationId xmlns:a16="http://schemas.microsoft.com/office/drawing/2014/main" id="{18E1EC16-8669-E599-A13C-DAFE53A967D8}"/>
              </a:ext>
            </a:extLst>
          </xdr:cNvPr>
          <xdr:cNvGrpSpPr/>
        </xdr:nvGrpSpPr>
        <xdr:grpSpPr>
          <a:xfrm>
            <a:off x="5006111" y="385399"/>
            <a:ext cx="3925420" cy="1826680"/>
            <a:chOff x="348386" y="597826"/>
            <a:chExt cx="3932324" cy="1858962"/>
          </a:xfrm>
        </xdr:grpSpPr>
        <xdr:grpSp>
          <xdr:nvGrpSpPr>
            <xdr:cNvPr id="74" name="Group 73">
              <a:extLst>
                <a:ext uri="{FF2B5EF4-FFF2-40B4-BE49-F238E27FC236}">
                  <a16:creationId xmlns:a16="http://schemas.microsoft.com/office/drawing/2014/main" id="{C3DA3F15-6BF4-B74E-64BD-87A70E1FF531}"/>
                </a:ext>
              </a:extLst>
            </xdr:cNvPr>
            <xdr:cNvGrpSpPr/>
          </xdr:nvGrpSpPr>
          <xdr:grpSpPr>
            <a:xfrm>
              <a:off x="348386" y="597826"/>
              <a:ext cx="3932324" cy="1829402"/>
              <a:chOff x="348386" y="166324"/>
              <a:chExt cx="3914269" cy="1768080"/>
            </a:xfrm>
          </xdr:grpSpPr>
          <xdr:grpSp>
            <xdr:nvGrpSpPr>
              <xdr:cNvPr id="79" name="Group 78">
                <a:extLst>
                  <a:ext uri="{FF2B5EF4-FFF2-40B4-BE49-F238E27FC236}">
                    <a16:creationId xmlns:a16="http://schemas.microsoft.com/office/drawing/2014/main" id="{B2AA733E-D6E4-80CD-9ADA-80AB029C1400}"/>
                  </a:ext>
                </a:extLst>
              </xdr:cNvPr>
              <xdr:cNvGrpSpPr/>
            </xdr:nvGrpSpPr>
            <xdr:grpSpPr>
              <a:xfrm>
                <a:off x="348386" y="166324"/>
                <a:ext cx="3914269" cy="1768080"/>
                <a:chOff x="348386" y="166324"/>
                <a:chExt cx="3938239" cy="1776201"/>
              </a:xfrm>
            </xdr:grpSpPr>
            <xdr:grpSp>
              <xdr:nvGrpSpPr>
                <xdr:cNvPr id="84" name="Group 83">
                  <a:extLst>
                    <a:ext uri="{FF2B5EF4-FFF2-40B4-BE49-F238E27FC236}">
                      <a16:creationId xmlns:a16="http://schemas.microsoft.com/office/drawing/2014/main" id="{26D223BF-4FA1-0256-CBEA-D83F0CE80E3F}"/>
                    </a:ext>
                  </a:extLst>
                </xdr:cNvPr>
                <xdr:cNvGrpSpPr/>
              </xdr:nvGrpSpPr>
              <xdr:grpSpPr>
                <a:xfrm>
                  <a:off x="348386" y="166324"/>
                  <a:ext cx="3938239" cy="1776201"/>
                  <a:chOff x="348386" y="166324"/>
                  <a:chExt cx="3938239" cy="1776201"/>
                </a:xfrm>
              </xdr:grpSpPr>
              <xdr:grpSp>
                <xdr:nvGrpSpPr>
                  <xdr:cNvPr id="86" name="Group 85">
                    <a:extLst>
                      <a:ext uri="{FF2B5EF4-FFF2-40B4-BE49-F238E27FC236}">
                        <a16:creationId xmlns:a16="http://schemas.microsoft.com/office/drawing/2014/main" id="{B5B5EF6F-7A21-3FC0-CEA0-E5DE0A32E4FD}"/>
                      </a:ext>
                    </a:extLst>
                  </xdr:cNvPr>
                  <xdr:cNvGrpSpPr/>
                </xdr:nvGrpSpPr>
                <xdr:grpSpPr>
                  <a:xfrm>
                    <a:off x="415160" y="166324"/>
                    <a:ext cx="3871465" cy="1776201"/>
                    <a:chOff x="415160" y="166324"/>
                    <a:chExt cx="3871465" cy="1776201"/>
                  </a:xfrm>
                </xdr:grpSpPr>
                <xdr:sp macro="" textlink="">
                  <xdr:nvSpPr>
                    <xdr:cNvPr id="92" name="Rectangle 91">
                      <a:extLst>
                        <a:ext uri="{FF2B5EF4-FFF2-40B4-BE49-F238E27FC236}">
                          <a16:creationId xmlns:a16="http://schemas.microsoft.com/office/drawing/2014/main" id="{A569EBB2-7F09-F92E-6666-6B71D6E8F2FB}"/>
                        </a:ext>
                      </a:extLst>
                    </xdr:cNvPr>
                    <xdr:cNvSpPr/>
                  </xdr:nvSpPr>
                  <xdr:spPr>
                    <a:xfrm>
                      <a:off x="1228458" y="1537896"/>
                      <a:ext cx="1034162" cy="389360"/>
                    </a:xfrm>
                    <a:prstGeom prst="rect">
                      <a:avLst/>
                    </a:prstGeom>
                    <a:solidFill>
                      <a:schemeClr val="accent6">
                        <a:lumMod val="40000"/>
                        <a:lumOff val="60000"/>
                      </a:schemeClr>
                    </a:solidFill>
                    <a:ln w="22225">
                      <a:solidFill>
                        <a:schemeClr val="tx2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r>
                        <a:rPr lang="en-US" sz="900">
                          <a:solidFill>
                            <a:srgbClr val="FF0000"/>
                          </a:solidFill>
                        </a:rPr>
                        <a:t>Tension</a:t>
                      </a:r>
                    </a:p>
                  </xdr:txBody>
                </xdr:sp>
                <xdr:grpSp>
                  <xdr:nvGrpSpPr>
                    <xdr:cNvPr id="93" name="Group 92">
                      <a:extLst>
                        <a:ext uri="{FF2B5EF4-FFF2-40B4-BE49-F238E27FC236}">
                          <a16:creationId xmlns:a16="http://schemas.microsoft.com/office/drawing/2014/main" id="{A7120E67-C3A2-9A0F-BA43-6083DEA07341}"/>
                        </a:ext>
                      </a:extLst>
                    </xdr:cNvPr>
                    <xdr:cNvGrpSpPr/>
                  </xdr:nvGrpSpPr>
                  <xdr:grpSpPr>
                    <a:xfrm>
                      <a:off x="415160" y="166324"/>
                      <a:ext cx="3871465" cy="1776201"/>
                      <a:chOff x="415160" y="166324"/>
                      <a:chExt cx="3871465" cy="1776201"/>
                    </a:xfrm>
                  </xdr:grpSpPr>
                  <xdr:grpSp>
                    <xdr:nvGrpSpPr>
                      <xdr:cNvPr id="94" name="Group 93">
                        <a:extLst>
                          <a:ext uri="{FF2B5EF4-FFF2-40B4-BE49-F238E27FC236}">
                            <a16:creationId xmlns:a16="http://schemas.microsoft.com/office/drawing/2014/main" id="{B04FB987-FD41-AE63-5583-104C7BDB8F05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15160" y="166324"/>
                        <a:ext cx="3871465" cy="1776201"/>
                        <a:chOff x="593718" y="242524"/>
                        <a:chExt cx="3865224" cy="1749495"/>
                      </a:xfrm>
                    </xdr:grpSpPr>
                    <xdr:grpSp>
                      <xdr:nvGrpSpPr>
                        <xdr:cNvPr id="105" name="Group 104">
                          <a:extLst>
                            <a:ext uri="{FF2B5EF4-FFF2-40B4-BE49-F238E27FC236}">
                              <a16:creationId xmlns:a16="http://schemas.microsoft.com/office/drawing/2014/main" id="{A77D4FE7-C768-5AAF-A1D6-3FB71CB4037B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959083" y="242524"/>
                          <a:ext cx="3499859" cy="1749495"/>
                          <a:chOff x="3033706" y="298660"/>
                          <a:chExt cx="3495951" cy="1720920"/>
                        </a:xfrm>
                      </xdr:grpSpPr>
                      <xdr:grpSp>
                        <xdr:nvGrpSpPr>
                          <xdr:cNvPr id="110" name="Group 109">
                            <a:extLst>
                              <a:ext uri="{FF2B5EF4-FFF2-40B4-BE49-F238E27FC236}">
                                <a16:creationId xmlns:a16="http://schemas.microsoft.com/office/drawing/2014/main" id="{D44C17A7-DBFA-63F0-23A4-377C1ABD0DFE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3033706" y="298660"/>
                            <a:ext cx="3286950" cy="1720920"/>
                            <a:chOff x="2584144" y="251933"/>
                            <a:chExt cx="3281929" cy="1720920"/>
                          </a:xfrm>
                        </xdr:grpSpPr>
                        <xdr:grpSp>
                          <xdr:nvGrpSpPr>
                            <xdr:cNvPr id="115" name="Group 114">
                              <a:extLst>
                                <a:ext uri="{FF2B5EF4-FFF2-40B4-BE49-F238E27FC236}">
                                  <a16:creationId xmlns:a16="http://schemas.microsoft.com/office/drawing/2014/main" id="{95FE7928-6A64-E30F-8BAC-B024CDDBDD48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2784020" y="251933"/>
                              <a:ext cx="3082053" cy="1720920"/>
                              <a:chOff x="2241476" y="194783"/>
                              <a:chExt cx="3082027" cy="1720920"/>
                            </a:xfrm>
                          </xdr:grpSpPr>
                          <xdr:cxnSp macro="">
                            <xdr:nvCxnSpPr>
                              <xdr:cNvPr id="120" name="Straight Connector 119">
                                <a:extLst>
                                  <a:ext uri="{FF2B5EF4-FFF2-40B4-BE49-F238E27FC236}">
                                    <a16:creationId xmlns:a16="http://schemas.microsoft.com/office/drawing/2014/main" id="{A5E309F4-B7AD-66C6-A5A9-5EC8D037A5EA}"/>
                                  </a:ext>
                                </a:extLst>
                              </xdr:cNvPr>
                              <xdr:cNvCxnSpPr/>
                            </xdr:nvCxnSpPr>
                            <xdr:spPr>
                              <a:xfrm>
                                <a:off x="2241476" y="837333"/>
                                <a:ext cx="0" cy="312170"/>
                              </a:xfrm>
                              <a:prstGeom prst="line">
                                <a:avLst/>
                              </a:prstGeom>
                              <a:ln w="3175"/>
                            </xdr:spPr>
                            <xdr:style>
                              <a:lnRef idx="1">
                                <a:schemeClr val="accent1"/>
                              </a:lnRef>
                              <a:fillRef idx="0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tx1"/>
                              </a:fontRef>
                            </xdr:style>
                          </xdr:cxnSp>
                          <xdr:cxnSp macro="">
                            <xdr:nvCxnSpPr>
                              <xdr:cNvPr id="121" name="Straight Connector 120">
                                <a:extLst>
                                  <a:ext uri="{FF2B5EF4-FFF2-40B4-BE49-F238E27FC236}">
                                    <a16:creationId xmlns:a16="http://schemas.microsoft.com/office/drawing/2014/main" id="{F1276D07-E27D-D0A4-D535-42CD69677467}"/>
                                  </a:ext>
                                </a:extLst>
                              </xdr:cNvPr>
                              <xdr:cNvCxnSpPr/>
                            </xdr:nvCxnSpPr>
                            <xdr:spPr>
                              <a:xfrm flipH="1">
                                <a:off x="2242418" y="857196"/>
                                <a:ext cx="166719" cy="0"/>
                              </a:xfrm>
                              <a:prstGeom prst="line">
                                <a:avLst/>
                              </a:prstGeom>
                              <a:ln w="3175">
                                <a:headEnd type="none"/>
                                <a:tailEnd type="oval" w="sm" len="sm"/>
                              </a:ln>
                            </xdr:spPr>
                            <xdr:style>
                              <a:lnRef idx="1">
                                <a:schemeClr val="accent1"/>
                              </a:lnRef>
                              <a:fillRef idx="0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tx1"/>
                              </a:fontRef>
                            </xdr:style>
                          </xdr:cxnSp>
                          <xdr:grpSp>
                            <xdr:nvGrpSpPr>
                              <xdr:cNvPr id="123" name="Group 122">
                                <a:extLst>
                                  <a:ext uri="{FF2B5EF4-FFF2-40B4-BE49-F238E27FC236}">
                                    <a16:creationId xmlns:a16="http://schemas.microsoft.com/office/drawing/2014/main" id="{146838DF-64D2-1A92-508A-0B89E6093321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2487379" y="194783"/>
                                <a:ext cx="2836124" cy="1720920"/>
                                <a:chOff x="2487379" y="194783"/>
                                <a:chExt cx="2836124" cy="1720920"/>
                              </a:xfrm>
                            </xdr:grpSpPr>
                            <xdr:grpSp>
                              <xdr:nvGrpSpPr>
                                <xdr:cNvPr id="124" name="Group 123">
                                  <a:extLst>
                                    <a:ext uri="{FF2B5EF4-FFF2-40B4-BE49-F238E27FC236}">
                                      <a16:creationId xmlns:a16="http://schemas.microsoft.com/office/drawing/2014/main" id="{C481046A-342F-FEA5-77CD-965FE8731CD2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2487379" y="472598"/>
                                  <a:ext cx="2410655" cy="1432623"/>
                                  <a:chOff x="2621891" y="311507"/>
                                  <a:chExt cx="2948375" cy="1437463"/>
                                </a:xfrm>
                              </xdr:grpSpPr>
                              <xdr:grpSp>
                                <xdr:nvGrpSpPr>
                                  <xdr:cNvPr id="128" name="Group 127">
                                    <a:extLst>
                                      <a:ext uri="{FF2B5EF4-FFF2-40B4-BE49-F238E27FC236}">
                                        <a16:creationId xmlns:a16="http://schemas.microsoft.com/office/drawing/2014/main" id="{430C16E6-1E38-FA71-2F52-B4086473834D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2621891" y="311507"/>
                                    <a:ext cx="2493045" cy="1437463"/>
                                    <a:chOff x="2621891" y="311507"/>
                                    <a:chExt cx="2493045" cy="1437463"/>
                                  </a:xfrm>
                                </xdr:grpSpPr>
                                <xdr:grpSp>
                                  <xdr:nvGrpSpPr>
                                    <xdr:cNvPr id="130" name="Group 129">
                                      <a:extLst>
                                        <a:ext uri="{FF2B5EF4-FFF2-40B4-BE49-F238E27FC236}">
                                          <a16:creationId xmlns:a16="http://schemas.microsoft.com/office/drawing/2014/main" id="{9409CEDD-16B1-DFE5-F0E5-DB35FBFB7867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2621891" y="319521"/>
                                      <a:ext cx="1714713" cy="1052635"/>
                                      <a:chOff x="6520113" y="168431"/>
                                      <a:chExt cx="1723907" cy="1048561"/>
                                    </a:xfrm>
                                  </xdr:grpSpPr>
                                  <xdr:sp macro="" textlink="">
                                    <xdr:nvSpPr>
                                      <xdr:cNvPr id="133" name="Rectangle 1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D75AE1E3-636B-E435-E1AE-DEB6C7145C31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6520113" y="171451"/>
                                        <a:ext cx="1270836" cy="1039535"/>
                                      </a:xfrm>
                                      <a:prstGeom prst="rect">
                                        <a:avLst/>
                                      </a:prstGeom>
                                      <a:pattFill prst="dkHorz">
                                        <a:fgClr>
                                          <a:schemeClr val="accent1">
                                            <a:lumMod val="40000"/>
                                            <a:lumOff val="60000"/>
                                          </a:schemeClr>
                                        </a:fgClr>
                                        <a:bgClr>
                                          <a:schemeClr val="bg1"/>
                                        </a:bgClr>
                                      </a:pattFill>
                                      <a:ln w="22225">
                                        <a:solidFill>
                                          <a:schemeClr val="tx2"/>
                                        </a:solidFill>
                                      </a:ln>
                                    </xdr:spPr>
                                    <xdr:style>
                                      <a:lnRef idx="2">
                                        <a:schemeClr val="accent1">
                                          <a:shade val="15000"/>
                                        </a:schemeClr>
                                      </a:lnRef>
                                      <a:fillRef idx="1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lt1"/>
                                      </a:fontRef>
                                    </xdr:style>
                                    <xdr:txBody>
                                      <a:bodyPr vertOverflow="clip" horzOverflow="clip" rtlCol="0" anchor="ctr"/>
                                      <a:lstStyle/>
                                      <a:p>
                                        <a:pPr algn="ctr"/>
                                        <a:r>
                                          <a:rPr lang="en-US" sz="900">
                                            <a:solidFill>
                                              <a:srgbClr val="FF0000"/>
                                            </a:solidFill>
                                          </a:rPr>
                                          <a:t>Compression</a:t>
                                        </a:r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4" name="Group 1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1EB0B824-2BF5-2CCB-BAA9-B56573202746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7826425" y="168431"/>
                                        <a:ext cx="417595" cy="1048561"/>
                                        <a:chOff x="11633394" y="4191000"/>
                                        <a:chExt cx="337082" cy="492548"/>
                                      </a:xfrm>
                                    </xdr:grpSpPr>
                                    <xdr:sp macro="" textlink="">
                                      <xdr:nvSpPr>
                                        <xdr:cNvPr id="135" name="TextBox 1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F8C60CFD-B206-5131-87AC-795E76E4E75D}"/>
                                            </a:ext>
                                          </a:extLst>
                                        </xdr:cNvPr>
                                        <xdr:cNvSpPr txBox="1"/>
                                      </xdr:nvSpPr>
                                      <xdr:spPr>
                                        <a:xfrm>
                                          <a:off x="11692716" y="4424832"/>
                                          <a:ext cx="277760" cy="114707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 w="9525" cmpd="sng">
                                          <a:noFill/>
                                        </a:ln>
                                      </xdr:spPr>
                                      <xdr:style>
                                        <a:lnRef idx="0">
                                          <a:scrgbClr r="0" g="0" b="0"/>
                                        </a:lnRef>
                                        <a:fillRef idx="0">
                                          <a:scrgbClr r="0" g="0" b="0"/>
                                        </a:fillRef>
                                        <a:effectRef idx="0">
                                          <a:scrgbClr r="0" g="0" b="0"/>
                                        </a:effectRef>
                                        <a:fontRef idx="minor">
                                          <a:schemeClr val="dk1"/>
                                        </a:fontRef>
                                      </xdr:style>
                                      <xdr:txBody>
                                        <a:bodyPr vertOverflow="clip" horzOverflow="clip" wrap="square" rtlCol="0" anchor="ctr"/>
                                        <a:lstStyle/>
                                        <a:p>
                                          <a:r>
                                            <a:rPr lang="en-US" altLang="ko-KR" sz="900"/>
                                            <a:t>c</a:t>
                                          </a:r>
                                          <a:endParaRPr lang="en-US" sz="9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" name="Straight Connector 13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63C622E2-737B-ED23-04CB-AA5443E9E37B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11639046" y="4191000"/>
                                          <a:ext cx="132711" cy="0"/>
                                        </a:xfrm>
                                        <a:prstGeom prst="line">
                                          <a:avLst/>
                                        </a:prstGeom>
                                        <a:ln w="3175">
                                          <a:headEnd type="none"/>
                                          <a:tailEnd type="oval" w="sm" len="sm"/>
                                        </a:ln>
                                      </xdr:spPr>
                                      <xdr:style>
                                        <a:lnRef idx="1">
                                          <a:schemeClr val="accent1"/>
                                        </a:lnRef>
                                        <a:fillRef idx="0">
                                          <a:schemeClr val="accent1"/>
                                        </a:fillRef>
                                        <a:effectRef idx="0">
                                          <a:schemeClr val="accent1"/>
                                        </a:effectRef>
                                        <a:fontRef idx="minor">
                                          <a:schemeClr val="tx1"/>
                                        </a:fontRef>
                                      </xdr:style>
                                    </xdr:cxnSp>
                                    <xdr:cxnSp macro="">
                                      <xdr:nvCxnSpPr>
                                        <xdr:cNvPr id="137" name="Straight Connector 13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7A17190B-AFE6-4935-7DB7-42860BEFAC84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11769797" y="4193910"/>
                                          <a:ext cx="0" cy="489638"/>
                                        </a:xfrm>
                                        <a:prstGeom prst="line">
                                          <a:avLst/>
                                        </a:prstGeom>
                                        <a:ln w="3175"/>
                                      </xdr:spPr>
                                      <xdr:style>
                                        <a:lnRef idx="1">
                                          <a:schemeClr val="accent1"/>
                                        </a:lnRef>
                                        <a:fillRef idx="0">
                                          <a:schemeClr val="accent1"/>
                                        </a:fillRef>
                                        <a:effectRef idx="0">
                                          <a:schemeClr val="accent1"/>
                                        </a:effectRef>
                                        <a:fontRef idx="minor">
                                          <a:schemeClr val="tx1"/>
                                        </a:fontRef>
                                      </xdr:style>
                                    </xdr:cxnSp>
                                    <xdr:cxnSp macro="">
                                      <xdr:nvCxnSpPr>
                                        <xdr:cNvPr id="138" name="Straight Connector 13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B9CF4CA3-BBF2-E2ED-C83F-1229349D094D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11633394" y="4682171"/>
                                          <a:ext cx="137339" cy="0"/>
                                        </a:xfrm>
                                        <a:prstGeom prst="line">
                                          <a:avLst/>
                                        </a:prstGeom>
                                        <a:ln w="3175">
                                          <a:headEnd type="none"/>
                                          <a:tailEnd type="oval" w="sm" len="sm"/>
                                        </a:ln>
                                      </xdr:spPr>
                                      <xdr:style>
                                        <a:lnRef idx="1">
                                          <a:schemeClr val="accent1"/>
                                        </a:lnRef>
                                        <a:fillRef idx="0">
                                          <a:schemeClr val="accent1"/>
                                        </a:fillRef>
                                        <a:effectRef idx="0">
                                          <a:schemeClr val="accent1"/>
                                        </a:effectRef>
                                        <a:fontRef idx="minor">
                                          <a:schemeClr val="tx1"/>
                                        </a:fontRef>
                                      </xdr:style>
                                    </xdr:cxnSp>
                                  </xdr:grpSp>
                                </xdr:grpSp>
                                <xdr:sp macro="" textlink="">
                                  <xdr:nvSpPr>
                                    <xdr:cNvPr id="131" name="Right Triangle 130">
                                      <a:extLst>
                                        <a:ext uri="{FF2B5EF4-FFF2-40B4-BE49-F238E27FC236}">
                                          <a16:creationId xmlns:a16="http://schemas.microsoft.com/office/drawing/2014/main" id="{D4005232-A256-6E2A-DB82-FFFF6E6E7481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 flipV="1">
                                      <a:off x="4545777" y="311507"/>
                                      <a:ext cx="569159" cy="1057635"/>
                                    </a:xfrm>
                                    <a:prstGeom prst="rtTriangle">
                                      <a:avLst/>
                                    </a:prstGeom>
                                    <a:solidFill>
                                      <a:schemeClr val="accent5">
                                        <a:lumMod val="20000"/>
                                        <a:lumOff val="80000"/>
                                      </a:schemeClr>
                                    </a:solidFill>
                                    <a:ln w="12700"/>
                                  </xdr:spPr>
                                  <xdr:style>
                                    <a:lnRef idx="2">
                                      <a:schemeClr val="accent1">
                                        <a:shade val="15000"/>
                                      </a:schemeClr>
                                    </a:lnRef>
                                    <a:fillRef idx="1">
                                      <a:schemeClr val="accent1"/>
                                    </a:fillRef>
                                    <a:effectRef idx="0">
                                      <a:schemeClr val="accent1"/>
                                    </a:effectRef>
                                    <a:fontRef idx="minor">
                                      <a:schemeClr val="lt1"/>
                                    </a:fontRef>
                                  </xdr:style>
                                  <xdr:txBody>
                                    <a:bodyPr vertOverflow="clip" horzOverflow="clip" rtlCol="0" anchor="t"/>
                                    <a:lstStyle/>
                                    <a:p>
                                      <a:pPr algn="ctr"/>
                                      <a:r>
                                        <a:rPr lang="en-US" altLang="ko-KR" sz="1100">
                                          <a:ln w="12700">
                                            <a:solidFill>
                                              <a:srgbClr val="FF0000"/>
                                            </a:solidFill>
                                          </a:ln>
                                          <a:solidFill>
                                            <a:srgbClr val="FF0000"/>
                                          </a:solidFill>
                                        </a:rPr>
                                        <a:t>+</a:t>
                                      </a:r>
                                      <a:endParaRPr lang="ko-KR" altLang="en-US" sz="1100">
                                        <a:ln w="12700">
                                          <a:solidFill>
                                            <a:srgbClr val="FF0000"/>
                                          </a:solidFill>
                                        </a:ln>
                                        <a:solidFill>
                                          <a:srgbClr val="FF0000"/>
                                        </a:solidFill>
                                      </a:endParaRPr>
                                    </a:p>
                                  </xdr:txBody>
                                </xdr:sp>
                                <xdr:sp macro="" textlink="">
                                  <xdr:nvSpPr>
                                    <xdr:cNvPr id="132" name="Right Triangle 131">
                                      <a:extLst>
                                        <a:ext uri="{FF2B5EF4-FFF2-40B4-BE49-F238E27FC236}">
                                          <a16:creationId xmlns:a16="http://schemas.microsoft.com/office/drawing/2014/main" id="{91114973-5CCB-5B1F-20BA-87EE1FF7D8C8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 flipH="1">
                                      <a:off x="4341006" y="1372159"/>
                                      <a:ext cx="204769" cy="376811"/>
                                    </a:xfrm>
                                    <a:prstGeom prst="rtTriangle">
                                      <a:avLst/>
                                    </a:prstGeom>
                                    <a:solidFill>
                                      <a:schemeClr val="accent5">
                                        <a:lumMod val="20000"/>
                                        <a:lumOff val="80000"/>
                                      </a:schemeClr>
                                    </a:solidFill>
                                    <a:ln w="12700"/>
                                  </xdr:spPr>
                                  <xdr:style>
                                    <a:lnRef idx="2">
                                      <a:schemeClr val="accent1">
                                        <a:shade val="15000"/>
                                      </a:schemeClr>
                                    </a:lnRef>
                                    <a:fillRef idx="1">
                                      <a:schemeClr val="accent1"/>
                                    </a:fillRef>
                                    <a:effectRef idx="0">
                                      <a:schemeClr val="accent1"/>
                                    </a:effectRef>
                                    <a:fontRef idx="minor">
                                      <a:schemeClr val="lt1"/>
                                    </a:fontRef>
                                  </xdr:style>
                                  <xdr:txBody>
                                    <a:bodyPr vertOverflow="clip" horzOverflow="clip" rtlCol="0" anchor="t"/>
                                    <a:lstStyle/>
                                    <a:p>
                                      <a:pPr algn="l"/>
                                      <a:endParaRPr lang="ko-KR" altLang="en-US" sz="1100">
                                        <a:ln w="15875">
                                          <a:solidFill>
                                            <a:srgbClr val="FF0000"/>
                                          </a:solidFill>
                                        </a:ln>
                                        <a:solidFill>
                                          <a:srgbClr val="FF0000"/>
                                        </a:solidFill>
                                      </a:endParaRPr>
                                    </a:p>
                                  </xdr:txBody>
                                </xdr:sp>
                              </xdr:grpSp>
                              <xdr:cxnSp macro="">
                                <xdr:nvCxnSpPr>
                                  <xdr:cNvPr id="129" name="Straight Connector 128">
                                    <a:extLst>
                                      <a:ext uri="{FF2B5EF4-FFF2-40B4-BE49-F238E27FC236}">
                                        <a16:creationId xmlns:a16="http://schemas.microsoft.com/office/drawing/2014/main" id="{84283CE5-6CC4-66F7-0D3E-10F1C9ADB668}"/>
                                      </a:ext>
                                    </a:extLst>
                                  </xdr:cNvPr>
                                  <xdr:cNvCxnSpPr/>
                                </xdr:nvCxnSpPr>
                                <xdr:spPr>
                                  <a:xfrm>
                                    <a:off x="3890724" y="1612003"/>
                                    <a:ext cx="1679542" cy="0"/>
                                  </a:xfrm>
                                  <a:prstGeom prst="line">
                                    <a:avLst/>
                                  </a:prstGeom>
                                  <a:ln w="6350">
                                    <a:solidFill>
                                      <a:srgbClr val="FF0000"/>
                                    </a:solidFill>
                                    <a:prstDash val="sysDot"/>
                                  </a:ln>
                                </xdr:spPr>
                                <xdr:style>
                                  <a:lnRef idx="1">
                                    <a:schemeClr val="accent1"/>
                                  </a:lnRef>
                                  <a:fillRef idx="0">
                                    <a:schemeClr val="accent1"/>
                                  </a:fillRef>
                                  <a:effectRef idx="0">
                                    <a:schemeClr val="accent1"/>
                                  </a:effectRef>
                                  <a:fontRef idx="minor">
                                    <a:schemeClr val="tx1"/>
                                  </a:fontRef>
                                </xdr:style>
                              </xdr:cxnSp>
                            </xdr:grpSp>
                            <xdr:cxnSp macro="">
                              <xdr:nvCxnSpPr>
                                <xdr:cNvPr id="125" name="Straight Connector 124">
                                  <a:extLst>
                                    <a:ext uri="{FF2B5EF4-FFF2-40B4-BE49-F238E27FC236}">
                                      <a16:creationId xmlns:a16="http://schemas.microsoft.com/office/drawing/2014/main" id="{ADA28BF1-A303-14E7-B82E-8F80F6B15478}"/>
                                    </a:ext>
                                  </a:extLst>
                                </xdr:cNvPr>
                                <xdr:cNvCxnSpPr/>
                              </xdr:nvCxnSpPr>
                              <xdr:spPr>
                                <a:xfrm>
                                  <a:off x="4903601" y="466618"/>
                                  <a:ext cx="0" cy="1449085"/>
                                </a:xfrm>
                                <a:prstGeom prst="line">
                                  <a:avLst/>
                                </a:prstGeom>
                              </xdr:spPr>
                              <xdr:style>
                                <a:lnRef idx="1">
                                  <a:schemeClr val="accent1"/>
                                </a:lnRef>
                                <a:fillRef idx="0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tx1"/>
                                </a:fontRef>
                              </xdr:style>
                            </xdr:cxnSp>
                            <xdr:sp macro="" textlink="">
                              <xdr:nvSpPr>
                                <xdr:cNvPr id="126" name="Freeform: Shape 125">
                                  <a:extLst>
                                    <a:ext uri="{FF2B5EF4-FFF2-40B4-BE49-F238E27FC236}">
                                      <a16:creationId xmlns:a16="http://schemas.microsoft.com/office/drawing/2014/main" id="{A8F1277C-3C06-716B-5D28-66601DBC8BF1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2467" y="463669"/>
                                  <a:ext cx="290318" cy="1069017"/>
                                </a:xfrm>
                                <a:custGeom>
                                  <a:avLst/>
                                  <a:gdLst>
                                    <a:gd name="csX0" fmla="*/ 0 w 287547"/>
                                    <a:gd name="csY0" fmla="*/ 546340 h 546340"/>
                                    <a:gd name="csX1" fmla="*/ 0 w 287547"/>
                                    <a:gd name="csY1" fmla="*/ 0 h 546340"/>
                                    <a:gd name="csX2" fmla="*/ 287547 w 287547"/>
                                    <a:gd name="csY2" fmla="*/ 0 h 546340"/>
                                    <a:gd name="csX3" fmla="*/ 287547 w 287547"/>
                                    <a:gd name="csY3" fmla="*/ 197689 h 546340"/>
                                    <a:gd name="csX4" fmla="*/ 273170 w 287547"/>
                                    <a:gd name="csY4" fmla="*/ 287548 h 546340"/>
                                    <a:gd name="csX5" fmla="*/ 251604 w 287547"/>
                                    <a:gd name="csY5" fmla="*/ 352246 h 546340"/>
                                    <a:gd name="csX6" fmla="*/ 219255 w 287547"/>
                                    <a:gd name="csY6" fmla="*/ 395378 h 546340"/>
                                    <a:gd name="csX7" fmla="*/ 179717 w 287547"/>
                                    <a:gd name="csY7" fmla="*/ 449293 h 546340"/>
                                    <a:gd name="csX8" fmla="*/ 129396 w 287547"/>
                                    <a:gd name="csY8" fmla="*/ 492425 h 546340"/>
                                    <a:gd name="csX9" fmla="*/ 79075 w 287547"/>
                                    <a:gd name="csY9" fmla="*/ 521180 h 546340"/>
                                    <a:gd name="csX10" fmla="*/ 0 w 287547"/>
                                    <a:gd name="csY10" fmla="*/ 546340 h 546340"/>
                                  </a:gdLst>
                                  <a:ahLst/>
                                  <a:cxnLst>
                                    <a:cxn ang="0">
                                      <a:pos x="csX0" y="csY0"/>
                                    </a:cxn>
                                    <a:cxn ang="0">
                                      <a:pos x="csX1" y="csY1"/>
                                    </a:cxn>
                                    <a:cxn ang="0">
                                      <a:pos x="csX2" y="csY2"/>
                                    </a:cxn>
                                    <a:cxn ang="0">
                                      <a:pos x="csX3" y="csY3"/>
                                    </a:cxn>
                                    <a:cxn ang="0">
                                      <a:pos x="csX4" y="csY4"/>
                                    </a:cxn>
                                    <a:cxn ang="0">
                                      <a:pos x="csX5" y="csY5"/>
                                    </a:cxn>
                                    <a:cxn ang="0">
                                      <a:pos x="csX6" y="csY6"/>
                                    </a:cxn>
                                    <a:cxn ang="0">
                                      <a:pos x="csX7" y="csY7"/>
                                    </a:cxn>
                                    <a:cxn ang="0">
                                      <a:pos x="csX8" y="csY8"/>
                                    </a:cxn>
                                    <a:cxn ang="0">
                                      <a:pos x="csX9" y="csY9"/>
                                    </a:cxn>
                                    <a:cxn ang="0">
                                      <a:pos x="csX10" y="csY10"/>
                                    </a:cxn>
                                  </a:cxnLst>
                                  <a:rect l="l" t="t" r="r" b="b"/>
                                  <a:pathLst>
                                    <a:path w="287547" h="546340">
                                      <a:moveTo>
                                        <a:pt x="0" y="546340"/>
                                      </a:moveTo>
                                      <a:lnTo>
                                        <a:pt x="0" y="0"/>
                                      </a:lnTo>
                                      <a:lnTo>
                                        <a:pt x="287547" y="0"/>
                                      </a:lnTo>
                                      <a:lnTo>
                                        <a:pt x="287547" y="197689"/>
                                      </a:lnTo>
                                      <a:lnTo>
                                        <a:pt x="273170" y="287548"/>
                                      </a:lnTo>
                                      <a:lnTo>
                                        <a:pt x="251604" y="352246"/>
                                      </a:lnTo>
                                      <a:lnTo>
                                        <a:pt x="219255" y="395378"/>
                                      </a:lnTo>
                                      <a:lnTo>
                                        <a:pt x="179717" y="449293"/>
                                      </a:lnTo>
                                      <a:lnTo>
                                        <a:pt x="129396" y="492425"/>
                                      </a:lnTo>
                                      <a:lnTo>
                                        <a:pt x="79075" y="521180"/>
                                      </a:lnTo>
                                      <a:lnTo>
                                        <a:pt x="0" y="546340"/>
                                      </a:lnTo>
                                      <a:close/>
                                    </a:path>
                                  </a:pathLst>
                                </a:custGeom>
                                <a:solidFill>
                                  <a:schemeClr val="accent5">
                                    <a:lumMod val="20000"/>
                                    <a:lumOff val="80000"/>
                                  </a:schemeClr>
                                </a:solidFill>
                                <a:ln w="9525" cap="flat">
                                  <a:solidFill>
                                    <a:schemeClr val="accent1"/>
                                  </a:solidFill>
                                  <a:extLst>
                                    <a:ext uri="{C807C97D-BFC1-408E-A445-0C87EB9F89A2}">
                                      <ask:lineSketchStyleProps xmlns:ask="http://schemas.microsoft.com/office/drawing/2018/sketchyshapes" sd="1219033472">
                                        <a:custGeom>
                                          <a:avLst/>
                                          <a:gdLst>
                                            <a:gd name="csX0" fmla="*/ 0 w 287547"/>
                                            <a:gd name="csY0" fmla="*/ 546340 h 546340"/>
                                            <a:gd name="csX1" fmla="*/ 0 w 287547"/>
                                            <a:gd name="csY1" fmla="*/ 0 h 546340"/>
                                            <a:gd name="csX2" fmla="*/ 287547 w 287547"/>
                                            <a:gd name="csY2" fmla="*/ 0 h 546340"/>
                                            <a:gd name="csX3" fmla="*/ 287547 w 287547"/>
                                            <a:gd name="csY3" fmla="*/ 197689 h 546340"/>
                                            <a:gd name="csX4" fmla="*/ 273170 w 287547"/>
                                            <a:gd name="csY4" fmla="*/ 287548 h 546340"/>
                                            <a:gd name="csX5" fmla="*/ 251604 w 287547"/>
                                            <a:gd name="csY5" fmla="*/ 352246 h 546340"/>
                                            <a:gd name="csX6" fmla="*/ 219255 w 287547"/>
                                            <a:gd name="csY6" fmla="*/ 395378 h 546340"/>
                                            <a:gd name="csX7" fmla="*/ 179717 w 287547"/>
                                            <a:gd name="csY7" fmla="*/ 449293 h 546340"/>
                                            <a:gd name="csX8" fmla="*/ 129396 w 287547"/>
                                            <a:gd name="csY8" fmla="*/ 492425 h 546340"/>
                                            <a:gd name="csX9" fmla="*/ 79075 w 287547"/>
                                            <a:gd name="csY9" fmla="*/ 521180 h 546340"/>
                                            <a:gd name="csX10" fmla="*/ 0 w 287547"/>
                                            <a:gd name="csY10" fmla="*/ 546340 h 546340"/>
                                          </a:gdLst>
                                          <a:ahLst/>
                                          <a:cxnLst>
                                            <a:cxn ang="0">
                                              <a:pos x="csX0" y="csY0"/>
                                            </a:cxn>
                                            <a:cxn ang="0">
                                              <a:pos x="csX1" y="csY1"/>
                                            </a:cxn>
                                            <a:cxn ang="0">
                                              <a:pos x="csX2" y="csY2"/>
                                            </a:cxn>
                                            <a:cxn ang="0">
                                              <a:pos x="csX3" y="csY3"/>
                                            </a:cxn>
                                            <a:cxn ang="0">
                                              <a:pos x="csX4" y="csY4"/>
                                            </a:cxn>
                                            <a:cxn ang="0">
                                              <a:pos x="csX5" y="csY5"/>
                                            </a:cxn>
                                            <a:cxn ang="0">
                                              <a:pos x="csX6" y="csY6"/>
                                            </a:cxn>
                                            <a:cxn ang="0">
                                              <a:pos x="csX7" y="csY7"/>
                                            </a:cxn>
                                            <a:cxn ang="0">
                                              <a:pos x="csX8" y="csY8"/>
                                            </a:cxn>
                                            <a:cxn ang="0">
                                              <a:pos x="csX9" y="csY9"/>
                                            </a:cxn>
                                            <a:cxn ang="0">
                                              <a:pos x="csX10" y="csY10"/>
                                            </a:cxn>
                                          </a:cxnLst>
                                          <a:rect l="l" t="t" r="r" b="b"/>
                                          <a:pathLst>
                                            <a:path w="287547" h="546340" fill="none" extrusionOk="0">
                                              <a:moveTo>
                                                <a:pt x="0" y="546340"/>
                                              </a:moveTo>
                                              <a:cubicBezTo>
                                                <a:pt x="-37330" y="292668"/>
                                                <a:pt x="45408" y="209259"/>
                                                <a:pt x="0" y="0"/>
                                              </a:cubicBezTo>
                                              <a:cubicBezTo>
                                                <a:pt x="94198" y="-24500"/>
                                                <a:pt x="169949" y="26132"/>
                                                <a:pt x="287547" y="0"/>
                                              </a:cubicBezTo>
                                              <a:cubicBezTo>
                                                <a:pt x="293845" y="95507"/>
                                                <a:pt x="286927" y="117929"/>
                                                <a:pt x="287547" y="197689"/>
                                              </a:cubicBezTo>
                                              <a:cubicBezTo>
                                                <a:pt x="290479" y="223025"/>
                                                <a:pt x="273765" y="244622"/>
                                                <a:pt x="273170" y="287548"/>
                                              </a:cubicBezTo>
                                              <a:cubicBezTo>
                                                <a:pt x="269707" y="312985"/>
                                                <a:pt x="252362" y="326853"/>
                                                <a:pt x="251604" y="352246"/>
                                              </a:cubicBezTo>
                                              <a:cubicBezTo>
                                                <a:pt x="240161" y="376333"/>
                                                <a:pt x="223847" y="384401"/>
                                                <a:pt x="219255" y="395378"/>
                                              </a:cubicBezTo>
                                              <a:cubicBezTo>
                                                <a:pt x="212567" y="415970"/>
                                                <a:pt x="190003" y="434020"/>
                                                <a:pt x="179717" y="449293"/>
                                              </a:cubicBezTo>
                                              <a:cubicBezTo>
                                                <a:pt x="163137" y="468765"/>
                                                <a:pt x="142291" y="476919"/>
                                                <a:pt x="129396" y="492425"/>
                                              </a:cubicBezTo>
                                              <a:cubicBezTo>
                                                <a:pt x="116908" y="501226"/>
                                                <a:pt x="89278" y="511593"/>
                                                <a:pt x="79075" y="521180"/>
                                              </a:cubicBezTo>
                                              <a:cubicBezTo>
                                                <a:pt x="61262" y="529215"/>
                                                <a:pt x="23480" y="530615"/>
                                                <a:pt x="0" y="546340"/>
                                              </a:cubicBezTo>
                                              <a:close/>
                                            </a:path>
                                            <a:path w="287547" h="546340" stroke="0" extrusionOk="0">
                                              <a:moveTo>
                                                <a:pt x="0" y="546340"/>
                                              </a:moveTo>
                                              <a:cubicBezTo>
                                                <a:pt x="-51339" y="318063"/>
                                                <a:pt x="56845" y="141477"/>
                                                <a:pt x="0" y="0"/>
                                              </a:cubicBezTo>
                                              <a:cubicBezTo>
                                                <a:pt x="140782" y="-34457"/>
                                                <a:pt x="176029" y="10704"/>
                                                <a:pt x="287547" y="0"/>
                                              </a:cubicBezTo>
                                              <a:cubicBezTo>
                                                <a:pt x="301140" y="95067"/>
                                                <a:pt x="271753" y="113272"/>
                                                <a:pt x="287547" y="197689"/>
                                              </a:cubicBezTo>
                                              <a:cubicBezTo>
                                                <a:pt x="294660" y="217499"/>
                                                <a:pt x="272011" y="248933"/>
                                                <a:pt x="273170" y="287548"/>
                                              </a:cubicBezTo>
                                              <a:cubicBezTo>
                                                <a:pt x="271472" y="310538"/>
                                                <a:pt x="258547" y="328642"/>
                                                <a:pt x="251604" y="352246"/>
                                              </a:cubicBezTo>
                                              <a:cubicBezTo>
                                                <a:pt x="242578" y="371244"/>
                                                <a:pt x="230839" y="372167"/>
                                                <a:pt x="219255" y="395378"/>
                                              </a:cubicBezTo>
                                              <a:cubicBezTo>
                                                <a:pt x="208205" y="419923"/>
                                                <a:pt x="191974" y="422614"/>
                                                <a:pt x="179717" y="449293"/>
                                              </a:cubicBezTo>
                                              <a:cubicBezTo>
                                                <a:pt x="169751" y="458561"/>
                                                <a:pt x="152794" y="469293"/>
                                                <a:pt x="129396" y="492425"/>
                                              </a:cubicBezTo>
                                              <a:cubicBezTo>
                                                <a:pt x="110564" y="505669"/>
                                                <a:pt x="99707" y="507815"/>
                                                <a:pt x="79075" y="521180"/>
                                              </a:cubicBezTo>
                                              <a:cubicBezTo>
                                                <a:pt x="55969" y="534402"/>
                                                <a:pt x="18783" y="534147"/>
                                                <a:pt x="0" y="546340"/>
                                              </a:cubicBezTo>
                                              <a:close/>
                                            </a:path>
                                          </a:pathLst>
                                        </a:custGeom>
                                        <ask:type>
                                          <ask:lineSketchNone/>
                                        </ask:type>
                                      </ask:lineSketchStyleProps>
                                    </a:ext>
                                  </a:extLst>
                                </a:ln>
                              </xdr:spPr>
                              <xdr:style>
                                <a:lnRef idx="2">
                                  <a:schemeClr val="accent1">
                                    <a:shade val="15000"/>
                                  </a:schemeClr>
                                </a:lnRef>
                                <a:fillRef idx="1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lt1"/>
                                </a:fontRef>
                              </xdr:style>
                              <xdr:txBody>
                                <a:bodyPr vertOverflow="clip" horzOverflow="clip" rtlCol="0" anchor="t"/>
                                <a:lstStyle/>
                                <a:p>
                                  <a:pPr algn="l"/>
                                  <a:endParaRPr lang="en-US" sz="1100"/>
                                </a:p>
                              </xdr:txBody>
                            </xdr:sp>
                            <xdr:sp macro="" textlink="">
                              <xdr:nvSpPr>
                                <xdr:cNvPr id="127" name="TextBox 126">
                                  <a:extLst>
                                    <a:ext uri="{FF2B5EF4-FFF2-40B4-BE49-F238E27FC236}">
                                      <a16:creationId xmlns:a16="http://schemas.microsoft.com/office/drawing/2014/main" id="{EFC500F2-F2C2-35B4-40C6-61D151F7A56C}"/>
                                    </a:ext>
                                  </a:extLst>
                                </xdr:cNvPr>
                                <xdr:cNvSpPr txBox="1"/>
                              </xdr:nvSpPr>
                              <xdr:spPr>
                                <a:xfrm>
                                  <a:off x="4089640" y="194783"/>
                                  <a:ext cx="1233863" cy="143774"/>
                                </a:xfrm>
                                <a:prstGeom prst="rect">
                                  <a:avLst/>
                                </a:prstGeom>
                                <a:noFill/>
                                <a:ln w="9525" cmpd="sng">
                                  <a:noFill/>
                                </a:ln>
                              </xdr:spPr>
                              <xdr:style>
                                <a:lnRef idx="0">
                                  <a:scrgbClr r="0" g="0" b="0"/>
                                </a:lnRef>
                                <a:fillRef idx="0">
                                  <a:scrgbClr r="0" g="0" b="0"/>
                                </a:fillRef>
                                <a:effectRef idx="0">
                                  <a:scrgbClr r="0" g="0" b="0"/>
                                </a:effectRef>
                                <a:fontRef idx="minor">
                                  <a:schemeClr val="dk1"/>
                                </a:fontRef>
                              </xdr:style>
                              <xdr:txBody>
                                <a:bodyPr vertOverflow="clip" horzOverflow="clip" wrap="square" rtlCol="0" anchor="ctr"/>
                                <a:lstStyle/>
                                <a:p>
                                  <a:r>
                                    <a:rPr lang="en-US" altLang="ko-KR" sz="900">
                                      <a:solidFill>
                                        <a:srgbClr val="0070C0"/>
                                      </a:solidFill>
                                    </a:rPr>
                                    <a:t>Strain                  Stress</a:t>
                                  </a:r>
                                  <a:endParaRPr lang="en-US" sz="900">
                                    <a:solidFill>
                                      <a:srgbClr val="0070C0"/>
                                    </a:solidFill>
                                  </a:endParaRPr>
                                </a:p>
                              </xdr:txBody>
                            </xdr:sp>
                          </xdr:grpSp>
                        </xdr:grpSp>
                        <xdr:cxnSp macro="">
                          <xdr:nvCxnSpPr>
                            <xdr:cNvPr id="116" name="Straight Connector 115">
                              <a:extLst>
                                <a:ext uri="{FF2B5EF4-FFF2-40B4-BE49-F238E27FC236}">
                                  <a16:creationId xmlns:a16="http://schemas.microsoft.com/office/drawing/2014/main" id="{8DBD941E-CB38-795A-80A0-A914AB2826D2}"/>
                                </a:ext>
                              </a:extLst>
                            </xdr:cNvPr>
                            <xdr:cNvCxnSpPr/>
                          </xdr:nvCxnSpPr>
                          <xdr:spPr>
                            <a:xfrm>
                              <a:off x="2679455" y="1185652"/>
                              <a:ext cx="2074244" cy="0"/>
                            </a:xfrm>
                            <a:prstGeom prst="line">
                              <a:avLst/>
                            </a:prstGeom>
                            <a:ln w="6350">
                              <a:solidFill>
                                <a:srgbClr val="FF0000"/>
                              </a:solidFill>
                              <a:prstDash val="sysDot"/>
                            </a:ln>
                          </xdr:spPr>
                          <xdr:style>
                            <a:lnRef idx="1">
                              <a:schemeClr val="accent1"/>
                            </a:lnRef>
                            <a:fillRef idx="0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  <xdr:cxnSp macro="">
                          <xdr:nvCxnSpPr>
                            <xdr:cNvPr id="117" name="Straight Connector 116">
                              <a:extLst>
                                <a:ext uri="{FF2B5EF4-FFF2-40B4-BE49-F238E27FC236}">
                                  <a16:creationId xmlns:a16="http://schemas.microsoft.com/office/drawing/2014/main" id="{DFDC4A13-3044-2785-5442-A4D04ED5D7BA}"/>
                                </a:ext>
                              </a:extLst>
                            </xdr:cNvPr>
                            <xdr:cNvCxnSpPr/>
                          </xdr:nvCxnSpPr>
                          <xdr:spPr>
                            <a:xfrm flipH="1">
                              <a:off x="2785519" y="1185653"/>
                              <a:ext cx="167509" cy="0"/>
                            </a:xfrm>
                            <a:prstGeom prst="line">
                              <a:avLst/>
                            </a:prstGeom>
                            <a:ln w="3175">
                              <a:headEnd type="none"/>
                              <a:tailEnd type="oval" w="sm" len="sm"/>
                            </a:ln>
                          </xdr:spPr>
                          <xdr:style>
                            <a:lnRef idx="1">
                              <a:schemeClr val="accent1"/>
                            </a:lnRef>
                            <a:fillRef idx="0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  <xdr:sp macro="" textlink="">
                          <xdr:nvSpPr>
                            <xdr:cNvPr id="118" name="TextBox 117">
                              <a:extLst>
                                <a:ext uri="{FF2B5EF4-FFF2-40B4-BE49-F238E27FC236}">
                                  <a16:creationId xmlns:a16="http://schemas.microsoft.com/office/drawing/2014/main" id="{90F841BA-CF4A-5C99-9A3B-49C2F51E3D19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2584144" y="916082"/>
                              <a:ext cx="349756" cy="242941"/>
                            </a:xfrm>
                            <a:prstGeom prst="rect">
                              <a:avLst/>
                            </a:prstGeom>
                            <a:noFill/>
                            <a:ln w="9525" cmpd="sng">
                              <a:noFill/>
                            </a:ln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dk1"/>
                            </a:fontRef>
                          </xdr:style>
                          <xdr:txBody>
                            <a:bodyPr vertOverflow="clip" horzOverflow="clip" wrap="square" rtlCol="0" anchor="ctr"/>
                            <a:lstStyle/>
                            <a:p>
                              <a:r>
                                <a:rPr lang="en-US" altLang="ko-KR" sz="900"/>
                                <a:t>y</a:t>
                              </a:r>
                              <a:endParaRPr lang="en-US" sz="900"/>
                            </a:p>
                          </xdr:txBody>
                        </xdr:sp>
                      </xdr:grpSp>
                      <xdr:sp macro="" textlink="">
                        <xdr:nvSpPr>
                          <xdr:cNvPr id="111" name="TextBox 110">
                            <a:extLst>
                              <a:ext uri="{FF2B5EF4-FFF2-40B4-BE49-F238E27FC236}">
                                <a16:creationId xmlns:a16="http://schemas.microsoft.com/office/drawing/2014/main" id="{38B501FD-F6DE-13D9-5183-296B87A8E6E5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103551" y="418256"/>
                            <a:ext cx="397213" cy="178340"/>
                          </a:xfrm>
                          <a:prstGeom prst="rect">
                            <a:avLst/>
                          </a:prstGeom>
                          <a:noFill/>
                          <a:ln w="9525" cmpd="sng">
                            <a:noFill/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ctr"/>
                          <a:lstStyle/>
                          <a:p>
                            <a:r>
                              <a:rPr lang="el-GR" altLang="ko-KR" sz="900"/>
                              <a:t>ε</a:t>
                            </a:r>
                            <a:r>
                              <a:rPr lang="en-US" altLang="ko-KR" sz="900"/>
                              <a:t>cu</a:t>
                            </a:r>
                            <a:endParaRPr lang="en-US" sz="900"/>
                          </a:p>
                        </xdr:txBody>
                      </xdr:sp>
                      <xdr:cxnSp macro="">
                        <xdr:nvCxnSpPr>
                          <xdr:cNvPr id="112" name="Straight Connector 111">
                            <a:extLst>
                              <a:ext uri="{FF2B5EF4-FFF2-40B4-BE49-F238E27FC236}">
                                <a16:creationId xmlns:a16="http://schemas.microsoft.com/office/drawing/2014/main" id="{E684EBB7-6EEF-8327-646A-0E4AE167C41E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3489797" y="960606"/>
                            <a:ext cx="2706574" cy="0"/>
                          </a:xfrm>
                          <a:prstGeom prst="line">
                            <a:avLst/>
                          </a:prstGeom>
                          <a:ln w="6350">
                            <a:solidFill>
                              <a:srgbClr val="FF0000"/>
                            </a:solidFill>
                            <a:prstDash val="sysDot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sp macro="" textlink="">
                        <xdr:nvSpPr>
                          <xdr:cNvPr id="113" name="TextBox 112">
                            <a:extLst>
                              <a:ext uri="{FF2B5EF4-FFF2-40B4-BE49-F238E27FC236}">
                                <a16:creationId xmlns:a16="http://schemas.microsoft.com/office/drawing/2014/main" id="{C3537903-EB6C-62D7-2B68-67E0170FA286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435314" y="621412"/>
                            <a:ext cx="397213" cy="178340"/>
                          </a:xfrm>
                          <a:prstGeom prst="rect">
                            <a:avLst/>
                          </a:prstGeom>
                          <a:noFill/>
                          <a:ln w="9525" cmpd="sng">
                            <a:noFill/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ctr"/>
                          <a:lstStyle/>
                          <a:p>
                            <a:r>
                              <a:rPr lang="el-GR" altLang="ko-KR" sz="900"/>
                              <a:t>ε</a:t>
                            </a:r>
                            <a:r>
                              <a:rPr lang="en-US" altLang="ko-KR" sz="900"/>
                              <a:t>si</a:t>
                            </a:r>
                            <a:endParaRPr lang="en-US" sz="900"/>
                          </a:p>
                        </xdr:txBody>
                      </xdr:sp>
                      <xdr:sp macro="" textlink="">
                        <xdr:nvSpPr>
                          <xdr:cNvPr id="114" name="TextBox 113">
                            <a:extLst>
                              <a:ext uri="{FF2B5EF4-FFF2-40B4-BE49-F238E27FC236}">
                                <a16:creationId xmlns:a16="http://schemas.microsoft.com/office/drawing/2014/main" id="{BDCAB82F-2F01-2B15-2641-C72AD2AF9FF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6132444" y="937938"/>
                            <a:ext cx="397213" cy="178340"/>
                          </a:xfrm>
                          <a:prstGeom prst="rect">
                            <a:avLst/>
                          </a:prstGeom>
                          <a:noFill/>
                          <a:ln w="9525" cmpd="sng">
                            <a:noFill/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ctr"/>
                          <a:lstStyle/>
                          <a:p>
                            <a:r>
                              <a:rPr lang="en-US" altLang="ko-KR" sz="900"/>
                              <a:t>fci</a:t>
                            </a:r>
                            <a:endParaRPr lang="en-US" sz="900"/>
                          </a:p>
                        </xdr:txBody>
                      </xdr:sp>
                    </xdr:grpSp>
                    <xdr:cxnSp macro="">
                      <xdr:nvCxnSpPr>
                        <xdr:cNvPr id="106" name="Straight Arrow Connector 105">
                          <a:extLst>
                            <a:ext uri="{FF2B5EF4-FFF2-40B4-BE49-F238E27FC236}">
                              <a16:creationId xmlns:a16="http://schemas.microsoft.com/office/drawing/2014/main" id="{184F8FFA-AA0E-010F-B086-88D8B41AC75E}"/>
                            </a:ext>
                          </a:extLst>
                        </xdr:cNvPr>
                        <xdr:cNvCxnSpPr/>
                      </xdr:nvCxnSpPr>
                      <xdr:spPr>
                        <a:xfrm flipH="1">
                          <a:off x="642937" y="916781"/>
                          <a:ext cx="357188" cy="0"/>
                        </a:xfrm>
                        <a:prstGeom prst="straightConnector1">
                          <a:avLst/>
                        </a:prstGeom>
                        <a:ln>
                          <a:solidFill>
                            <a:srgbClr val="FF0000"/>
                          </a:solidFill>
                          <a:tailEnd type="triangle"/>
                        </a:ln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sp macro="" textlink="">
                      <xdr:nvSpPr>
                        <xdr:cNvPr id="107" name="Arc 106">
                          <a:extLst>
                            <a:ext uri="{FF2B5EF4-FFF2-40B4-BE49-F238E27FC236}">
                              <a16:creationId xmlns:a16="http://schemas.microsoft.com/office/drawing/2014/main" id="{E87510E9-6A67-8436-9DEE-7A8FAF3B0BBD}"/>
                            </a:ext>
                          </a:extLst>
                        </xdr:cNvPr>
                        <xdr:cNvSpPr/>
                      </xdr:nvSpPr>
                      <xdr:spPr>
                        <a:xfrm rot="18003407">
                          <a:off x="677305" y="1031034"/>
                          <a:ext cx="345660" cy="299354"/>
                        </a:xfrm>
                        <a:prstGeom prst="arc">
                          <a:avLst>
                            <a:gd name="adj1" fmla="val 7275827"/>
                            <a:gd name="adj2" fmla="val 0"/>
                          </a:avLst>
                        </a:prstGeom>
                        <a:ln>
                          <a:solidFill>
                            <a:srgbClr val="FF0000"/>
                          </a:solidFill>
                          <a:headEnd type="triangle" w="med" len="med"/>
                          <a:tailEnd type="none" w="med" len="med"/>
                        </a:ln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108" name="TextBox 107">
                          <a:extLst>
                            <a:ext uri="{FF2B5EF4-FFF2-40B4-BE49-F238E27FC236}">
                              <a16:creationId xmlns:a16="http://schemas.microsoft.com/office/drawing/2014/main" id="{57A05728-299C-805A-4373-3D7EDDDD30DB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3718" y="712806"/>
                          <a:ext cx="345392" cy="214312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ctr"/>
                        <a:lstStyle/>
                        <a:p>
                          <a:r>
                            <a:rPr lang="en-US" altLang="ko-KR" sz="900" b="1">
                              <a:solidFill>
                                <a:srgbClr val="0070C0"/>
                              </a:solidFill>
                            </a:rPr>
                            <a:t>Fci</a:t>
                          </a:r>
                          <a:endParaRPr lang="en-US" sz="900" b="1">
                            <a:solidFill>
                              <a:srgbClr val="0070C0"/>
                            </a:solidFill>
                          </a:endParaRPr>
                        </a:p>
                      </xdr:txBody>
                    </xdr:sp>
                    <xdr:sp macro="" textlink="">
                      <xdr:nvSpPr>
                        <xdr:cNvPr id="109" name="TextBox 108">
                          <a:extLst>
                            <a:ext uri="{FF2B5EF4-FFF2-40B4-BE49-F238E27FC236}">
                              <a16:creationId xmlns:a16="http://schemas.microsoft.com/office/drawing/2014/main" id="{6ACDAE8A-E6B4-6618-AD07-69FCA7EF263F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845544" y="1226801"/>
                          <a:ext cx="421371" cy="232205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ctr"/>
                        <a:lstStyle/>
                        <a:p>
                          <a:r>
                            <a:rPr lang="en-US" altLang="ko-KR" sz="900" b="1">
                              <a:solidFill>
                                <a:srgbClr val="0070C0"/>
                              </a:solidFill>
                            </a:rPr>
                            <a:t>Mci</a:t>
                          </a:r>
                          <a:endParaRPr lang="en-US" sz="900" b="1">
                            <a:solidFill>
                              <a:srgbClr val="0070C0"/>
                            </a:solidFill>
                          </a:endParaRPr>
                        </a:p>
                      </xdr:txBody>
                    </xdr:sp>
                  </xdr:grpSp>
                  <xdr:grpSp>
                    <xdr:nvGrpSpPr>
                      <xdr:cNvPr id="95" name="Group 94">
                        <a:extLst>
                          <a:ext uri="{FF2B5EF4-FFF2-40B4-BE49-F238E27FC236}">
                            <a16:creationId xmlns:a16="http://schemas.microsoft.com/office/drawing/2014/main" id="{C9146EAA-56C5-BCAB-5CCB-A530C992AC02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366437" y="574172"/>
                        <a:ext cx="778670" cy="48964"/>
                        <a:chOff x="3899019" y="596426"/>
                        <a:chExt cx="778670" cy="48964"/>
                      </a:xfrm>
                    </xdr:grpSpPr>
                    <xdr:sp macro="" textlink="">
                      <xdr:nvSpPr>
                        <xdr:cNvPr id="101" name="Oval 100">
                          <a:extLst>
                            <a:ext uri="{FF2B5EF4-FFF2-40B4-BE49-F238E27FC236}">
                              <a16:creationId xmlns:a16="http://schemas.microsoft.com/office/drawing/2014/main" id="{528796DF-8B37-4A3A-8A88-CDBE3559EBB9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3899019" y="596426"/>
                          <a:ext cx="45613" cy="45450"/>
                        </a:xfrm>
                        <a:prstGeom prst="ellipse">
                          <a:avLst/>
                        </a:prstGeom>
                        <a:solidFill>
                          <a:srgbClr val="FF0000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102" name="Oval 101">
                          <a:extLst>
                            <a:ext uri="{FF2B5EF4-FFF2-40B4-BE49-F238E27FC236}">
                              <a16:creationId xmlns:a16="http://schemas.microsoft.com/office/drawing/2014/main" id="{03F57DC7-871D-0C78-9C4F-2E88914EF7B4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137928" y="598216"/>
                          <a:ext cx="45613" cy="45450"/>
                        </a:xfrm>
                        <a:prstGeom prst="ellipse">
                          <a:avLst/>
                        </a:prstGeom>
                        <a:solidFill>
                          <a:srgbClr val="FF0000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103" name="Oval 102">
                          <a:extLst>
                            <a:ext uri="{FF2B5EF4-FFF2-40B4-BE49-F238E27FC236}">
                              <a16:creationId xmlns:a16="http://schemas.microsoft.com/office/drawing/2014/main" id="{62ADE941-8ABE-FFF0-7983-BA5907040846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389323" y="599078"/>
                          <a:ext cx="45613" cy="45450"/>
                        </a:xfrm>
                        <a:prstGeom prst="ellipse">
                          <a:avLst/>
                        </a:prstGeom>
                        <a:solidFill>
                          <a:srgbClr val="FF0000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104" name="Oval 103">
                          <a:extLst>
                            <a:ext uri="{FF2B5EF4-FFF2-40B4-BE49-F238E27FC236}">
                              <a16:creationId xmlns:a16="http://schemas.microsoft.com/office/drawing/2014/main" id="{93E9490C-83DA-0587-44EF-D58D6AF35DF5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632076" y="599940"/>
                          <a:ext cx="45613" cy="45450"/>
                        </a:xfrm>
                        <a:prstGeom prst="ellipse">
                          <a:avLst/>
                        </a:prstGeom>
                        <a:solidFill>
                          <a:srgbClr val="FF0000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</xdr:grpSp>
                  <xdr:grpSp>
                    <xdr:nvGrpSpPr>
                      <xdr:cNvPr id="96" name="Group 95">
                        <a:extLst>
                          <a:ext uri="{FF2B5EF4-FFF2-40B4-BE49-F238E27FC236}">
                            <a16:creationId xmlns:a16="http://schemas.microsoft.com/office/drawing/2014/main" id="{40B4AA69-48D7-723A-16FA-2067EDDDF503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367505" y="1759187"/>
                        <a:ext cx="778670" cy="48964"/>
                        <a:chOff x="3899019" y="538563"/>
                        <a:chExt cx="778670" cy="48964"/>
                      </a:xfrm>
                    </xdr:grpSpPr>
                    <xdr:sp macro="" textlink="">
                      <xdr:nvSpPr>
                        <xdr:cNvPr id="97" name="Oval 96">
                          <a:extLst>
                            <a:ext uri="{FF2B5EF4-FFF2-40B4-BE49-F238E27FC236}">
                              <a16:creationId xmlns:a16="http://schemas.microsoft.com/office/drawing/2014/main" id="{F6389ED8-2F4D-21B7-B2B2-68BC7F33F1F6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3899019" y="538563"/>
                          <a:ext cx="45613" cy="45450"/>
                        </a:xfrm>
                        <a:prstGeom prst="ellipse">
                          <a:avLst/>
                        </a:prstGeom>
                        <a:solidFill>
                          <a:srgbClr val="FF0000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98" name="Oval 97">
                          <a:extLst>
                            <a:ext uri="{FF2B5EF4-FFF2-40B4-BE49-F238E27FC236}">
                              <a16:creationId xmlns:a16="http://schemas.microsoft.com/office/drawing/2014/main" id="{A72E8315-D3FA-59B6-E904-6AE4BABA881E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137928" y="540353"/>
                          <a:ext cx="45613" cy="45450"/>
                        </a:xfrm>
                        <a:prstGeom prst="ellipse">
                          <a:avLst/>
                        </a:prstGeom>
                        <a:solidFill>
                          <a:srgbClr val="FF0000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99" name="Oval 98">
                          <a:extLst>
                            <a:ext uri="{FF2B5EF4-FFF2-40B4-BE49-F238E27FC236}">
                              <a16:creationId xmlns:a16="http://schemas.microsoft.com/office/drawing/2014/main" id="{A6104108-8F9E-6EAD-6BA4-C72A3ADD065C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389323" y="541215"/>
                          <a:ext cx="45613" cy="45450"/>
                        </a:xfrm>
                        <a:prstGeom prst="ellipse">
                          <a:avLst/>
                        </a:prstGeom>
                        <a:solidFill>
                          <a:srgbClr val="FF0000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100" name="Oval 99">
                          <a:extLst>
                            <a:ext uri="{FF2B5EF4-FFF2-40B4-BE49-F238E27FC236}">
                              <a16:creationId xmlns:a16="http://schemas.microsoft.com/office/drawing/2014/main" id="{05367194-354F-A1B7-BF67-744865AFA375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632076" y="542077"/>
                          <a:ext cx="45613" cy="45450"/>
                        </a:xfrm>
                        <a:prstGeom prst="ellipse">
                          <a:avLst/>
                        </a:prstGeom>
                        <a:solidFill>
                          <a:srgbClr val="FF0000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</xdr:grpSp>
                </xdr:grpSp>
              </xdr:grpSp>
              <xdr:cxnSp macro="">
                <xdr:nvCxnSpPr>
                  <xdr:cNvPr id="87" name="Straight Arrow Connector 86">
                    <a:extLst>
                      <a:ext uri="{FF2B5EF4-FFF2-40B4-BE49-F238E27FC236}">
                        <a16:creationId xmlns:a16="http://schemas.microsoft.com/office/drawing/2014/main" id="{347EA34C-AEA1-BB85-6DE3-B025C347AE4C}"/>
                      </a:ext>
                    </a:extLst>
                  </xdr:cNvPr>
                  <xdr:cNvCxnSpPr/>
                </xdr:nvCxnSpPr>
                <xdr:spPr>
                  <a:xfrm flipH="1">
                    <a:off x="454332" y="585418"/>
                    <a:ext cx="357765" cy="0"/>
                  </a:xfrm>
                  <a:prstGeom prst="straightConnector1">
                    <a:avLst/>
                  </a:prstGeom>
                  <a:ln>
                    <a:solidFill>
                      <a:srgbClr val="FF0000"/>
                    </a:solidFill>
                    <a:tailEnd type="triangle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88" name="TextBox 87">
                    <a:extLst>
                      <a:ext uri="{FF2B5EF4-FFF2-40B4-BE49-F238E27FC236}">
                        <a16:creationId xmlns:a16="http://schemas.microsoft.com/office/drawing/2014/main" id="{5DB203A0-2BA5-E2E3-EF57-27695A3DC5A1}"/>
                      </a:ext>
                    </a:extLst>
                  </xdr:cNvPr>
                  <xdr:cNvSpPr txBox="1"/>
                </xdr:nvSpPr>
                <xdr:spPr>
                  <a:xfrm>
                    <a:off x="453996" y="382781"/>
                    <a:ext cx="357764" cy="16023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n-US" altLang="ko-KR" sz="900" b="1">
                        <a:solidFill>
                          <a:srgbClr val="0070C0"/>
                        </a:solidFill>
                      </a:rPr>
                      <a:t>Fsi</a:t>
                    </a:r>
                    <a:endParaRPr lang="en-US" sz="900" b="1">
                      <a:solidFill>
                        <a:srgbClr val="0070C0"/>
                      </a:solidFill>
                    </a:endParaRPr>
                  </a:p>
                </xdr:txBody>
              </xdr:sp>
              <xdr:cxnSp macro="">
                <xdr:nvCxnSpPr>
                  <xdr:cNvPr id="89" name="Straight Arrow Connector 88">
                    <a:extLst>
                      <a:ext uri="{FF2B5EF4-FFF2-40B4-BE49-F238E27FC236}">
                        <a16:creationId xmlns:a16="http://schemas.microsoft.com/office/drawing/2014/main" id="{1AF1DA55-9D5F-4EB4-C0B1-F176D5D161E2}"/>
                      </a:ext>
                    </a:extLst>
                  </xdr:cNvPr>
                  <xdr:cNvCxnSpPr/>
                </xdr:nvCxnSpPr>
                <xdr:spPr>
                  <a:xfrm flipH="1">
                    <a:off x="498842" y="1484713"/>
                    <a:ext cx="357765" cy="0"/>
                  </a:xfrm>
                  <a:prstGeom prst="straightConnector1">
                    <a:avLst/>
                  </a:prstGeom>
                  <a:ln>
                    <a:solidFill>
                      <a:srgbClr val="00B050"/>
                    </a:solidFill>
                    <a:tailEnd type="triangle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90" name="TextBox 89">
                    <a:extLst>
                      <a:ext uri="{FF2B5EF4-FFF2-40B4-BE49-F238E27FC236}">
                        <a16:creationId xmlns:a16="http://schemas.microsoft.com/office/drawing/2014/main" id="{BADAB58E-7A35-56FC-F446-5F91FBD36C83}"/>
                      </a:ext>
                    </a:extLst>
                  </xdr:cNvPr>
                  <xdr:cNvSpPr txBox="1"/>
                </xdr:nvSpPr>
                <xdr:spPr>
                  <a:xfrm>
                    <a:off x="799168" y="1369299"/>
                    <a:ext cx="345950" cy="217583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n-US" altLang="ko-KR" sz="900" b="1">
                        <a:solidFill>
                          <a:srgbClr val="0070C0"/>
                        </a:solidFill>
                      </a:rPr>
                      <a:t>Fci</a:t>
                    </a:r>
                    <a:endParaRPr lang="en-US" sz="900" b="1">
                      <a:solidFill>
                        <a:srgbClr val="0070C0"/>
                      </a:solidFill>
                    </a:endParaRPr>
                  </a:p>
                </xdr:txBody>
              </xdr:sp>
              <xdr:sp macro="" textlink="">
                <xdr:nvSpPr>
                  <xdr:cNvPr id="91" name="Arc 90">
                    <a:extLst>
                      <a:ext uri="{FF2B5EF4-FFF2-40B4-BE49-F238E27FC236}">
                        <a16:creationId xmlns:a16="http://schemas.microsoft.com/office/drawing/2014/main" id="{915E6144-0B4A-E21A-69CC-B146213DA9E9}"/>
                      </a:ext>
                    </a:extLst>
                  </xdr:cNvPr>
                  <xdr:cNvSpPr/>
                </xdr:nvSpPr>
                <xdr:spPr>
                  <a:xfrm rot="16698894">
                    <a:off x="296898" y="1004030"/>
                    <a:ext cx="354323" cy="251348"/>
                  </a:xfrm>
                  <a:prstGeom prst="arc">
                    <a:avLst>
                      <a:gd name="adj1" fmla="val 8660341"/>
                      <a:gd name="adj2" fmla="val 1570092"/>
                    </a:avLst>
                  </a:prstGeom>
                  <a:ln>
                    <a:solidFill>
                      <a:srgbClr val="00B050"/>
                    </a:solidFill>
                    <a:headEnd type="none" w="med" len="med"/>
                    <a:tailEnd type="triangle" w="med" len="med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</xdr:grpSp>
            <xdr:cxnSp macro="">
              <xdr:nvCxnSpPr>
                <xdr:cNvPr id="85" name="Straight Connector 84">
                  <a:extLst>
                    <a:ext uri="{FF2B5EF4-FFF2-40B4-BE49-F238E27FC236}">
                      <a16:creationId xmlns:a16="http://schemas.microsoft.com/office/drawing/2014/main" id="{743A6B44-A087-B398-31B9-6E017DD188FB}"/>
                    </a:ext>
                  </a:extLst>
                </xdr:cNvPr>
                <xdr:cNvCxnSpPr/>
              </xdr:nvCxnSpPr>
              <xdr:spPr>
                <a:xfrm>
                  <a:off x="2271201" y="606966"/>
                  <a:ext cx="951276" cy="0"/>
                </a:xfrm>
                <a:prstGeom prst="line">
                  <a:avLst/>
                </a:prstGeom>
                <a:ln w="6350">
                  <a:solidFill>
                    <a:srgbClr val="FF0000"/>
                  </a:solidFill>
                  <a:prstDash val="sysDot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80" name="Oval 79">
                <a:extLst>
                  <a:ext uri="{FF2B5EF4-FFF2-40B4-BE49-F238E27FC236}">
                    <a16:creationId xmlns:a16="http://schemas.microsoft.com/office/drawing/2014/main" id="{B9F0A9D3-6612-3EAD-F718-7FC93644BFF9}"/>
                  </a:ext>
                </a:extLst>
              </xdr:cNvPr>
              <xdr:cNvSpPr/>
            </xdr:nvSpPr>
            <xdr:spPr>
              <a:xfrm>
                <a:off x="1356731" y="748061"/>
                <a:ext cx="45335" cy="45242"/>
              </a:xfrm>
              <a:prstGeom prst="ellips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81" name="Oval 80">
                <a:extLst>
                  <a:ext uri="{FF2B5EF4-FFF2-40B4-BE49-F238E27FC236}">
                    <a16:creationId xmlns:a16="http://schemas.microsoft.com/office/drawing/2014/main" id="{E3098C56-E85D-3991-75AD-FE06B7BCFFB5}"/>
                  </a:ext>
                </a:extLst>
              </xdr:cNvPr>
              <xdr:cNvSpPr/>
            </xdr:nvSpPr>
            <xdr:spPr>
              <a:xfrm>
                <a:off x="2085278" y="751778"/>
                <a:ext cx="45335" cy="45242"/>
              </a:xfrm>
              <a:prstGeom prst="ellips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82" name="Oval 81">
                <a:extLst>
                  <a:ext uri="{FF2B5EF4-FFF2-40B4-BE49-F238E27FC236}">
                    <a16:creationId xmlns:a16="http://schemas.microsoft.com/office/drawing/2014/main" id="{4D807B61-60D8-408E-D933-B2288EAA5AC0}"/>
                  </a:ext>
                </a:extLst>
              </xdr:cNvPr>
              <xdr:cNvSpPr/>
            </xdr:nvSpPr>
            <xdr:spPr>
              <a:xfrm>
                <a:off x="1359519" y="1591837"/>
                <a:ext cx="45335" cy="45242"/>
              </a:xfrm>
              <a:prstGeom prst="ellips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83" name="Oval 82">
                <a:extLst>
                  <a:ext uri="{FF2B5EF4-FFF2-40B4-BE49-F238E27FC236}">
                    <a16:creationId xmlns:a16="http://schemas.microsoft.com/office/drawing/2014/main" id="{8970698F-F811-87BE-C3BD-6A6E8A7FFB60}"/>
                  </a:ext>
                </a:extLst>
              </xdr:cNvPr>
              <xdr:cNvSpPr/>
            </xdr:nvSpPr>
            <xdr:spPr>
              <a:xfrm>
                <a:off x="2092711" y="1586261"/>
                <a:ext cx="45335" cy="45242"/>
              </a:xfrm>
              <a:prstGeom prst="ellips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D0A192A7-E316-E93A-C35B-3DB88330C590}"/>
                </a:ext>
              </a:extLst>
            </xdr:cNvPr>
            <xdr:cNvSpPr txBox="1"/>
          </xdr:nvSpPr>
          <xdr:spPr>
            <a:xfrm>
              <a:off x="2748825" y="2112760"/>
              <a:ext cx="866200" cy="18958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l-GR" altLang="ko-KR" sz="900"/>
                <a:t>ε</a:t>
              </a:r>
              <a:r>
                <a:rPr lang="en-US" altLang="ko-KR" sz="900"/>
                <a:t>si=50% fy/Es</a:t>
              </a:r>
              <a:endParaRPr lang="en-US" sz="900"/>
            </a:p>
          </xdr:txBody>
        </xdr:sp>
        <xdr:cxnSp macro="">
          <xdr:nvCxnSpPr>
            <xdr:cNvPr id="76" name="Straight Connector 75">
              <a:extLst>
                <a:ext uri="{FF2B5EF4-FFF2-40B4-BE49-F238E27FC236}">
                  <a16:creationId xmlns:a16="http://schemas.microsoft.com/office/drawing/2014/main" id="{BB3FE542-A384-881B-A00F-05E63AF79AE6}"/>
                </a:ext>
              </a:extLst>
            </xdr:cNvPr>
            <xdr:cNvCxnSpPr/>
          </xdr:nvCxnSpPr>
          <xdr:spPr>
            <a:xfrm>
              <a:off x="2269379" y="2016871"/>
              <a:ext cx="1377032" cy="0"/>
            </a:xfrm>
            <a:prstGeom prst="line">
              <a:avLst/>
            </a:prstGeom>
            <a:ln w="6350">
              <a:solidFill>
                <a:srgbClr val="FF0000"/>
              </a:solidFill>
              <a:prstDash val="sysDot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7" name="Straight Arrow Connector 76">
              <a:extLst>
                <a:ext uri="{FF2B5EF4-FFF2-40B4-BE49-F238E27FC236}">
                  <a16:creationId xmlns:a16="http://schemas.microsoft.com/office/drawing/2014/main" id="{CE5A3A2F-4F1B-F4E8-59BC-4F47901E1B66}"/>
                </a:ext>
              </a:extLst>
            </xdr:cNvPr>
            <xdr:cNvCxnSpPr/>
          </xdr:nvCxnSpPr>
          <xdr:spPr>
            <a:xfrm>
              <a:off x="476585" y="2289504"/>
              <a:ext cx="316436" cy="0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536868A5-1136-E0F0-378C-CFC0A95DBDBE}"/>
                </a:ext>
              </a:extLst>
            </xdr:cNvPr>
            <xdr:cNvSpPr txBox="1"/>
          </xdr:nvSpPr>
          <xdr:spPr>
            <a:xfrm>
              <a:off x="412325" y="2291755"/>
              <a:ext cx="319630" cy="1650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900" b="1">
                  <a:solidFill>
                    <a:srgbClr val="0070C0"/>
                  </a:solidFill>
                </a:rPr>
                <a:t>Fsi</a:t>
              </a:r>
              <a:endParaRPr lang="en-US" sz="900" b="1">
                <a:solidFill>
                  <a:srgbClr val="0070C0"/>
                </a:solidFill>
              </a:endParaRPr>
            </a:p>
          </xdr:txBody>
        </xdr:sp>
      </xdr:grpSp>
    </xdr:grpSp>
    <xdr:clientData/>
  </xdr:twoCellAnchor>
  <xdr:twoCellAnchor>
    <xdr:from>
      <xdr:col>4</xdr:col>
      <xdr:colOff>212271</xdr:colOff>
      <xdr:row>8</xdr:row>
      <xdr:rowOff>27215</xdr:rowOff>
    </xdr:from>
    <xdr:to>
      <xdr:col>4</xdr:col>
      <xdr:colOff>608434</xdr:colOff>
      <xdr:row>9</xdr:row>
      <xdr:rowOff>9281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6936CD7F-D7D3-42DC-AE06-7F2C6E3D2289}"/>
            </a:ext>
          </a:extLst>
        </xdr:cNvPr>
        <xdr:cNvSpPr txBox="1"/>
      </xdr:nvSpPr>
      <xdr:spPr>
        <a:xfrm>
          <a:off x="2803071" y="1621972"/>
          <a:ext cx="396163" cy="1834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l-GR" altLang="ko-KR" sz="900"/>
            <a:t>ε</a:t>
          </a:r>
          <a:r>
            <a:rPr lang="en-US" altLang="ko-KR" sz="900"/>
            <a:t>0</a:t>
          </a:r>
          <a:endParaRPr lang="en-US" sz="9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4</xdr:row>
      <xdr:rowOff>114300</xdr:rowOff>
    </xdr:from>
    <xdr:to>
      <xdr:col>10</xdr:col>
      <xdr:colOff>295276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A0AA5B-6C46-48A2-8B73-15B1AB5097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238125</xdr:colOff>
      <xdr:row>3</xdr:row>
      <xdr:rowOff>95250</xdr:rowOff>
    </xdr:from>
    <xdr:to>
      <xdr:col>6</xdr:col>
      <xdr:colOff>124945</xdr:colOff>
      <xdr:row>12</xdr:row>
      <xdr:rowOff>188380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AEE1EDFD-7269-4AE0-9B6E-B6D05D7DE0D1}"/>
            </a:ext>
          </a:extLst>
        </xdr:cNvPr>
        <xdr:cNvGrpSpPr/>
      </xdr:nvGrpSpPr>
      <xdr:grpSpPr>
        <a:xfrm>
          <a:off x="238125" y="733425"/>
          <a:ext cx="3925420" cy="1807630"/>
          <a:chOff x="5006111" y="385399"/>
          <a:chExt cx="3925420" cy="1826680"/>
        </a:xfrm>
      </xdr:grpSpPr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1390AAEC-49CC-8888-AF8F-5FBE80A5EE6B}"/>
              </a:ext>
            </a:extLst>
          </xdr:cNvPr>
          <xdr:cNvSpPr txBox="1"/>
        </xdr:nvSpPr>
        <xdr:spPr>
          <a:xfrm>
            <a:off x="7706348" y="1063684"/>
            <a:ext cx="396163" cy="183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l-GR" altLang="ko-KR" sz="900"/>
              <a:t>ε</a:t>
            </a:r>
            <a:r>
              <a:rPr lang="en-US" altLang="ko-KR" sz="900"/>
              <a:t>ci</a:t>
            </a:r>
            <a:endParaRPr lang="en-US" sz="900"/>
          </a:p>
        </xdr:txBody>
      </xdr: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045992C0-895C-223B-8563-25D9C5A02D4B}"/>
              </a:ext>
            </a:extLst>
          </xdr:cNvPr>
          <xdr:cNvGrpSpPr/>
        </xdr:nvGrpSpPr>
        <xdr:grpSpPr>
          <a:xfrm>
            <a:off x="5006111" y="385399"/>
            <a:ext cx="3925420" cy="1826680"/>
            <a:chOff x="348386" y="597826"/>
            <a:chExt cx="3932324" cy="1858962"/>
          </a:xfrm>
        </xdr:grpSpPr>
        <xdr:grpSp>
          <xdr:nvGrpSpPr>
            <xdr:cNvPr id="6" name="Group 5">
              <a:extLst>
                <a:ext uri="{FF2B5EF4-FFF2-40B4-BE49-F238E27FC236}">
                  <a16:creationId xmlns:a16="http://schemas.microsoft.com/office/drawing/2014/main" id="{EA392D86-1067-C569-6549-DCB1A4345AA6}"/>
                </a:ext>
              </a:extLst>
            </xdr:cNvPr>
            <xdr:cNvGrpSpPr/>
          </xdr:nvGrpSpPr>
          <xdr:grpSpPr>
            <a:xfrm>
              <a:off x="348386" y="597826"/>
              <a:ext cx="3932324" cy="1829402"/>
              <a:chOff x="348386" y="166324"/>
              <a:chExt cx="3914269" cy="1768080"/>
            </a:xfrm>
          </xdr:grpSpPr>
          <xdr:grpSp>
            <xdr:nvGrpSpPr>
              <xdr:cNvPr id="11" name="Group 10">
                <a:extLst>
                  <a:ext uri="{FF2B5EF4-FFF2-40B4-BE49-F238E27FC236}">
                    <a16:creationId xmlns:a16="http://schemas.microsoft.com/office/drawing/2014/main" id="{510E0B4D-9A56-A910-5352-65D431405443}"/>
                  </a:ext>
                </a:extLst>
              </xdr:cNvPr>
              <xdr:cNvGrpSpPr/>
            </xdr:nvGrpSpPr>
            <xdr:grpSpPr>
              <a:xfrm>
                <a:off x="348386" y="166324"/>
                <a:ext cx="3914269" cy="1768080"/>
                <a:chOff x="348386" y="166324"/>
                <a:chExt cx="3938239" cy="1776201"/>
              </a:xfrm>
            </xdr:grpSpPr>
            <xdr:grpSp>
              <xdr:nvGrpSpPr>
                <xdr:cNvPr id="16" name="Group 15">
                  <a:extLst>
                    <a:ext uri="{FF2B5EF4-FFF2-40B4-BE49-F238E27FC236}">
                      <a16:creationId xmlns:a16="http://schemas.microsoft.com/office/drawing/2014/main" id="{DFC86FA1-6BA0-C72D-27AA-F051BF4637D6}"/>
                    </a:ext>
                  </a:extLst>
                </xdr:cNvPr>
                <xdr:cNvGrpSpPr/>
              </xdr:nvGrpSpPr>
              <xdr:grpSpPr>
                <a:xfrm>
                  <a:off x="348386" y="166324"/>
                  <a:ext cx="3938239" cy="1776201"/>
                  <a:chOff x="348386" y="166324"/>
                  <a:chExt cx="3938239" cy="1776201"/>
                </a:xfrm>
              </xdr:grpSpPr>
              <xdr:grpSp>
                <xdr:nvGrpSpPr>
                  <xdr:cNvPr id="18" name="Group 17">
                    <a:extLst>
                      <a:ext uri="{FF2B5EF4-FFF2-40B4-BE49-F238E27FC236}">
                        <a16:creationId xmlns:a16="http://schemas.microsoft.com/office/drawing/2014/main" id="{0F88B342-4B67-CB41-D385-AE675DABEF8C}"/>
                      </a:ext>
                    </a:extLst>
                  </xdr:cNvPr>
                  <xdr:cNvGrpSpPr/>
                </xdr:nvGrpSpPr>
                <xdr:grpSpPr>
                  <a:xfrm>
                    <a:off x="415160" y="166324"/>
                    <a:ext cx="3871465" cy="1776201"/>
                    <a:chOff x="415160" y="166324"/>
                    <a:chExt cx="3871465" cy="1776201"/>
                  </a:xfrm>
                </xdr:grpSpPr>
                <xdr:sp macro="" textlink="">
                  <xdr:nvSpPr>
                    <xdr:cNvPr id="24" name="Rectangle 23">
                      <a:extLst>
                        <a:ext uri="{FF2B5EF4-FFF2-40B4-BE49-F238E27FC236}">
                          <a16:creationId xmlns:a16="http://schemas.microsoft.com/office/drawing/2014/main" id="{C9E01984-843D-35C0-883B-F25D2329368A}"/>
                        </a:ext>
                      </a:extLst>
                    </xdr:cNvPr>
                    <xdr:cNvSpPr/>
                  </xdr:nvSpPr>
                  <xdr:spPr>
                    <a:xfrm>
                      <a:off x="1228458" y="1537896"/>
                      <a:ext cx="1034162" cy="389360"/>
                    </a:xfrm>
                    <a:prstGeom prst="rect">
                      <a:avLst/>
                    </a:prstGeom>
                    <a:solidFill>
                      <a:schemeClr val="accent6">
                        <a:lumMod val="40000"/>
                        <a:lumOff val="60000"/>
                      </a:schemeClr>
                    </a:solidFill>
                    <a:ln w="22225">
                      <a:solidFill>
                        <a:schemeClr val="tx2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r>
                        <a:rPr lang="en-US" sz="900">
                          <a:solidFill>
                            <a:srgbClr val="FF0000"/>
                          </a:solidFill>
                        </a:rPr>
                        <a:t>Tension</a:t>
                      </a:r>
                    </a:p>
                  </xdr:txBody>
                </xdr:sp>
                <xdr:grpSp>
                  <xdr:nvGrpSpPr>
                    <xdr:cNvPr id="25" name="Group 24">
                      <a:extLst>
                        <a:ext uri="{FF2B5EF4-FFF2-40B4-BE49-F238E27FC236}">
                          <a16:creationId xmlns:a16="http://schemas.microsoft.com/office/drawing/2014/main" id="{9F43AD33-41E5-4565-C44F-F112AC075864}"/>
                        </a:ext>
                      </a:extLst>
                    </xdr:cNvPr>
                    <xdr:cNvGrpSpPr/>
                  </xdr:nvGrpSpPr>
                  <xdr:grpSpPr>
                    <a:xfrm>
                      <a:off x="415160" y="166324"/>
                      <a:ext cx="3871465" cy="1776201"/>
                      <a:chOff x="415160" y="166324"/>
                      <a:chExt cx="3871465" cy="1776201"/>
                    </a:xfrm>
                  </xdr:grpSpPr>
                  <xdr:grpSp>
                    <xdr:nvGrpSpPr>
                      <xdr:cNvPr id="26" name="Group 25">
                        <a:extLst>
                          <a:ext uri="{FF2B5EF4-FFF2-40B4-BE49-F238E27FC236}">
                            <a16:creationId xmlns:a16="http://schemas.microsoft.com/office/drawing/2014/main" id="{9D081EB7-6813-C286-6C4A-FD5CE03EEC4B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15160" y="166324"/>
                        <a:ext cx="3871465" cy="1776201"/>
                        <a:chOff x="593718" y="242524"/>
                        <a:chExt cx="3865224" cy="1749495"/>
                      </a:xfrm>
                    </xdr:grpSpPr>
                    <xdr:grpSp>
                      <xdr:nvGrpSpPr>
                        <xdr:cNvPr id="37" name="Group 36">
                          <a:extLst>
                            <a:ext uri="{FF2B5EF4-FFF2-40B4-BE49-F238E27FC236}">
                              <a16:creationId xmlns:a16="http://schemas.microsoft.com/office/drawing/2014/main" id="{BA620EA7-6D6E-5D16-188F-B53963BF7159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959083" y="242524"/>
                          <a:ext cx="3499859" cy="1749495"/>
                          <a:chOff x="3033706" y="298660"/>
                          <a:chExt cx="3495951" cy="1720920"/>
                        </a:xfrm>
                      </xdr:grpSpPr>
                      <xdr:grpSp>
                        <xdr:nvGrpSpPr>
                          <xdr:cNvPr id="42" name="Group 41">
                            <a:extLst>
                              <a:ext uri="{FF2B5EF4-FFF2-40B4-BE49-F238E27FC236}">
                                <a16:creationId xmlns:a16="http://schemas.microsoft.com/office/drawing/2014/main" id="{C10FB0B5-C19F-B537-15EA-B71E413D5BA6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3033706" y="298660"/>
                            <a:ext cx="3286950" cy="1720920"/>
                            <a:chOff x="2584144" y="251933"/>
                            <a:chExt cx="3281929" cy="1720920"/>
                          </a:xfrm>
                        </xdr:grpSpPr>
                        <xdr:grpSp>
                          <xdr:nvGrpSpPr>
                            <xdr:cNvPr id="47" name="Group 46">
                              <a:extLst>
                                <a:ext uri="{FF2B5EF4-FFF2-40B4-BE49-F238E27FC236}">
                                  <a16:creationId xmlns:a16="http://schemas.microsoft.com/office/drawing/2014/main" id="{F15D652C-90D5-2FCC-BB3D-56AE6B0B0896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2784020" y="251933"/>
                              <a:ext cx="3082053" cy="1720920"/>
                              <a:chOff x="2241476" y="194783"/>
                              <a:chExt cx="3082027" cy="1720920"/>
                            </a:xfrm>
                          </xdr:grpSpPr>
                          <xdr:cxnSp macro="">
                            <xdr:nvCxnSpPr>
                              <xdr:cNvPr id="51" name="Straight Connector 50">
                                <a:extLst>
                                  <a:ext uri="{FF2B5EF4-FFF2-40B4-BE49-F238E27FC236}">
                                    <a16:creationId xmlns:a16="http://schemas.microsoft.com/office/drawing/2014/main" id="{96AF7358-12CD-C1BA-D89B-64979757C53F}"/>
                                  </a:ext>
                                </a:extLst>
                              </xdr:cNvPr>
                              <xdr:cNvCxnSpPr/>
                            </xdr:nvCxnSpPr>
                            <xdr:spPr>
                              <a:xfrm>
                                <a:off x="2241476" y="837333"/>
                                <a:ext cx="0" cy="312170"/>
                              </a:xfrm>
                              <a:prstGeom prst="line">
                                <a:avLst/>
                              </a:prstGeom>
                              <a:ln w="3175"/>
                            </xdr:spPr>
                            <xdr:style>
                              <a:lnRef idx="1">
                                <a:schemeClr val="accent1"/>
                              </a:lnRef>
                              <a:fillRef idx="0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tx1"/>
                              </a:fontRef>
                            </xdr:style>
                          </xdr:cxnSp>
                          <xdr:cxnSp macro="">
                            <xdr:nvCxnSpPr>
                              <xdr:cNvPr id="52" name="Straight Connector 51">
                                <a:extLst>
                                  <a:ext uri="{FF2B5EF4-FFF2-40B4-BE49-F238E27FC236}">
                                    <a16:creationId xmlns:a16="http://schemas.microsoft.com/office/drawing/2014/main" id="{827A6669-EBD4-C168-D1AA-62A0A9C16306}"/>
                                  </a:ext>
                                </a:extLst>
                              </xdr:cNvPr>
                              <xdr:cNvCxnSpPr/>
                            </xdr:nvCxnSpPr>
                            <xdr:spPr>
                              <a:xfrm flipH="1">
                                <a:off x="2242418" y="857196"/>
                                <a:ext cx="166719" cy="0"/>
                              </a:xfrm>
                              <a:prstGeom prst="line">
                                <a:avLst/>
                              </a:prstGeom>
                              <a:ln w="3175">
                                <a:headEnd type="none"/>
                                <a:tailEnd type="oval" w="sm" len="sm"/>
                              </a:ln>
                            </xdr:spPr>
                            <xdr:style>
                              <a:lnRef idx="1">
                                <a:schemeClr val="accent1"/>
                              </a:lnRef>
                              <a:fillRef idx="0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tx1"/>
                              </a:fontRef>
                            </xdr:style>
                          </xdr:cxnSp>
                          <xdr:grpSp>
                            <xdr:nvGrpSpPr>
                              <xdr:cNvPr id="53" name="Group 52">
                                <a:extLst>
                                  <a:ext uri="{FF2B5EF4-FFF2-40B4-BE49-F238E27FC236}">
                                    <a16:creationId xmlns:a16="http://schemas.microsoft.com/office/drawing/2014/main" id="{14B64AC6-2BAB-3053-3758-EEAEA2F8C0B7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2487379" y="194783"/>
                                <a:ext cx="2836124" cy="1720920"/>
                                <a:chOff x="2487379" y="194783"/>
                                <a:chExt cx="2836124" cy="1720920"/>
                              </a:xfrm>
                            </xdr:grpSpPr>
                            <xdr:grpSp>
                              <xdr:nvGrpSpPr>
                                <xdr:cNvPr id="54" name="Group 53">
                                  <a:extLst>
                                    <a:ext uri="{FF2B5EF4-FFF2-40B4-BE49-F238E27FC236}">
                                      <a16:creationId xmlns:a16="http://schemas.microsoft.com/office/drawing/2014/main" id="{B21A6E04-C2DD-29EF-0B9F-E1A75507E17C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2487379" y="472598"/>
                                  <a:ext cx="2410655" cy="1432623"/>
                                  <a:chOff x="2621891" y="311507"/>
                                  <a:chExt cx="2948375" cy="1437463"/>
                                </a:xfrm>
                              </xdr:grpSpPr>
                              <xdr:grpSp>
                                <xdr:nvGrpSpPr>
                                  <xdr:cNvPr id="58" name="Group 57">
                                    <a:extLst>
                                      <a:ext uri="{FF2B5EF4-FFF2-40B4-BE49-F238E27FC236}">
                                        <a16:creationId xmlns:a16="http://schemas.microsoft.com/office/drawing/2014/main" id="{5B08F5AC-4B6A-5C84-EC5C-10289ECAC80F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2621891" y="311507"/>
                                    <a:ext cx="2493045" cy="1437463"/>
                                    <a:chOff x="2621891" y="311507"/>
                                    <a:chExt cx="2493045" cy="1437463"/>
                                  </a:xfrm>
                                </xdr:grpSpPr>
                                <xdr:grpSp>
                                  <xdr:nvGrpSpPr>
                                    <xdr:cNvPr id="60" name="Group 59">
                                      <a:extLst>
                                        <a:ext uri="{FF2B5EF4-FFF2-40B4-BE49-F238E27FC236}">
                                          <a16:creationId xmlns:a16="http://schemas.microsoft.com/office/drawing/2014/main" id="{24C449C9-BD85-10A0-3AA0-E51841F03D27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2621891" y="319521"/>
                                      <a:ext cx="1714713" cy="1052635"/>
                                      <a:chOff x="6520113" y="168431"/>
                                      <a:chExt cx="1723907" cy="1048561"/>
                                    </a:xfrm>
                                  </xdr:grpSpPr>
                                  <xdr:sp macro="" textlink="">
                                    <xdr:nvSpPr>
                                      <xdr:cNvPr id="63" name="Rectangle 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94125020-6C83-4C9D-E86C-1AF454B8605E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6520113" y="171451"/>
                                        <a:ext cx="1270836" cy="1039535"/>
                                      </a:xfrm>
                                      <a:prstGeom prst="rect">
                                        <a:avLst/>
                                      </a:prstGeom>
                                      <a:pattFill prst="dkHorz">
                                        <a:fgClr>
                                          <a:schemeClr val="accent1">
                                            <a:lumMod val="40000"/>
                                            <a:lumOff val="60000"/>
                                          </a:schemeClr>
                                        </a:fgClr>
                                        <a:bgClr>
                                          <a:schemeClr val="bg1"/>
                                        </a:bgClr>
                                      </a:pattFill>
                                      <a:ln w="22225">
                                        <a:solidFill>
                                          <a:schemeClr val="tx2"/>
                                        </a:solidFill>
                                      </a:ln>
                                    </xdr:spPr>
                                    <xdr:style>
                                      <a:lnRef idx="2">
                                        <a:schemeClr val="accent1">
                                          <a:shade val="15000"/>
                                        </a:schemeClr>
                                      </a:lnRef>
                                      <a:fillRef idx="1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lt1"/>
                                      </a:fontRef>
                                    </xdr:style>
                                    <xdr:txBody>
                                      <a:bodyPr vertOverflow="clip" horzOverflow="clip" rtlCol="0" anchor="ctr"/>
                                      <a:lstStyle/>
                                      <a:p>
                                        <a:pPr algn="ctr"/>
                                        <a:r>
                                          <a:rPr lang="en-US" sz="900">
                                            <a:solidFill>
                                              <a:srgbClr val="FF0000"/>
                                            </a:solidFill>
                                          </a:rPr>
                                          <a:t>Compression</a:t>
                                        </a:r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64" name="Group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82F148D8-215E-0939-5DF0-DF8069F81A0E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7826425" y="168431"/>
                                        <a:ext cx="417595" cy="1048561"/>
                                        <a:chOff x="11633394" y="4191000"/>
                                        <a:chExt cx="337082" cy="492548"/>
                                      </a:xfrm>
                                    </xdr:grpSpPr>
                                    <xdr:sp macro="" textlink="">
                                      <xdr:nvSpPr>
                                        <xdr:cNvPr id="65" name="TextBox 6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9D58497-6675-B3A6-77E7-A7F04EC49611}"/>
                                            </a:ext>
                                          </a:extLst>
                                        </xdr:cNvPr>
                                        <xdr:cNvSpPr txBox="1"/>
                                      </xdr:nvSpPr>
                                      <xdr:spPr>
                                        <a:xfrm>
                                          <a:off x="11692716" y="4424832"/>
                                          <a:ext cx="277760" cy="114707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 w="9525" cmpd="sng">
                                          <a:noFill/>
                                        </a:ln>
                                      </xdr:spPr>
                                      <xdr:style>
                                        <a:lnRef idx="0">
                                          <a:scrgbClr r="0" g="0" b="0"/>
                                        </a:lnRef>
                                        <a:fillRef idx="0">
                                          <a:scrgbClr r="0" g="0" b="0"/>
                                        </a:fillRef>
                                        <a:effectRef idx="0">
                                          <a:scrgbClr r="0" g="0" b="0"/>
                                        </a:effectRef>
                                        <a:fontRef idx="minor">
                                          <a:schemeClr val="dk1"/>
                                        </a:fontRef>
                                      </xdr:style>
                                      <xdr:txBody>
                                        <a:bodyPr vertOverflow="clip" horzOverflow="clip" wrap="square" rtlCol="0" anchor="ctr"/>
                                        <a:lstStyle/>
                                        <a:p>
                                          <a:r>
                                            <a:rPr lang="en-US" altLang="ko-KR" sz="900"/>
                                            <a:t>c</a:t>
                                          </a:r>
                                          <a:endParaRPr lang="en-US" sz="9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66" name="Straight Connector 6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D41EB0C9-15FD-230E-82B9-5B2157D8E3FB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11639046" y="4191000"/>
                                          <a:ext cx="132711" cy="0"/>
                                        </a:xfrm>
                                        <a:prstGeom prst="line">
                                          <a:avLst/>
                                        </a:prstGeom>
                                        <a:ln w="3175">
                                          <a:headEnd type="none"/>
                                          <a:tailEnd type="oval" w="sm" len="sm"/>
                                        </a:ln>
                                      </xdr:spPr>
                                      <xdr:style>
                                        <a:lnRef idx="1">
                                          <a:schemeClr val="accent1"/>
                                        </a:lnRef>
                                        <a:fillRef idx="0">
                                          <a:schemeClr val="accent1"/>
                                        </a:fillRef>
                                        <a:effectRef idx="0">
                                          <a:schemeClr val="accent1"/>
                                        </a:effectRef>
                                        <a:fontRef idx="minor">
                                          <a:schemeClr val="tx1"/>
                                        </a:fontRef>
                                      </xdr:style>
                                    </xdr:cxnSp>
                                    <xdr:cxnSp macro="">
                                      <xdr:nvCxnSpPr>
                                        <xdr:cNvPr id="67" name="Straight Connector 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C1E94538-2FD5-D5FA-6C83-99A912A4D8FD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11769797" y="4193910"/>
                                          <a:ext cx="0" cy="489638"/>
                                        </a:xfrm>
                                        <a:prstGeom prst="line">
                                          <a:avLst/>
                                        </a:prstGeom>
                                        <a:ln w="3175"/>
                                      </xdr:spPr>
                                      <xdr:style>
                                        <a:lnRef idx="1">
                                          <a:schemeClr val="accent1"/>
                                        </a:lnRef>
                                        <a:fillRef idx="0">
                                          <a:schemeClr val="accent1"/>
                                        </a:fillRef>
                                        <a:effectRef idx="0">
                                          <a:schemeClr val="accent1"/>
                                        </a:effectRef>
                                        <a:fontRef idx="minor">
                                          <a:schemeClr val="tx1"/>
                                        </a:fontRef>
                                      </xdr:style>
                                    </xdr:cxnSp>
                                    <xdr:cxnSp macro="">
                                      <xdr:nvCxnSpPr>
                                        <xdr:cNvPr id="68" name="Straight Connector 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EEFAE953-F72C-DFE8-CA0E-C9E239126DA8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11633394" y="4682171"/>
                                          <a:ext cx="137339" cy="0"/>
                                        </a:xfrm>
                                        <a:prstGeom prst="line">
                                          <a:avLst/>
                                        </a:prstGeom>
                                        <a:ln w="3175">
                                          <a:headEnd type="none"/>
                                          <a:tailEnd type="oval" w="sm" len="sm"/>
                                        </a:ln>
                                      </xdr:spPr>
                                      <xdr:style>
                                        <a:lnRef idx="1">
                                          <a:schemeClr val="accent1"/>
                                        </a:lnRef>
                                        <a:fillRef idx="0">
                                          <a:schemeClr val="accent1"/>
                                        </a:fillRef>
                                        <a:effectRef idx="0">
                                          <a:schemeClr val="accent1"/>
                                        </a:effectRef>
                                        <a:fontRef idx="minor">
                                          <a:schemeClr val="tx1"/>
                                        </a:fontRef>
                                      </xdr:style>
                                    </xdr:cxnSp>
                                  </xdr:grpSp>
                                </xdr:grpSp>
                                <xdr:sp macro="" textlink="">
                                  <xdr:nvSpPr>
                                    <xdr:cNvPr id="61" name="Right Triangle 60">
                                      <a:extLst>
                                        <a:ext uri="{FF2B5EF4-FFF2-40B4-BE49-F238E27FC236}">
                                          <a16:creationId xmlns:a16="http://schemas.microsoft.com/office/drawing/2014/main" id="{576670A6-82AD-97E4-6C93-0EF77622B79E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 flipV="1">
                                      <a:off x="4545777" y="311507"/>
                                      <a:ext cx="569159" cy="1057635"/>
                                    </a:xfrm>
                                    <a:prstGeom prst="rtTriangle">
                                      <a:avLst/>
                                    </a:prstGeom>
                                    <a:solidFill>
                                      <a:schemeClr val="accent5">
                                        <a:lumMod val="20000"/>
                                        <a:lumOff val="80000"/>
                                      </a:schemeClr>
                                    </a:solidFill>
                                    <a:ln w="12700"/>
                                  </xdr:spPr>
                                  <xdr:style>
                                    <a:lnRef idx="2">
                                      <a:schemeClr val="accent1">
                                        <a:shade val="15000"/>
                                      </a:schemeClr>
                                    </a:lnRef>
                                    <a:fillRef idx="1">
                                      <a:schemeClr val="accent1"/>
                                    </a:fillRef>
                                    <a:effectRef idx="0">
                                      <a:schemeClr val="accent1"/>
                                    </a:effectRef>
                                    <a:fontRef idx="minor">
                                      <a:schemeClr val="lt1"/>
                                    </a:fontRef>
                                  </xdr:style>
                                  <xdr:txBody>
                                    <a:bodyPr vertOverflow="clip" horzOverflow="clip" rtlCol="0" anchor="t"/>
                                    <a:lstStyle/>
                                    <a:p>
                                      <a:pPr algn="ctr"/>
                                      <a:r>
                                        <a:rPr lang="en-US" altLang="ko-KR" sz="1100">
                                          <a:ln w="12700">
                                            <a:solidFill>
                                              <a:srgbClr val="FF0000"/>
                                            </a:solidFill>
                                          </a:ln>
                                          <a:solidFill>
                                            <a:srgbClr val="FF0000"/>
                                          </a:solidFill>
                                        </a:rPr>
                                        <a:t>+</a:t>
                                      </a:r>
                                      <a:endParaRPr lang="ko-KR" altLang="en-US" sz="1100">
                                        <a:ln w="12700">
                                          <a:solidFill>
                                            <a:srgbClr val="FF0000"/>
                                          </a:solidFill>
                                        </a:ln>
                                        <a:solidFill>
                                          <a:srgbClr val="FF0000"/>
                                        </a:solidFill>
                                      </a:endParaRPr>
                                    </a:p>
                                  </xdr:txBody>
                                </xdr:sp>
                                <xdr:sp macro="" textlink="">
                                  <xdr:nvSpPr>
                                    <xdr:cNvPr id="62" name="Right Triangle 61">
                                      <a:extLst>
                                        <a:ext uri="{FF2B5EF4-FFF2-40B4-BE49-F238E27FC236}">
                                          <a16:creationId xmlns:a16="http://schemas.microsoft.com/office/drawing/2014/main" id="{C31604B7-43D7-26F6-52B7-3A1FCEA7ECC3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 flipH="1">
                                      <a:off x="4341006" y="1372159"/>
                                      <a:ext cx="204769" cy="376811"/>
                                    </a:xfrm>
                                    <a:prstGeom prst="rtTriangle">
                                      <a:avLst/>
                                    </a:prstGeom>
                                    <a:solidFill>
                                      <a:schemeClr val="accent5">
                                        <a:lumMod val="20000"/>
                                        <a:lumOff val="80000"/>
                                      </a:schemeClr>
                                    </a:solidFill>
                                    <a:ln w="12700"/>
                                  </xdr:spPr>
                                  <xdr:style>
                                    <a:lnRef idx="2">
                                      <a:schemeClr val="accent1">
                                        <a:shade val="15000"/>
                                      </a:schemeClr>
                                    </a:lnRef>
                                    <a:fillRef idx="1">
                                      <a:schemeClr val="accent1"/>
                                    </a:fillRef>
                                    <a:effectRef idx="0">
                                      <a:schemeClr val="accent1"/>
                                    </a:effectRef>
                                    <a:fontRef idx="minor">
                                      <a:schemeClr val="lt1"/>
                                    </a:fontRef>
                                  </xdr:style>
                                  <xdr:txBody>
                                    <a:bodyPr vertOverflow="clip" horzOverflow="clip" rtlCol="0" anchor="t"/>
                                    <a:lstStyle/>
                                    <a:p>
                                      <a:pPr algn="l"/>
                                      <a:endParaRPr lang="ko-KR" altLang="en-US" sz="1100">
                                        <a:ln w="15875">
                                          <a:solidFill>
                                            <a:srgbClr val="FF0000"/>
                                          </a:solidFill>
                                        </a:ln>
                                        <a:solidFill>
                                          <a:srgbClr val="FF0000"/>
                                        </a:solidFill>
                                      </a:endParaRPr>
                                    </a:p>
                                  </xdr:txBody>
                                </xdr:sp>
                              </xdr:grpSp>
                              <xdr:cxnSp macro="">
                                <xdr:nvCxnSpPr>
                                  <xdr:cNvPr id="59" name="Straight Connector 58">
                                    <a:extLst>
                                      <a:ext uri="{FF2B5EF4-FFF2-40B4-BE49-F238E27FC236}">
                                        <a16:creationId xmlns:a16="http://schemas.microsoft.com/office/drawing/2014/main" id="{93508493-4481-CAA9-7100-4717575F8396}"/>
                                      </a:ext>
                                    </a:extLst>
                                  </xdr:cNvPr>
                                  <xdr:cNvCxnSpPr/>
                                </xdr:nvCxnSpPr>
                                <xdr:spPr>
                                  <a:xfrm>
                                    <a:off x="3890724" y="1612003"/>
                                    <a:ext cx="1679542" cy="0"/>
                                  </a:xfrm>
                                  <a:prstGeom prst="line">
                                    <a:avLst/>
                                  </a:prstGeom>
                                  <a:ln w="6350">
                                    <a:solidFill>
                                      <a:srgbClr val="FF0000"/>
                                    </a:solidFill>
                                    <a:prstDash val="sysDot"/>
                                  </a:ln>
                                </xdr:spPr>
                                <xdr:style>
                                  <a:lnRef idx="1">
                                    <a:schemeClr val="accent1"/>
                                  </a:lnRef>
                                  <a:fillRef idx="0">
                                    <a:schemeClr val="accent1"/>
                                  </a:fillRef>
                                  <a:effectRef idx="0">
                                    <a:schemeClr val="accent1"/>
                                  </a:effectRef>
                                  <a:fontRef idx="minor">
                                    <a:schemeClr val="tx1"/>
                                  </a:fontRef>
                                </xdr:style>
                              </xdr:cxnSp>
                            </xdr:grpSp>
                            <xdr:cxnSp macro="">
                              <xdr:nvCxnSpPr>
                                <xdr:cNvPr id="55" name="Straight Connector 54">
                                  <a:extLst>
                                    <a:ext uri="{FF2B5EF4-FFF2-40B4-BE49-F238E27FC236}">
                                      <a16:creationId xmlns:a16="http://schemas.microsoft.com/office/drawing/2014/main" id="{73FD6C55-8008-5544-8C52-60085B1107BB}"/>
                                    </a:ext>
                                  </a:extLst>
                                </xdr:cNvPr>
                                <xdr:cNvCxnSpPr/>
                              </xdr:nvCxnSpPr>
                              <xdr:spPr>
                                <a:xfrm>
                                  <a:off x="4903601" y="466618"/>
                                  <a:ext cx="0" cy="1449085"/>
                                </a:xfrm>
                                <a:prstGeom prst="line">
                                  <a:avLst/>
                                </a:prstGeom>
                              </xdr:spPr>
                              <xdr:style>
                                <a:lnRef idx="1">
                                  <a:schemeClr val="accent1"/>
                                </a:lnRef>
                                <a:fillRef idx="0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tx1"/>
                                </a:fontRef>
                              </xdr:style>
                            </xdr:cxnSp>
                            <xdr:sp macro="" textlink="">
                              <xdr:nvSpPr>
                                <xdr:cNvPr id="56" name="Freeform: Shape 55">
                                  <a:extLst>
                                    <a:ext uri="{FF2B5EF4-FFF2-40B4-BE49-F238E27FC236}">
                                      <a16:creationId xmlns:a16="http://schemas.microsoft.com/office/drawing/2014/main" id="{C7F4AEE9-1031-BC33-771B-38DF5B1D5B95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2467" y="463669"/>
                                  <a:ext cx="290318" cy="1069017"/>
                                </a:xfrm>
                                <a:custGeom>
                                  <a:avLst/>
                                  <a:gdLst>
                                    <a:gd name="csX0" fmla="*/ 0 w 287547"/>
                                    <a:gd name="csY0" fmla="*/ 546340 h 546340"/>
                                    <a:gd name="csX1" fmla="*/ 0 w 287547"/>
                                    <a:gd name="csY1" fmla="*/ 0 h 546340"/>
                                    <a:gd name="csX2" fmla="*/ 287547 w 287547"/>
                                    <a:gd name="csY2" fmla="*/ 0 h 546340"/>
                                    <a:gd name="csX3" fmla="*/ 287547 w 287547"/>
                                    <a:gd name="csY3" fmla="*/ 197689 h 546340"/>
                                    <a:gd name="csX4" fmla="*/ 273170 w 287547"/>
                                    <a:gd name="csY4" fmla="*/ 287548 h 546340"/>
                                    <a:gd name="csX5" fmla="*/ 251604 w 287547"/>
                                    <a:gd name="csY5" fmla="*/ 352246 h 546340"/>
                                    <a:gd name="csX6" fmla="*/ 219255 w 287547"/>
                                    <a:gd name="csY6" fmla="*/ 395378 h 546340"/>
                                    <a:gd name="csX7" fmla="*/ 179717 w 287547"/>
                                    <a:gd name="csY7" fmla="*/ 449293 h 546340"/>
                                    <a:gd name="csX8" fmla="*/ 129396 w 287547"/>
                                    <a:gd name="csY8" fmla="*/ 492425 h 546340"/>
                                    <a:gd name="csX9" fmla="*/ 79075 w 287547"/>
                                    <a:gd name="csY9" fmla="*/ 521180 h 546340"/>
                                    <a:gd name="csX10" fmla="*/ 0 w 287547"/>
                                    <a:gd name="csY10" fmla="*/ 546340 h 546340"/>
                                  </a:gdLst>
                                  <a:ahLst/>
                                  <a:cxnLst>
                                    <a:cxn ang="0">
                                      <a:pos x="csX0" y="csY0"/>
                                    </a:cxn>
                                    <a:cxn ang="0">
                                      <a:pos x="csX1" y="csY1"/>
                                    </a:cxn>
                                    <a:cxn ang="0">
                                      <a:pos x="csX2" y="csY2"/>
                                    </a:cxn>
                                    <a:cxn ang="0">
                                      <a:pos x="csX3" y="csY3"/>
                                    </a:cxn>
                                    <a:cxn ang="0">
                                      <a:pos x="csX4" y="csY4"/>
                                    </a:cxn>
                                    <a:cxn ang="0">
                                      <a:pos x="csX5" y="csY5"/>
                                    </a:cxn>
                                    <a:cxn ang="0">
                                      <a:pos x="csX6" y="csY6"/>
                                    </a:cxn>
                                    <a:cxn ang="0">
                                      <a:pos x="csX7" y="csY7"/>
                                    </a:cxn>
                                    <a:cxn ang="0">
                                      <a:pos x="csX8" y="csY8"/>
                                    </a:cxn>
                                    <a:cxn ang="0">
                                      <a:pos x="csX9" y="csY9"/>
                                    </a:cxn>
                                    <a:cxn ang="0">
                                      <a:pos x="csX10" y="csY10"/>
                                    </a:cxn>
                                  </a:cxnLst>
                                  <a:rect l="l" t="t" r="r" b="b"/>
                                  <a:pathLst>
                                    <a:path w="287547" h="546340">
                                      <a:moveTo>
                                        <a:pt x="0" y="546340"/>
                                      </a:moveTo>
                                      <a:lnTo>
                                        <a:pt x="0" y="0"/>
                                      </a:lnTo>
                                      <a:lnTo>
                                        <a:pt x="287547" y="0"/>
                                      </a:lnTo>
                                      <a:lnTo>
                                        <a:pt x="287547" y="197689"/>
                                      </a:lnTo>
                                      <a:lnTo>
                                        <a:pt x="273170" y="287548"/>
                                      </a:lnTo>
                                      <a:lnTo>
                                        <a:pt x="251604" y="352246"/>
                                      </a:lnTo>
                                      <a:lnTo>
                                        <a:pt x="219255" y="395378"/>
                                      </a:lnTo>
                                      <a:lnTo>
                                        <a:pt x="179717" y="449293"/>
                                      </a:lnTo>
                                      <a:lnTo>
                                        <a:pt x="129396" y="492425"/>
                                      </a:lnTo>
                                      <a:lnTo>
                                        <a:pt x="79075" y="521180"/>
                                      </a:lnTo>
                                      <a:lnTo>
                                        <a:pt x="0" y="546340"/>
                                      </a:lnTo>
                                      <a:close/>
                                    </a:path>
                                  </a:pathLst>
                                </a:custGeom>
                                <a:solidFill>
                                  <a:schemeClr val="accent5">
                                    <a:lumMod val="20000"/>
                                    <a:lumOff val="80000"/>
                                  </a:schemeClr>
                                </a:solidFill>
                                <a:ln w="9525" cap="flat">
                                  <a:solidFill>
                                    <a:schemeClr val="accent1"/>
                                  </a:solidFill>
                                  <a:extLst>
                                    <a:ext uri="{C807C97D-BFC1-408E-A445-0C87EB9F89A2}">
                                      <ask:lineSketchStyleProps xmlns:ask="http://schemas.microsoft.com/office/drawing/2018/sketchyshapes" sd="1219033472">
                                        <a:custGeom>
                                          <a:avLst/>
                                          <a:gdLst>
                                            <a:gd name="csX0" fmla="*/ 0 w 287547"/>
                                            <a:gd name="csY0" fmla="*/ 546340 h 546340"/>
                                            <a:gd name="csX1" fmla="*/ 0 w 287547"/>
                                            <a:gd name="csY1" fmla="*/ 0 h 546340"/>
                                            <a:gd name="csX2" fmla="*/ 287547 w 287547"/>
                                            <a:gd name="csY2" fmla="*/ 0 h 546340"/>
                                            <a:gd name="csX3" fmla="*/ 287547 w 287547"/>
                                            <a:gd name="csY3" fmla="*/ 197689 h 546340"/>
                                            <a:gd name="csX4" fmla="*/ 273170 w 287547"/>
                                            <a:gd name="csY4" fmla="*/ 287548 h 546340"/>
                                            <a:gd name="csX5" fmla="*/ 251604 w 287547"/>
                                            <a:gd name="csY5" fmla="*/ 352246 h 546340"/>
                                            <a:gd name="csX6" fmla="*/ 219255 w 287547"/>
                                            <a:gd name="csY6" fmla="*/ 395378 h 546340"/>
                                            <a:gd name="csX7" fmla="*/ 179717 w 287547"/>
                                            <a:gd name="csY7" fmla="*/ 449293 h 546340"/>
                                            <a:gd name="csX8" fmla="*/ 129396 w 287547"/>
                                            <a:gd name="csY8" fmla="*/ 492425 h 546340"/>
                                            <a:gd name="csX9" fmla="*/ 79075 w 287547"/>
                                            <a:gd name="csY9" fmla="*/ 521180 h 546340"/>
                                            <a:gd name="csX10" fmla="*/ 0 w 287547"/>
                                            <a:gd name="csY10" fmla="*/ 546340 h 546340"/>
                                          </a:gdLst>
                                          <a:ahLst/>
                                          <a:cxnLst>
                                            <a:cxn ang="0">
                                              <a:pos x="csX0" y="csY0"/>
                                            </a:cxn>
                                            <a:cxn ang="0">
                                              <a:pos x="csX1" y="csY1"/>
                                            </a:cxn>
                                            <a:cxn ang="0">
                                              <a:pos x="csX2" y="csY2"/>
                                            </a:cxn>
                                            <a:cxn ang="0">
                                              <a:pos x="csX3" y="csY3"/>
                                            </a:cxn>
                                            <a:cxn ang="0">
                                              <a:pos x="csX4" y="csY4"/>
                                            </a:cxn>
                                            <a:cxn ang="0">
                                              <a:pos x="csX5" y="csY5"/>
                                            </a:cxn>
                                            <a:cxn ang="0">
                                              <a:pos x="csX6" y="csY6"/>
                                            </a:cxn>
                                            <a:cxn ang="0">
                                              <a:pos x="csX7" y="csY7"/>
                                            </a:cxn>
                                            <a:cxn ang="0">
                                              <a:pos x="csX8" y="csY8"/>
                                            </a:cxn>
                                            <a:cxn ang="0">
                                              <a:pos x="csX9" y="csY9"/>
                                            </a:cxn>
                                            <a:cxn ang="0">
                                              <a:pos x="csX10" y="csY10"/>
                                            </a:cxn>
                                          </a:cxnLst>
                                          <a:rect l="l" t="t" r="r" b="b"/>
                                          <a:pathLst>
                                            <a:path w="287547" h="546340" fill="none" extrusionOk="0">
                                              <a:moveTo>
                                                <a:pt x="0" y="546340"/>
                                              </a:moveTo>
                                              <a:cubicBezTo>
                                                <a:pt x="-37330" y="292668"/>
                                                <a:pt x="45408" y="209259"/>
                                                <a:pt x="0" y="0"/>
                                              </a:cubicBezTo>
                                              <a:cubicBezTo>
                                                <a:pt x="94198" y="-24500"/>
                                                <a:pt x="169949" y="26132"/>
                                                <a:pt x="287547" y="0"/>
                                              </a:cubicBezTo>
                                              <a:cubicBezTo>
                                                <a:pt x="293845" y="95507"/>
                                                <a:pt x="286927" y="117929"/>
                                                <a:pt x="287547" y="197689"/>
                                              </a:cubicBezTo>
                                              <a:cubicBezTo>
                                                <a:pt x="290479" y="223025"/>
                                                <a:pt x="273765" y="244622"/>
                                                <a:pt x="273170" y="287548"/>
                                              </a:cubicBezTo>
                                              <a:cubicBezTo>
                                                <a:pt x="269707" y="312985"/>
                                                <a:pt x="252362" y="326853"/>
                                                <a:pt x="251604" y="352246"/>
                                              </a:cubicBezTo>
                                              <a:cubicBezTo>
                                                <a:pt x="240161" y="376333"/>
                                                <a:pt x="223847" y="384401"/>
                                                <a:pt x="219255" y="395378"/>
                                              </a:cubicBezTo>
                                              <a:cubicBezTo>
                                                <a:pt x="212567" y="415970"/>
                                                <a:pt x="190003" y="434020"/>
                                                <a:pt x="179717" y="449293"/>
                                              </a:cubicBezTo>
                                              <a:cubicBezTo>
                                                <a:pt x="163137" y="468765"/>
                                                <a:pt x="142291" y="476919"/>
                                                <a:pt x="129396" y="492425"/>
                                              </a:cubicBezTo>
                                              <a:cubicBezTo>
                                                <a:pt x="116908" y="501226"/>
                                                <a:pt x="89278" y="511593"/>
                                                <a:pt x="79075" y="521180"/>
                                              </a:cubicBezTo>
                                              <a:cubicBezTo>
                                                <a:pt x="61262" y="529215"/>
                                                <a:pt x="23480" y="530615"/>
                                                <a:pt x="0" y="546340"/>
                                              </a:cubicBezTo>
                                              <a:close/>
                                            </a:path>
                                            <a:path w="287547" h="546340" stroke="0" extrusionOk="0">
                                              <a:moveTo>
                                                <a:pt x="0" y="546340"/>
                                              </a:moveTo>
                                              <a:cubicBezTo>
                                                <a:pt x="-51339" y="318063"/>
                                                <a:pt x="56845" y="141477"/>
                                                <a:pt x="0" y="0"/>
                                              </a:cubicBezTo>
                                              <a:cubicBezTo>
                                                <a:pt x="140782" y="-34457"/>
                                                <a:pt x="176029" y="10704"/>
                                                <a:pt x="287547" y="0"/>
                                              </a:cubicBezTo>
                                              <a:cubicBezTo>
                                                <a:pt x="301140" y="95067"/>
                                                <a:pt x="271753" y="113272"/>
                                                <a:pt x="287547" y="197689"/>
                                              </a:cubicBezTo>
                                              <a:cubicBezTo>
                                                <a:pt x="294660" y="217499"/>
                                                <a:pt x="272011" y="248933"/>
                                                <a:pt x="273170" y="287548"/>
                                              </a:cubicBezTo>
                                              <a:cubicBezTo>
                                                <a:pt x="271472" y="310538"/>
                                                <a:pt x="258547" y="328642"/>
                                                <a:pt x="251604" y="352246"/>
                                              </a:cubicBezTo>
                                              <a:cubicBezTo>
                                                <a:pt x="242578" y="371244"/>
                                                <a:pt x="230839" y="372167"/>
                                                <a:pt x="219255" y="395378"/>
                                              </a:cubicBezTo>
                                              <a:cubicBezTo>
                                                <a:pt x="208205" y="419923"/>
                                                <a:pt x="191974" y="422614"/>
                                                <a:pt x="179717" y="449293"/>
                                              </a:cubicBezTo>
                                              <a:cubicBezTo>
                                                <a:pt x="169751" y="458561"/>
                                                <a:pt x="152794" y="469293"/>
                                                <a:pt x="129396" y="492425"/>
                                              </a:cubicBezTo>
                                              <a:cubicBezTo>
                                                <a:pt x="110564" y="505669"/>
                                                <a:pt x="99707" y="507815"/>
                                                <a:pt x="79075" y="521180"/>
                                              </a:cubicBezTo>
                                              <a:cubicBezTo>
                                                <a:pt x="55969" y="534402"/>
                                                <a:pt x="18783" y="534147"/>
                                                <a:pt x="0" y="546340"/>
                                              </a:cubicBezTo>
                                              <a:close/>
                                            </a:path>
                                          </a:pathLst>
                                        </a:custGeom>
                                        <ask:type>
                                          <ask:lineSketchNone/>
                                        </ask:type>
                                      </ask:lineSketchStyleProps>
                                    </a:ext>
                                  </a:extLst>
                                </a:ln>
                              </xdr:spPr>
                              <xdr:style>
                                <a:lnRef idx="2">
                                  <a:schemeClr val="accent1">
                                    <a:shade val="15000"/>
                                  </a:schemeClr>
                                </a:lnRef>
                                <a:fillRef idx="1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lt1"/>
                                </a:fontRef>
                              </xdr:style>
                              <xdr:txBody>
                                <a:bodyPr vertOverflow="clip" horzOverflow="clip" rtlCol="0" anchor="t"/>
                                <a:lstStyle/>
                                <a:p>
                                  <a:pPr algn="l"/>
                                  <a:endParaRPr lang="en-US" sz="1100"/>
                                </a:p>
                              </xdr:txBody>
                            </xdr:sp>
                            <xdr:sp macro="" textlink="">
                              <xdr:nvSpPr>
                                <xdr:cNvPr id="57" name="TextBox 56">
                                  <a:extLst>
                                    <a:ext uri="{FF2B5EF4-FFF2-40B4-BE49-F238E27FC236}">
                                      <a16:creationId xmlns:a16="http://schemas.microsoft.com/office/drawing/2014/main" id="{ABA19A99-FB1D-72AB-06DD-EDECAF214D23}"/>
                                    </a:ext>
                                  </a:extLst>
                                </xdr:cNvPr>
                                <xdr:cNvSpPr txBox="1"/>
                              </xdr:nvSpPr>
                              <xdr:spPr>
                                <a:xfrm>
                                  <a:off x="4089640" y="194783"/>
                                  <a:ext cx="1233863" cy="143774"/>
                                </a:xfrm>
                                <a:prstGeom prst="rect">
                                  <a:avLst/>
                                </a:prstGeom>
                                <a:noFill/>
                                <a:ln w="9525" cmpd="sng">
                                  <a:noFill/>
                                </a:ln>
                              </xdr:spPr>
                              <xdr:style>
                                <a:lnRef idx="0">
                                  <a:scrgbClr r="0" g="0" b="0"/>
                                </a:lnRef>
                                <a:fillRef idx="0">
                                  <a:scrgbClr r="0" g="0" b="0"/>
                                </a:fillRef>
                                <a:effectRef idx="0">
                                  <a:scrgbClr r="0" g="0" b="0"/>
                                </a:effectRef>
                                <a:fontRef idx="minor">
                                  <a:schemeClr val="dk1"/>
                                </a:fontRef>
                              </xdr:style>
                              <xdr:txBody>
                                <a:bodyPr vertOverflow="clip" horzOverflow="clip" wrap="square" rtlCol="0" anchor="ctr"/>
                                <a:lstStyle/>
                                <a:p>
                                  <a:r>
                                    <a:rPr lang="en-US" altLang="ko-KR" sz="900">
                                      <a:solidFill>
                                        <a:srgbClr val="0070C0"/>
                                      </a:solidFill>
                                    </a:rPr>
                                    <a:t>Strain                  Stress</a:t>
                                  </a:r>
                                  <a:endParaRPr lang="en-US" sz="900">
                                    <a:solidFill>
                                      <a:srgbClr val="0070C0"/>
                                    </a:solidFill>
                                  </a:endParaRPr>
                                </a:p>
                              </xdr:txBody>
                            </xdr:sp>
                          </xdr:grpSp>
                        </xdr:grpSp>
                        <xdr:cxnSp macro="">
                          <xdr:nvCxnSpPr>
                            <xdr:cNvPr id="48" name="Straight Connector 47">
                              <a:extLst>
                                <a:ext uri="{FF2B5EF4-FFF2-40B4-BE49-F238E27FC236}">
                                  <a16:creationId xmlns:a16="http://schemas.microsoft.com/office/drawing/2014/main" id="{175C5121-E518-B165-E3B9-81ED6EFE2EED}"/>
                                </a:ext>
                              </a:extLst>
                            </xdr:cNvPr>
                            <xdr:cNvCxnSpPr/>
                          </xdr:nvCxnSpPr>
                          <xdr:spPr>
                            <a:xfrm>
                              <a:off x="2679455" y="1185652"/>
                              <a:ext cx="2074244" cy="0"/>
                            </a:xfrm>
                            <a:prstGeom prst="line">
                              <a:avLst/>
                            </a:prstGeom>
                            <a:ln w="6350">
                              <a:solidFill>
                                <a:srgbClr val="FF0000"/>
                              </a:solidFill>
                              <a:prstDash val="sysDot"/>
                            </a:ln>
                          </xdr:spPr>
                          <xdr:style>
                            <a:lnRef idx="1">
                              <a:schemeClr val="accent1"/>
                            </a:lnRef>
                            <a:fillRef idx="0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  <xdr:cxnSp macro="">
                          <xdr:nvCxnSpPr>
                            <xdr:cNvPr id="49" name="Straight Connector 48">
                              <a:extLst>
                                <a:ext uri="{FF2B5EF4-FFF2-40B4-BE49-F238E27FC236}">
                                  <a16:creationId xmlns:a16="http://schemas.microsoft.com/office/drawing/2014/main" id="{B6323BF2-B733-AD8B-FB56-F775C7610078}"/>
                                </a:ext>
                              </a:extLst>
                            </xdr:cNvPr>
                            <xdr:cNvCxnSpPr/>
                          </xdr:nvCxnSpPr>
                          <xdr:spPr>
                            <a:xfrm flipH="1">
                              <a:off x="2785519" y="1185653"/>
                              <a:ext cx="167509" cy="0"/>
                            </a:xfrm>
                            <a:prstGeom prst="line">
                              <a:avLst/>
                            </a:prstGeom>
                            <a:ln w="3175">
                              <a:headEnd type="none"/>
                              <a:tailEnd type="oval" w="sm" len="sm"/>
                            </a:ln>
                          </xdr:spPr>
                          <xdr:style>
                            <a:lnRef idx="1">
                              <a:schemeClr val="accent1"/>
                            </a:lnRef>
                            <a:fillRef idx="0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  <xdr:sp macro="" textlink="">
                          <xdr:nvSpPr>
                            <xdr:cNvPr id="50" name="TextBox 49">
                              <a:extLst>
                                <a:ext uri="{FF2B5EF4-FFF2-40B4-BE49-F238E27FC236}">
                                  <a16:creationId xmlns:a16="http://schemas.microsoft.com/office/drawing/2014/main" id="{A2E3458A-478E-075D-37E2-6E546BC6EF75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2584144" y="916082"/>
                              <a:ext cx="349756" cy="242941"/>
                            </a:xfrm>
                            <a:prstGeom prst="rect">
                              <a:avLst/>
                            </a:prstGeom>
                            <a:noFill/>
                            <a:ln w="9525" cmpd="sng">
                              <a:noFill/>
                            </a:ln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dk1"/>
                            </a:fontRef>
                          </xdr:style>
                          <xdr:txBody>
                            <a:bodyPr vertOverflow="clip" horzOverflow="clip" wrap="square" rtlCol="0" anchor="ctr"/>
                            <a:lstStyle/>
                            <a:p>
                              <a:r>
                                <a:rPr lang="en-US" altLang="ko-KR" sz="900"/>
                                <a:t>y</a:t>
                              </a:r>
                              <a:endParaRPr lang="en-US" sz="900"/>
                            </a:p>
                          </xdr:txBody>
                        </xdr:sp>
                      </xdr:grpSp>
                      <xdr:sp macro="" textlink="">
                        <xdr:nvSpPr>
                          <xdr:cNvPr id="43" name="TextBox 42">
                            <a:extLst>
                              <a:ext uri="{FF2B5EF4-FFF2-40B4-BE49-F238E27FC236}">
                                <a16:creationId xmlns:a16="http://schemas.microsoft.com/office/drawing/2014/main" id="{5E0F4CA7-7180-73E9-601B-FBD67D784B4D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103551" y="418256"/>
                            <a:ext cx="397213" cy="178340"/>
                          </a:xfrm>
                          <a:prstGeom prst="rect">
                            <a:avLst/>
                          </a:prstGeom>
                          <a:noFill/>
                          <a:ln w="9525" cmpd="sng">
                            <a:noFill/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ctr"/>
                          <a:lstStyle/>
                          <a:p>
                            <a:r>
                              <a:rPr lang="el-GR" altLang="ko-KR" sz="900"/>
                              <a:t>ε</a:t>
                            </a:r>
                            <a:r>
                              <a:rPr lang="en-US" altLang="ko-KR" sz="900"/>
                              <a:t>cu</a:t>
                            </a:r>
                            <a:endParaRPr lang="en-US" sz="900"/>
                          </a:p>
                        </xdr:txBody>
                      </xdr:sp>
                      <xdr:cxnSp macro="">
                        <xdr:nvCxnSpPr>
                          <xdr:cNvPr id="44" name="Straight Connector 43">
                            <a:extLst>
                              <a:ext uri="{FF2B5EF4-FFF2-40B4-BE49-F238E27FC236}">
                                <a16:creationId xmlns:a16="http://schemas.microsoft.com/office/drawing/2014/main" id="{233E3726-06D0-9C42-5A1C-EE135851EF06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3489797" y="960606"/>
                            <a:ext cx="2706574" cy="0"/>
                          </a:xfrm>
                          <a:prstGeom prst="line">
                            <a:avLst/>
                          </a:prstGeom>
                          <a:ln w="6350">
                            <a:solidFill>
                              <a:srgbClr val="FF0000"/>
                            </a:solidFill>
                            <a:prstDash val="sysDot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sp macro="" textlink="">
                        <xdr:nvSpPr>
                          <xdr:cNvPr id="45" name="TextBox 44">
                            <a:extLst>
                              <a:ext uri="{FF2B5EF4-FFF2-40B4-BE49-F238E27FC236}">
                                <a16:creationId xmlns:a16="http://schemas.microsoft.com/office/drawing/2014/main" id="{A7C52DDB-1F6A-29C6-92C6-FCA24CFBE086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435314" y="621412"/>
                            <a:ext cx="397213" cy="178340"/>
                          </a:xfrm>
                          <a:prstGeom prst="rect">
                            <a:avLst/>
                          </a:prstGeom>
                          <a:noFill/>
                          <a:ln w="9525" cmpd="sng">
                            <a:noFill/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ctr"/>
                          <a:lstStyle/>
                          <a:p>
                            <a:r>
                              <a:rPr lang="el-GR" altLang="ko-KR" sz="900"/>
                              <a:t>ε</a:t>
                            </a:r>
                            <a:r>
                              <a:rPr lang="en-US" altLang="ko-KR" sz="900"/>
                              <a:t>si</a:t>
                            </a:r>
                            <a:endParaRPr lang="en-US" sz="900"/>
                          </a:p>
                        </xdr:txBody>
                      </xdr:sp>
                      <xdr:sp macro="" textlink="">
                        <xdr:nvSpPr>
                          <xdr:cNvPr id="46" name="TextBox 45">
                            <a:extLst>
                              <a:ext uri="{FF2B5EF4-FFF2-40B4-BE49-F238E27FC236}">
                                <a16:creationId xmlns:a16="http://schemas.microsoft.com/office/drawing/2014/main" id="{DBE43732-99CF-6318-62E8-66B1C2185211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6132444" y="937938"/>
                            <a:ext cx="397213" cy="178340"/>
                          </a:xfrm>
                          <a:prstGeom prst="rect">
                            <a:avLst/>
                          </a:prstGeom>
                          <a:noFill/>
                          <a:ln w="9525" cmpd="sng">
                            <a:noFill/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ctr"/>
                          <a:lstStyle/>
                          <a:p>
                            <a:r>
                              <a:rPr lang="en-US" altLang="ko-KR" sz="900"/>
                              <a:t>fci</a:t>
                            </a:r>
                            <a:endParaRPr lang="en-US" sz="900"/>
                          </a:p>
                        </xdr:txBody>
                      </xdr:sp>
                    </xdr:grpSp>
                    <xdr:cxnSp macro="">
                      <xdr:nvCxnSpPr>
                        <xdr:cNvPr id="38" name="Straight Arrow Connector 37">
                          <a:extLst>
                            <a:ext uri="{FF2B5EF4-FFF2-40B4-BE49-F238E27FC236}">
                              <a16:creationId xmlns:a16="http://schemas.microsoft.com/office/drawing/2014/main" id="{2B305F17-25F3-66D0-0B6C-4D0C3B98A1E1}"/>
                            </a:ext>
                          </a:extLst>
                        </xdr:cNvPr>
                        <xdr:cNvCxnSpPr/>
                      </xdr:nvCxnSpPr>
                      <xdr:spPr>
                        <a:xfrm flipH="1">
                          <a:off x="642937" y="916781"/>
                          <a:ext cx="357188" cy="0"/>
                        </a:xfrm>
                        <a:prstGeom prst="straightConnector1">
                          <a:avLst/>
                        </a:prstGeom>
                        <a:ln>
                          <a:solidFill>
                            <a:srgbClr val="FF0000"/>
                          </a:solidFill>
                          <a:tailEnd type="triangle"/>
                        </a:ln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sp macro="" textlink="">
                      <xdr:nvSpPr>
                        <xdr:cNvPr id="39" name="Arc 38">
                          <a:extLst>
                            <a:ext uri="{FF2B5EF4-FFF2-40B4-BE49-F238E27FC236}">
                              <a16:creationId xmlns:a16="http://schemas.microsoft.com/office/drawing/2014/main" id="{DAFAEA40-BF45-34F4-D089-FEACD780B89B}"/>
                            </a:ext>
                          </a:extLst>
                        </xdr:cNvPr>
                        <xdr:cNvSpPr/>
                      </xdr:nvSpPr>
                      <xdr:spPr>
                        <a:xfrm rot="18003407">
                          <a:off x="677305" y="1031034"/>
                          <a:ext cx="345660" cy="299354"/>
                        </a:xfrm>
                        <a:prstGeom prst="arc">
                          <a:avLst>
                            <a:gd name="adj1" fmla="val 7275827"/>
                            <a:gd name="adj2" fmla="val 0"/>
                          </a:avLst>
                        </a:prstGeom>
                        <a:ln>
                          <a:solidFill>
                            <a:srgbClr val="FF0000"/>
                          </a:solidFill>
                          <a:headEnd type="triangle" w="med" len="med"/>
                          <a:tailEnd type="none" w="med" len="med"/>
                        </a:ln>
                      </xdr:spPr>
                      <xdr:style>
                        <a:lnRef idx="1">
                          <a:schemeClr val="accent1"/>
                        </a:lnRef>
                        <a:fillRef idx="0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40" name="TextBox 39">
                          <a:extLst>
                            <a:ext uri="{FF2B5EF4-FFF2-40B4-BE49-F238E27FC236}">
                              <a16:creationId xmlns:a16="http://schemas.microsoft.com/office/drawing/2014/main" id="{8B8D394F-5D72-5CFF-987F-7B4C7CD82A17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593718" y="712806"/>
                          <a:ext cx="345392" cy="214312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ctr"/>
                        <a:lstStyle/>
                        <a:p>
                          <a:r>
                            <a:rPr lang="en-US" altLang="ko-KR" sz="900" b="1">
                              <a:solidFill>
                                <a:srgbClr val="0070C0"/>
                              </a:solidFill>
                            </a:rPr>
                            <a:t>Fci</a:t>
                          </a:r>
                          <a:endParaRPr lang="en-US" sz="900" b="1">
                            <a:solidFill>
                              <a:srgbClr val="0070C0"/>
                            </a:solidFill>
                          </a:endParaRPr>
                        </a:p>
                      </xdr:txBody>
                    </xdr:sp>
                    <xdr:sp macro="" textlink="">
                      <xdr:nvSpPr>
                        <xdr:cNvPr id="41" name="TextBox 40">
                          <a:extLst>
                            <a:ext uri="{FF2B5EF4-FFF2-40B4-BE49-F238E27FC236}">
                              <a16:creationId xmlns:a16="http://schemas.microsoft.com/office/drawing/2014/main" id="{6DA4DF05-4E79-2E8F-B209-1D1CE0E11FE6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845544" y="1226801"/>
                          <a:ext cx="421371" cy="232205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ctr"/>
                        <a:lstStyle/>
                        <a:p>
                          <a:r>
                            <a:rPr lang="en-US" altLang="ko-KR" sz="900" b="1">
                              <a:solidFill>
                                <a:srgbClr val="0070C0"/>
                              </a:solidFill>
                            </a:rPr>
                            <a:t>Mci</a:t>
                          </a:r>
                          <a:endParaRPr lang="en-US" sz="900" b="1">
                            <a:solidFill>
                              <a:srgbClr val="0070C0"/>
                            </a:solidFill>
                          </a:endParaRPr>
                        </a:p>
                      </xdr:txBody>
                    </xdr:sp>
                  </xdr:grpSp>
                  <xdr:grpSp>
                    <xdr:nvGrpSpPr>
                      <xdr:cNvPr id="27" name="Group 26">
                        <a:extLst>
                          <a:ext uri="{FF2B5EF4-FFF2-40B4-BE49-F238E27FC236}">
                            <a16:creationId xmlns:a16="http://schemas.microsoft.com/office/drawing/2014/main" id="{D3309860-3C38-F814-2195-A610521878FF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366437" y="574172"/>
                        <a:ext cx="778670" cy="48964"/>
                        <a:chOff x="3899019" y="596426"/>
                        <a:chExt cx="778670" cy="48964"/>
                      </a:xfrm>
                    </xdr:grpSpPr>
                    <xdr:sp macro="" textlink="">
                      <xdr:nvSpPr>
                        <xdr:cNvPr id="33" name="Oval 32">
                          <a:extLst>
                            <a:ext uri="{FF2B5EF4-FFF2-40B4-BE49-F238E27FC236}">
                              <a16:creationId xmlns:a16="http://schemas.microsoft.com/office/drawing/2014/main" id="{241964B9-9C85-D68A-326D-AA02AFD11FBC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3899019" y="596426"/>
                          <a:ext cx="45613" cy="45450"/>
                        </a:xfrm>
                        <a:prstGeom prst="ellipse">
                          <a:avLst/>
                        </a:prstGeom>
                        <a:solidFill>
                          <a:srgbClr val="FF0000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34" name="Oval 33">
                          <a:extLst>
                            <a:ext uri="{FF2B5EF4-FFF2-40B4-BE49-F238E27FC236}">
                              <a16:creationId xmlns:a16="http://schemas.microsoft.com/office/drawing/2014/main" id="{E526DB53-5AF2-9D26-6EA7-523560BFA711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137928" y="598216"/>
                          <a:ext cx="45613" cy="45450"/>
                        </a:xfrm>
                        <a:prstGeom prst="ellipse">
                          <a:avLst/>
                        </a:prstGeom>
                        <a:solidFill>
                          <a:srgbClr val="FF0000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35" name="Oval 34">
                          <a:extLst>
                            <a:ext uri="{FF2B5EF4-FFF2-40B4-BE49-F238E27FC236}">
                              <a16:creationId xmlns:a16="http://schemas.microsoft.com/office/drawing/2014/main" id="{A782BB8A-DC83-127D-EBEA-383AAF407248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389323" y="599078"/>
                          <a:ext cx="45613" cy="45450"/>
                        </a:xfrm>
                        <a:prstGeom prst="ellipse">
                          <a:avLst/>
                        </a:prstGeom>
                        <a:solidFill>
                          <a:srgbClr val="FF0000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36" name="Oval 35">
                          <a:extLst>
                            <a:ext uri="{FF2B5EF4-FFF2-40B4-BE49-F238E27FC236}">
                              <a16:creationId xmlns:a16="http://schemas.microsoft.com/office/drawing/2014/main" id="{2E267F71-9C77-9848-6311-AA148B708C25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632076" y="599940"/>
                          <a:ext cx="45613" cy="45450"/>
                        </a:xfrm>
                        <a:prstGeom prst="ellipse">
                          <a:avLst/>
                        </a:prstGeom>
                        <a:solidFill>
                          <a:srgbClr val="FF0000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</xdr:grpSp>
                  <xdr:grpSp>
                    <xdr:nvGrpSpPr>
                      <xdr:cNvPr id="28" name="Group 27">
                        <a:extLst>
                          <a:ext uri="{FF2B5EF4-FFF2-40B4-BE49-F238E27FC236}">
                            <a16:creationId xmlns:a16="http://schemas.microsoft.com/office/drawing/2014/main" id="{1A16BAF4-1AA9-85CC-7760-76F534AAE577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367505" y="1759187"/>
                        <a:ext cx="778670" cy="48964"/>
                        <a:chOff x="3899019" y="538563"/>
                        <a:chExt cx="778670" cy="48964"/>
                      </a:xfrm>
                    </xdr:grpSpPr>
                    <xdr:sp macro="" textlink="">
                      <xdr:nvSpPr>
                        <xdr:cNvPr id="29" name="Oval 28">
                          <a:extLst>
                            <a:ext uri="{FF2B5EF4-FFF2-40B4-BE49-F238E27FC236}">
                              <a16:creationId xmlns:a16="http://schemas.microsoft.com/office/drawing/2014/main" id="{E022C954-344E-49B1-0C45-FD193DCB7472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3899019" y="538563"/>
                          <a:ext cx="45613" cy="45450"/>
                        </a:xfrm>
                        <a:prstGeom prst="ellipse">
                          <a:avLst/>
                        </a:prstGeom>
                        <a:solidFill>
                          <a:srgbClr val="FF0000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30" name="Oval 29">
                          <a:extLst>
                            <a:ext uri="{FF2B5EF4-FFF2-40B4-BE49-F238E27FC236}">
                              <a16:creationId xmlns:a16="http://schemas.microsoft.com/office/drawing/2014/main" id="{80CFC7BA-B244-8574-537F-8F6CE406ADD8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137928" y="540353"/>
                          <a:ext cx="45613" cy="45450"/>
                        </a:xfrm>
                        <a:prstGeom prst="ellipse">
                          <a:avLst/>
                        </a:prstGeom>
                        <a:solidFill>
                          <a:srgbClr val="FF0000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31" name="Oval 30">
                          <a:extLst>
                            <a:ext uri="{FF2B5EF4-FFF2-40B4-BE49-F238E27FC236}">
                              <a16:creationId xmlns:a16="http://schemas.microsoft.com/office/drawing/2014/main" id="{9C68C94E-13A3-D0B3-D00A-1278B99FB83E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389323" y="541215"/>
                          <a:ext cx="45613" cy="45450"/>
                        </a:xfrm>
                        <a:prstGeom prst="ellipse">
                          <a:avLst/>
                        </a:prstGeom>
                        <a:solidFill>
                          <a:srgbClr val="FF0000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  <xdr:sp macro="" textlink="">
                      <xdr:nvSpPr>
                        <xdr:cNvPr id="32" name="Oval 31">
                          <a:extLst>
                            <a:ext uri="{FF2B5EF4-FFF2-40B4-BE49-F238E27FC236}">
                              <a16:creationId xmlns:a16="http://schemas.microsoft.com/office/drawing/2014/main" id="{ACAC3351-1218-9D79-6FA7-5B609A7AEAEC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632076" y="542077"/>
                          <a:ext cx="45613" cy="45450"/>
                        </a:xfrm>
                        <a:prstGeom prst="ellipse">
                          <a:avLst/>
                        </a:prstGeom>
                        <a:solidFill>
                          <a:srgbClr val="FF0000"/>
                        </a:solidFill>
                        <a:ln>
                          <a:noFill/>
                        </a:ln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100"/>
                        </a:p>
                      </xdr:txBody>
                    </xdr:sp>
                  </xdr:grpSp>
                </xdr:grpSp>
              </xdr:grpSp>
              <xdr:cxnSp macro="">
                <xdr:nvCxnSpPr>
                  <xdr:cNvPr id="19" name="Straight Arrow Connector 18">
                    <a:extLst>
                      <a:ext uri="{FF2B5EF4-FFF2-40B4-BE49-F238E27FC236}">
                        <a16:creationId xmlns:a16="http://schemas.microsoft.com/office/drawing/2014/main" id="{8ED06875-D9A1-BE65-2244-364F89764296}"/>
                      </a:ext>
                    </a:extLst>
                  </xdr:cNvPr>
                  <xdr:cNvCxnSpPr/>
                </xdr:nvCxnSpPr>
                <xdr:spPr>
                  <a:xfrm flipH="1">
                    <a:off x="454332" y="585418"/>
                    <a:ext cx="357765" cy="0"/>
                  </a:xfrm>
                  <a:prstGeom prst="straightConnector1">
                    <a:avLst/>
                  </a:prstGeom>
                  <a:ln>
                    <a:solidFill>
                      <a:srgbClr val="FF0000"/>
                    </a:solidFill>
                    <a:tailEnd type="triangle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20" name="TextBox 19">
                    <a:extLst>
                      <a:ext uri="{FF2B5EF4-FFF2-40B4-BE49-F238E27FC236}">
                        <a16:creationId xmlns:a16="http://schemas.microsoft.com/office/drawing/2014/main" id="{C7018558-9A4B-0B0E-1F6C-FDAECC878BD4}"/>
                      </a:ext>
                    </a:extLst>
                  </xdr:cNvPr>
                  <xdr:cNvSpPr txBox="1"/>
                </xdr:nvSpPr>
                <xdr:spPr>
                  <a:xfrm>
                    <a:off x="453996" y="382781"/>
                    <a:ext cx="357764" cy="16023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n-US" altLang="ko-KR" sz="900" b="1">
                        <a:solidFill>
                          <a:srgbClr val="0070C0"/>
                        </a:solidFill>
                      </a:rPr>
                      <a:t>Fsi</a:t>
                    </a:r>
                    <a:endParaRPr lang="en-US" sz="900" b="1">
                      <a:solidFill>
                        <a:srgbClr val="0070C0"/>
                      </a:solidFill>
                    </a:endParaRPr>
                  </a:p>
                </xdr:txBody>
              </xdr:sp>
              <xdr:cxnSp macro="">
                <xdr:nvCxnSpPr>
                  <xdr:cNvPr id="21" name="Straight Arrow Connector 20">
                    <a:extLst>
                      <a:ext uri="{FF2B5EF4-FFF2-40B4-BE49-F238E27FC236}">
                        <a16:creationId xmlns:a16="http://schemas.microsoft.com/office/drawing/2014/main" id="{03BBA089-2D65-E703-13CB-C0FA874DF435}"/>
                      </a:ext>
                    </a:extLst>
                  </xdr:cNvPr>
                  <xdr:cNvCxnSpPr/>
                </xdr:nvCxnSpPr>
                <xdr:spPr>
                  <a:xfrm flipH="1">
                    <a:off x="498842" y="1484713"/>
                    <a:ext cx="357765" cy="0"/>
                  </a:xfrm>
                  <a:prstGeom prst="straightConnector1">
                    <a:avLst/>
                  </a:prstGeom>
                  <a:ln>
                    <a:solidFill>
                      <a:srgbClr val="00B050"/>
                    </a:solidFill>
                    <a:tailEnd type="triangle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22" name="TextBox 21">
                    <a:extLst>
                      <a:ext uri="{FF2B5EF4-FFF2-40B4-BE49-F238E27FC236}">
                        <a16:creationId xmlns:a16="http://schemas.microsoft.com/office/drawing/2014/main" id="{458F0775-9E03-7F3D-FB05-23679CEFCBA9}"/>
                      </a:ext>
                    </a:extLst>
                  </xdr:cNvPr>
                  <xdr:cNvSpPr txBox="1"/>
                </xdr:nvSpPr>
                <xdr:spPr>
                  <a:xfrm>
                    <a:off x="799168" y="1369299"/>
                    <a:ext cx="345950" cy="217583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n-US" altLang="ko-KR" sz="900" b="1">
                        <a:solidFill>
                          <a:srgbClr val="0070C0"/>
                        </a:solidFill>
                      </a:rPr>
                      <a:t>Fci</a:t>
                    </a:r>
                    <a:endParaRPr lang="en-US" sz="900" b="1">
                      <a:solidFill>
                        <a:srgbClr val="0070C0"/>
                      </a:solidFill>
                    </a:endParaRPr>
                  </a:p>
                </xdr:txBody>
              </xdr:sp>
              <xdr:sp macro="" textlink="">
                <xdr:nvSpPr>
                  <xdr:cNvPr id="23" name="Arc 22">
                    <a:extLst>
                      <a:ext uri="{FF2B5EF4-FFF2-40B4-BE49-F238E27FC236}">
                        <a16:creationId xmlns:a16="http://schemas.microsoft.com/office/drawing/2014/main" id="{59567C3C-1DF3-3A03-8647-EE982FB25C12}"/>
                      </a:ext>
                    </a:extLst>
                  </xdr:cNvPr>
                  <xdr:cNvSpPr/>
                </xdr:nvSpPr>
                <xdr:spPr>
                  <a:xfrm rot="16698894">
                    <a:off x="296898" y="1004030"/>
                    <a:ext cx="354323" cy="251348"/>
                  </a:xfrm>
                  <a:prstGeom prst="arc">
                    <a:avLst>
                      <a:gd name="adj1" fmla="val 8660341"/>
                      <a:gd name="adj2" fmla="val 1570092"/>
                    </a:avLst>
                  </a:prstGeom>
                  <a:ln>
                    <a:solidFill>
                      <a:srgbClr val="00B050"/>
                    </a:solidFill>
                    <a:headEnd type="none" w="med" len="med"/>
                    <a:tailEnd type="triangle" w="med" len="med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</xdr:grpSp>
            <xdr:cxnSp macro="">
              <xdr:nvCxnSpPr>
                <xdr:cNvPr id="17" name="Straight Connector 16">
                  <a:extLst>
                    <a:ext uri="{FF2B5EF4-FFF2-40B4-BE49-F238E27FC236}">
                      <a16:creationId xmlns:a16="http://schemas.microsoft.com/office/drawing/2014/main" id="{CE1EA9FE-B2B2-413A-B7C1-0D7A008124F7}"/>
                    </a:ext>
                  </a:extLst>
                </xdr:cNvPr>
                <xdr:cNvCxnSpPr/>
              </xdr:nvCxnSpPr>
              <xdr:spPr>
                <a:xfrm>
                  <a:off x="2271201" y="606966"/>
                  <a:ext cx="951276" cy="0"/>
                </a:xfrm>
                <a:prstGeom prst="line">
                  <a:avLst/>
                </a:prstGeom>
                <a:ln w="6350">
                  <a:solidFill>
                    <a:srgbClr val="FF0000"/>
                  </a:solidFill>
                  <a:prstDash val="sysDot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2" name="Oval 11">
                <a:extLst>
                  <a:ext uri="{FF2B5EF4-FFF2-40B4-BE49-F238E27FC236}">
                    <a16:creationId xmlns:a16="http://schemas.microsoft.com/office/drawing/2014/main" id="{B5207BDF-8580-FEF5-E306-9E88A7C30E3F}"/>
                  </a:ext>
                </a:extLst>
              </xdr:cNvPr>
              <xdr:cNvSpPr/>
            </xdr:nvSpPr>
            <xdr:spPr>
              <a:xfrm>
                <a:off x="1356731" y="748061"/>
                <a:ext cx="45335" cy="45242"/>
              </a:xfrm>
              <a:prstGeom prst="ellips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3" name="Oval 12">
                <a:extLst>
                  <a:ext uri="{FF2B5EF4-FFF2-40B4-BE49-F238E27FC236}">
                    <a16:creationId xmlns:a16="http://schemas.microsoft.com/office/drawing/2014/main" id="{12074001-A155-D97B-1673-C23F0135E6CB}"/>
                  </a:ext>
                </a:extLst>
              </xdr:cNvPr>
              <xdr:cNvSpPr/>
            </xdr:nvSpPr>
            <xdr:spPr>
              <a:xfrm>
                <a:off x="2085278" y="751778"/>
                <a:ext cx="45335" cy="45242"/>
              </a:xfrm>
              <a:prstGeom prst="ellips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4" name="Oval 13">
                <a:extLst>
                  <a:ext uri="{FF2B5EF4-FFF2-40B4-BE49-F238E27FC236}">
                    <a16:creationId xmlns:a16="http://schemas.microsoft.com/office/drawing/2014/main" id="{AEF96A4A-EA86-7974-4541-4A39734E4868}"/>
                  </a:ext>
                </a:extLst>
              </xdr:cNvPr>
              <xdr:cNvSpPr/>
            </xdr:nvSpPr>
            <xdr:spPr>
              <a:xfrm>
                <a:off x="1359519" y="1591837"/>
                <a:ext cx="45335" cy="45242"/>
              </a:xfrm>
              <a:prstGeom prst="ellips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5" name="Oval 14">
                <a:extLst>
                  <a:ext uri="{FF2B5EF4-FFF2-40B4-BE49-F238E27FC236}">
                    <a16:creationId xmlns:a16="http://schemas.microsoft.com/office/drawing/2014/main" id="{B74E6C2F-30CF-0E6B-2EB3-CC62DA0FC425}"/>
                  </a:ext>
                </a:extLst>
              </xdr:cNvPr>
              <xdr:cNvSpPr/>
            </xdr:nvSpPr>
            <xdr:spPr>
              <a:xfrm>
                <a:off x="2092711" y="1586261"/>
                <a:ext cx="45335" cy="45242"/>
              </a:xfrm>
              <a:prstGeom prst="ellipse">
                <a:avLst/>
              </a:prstGeom>
              <a:solidFill>
                <a:srgbClr val="FF000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DF1DA09-48BE-5959-D694-D88B0BA1866E}"/>
                </a:ext>
              </a:extLst>
            </xdr:cNvPr>
            <xdr:cNvSpPr txBox="1"/>
          </xdr:nvSpPr>
          <xdr:spPr>
            <a:xfrm>
              <a:off x="2748825" y="2112760"/>
              <a:ext cx="866200" cy="18958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l-GR" altLang="ko-KR" sz="900"/>
                <a:t>ε</a:t>
              </a:r>
              <a:r>
                <a:rPr lang="en-US" altLang="ko-KR" sz="900"/>
                <a:t>si=50% fy/Es</a:t>
              </a:r>
              <a:endParaRPr lang="en-US" sz="900"/>
            </a:p>
          </xdr:txBody>
        </xdr: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F2690683-29D1-45EB-9F77-08EA53AF8D87}"/>
                </a:ext>
              </a:extLst>
            </xdr:cNvPr>
            <xdr:cNvCxnSpPr/>
          </xdr:nvCxnSpPr>
          <xdr:spPr>
            <a:xfrm>
              <a:off x="2269379" y="2016871"/>
              <a:ext cx="1377032" cy="0"/>
            </a:xfrm>
            <a:prstGeom prst="line">
              <a:avLst/>
            </a:prstGeom>
            <a:ln w="6350">
              <a:solidFill>
                <a:srgbClr val="FF0000"/>
              </a:solidFill>
              <a:prstDash val="sysDot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" name="Straight Arrow Connector 8">
              <a:extLst>
                <a:ext uri="{FF2B5EF4-FFF2-40B4-BE49-F238E27FC236}">
                  <a16:creationId xmlns:a16="http://schemas.microsoft.com/office/drawing/2014/main" id="{103DB187-3937-F11E-F69C-82D28686532D}"/>
                </a:ext>
              </a:extLst>
            </xdr:cNvPr>
            <xdr:cNvCxnSpPr/>
          </xdr:nvCxnSpPr>
          <xdr:spPr>
            <a:xfrm>
              <a:off x="476585" y="2289504"/>
              <a:ext cx="316436" cy="0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5BA87BD7-DD8C-B006-28CB-3B7C7675454E}"/>
                </a:ext>
              </a:extLst>
            </xdr:cNvPr>
            <xdr:cNvSpPr txBox="1"/>
          </xdr:nvSpPr>
          <xdr:spPr>
            <a:xfrm>
              <a:off x="412325" y="2291755"/>
              <a:ext cx="319630" cy="1650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900" b="1">
                  <a:solidFill>
                    <a:srgbClr val="0070C0"/>
                  </a:solidFill>
                </a:rPr>
                <a:t>Fsi</a:t>
              </a:r>
              <a:endParaRPr lang="en-US" sz="900" b="1">
                <a:solidFill>
                  <a:srgbClr val="0070C0"/>
                </a:solidFill>
              </a:endParaRPr>
            </a:p>
          </xdr:txBody>
        </xdr:sp>
      </xdr:grpSp>
    </xdr:grpSp>
    <xdr:clientData/>
  </xdr:twoCellAnchor>
  <xdr:twoCellAnchor>
    <xdr:from>
      <xdr:col>4</xdr:col>
      <xdr:colOff>212271</xdr:colOff>
      <xdr:row>8</xdr:row>
      <xdr:rowOff>27215</xdr:rowOff>
    </xdr:from>
    <xdr:to>
      <xdr:col>4</xdr:col>
      <xdr:colOff>608434</xdr:colOff>
      <xdr:row>9</xdr:row>
      <xdr:rowOff>9281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622F4D66-68E8-445B-85BA-2FE0B1D33374}"/>
            </a:ext>
          </a:extLst>
        </xdr:cNvPr>
        <xdr:cNvSpPr txBox="1"/>
      </xdr:nvSpPr>
      <xdr:spPr>
        <a:xfrm>
          <a:off x="2803071" y="1617890"/>
          <a:ext cx="396163" cy="1820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l-GR" altLang="ko-KR" sz="900"/>
            <a:t>ε</a:t>
          </a:r>
          <a:r>
            <a:rPr lang="en-US" altLang="ko-KR" sz="900"/>
            <a:t>0</a:t>
          </a:r>
          <a:endParaRPr lang="en-US" sz="9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637850</xdr:colOff>
      <xdr:row>1</xdr:row>
      <xdr:rowOff>113223</xdr:rowOff>
    </xdr:from>
    <xdr:to>
      <xdr:col>5</xdr:col>
      <xdr:colOff>289827</xdr:colOff>
      <xdr:row>9</xdr:row>
      <xdr:rowOff>149542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F9F73FE-AFE0-495C-8765-65F8EF4494FE}"/>
            </a:ext>
          </a:extLst>
        </xdr:cNvPr>
        <xdr:cNvGrpSpPr/>
      </xdr:nvGrpSpPr>
      <xdr:grpSpPr>
        <a:xfrm>
          <a:off x="637850" y="303723"/>
          <a:ext cx="2890477" cy="1560319"/>
          <a:chOff x="336623" y="396592"/>
          <a:chExt cx="2896430" cy="1560319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CC69892F-5EB9-ADDA-DED6-665BB590E027}"/>
              </a:ext>
            </a:extLst>
          </xdr:cNvPr>
          <xdr:cNvGrpSpPr/>
        </xdr:nvGrpSpPr>
        <xdr:grpSpPr>
          <a:xfrm>
            <a:off x="336623" y="396592"/>
            <a:ext cx="2896430" cy="1560319"/>
            <a:chOff x="336623" y="398708"/>
            <a:chExt cx="2898780" cy="1575520"/>
          </a:xfrm>
        </xdr:grpSpPr>
        <xdr:grpSp>
          <xdr:nvGrpSpPr>
            <xdr:cNvPr id="6" name="Group 5">
              <a:extLst>
                <a:ext uri="{FF2B5EF4-FFF2-40B4-BE49-F238E27FC236}">
                  <a16:creationId xmlns:a16="http://schemas.microsoft.com/office/drawing/2014/main" id="{C3AFE5A7-DCB9-F8BA-C310-1867956D821D}"/>
                </a:ext>
              </a:extLst>
            </xdr:cNvPr>
            <xdr:cNvGrpSpPr/>
          </xdr:nvGrpSpPr>
          <xdr:grpSpPr>
            <a:xfrm>
              <a:off x="336623" y="398708"/>
              <a:ext cx="2898780" cy="1544720"/>
              <a:chOff x="362600" y="385720"/>
              <a:chExt cx="2898780" cy="1544720"/>
            </a:xfrm>
          </xdr:grpSpPr>
          <xdr:grpSp>
            <xdr:nvGrpSpPr>
              <xdr:cNvPr id="9" name="Group 8">
                <a:extLst>
                  <a:ext uri="{FF2B5EF4-FFF2-40B4-BE49-F238E27FC236}">
                    <a16:creationId xmlns:a16="http://schemas.microsoft.com/office/drawing/2014/main" id="{DF979265-B1CD-8E4D-8E04-7F5EA90059E7}"/>
                  </a:ext>
                </a:extLst>
              </xdr:cNvPr>
              <xdr:cNvGrpSpPr/>
            </xdr:nvGrpSpPr>
            <xdr:grpSpPr>
              <a:xfrm>
                <a:off x="362600" y="385720"/>
                <a:ext cx="2898780" cy="1544720"/>
                <a:chOff x="541221" y="459770"/>
                <a:chExt cx="2896104" cy="1529578"/>
              </a:xfrm>
            </xdr:grpSpPr>
            <xdr:grpSp>
              <xdr:nvGrpSpPr>
                <xdr:cNvPr id="20" name="Group 19">
                  <a:extLst>
                    <a:ext uri="{FF2B5EF4-FFF2-40B4-BE49-F238E27FC236}">
                      <a16:creationId xmlns:a16="http://schemas.microsoft.com/office/drawing/2014/main" id="{B307A437-BA15-D745-3DCE-C2990222F67E}"/>
                    </a:ext>
                  </a:extLst>
                </xdr:cNvPr>
                <xdr:cNvGrpSpPr/>
              </xdr:nvGrpSpPr>
              <xdr:grpSpPr>
                <a:xfrm>
                  <a:off x="946547" y="524954"/>
                  <a:ext cx="2490778" cy="1464394"/>
                  <a:chOff x="2571640" y="529750"/>
                  <a:chExt cx="2484194" cy="1440476"/>
                </a:xfrm>
              </xdr:grpSpPr>
              <xdr:grpSp>
                <xdr:nvGrpSpPr>
                  <xdr:cNvPr id="25" name="Group 24">
                    <a:extLst>
                      <a:ext uri="{FF2B5EF4-FFF2-40B4-BE49-F238E27FC236}">
                        <a16:creationId xmlns:a16="http://schemas.microsoft.com/office/drawing/2014/main" id="{EDC5C2D6-25E4-CAFE-D484-A4607A8A2CEF}"/>
                      </a:ext>
                    </a:extLst>
                  </xdr:cNvPr>
                  <xdr:cNvGrpSpPr/>
                </xdr:nvGrpSpPr>
                <xdr:grpSpPr>
                  <a:xfrm>
                    <a:off x="3029923" y="529750"/>
                    <a:ext cx="2025911" cy="1440476"/>
                    <a:chOff x="2621888" y="311509"/>
                    <a:chExt cx="2477788" cy="1445343"/>
                  </a:xfrm>
                </xdr:grpSpPr>
                <xdr:cxnSp macro="">
                  <xdr:nvCxnSpPr>
                    <xdr:cNvPr id="27" name="Straight Connector 26">
                      <a:extLst>
                        <a:ext uri="{FF2B5EF4-FFF2-40B4-BE49-F238E27FC236}">
                          <a16:creationId xmlns:a16="http://schemas.microsoft.com/office/drawing/2014/main" id="{4E4C6403-617C-414F-E233-3B0B0B374096}"/>
                        </a:ext>
                      </a:extLst>
                    </xdr:cNvPr>
                    <xdr:cNvCxnSpPr/>
                  </xdr:nvCxnSpPr>
                  <xdr:spPr>
                    <a:xfrm>
                      <a:off x="3890721" y="851765"/>
                      <a:ext cx="743642" cy="0"/>
                    </a:xfrm>
                    <a:prstGeom prst="line">
                      <a:avLst/>
                    </a:prstGeom>
                    <a:ln w="6350">
                      <a:solidFill>
                        <a:srgbClr val="FF0000"/>
                      </a:solidFill>
                      <a:prstDash val="sysDot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grpSp>
                  <xdr:nvGrpSpPr>
                    <xdr:cNvPr id="28" name="Group 27">
                      <a:extLst>
                        <a:ext uri="{FF2B5EF4-FFF2-40B4-BE49-F238E27FC236}">
                          <a16:creationId xmlns:a16="http://schemas.microsoft.com/office/drawing/2014/main" id="{A81C59AE-0F5F-9F61-7681-84FB94A51CFE}"/>
                        </a:ext>
                      </a:extLst>
                    </xdr:cNvPr>
                    <xdr:cNvGrpSpPr/>
                  </xdr:nvGrpSpPr>
                  <xdr:grpSpPr>
                    <a:xfrm>
                      <a:off x="2621888" y="311509"/>
                      <a:ext cx="2477788" cy="1445343"/>
                      <a:chOff x="2621888" y="311509"/>
                      <a:chExt cx="2477788" cy="1445343"/>
                    </a:xfrm>
                  </xdr:grpSpPr>
                  <xdr:grpSp>
                    <xdr:nvGrpSpPr>
                      <xdr:cNvPr id="29" name="Group 28">
                        <a:extLst>
                          <a:ext uri="{FF2B5EF4-FFF2-40B4-BE49-F238E27FC236}">
                            <a16:creationId xmlns:a16="http://schemas.microsoft.com/office/drawing/2014/main" id="{E2BE1B4E-6626-5347-CCC4-37DEF8A3CFC7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2621888" y="319526"/>
                        <a:ext cx="1752665" cy="1437326"/>
                        <a:chOff x="6520112" y="168436"/>
                        <a:chExt cx="1762063" cy="1431764"/>
                      </a:xfrm>
                    </xdr:grpSpPr>
                    <xdr:grpSp>
                      <xdr:nvGrpSpPr>
                        <xdr:cNvPr id="32" name="Group 31">
                          <a:extLst>
                            <a:ext uri="{FF2B5EF4-FFF2-40B4-BE49-F238E27FC236}">
                              <a16:creationId xmlns:a16="http://schemas.microsoft.com/office/drawing/2014/main" id="{B3889186-E055-8E33-1BEF-8A23FA424E68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6520112" y="171450"/>
                          <a:ext cx="1270837" cy="1428750"/>
                          <a:chOff x="3086100" y="295275"/>
                          <a:chExt cx="981076" cy="1076324"/>
                        </a:xfrm>
                      </xdr:grpSpPr>
                      <xdr:sp macro="" textlink="">
                        <xdr:nvSpPr>
                          <xdr:cNvPr id="38" name="Rectangle 37">
                            <a:extLst>
                              <a:ext uri="{FF2B5EF4-FFF2-40B4-BE49-F238E27FC236}">
                                <a16:creationId xmlns:a16="http://schemas.microsoft.com/office/drawing/2014/main" id="{95B2A14D-C0BF-3C79-2FA3-6A97785F04AE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3086100" y="295275"/>
                            <a:ext cx="981075" cy="400050"/>
                          </a:xfrm>
                          <a:prstGeom prst="rect">
                            <a:avLst/>
                          </a:prstGeom>
                          <a:solidFill>
                            <a:schemeClr val="accent1">
                              <a:lumMod val="40000"/>
                              <a:lumOff val="60000"/>
                            </a:schemeClr>
                          </a:solidFill>
                          <a:ln w="22225">
                            <a:solidFill>
                              <a:schemeClr val="tx2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ctr"/>
                          <a:lstStyle/>
                          <a:p>
                            <a:pPr algn="ctr"/>
                            <a:r>
                              <a:rPr lang="en-US" sz="900">
                                <a:solidFill>
                                  <a:srgbClr val="FF0000"/>
                                </a:solidFill>
                              </a:rPr>
                              <a:t>Compression</a:t>
                            </a:r>
                          </a:p>
                        </xdr:txBody>
                      </xdr:sp>
                      <xdr:sp macro="" textlink="">
                        <xdr:nvSpPr>
                          <xdr:cNvPr id="39" name="Rectangle 38">
                            <a:extLst>
                              <a:ext uri="{FF2B5EF4-FFF2-40B4-BE49-F238E27FC236}">
                                <a16:creationId xmlns:a16="http://schemas.microsoft.com/office/drawing/2014/main" id="{FA56732A-C151-A74B-DE12-922C4CA53E93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3086101" y="695324"/>
                            <a:ext cx="981075" cy="676275"/>
                          </a:xfrm>
                          <a:prstGeom prst="rect">
                            <a:avLst/>
                          </a:prstGeom>
                          <a:solidFill>
                            <a:schemeClr val="accent6">
                              <a:lumMod val="40000"/>
                              <a:lumOff val="60000"/>
                            </a:schemeClr>
                          </a:solidFill>
                          <a:ln w="22225">
                            <a:solidFill>
                              <a:schemeClr val="tx2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ctr"/>
                          <a:lstStyle/>
                          <a:p>
                            <a:pPr algn="ctr"/>
                            <a:r>
                              <a:rPr lang="en-US" sz="900">
                                <a:solidFill>
                                  <a:srgbClr val="FF0000"/>
                                </a:solidFill>
                              </a:rPr>
                              <a:t>Tension</a:t>
                            </a:r>
                          </a:p>
                        </xdr:txBody>
                      </xdr:sp>
                    </xdr:grpSp>
                    <xdr:grpSp>
                      <xdr:nvGrpSpPr>
                        <xdr:cNvPr id="33" name="Group 32">
                          <a:extLst>
                            <a:ext uri="{FF2B5EF4-FFF2-40B4-BE49-F238E27FC236}">
                              <a16:creationId xmlns:a16="http://schemas.microsoft.com/office/drawing/2014/main" id="{74885FB3-657C-9CC2-4360-24904CE79BD3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7826433" y="168436"/>
                          <a:ext cx="455742" cy="538410"/>
                          <a:chOff x="11633394" y="4191000"/>
                          <a:chExt cx="367874" cy="252911"/>
                        </a:xfrm>
                      </xdr:grpSpPr>
                      <xdr:sp macro="" textlink="">
                        <xdr:nvSpPr>
                          <xdr:cNvPr id="34" name="TextBox 33">
                            <a:extLst>
                              <a:ext uri="{FF2B5EF4-FFF2-40B4-BE49-F238E27FC236}">
                                <a16:creationId xmlns:a16="http://schemas.microsoft.com/office/drawing/2014/main" id="{82B3C5CE-2F18-1B9D-9077-16B8EF33C13F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11723508" y="4252734"/>
                            <a:ext cx="277760" cy="114707"/>
                          </a:xfrm>
                          <a:prstGeom prst="rect">
                            <a:avLst/>
                          </a:prstGeom>
                          <a:noFill/>
                          <a:ln w="9525" cmpd="sng">
                            <a:noFill/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ctr"/>
                          <a:lstStyle/>
                          <a:p>
                            <a:r>
                              <a:rPr lang="en-US" altLang="ko-KR" sz="900"/>
                              <a:t>c</a:t>
                            </a:r>
                            <a:endParaRPr lang="en-US" sz="900"/>
                          </a:p>
                        </xdr:txBody>
                      </xdr:sp>
                      <xdr:cxnSp macro="">
                        <xdr:nvCxnSpPr>
                          <xdr:cNvPr id="35" name="Straight Connector 34">
                            <a:extLst>
                              <a:ext uri="{FF2B5EF4-FFF2-40B4-BE49-F238E27FC236}">
                                <a16:creationId xmlns:a16="http://schemas.microsoft.com/office/drawing/2014/main" id="{D0772C40-DB8D-D035-FABC-E387CCD6E771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11639046" y="4191000"/>
                            <a:ext cx="132711" cy="0"/>
                          </a:xfrm>
                          <a:prstGeom prst="line">
                            <a:avLst/>
                          </a:prstGeom>
                          <a:ln w="3175">
                            <a:headEnd type="none"/>
                            <a:tailEnd type="oval" w="sm" len="sm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36" name="Straight Connector 35">
                            <a:extLst>
                              <a:ext uri="{FF2B5EF4-FFF2-40B4-BE49-F238E27FC236}">
                                <a16:creationId xmlns:a16="http://schemas.microsoft.com/office/drawing/2014/main" id="{9A67E0BB-BE4C-3C73-CA09-6EF9357FD21E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11769797" y="4193910"/>
                            <a:ext cx="0" cy="250001"/>
                          </a:xfrm>
                          <a:prstGeom prst="line">
                            <a:avLst/>
                          </a:prstGeom>
                          <a:ln w="3175"/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37" name="Straight Connector 36">
                            <a:extLst>
                              <a:ext uri="{FF2B5EF4-FFF2-40B4-BE49-F238E27FC236}">
                                <a16:creationId xmlns:a16="http://schemas.microsoft.com/office/drawing/2014/main" id="{BC1478CF-5BE5-6BBA-0399-4EAADBCBF6D5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11633394" y="4438762"/>
                            <a:ext cx="137339" cy="0"/>
                          </a:xfrm>
                          <a:prstGeom prst="line">
                            <a:avLst/>
                          </a:prstGeom>
                          <a:ln w="3175">
                            <a:headEnd type="none"/>
                            <a:tailEnd type="oval" w="sm" len="sm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</xdr:grpSp>
                  </xdr:grpSp>
                  <xdr:sp macro="" textlink="">
                    <xdr:nvSpPr>
                      <xdr:cNvPr id="30" name="Right Triangle 29">
                        <a:extLst>
                          <a:ext uri="{FF2B5EF4-FFF2-40B4-BE49-F238E27FC236}">
                            <a16:creationId xmlns:a16="http://schemas.microsoft.com/office/drawing/2014/main" id="{ECDFD14D-F032-1FE9-5D88-113A52EF154A}"/>
                          </a:ext>
                        </a:extLst>
                      </xdr:cNvPr>
                      <xdr:cNvSpPr/>
                    </xdr:nvSpPr>
                    <xdr:spPr>
                      <a:xfrm flipV="1">
                        <a:off x="4669028" y="311509"/>
                        <a:ext cx="430648" cy="543534"/>
                      </a:xfrm>
                      <a:prstGeom prst="rtTriangle">
                        <a:avLst/>
                      </a:prstGeom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ln w="12700"/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ctr"/>
                        <a:r>
                          <a:rPr lang="en-US" altLang="ko-KR" sz="1100">
                            <a:ln w="12700" cap="sq">
                              <a:solidFill>
                                <a:srgbClr val="FF0000"/>
                              </a:solidFill>
                              <a:round/>
                            </a:ln>
                            <a:solidFill>
                              <a:srgbClr val="FF0000"/>
                            </a:solidFill>
                          </a:rPr>
                          <a:t>+</a:t>
                        </a:r>
                        <a:endParaRPr lang="ko-KR" altLang="en-US" sz="1100">
                          <a:ln w="12700" cap="sq">
                            <a:solidFill>
                              <a:srgbClr val="FF0000"/>
                            </a:solidFill>
                            <a:round/>
                          </a:ln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">
                    <xdr:nvSpPr>
                      <xdr:cNvPr id="31" name="Right Triangle 30">
                        <a:extLst>
                          <a:ext uri="{FF2B5EF4-FFF2-40B4-BE49-F238E27FC236}">
                            <a16:creationId xmlns:a16="http://schemas.microsoft.com/office/drawing/2014/main" id="{5AEEC313-F22B-60FF-870A-86FA540F391B}"/>
                          </a:ext>
                        </a:extLst>
                      </xdr:cNvPr>
                      <xdr:cNvSpPr/>
                    </xdr:nvSpPr>
                    <xdr:spPr>
                      <a:xfrm flipH="1">
                        <a:off x="3983498" y="852369"/>
                        <a:ext cx="681505" cy="903479"/>
                      </a:xfrm>
                      <a:prstGeom prst="rtTriangle">
                        <a:avLst/>
                      </a:prstGeom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ln w="12700"/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r>
                          <a:rPr lang="en-US" altLang="ko-KR" sz="1100">
                            <a:ln w="15875">
                              <a:solidFill>
                                <a:srgbClr val="FF0000"/>
                              </a:solidFill>
                            </a:ln>
                            <a:solidFill>
                              <a:srgbClr val="FF0000"/>
                            </a:solidFill>
                          </a:rPr>
                          <a:t>-</a:t>
                        </a:r>
                        <a:endParaRPr lang="ko-KR" altLang="en-US" sz="1100">
                          <a:ln w="15875">
                            <a:solidFill>
                              <a:srgbClr val="FF0000"/>
                            </a:solidFill>
                          </a:ln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</xdr:grpSp>
              </xdr:grpSp>
              <xdr:cxnSp macro="">
                <xdr:nvCxnSpPr>
                  <xdr:cNvPr id="26" name="Straight Connector 25">
                    <a:extLst>
                      <a:ext uri="{FF2B5EF4-FFF2-40B4-BE49-F238E27FC236}">
                        <a16:creationId xmlns:a16="http://schemas.microsoft.com/office/drawing/2014/main" id="{8D45D2BB-A2D9-B35D-5757-9766281EA658}"/>
                      </a:ext>
                    </a:extLst>
                  </xdr:cNvPr>
                  <xdr:cNvCxnSpPr/>
                </xdr:nvCxnSpPr>
                <xdr:spPr>
                  <a:xfrm>
                    <a:off x="2571640" y="1253289"/>
                    <a:ext cx="1710732" cy="0"/>
                  </a:xfrm>
                  <a:prstGeom prst="line">
                    <a:avLst/>
                  </a:prstGeom>
                  <a:ln w="6350">
                    <a:solidFill>
                      <a:srgbClr val="FF0000"/>
                    </a:solidFill>
                    <a:prstDash val="sysDot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cxnSp macro="">
              <xdr:nvCxnSpPr>
                <xdr:cNvPr id="21" name="Straight Arrow Connector 20">
                  <a:extLst>
                    <a:ext uri="{FF2B5EF4-FFF2-40B4-BE49-F238E27FC236}">
                      <a16:creationId xmlns:a16="http://schemas.microsoft.com/office/drawing/2014/main" id="{18D05C4F-8AAA-7AF0-8B72-9EE38A946BAB}"/>
                    </a:ext>
                  </a:extLst>
                </xdr:cNvPr>
                <xdr:cNvCxnSpPr/>
              </xdr:nvCxnSpPr>
              <xdr:spPr>
                <a:xfrm flipH="1">
                  <a:off x="642937" y="689564"/>
                  <a:ext cx="357188" cy="0"/>
                </a:xfrm>
                <a:prstGeom prst="straightConnector1">
                  <a:avLst/>
                </a:prstGeom>
                <a:ln>
                  <a:solidFill>
                    <a:srgbClr val="FF0000"/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22" name="Arc 21">
                  <a:extLst>
                    <a:ext uri="{FF2B5EF4-FFF2-40B4-BE49-F238E27FC236}">
                      <a16:creationId xmlns:a16="http://schemas.microsoft.com/office/drawing/2014/main" id="{E8CA8A5B-A08B-605B-40A3-73FF73D5C11C}"/>
                    </a:ext>
                  </a:extLst>
                </xdr:cNvPr>
                <xdr:cNvSpPr/>
              </xdr:nvSpPr>
              <xdr:spPr>
                <a:xfrm rot="18003407">
                  <a:off x="678926" y="1107881"/>
                  <a:ext cx="345660" cy="295610"/>
                </a:xfrm>
                <a:prstGeom prst="arc">
                  <a:avLst>
                    <a:gd name="adj1" fmla="val 7275827"/>
                    <a:gd name="adj2" fmla="val 0"/>
                  </a:avLst>
                </a:prstGeom>
                <a:ln>
                  <a:solidFill>
                    <a:srgbClr val="FF0000"/>
                  </a:solidFill>
                  <a:headEnd type="triangle" w="med" len="med"/>
                  <a:tailEnd type="none" w="med" len="med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33A4BEA1-7A7D-7DFC-06F0-0090CB06BB1F}"/>
                    </a:ext>
                  </a:extLst>
                </xdr:cNvPr>
                <xdr:cNvSpPr txBox="1"/>
              </xdr:nvSpPr>
              <xdr:spPr>
                <a:xfrm>
                  <a:off x="541221" y="459770"/>
                  <a:ext cx="524471" cy="214312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n-US" altLang="ko-KR" sz="900" b="1">
                      <a:solidFill>
                        <a:srgbClr val="0070C0"/>
                      </a:solidFill>
                    </a:rPr>
                    <a:t>Fs.com</a:t>
                  </a:r>
                  <a:endParaRPr lang="en-US" sz="900" b="1">
                    <a:solidFill>
                      <a:srgbClr val="0070C0"/>
                    </a:solidFill>
                  </a:endParaRP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576A00EA-A9A5-928F-FC9E-8F00F5800B49}"/>
                    </a:ext>
                  </a:extLst>
                </xdr:cNvPr>
                <xdr:cNvSpPr txBox="1"/>
              </xdr:nvSpPr>
              <xdr:spPr>
                <a:xfrm>
                  <a:off x="585593" y="1428750"/>
                  <a:ext cx="569301" cy="214312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n-US" altLang="ko-KR" sz="900" b="1">
                      <a:solidFill>
                        <a:srgbClr val="0070C0"/>
                      </a:solidFill>
                    </a:rPr>
                    <a:t>Mc+Ms</a:t>
                  </a:r>
                  <a:endParaRPr lang="en-US" sz="900" b="1">
                    <a:solidFill>
                      <a:srgbClr val="0070C0"/>
                    </a:solidFill>
                  </a:endParaRPr>
                </a:p>
              </xdr:txBody>
            </xdr:sp>
          </xdr:grpSp>
          <xdr:grpSp>
            <xdr:nvGrpSpPr>
              <xdr:cNvPr id="10" name="Group 9">
                <a:extLst>
                  <a:ext uri="{FF2B5EF4-FFF2-40B4-BE49-F238E27FC236}">
                    <a16:creationId xmlns:a16="http://schemas.microsoft.com/office/drawing/2014/main" id="{6D042824-EDED-F7F7-0D58-D0CAEBAC992E}"/>
                  </a:ext>
                </a:extLst>
              </xdr:cNvPr>
              <xdr:cNvGrpSpPr/>
            </xdr:nvGrpSpPr>
            <xdr:grpSpPr>
              <a:xfrm>
                <a:off x="1348396" y="588819"/>
                <a:ext cx="780486" cy="49254"/>
                <a:chOff x="1339736" y="580159"/>
                <a:chExt cx="780486" cy="49254"/>
              </a:xfrm>
            </xdr:grpSpPr>
            <xdr:sp macro="" textlink="">
              <xdr:nvSpPr>
                <xdr:cNvPr id="16" name="Oval 15">
                  <a:extLst>
                    <a:ext uri="{FF2B5EF4-FFF2-40B4-BE49-F238E27FC236}">
                      <a16:creationId xmlns:a16="http://schemas.microsoft.com/office/drawing/2014/main" id="{91DD572D-B651-856C-D7AE-509622EDB1DD}"/>
                    </a:ext>
                  </a:extLst>
                </xdr:cNvPr>
                <xdr:cNvSpPr/>
              </xdr:nvSpPr>
              <xdr:spPr>
                <a:xfrm>
                  <a:off x="1339736" y="580159"/>
                  <a:ext cx="45719" cy="45719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7" name="Oval 16">
                  <a:extLst>
                    <a:ext uri="{FF2B5EF4-FFF2-40B4-BE49-F238E27FC236}">
                      <a16:creationId xmlns:a16="http://schemas.microsoft.com/office/drawing/2014/main" id="{9623061F-7AB7-83DE-174A-57FDC94768EB}"/>
                    </a:ext>
                  </a:extLst>
                </xdr:cNvPr>
                <xdr:cNvSpPr/>
              </xdr:nvSpPr>
              <xdr:spPr>
                <a:xfrm>
                  <a:off x="1579202" y="581960"/>
                  <a:ext cx="45719" cy="45719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8" name="Oval 17">
                  <a:extLst>
                    <a:ext uri="{FF2B5EF4-FFF2-40B4-BE49-F238E27FC236}">
                      <a16:creationId xmlns:a16="http://schemas.microsoft.com/office/drawing/2014/main" id="{0B9ED043-C547-8A49-B797-C4E2F8DCF51D}"/>
                    </a:ext>
                  </a:extLst>
                </xdr:cNvPr>
                <xdr:cNvSpPr/>
              </xdr:nvSpPr>
              <xdr:spPr>
                <a:xfrm>
                  <a:off x="1831183" y="582827"/>
                  <a:ext cx="45719" cy="45719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Oval 18">
                  <a:extLst>
                    <a:ext uri="{FF2B5EF4-FFF2-40B4-BE49-F238E27FC236}">
                      <a16:creationId xmlns:a16="http://schemas.microsoft.com/office/drawing/2014/main" id="{BBF81F7C-82D9-C863-A11C-CDC3E77969F6}"/>
                    </a:ext>
                  </a:extLst>
                </xdr:cNvPr>
                <xdr:cNvSpPr/>
              </xdr:nvSpPr>
              <xdr:spPr>
                <a:xfrm>
                  <a:off x="2074503" y="583694"/>
                  <a:ext cx="45719" cy="45719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11" name="Group 10">
                <a:extLst>
                  <a:ext uri="{FF2B5EF4-FFF2-40B4-BE49-F238E27FC236}">
                    <a16:creationId xmlns:a16="http://schemas.microsoft.com/office/drawing/2014/main" id="{35B27C13-F11D-8C4D-25FE-A44540E380BF}"/>
                  </a:ext>
                </a:extLst>
              </xdr:cNvPr>
              <xdr:cNvGrpSpPr/>
            </xdr:nvGrpSpPr>
            <xdr:grpSpPr>
              <a:xfrm>
                <a:off x="1372466" y="1757795"/>
                <a:ext cx="780486" cy="49254"/>
                <a:chOff x="1339736" y="580159"/>
                <a:chExt cx="780486" cy="49254"/>
              </a:xfrm>
            </xdr:grpSpPr>
            <xdr:sp macro="" textlink="">
              <xdr:nvSpPr>
                <xdr:cNvPr id="12" name="Oval 11">
                  <a:extLst>
                    <a:ext uri="{FF2B5EF4-FFF2-40B4-BE49-F238E27FC236}">
                      <a16:creationId xmlns:a16="http://schemas.microsoft.com/office/drawing/2014/main" id="{07624F85-7217-1470-4DDB-4AB5B97B0516}"/>
                    </a:ext>
                  </a:extLst>
                </xdr:cNvPr>
                <xdr:cNvSpPr/>
              </xdr:nvSpPr>
              <xdr:spPr>
                <a:xfrm>
                  <a:off x="1339736" y="580159"/>
                  <a:ext cx="45719" cy="45719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Oval 12">
                  <a:extLst>
                    <a:ext uri="{FF2B5EF4-FFF2-40B4-BE49-F238E27FC236}">
                      <a16:creationId xmlns:a16="http://schemas.microsoft.com/office/drawing/2014/main" id="{59092D63-D3D9-0ED1-1F4D-C20143897494}"/>
                    </a:ext>
                  </a:extLst>
                </xdr:cNvPr>
                <xdr:cNvSpPr/>
              </xdr:nvSpPr>
              <xdr:spPr>
                <a:xfrm>
                  <a:off x="1579202" y="581960"/>
                  <a:ext cx="45719" cy="45719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4" name="Oval 13">
                  <a:extLst>
                    <a:ext uri="{FF2B5EF4-FFF2-40B4-BE49-F238E27FC236}">
                      <a16:creationId xmlns:a16="http://schemas.microsoft.com/office/drawing/2014/main" id="{189240EE-5991-B640-CD10-1E372DFCB7A1}"/>
                    </a:ext>
                  </a:extLst>
                </xdr:cNvPr>
                <xdr:cNvSpPr/>
              </xdr:nvSpPr>
              <xdr:spPr>
                <a:xfrm>
                  <a:off x="1831183" y="582827"/>
                  <a:ext cx="45719" cy="45719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5" name="Oval 14">
                  <a:extLst>
                    <a:ext uri="{FF2B5EF4-FFF2-40B4-BE49-F238E27FC236}">
                      <a16:creationId xmlns:a16="http://schemas.microsoft.com/office/drawing/2014/main" id="{54C113ED-9957-3D85-2312-40C29E5EB157}"/>
                    </a:ext>
                  </a:extLst>
                </xdr:cNvPr>
                <xdr:cNvSpPr/>
              </xdr:nvSpPr>
              <xdr:spPr>
                <a:xfrm>
                  <a:off x="2074503" y="583694"/>
                  <a:ext cx="45719" cy="45719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</xdr:grpSp>
        <xdr:cxnSp macro="">
          <xdr:nvCxnSpPr>
            <xdr:cNvPr id="7" name="Straight Arrow Connector 6">
              <a:extLst>
                <a:ext uri="{FF2B5EF4-FFF2-40B4-BE49-F238E27FC236}">
                  <a16:creationId xmlns:a16="http://schemas.microsoft.com/office/drawing/2014/main" id="{6226D8F9-4A9A-0966-FFB5-13192765C0DB}"/>
                </a:ext>
              </a:extLst>
            </xdr:cNvPr>
            <xdr:cNvCxnSpPr/>
          </xdr:nvCxnSpPr>
          <xdr:spPr>
            <a:xfrm>
              <a:off x="484909" y="1783772"/>
              <a:ext cx="411307" cy="0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58A8036-DE70-1326-C2AD-37D04A689608}"/>
                </a:ext>
              </a:extLst>
            </xdr:cNvPr>
            <xdr:cNvSpPr txBox="1"/>
          </xdr:nvSpPr>
          <xdr:spPr>
            <a:xfrm>
              <a:off x="424295" y="1757795"/>
              <a:ext cx="524956" cy="2164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900" b="1">
                  <a:solidFill>
                    <a:srgbClr val="0070C0"/>
                  </a:solidFill>
                </a:rPr>
                <a:t>Fs.ten</a:t>
              </a:r>
              <a:endParaRPr lang="en-US" sz="900" b="1">
                <a:solidFill>
                  <a:srgbClr val="0070C0"/>
                </a:solidFill>
              </a:endParaRPr>
            </a:p>
          </xdr:txBody>
        </xdr:sp>
      </xdr:grpSp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CCD64A1A-E935-A244-C856-D9F14A3600D6}"/>
              </a:ext>
            </a:extLst>
          </xdr:cNvPr>
          <xdr:cNvCxnSpPr/>
        </xdr:nvCxnSpPr>
        <xdr:spPr>
          <a:xfrm flipH="1">
            <a:off x="434578" y="762000"/>
            <a:ext cx="357228" cy="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9F43F5C9-4478-29C6-9C7D-B6EDCBE71A61}"/>
              </a:ext>
            </a:extLst>
          </xdr:cNvPr>
          <xdr:cNvSpPr txBox="1"/>
        </xdr:nvSpPr>
        <xdr:spPr>
          <a:xfrm>
            <a:off x="345281" y="773906"/>
            <a:ext cx="452437" cy="2143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900" b="1">
                <a:solidFill>
                  <a:srgbClr val="0070C0"/>
                </a:solidFill>
              </a:rPr>
              <a:t>Fc</a:t>
            </a:r>
            <a:endParaRPr lang="en-US" sz="900" b="1">
              <a:solidFill>
                <a:srgbClr val="0070C0"/>
              </a:solidFill>
            </a:endParaRPr>
          </a:p>
        </xdr:txBody>
      </xdr:sp>
    </xdr:grpSp>
    <xdr:clientData/>
  </xdr:twoCellAnchor>
  <xdr:twoCellAnchor>
    <xdr:from>
      <xdr:col>20</xdr:col>
      <xdr:colOff>371475</xdr:colOff>
      <xdr:row>1</xdr:row>
      <xdr:rowOff>76199</xdr:rowOff>
    </xdr:from>
    <xdr:to>
      <xdr:col>30</xdr:col>
      <xdr:colOff>361950</xdr:colOff>
      <xdr:row>33</xdr:row>
      <xdr:rowOff>180974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EE3379DC-1B0B-5BD6-AB01-6256224F1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88231</xdr:colOff>
      <xdr:row>19</xdr:row>
      <xdr:rowOff>23952</xdr:rowOff>
    </xdr:from>
    <xdr:to>
      <xdr:col>10</xdr:col>
      <xdr:colOff>517253</xdr:colOff>
      <xdr:row>27</xdr:row>
      <xdr:rowOff>132315</xdr:rowOff>
    </xdr:to>
    <xdr:grpSp>
      <xdr:nvGrpSpPr>
        <xdr:cNvPr id="185" name="Group 184">
          <a:extLst>
            <a:ext uri="{FF2B5EF4-FFF2-40B4-BE49-F238E27FC236}">
              <a16:creationId xmlns:a16="http://schemas.microsoft.com/office/drawing/2014/main" id="{BDE2F7CB-18AE-40C8-9C3B-9B4CF27C8060}"/>
            </a:ext>
          </a:extLst>
        </xdr:cNvPr>
        <xdr:cNvGrpSpPr/>
      </xdr:nvGrpSpPr>
      <xdr:grpSpPr>
        <a:xfrm>
          <a:off x="4126831" y="3795852"/>
          <a:ext cx="3143647" cy="1641888"/>
          <a:chOff x="688415" y="766902"/>
          <a:chExt cx="3142143" cy="1642891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55F3F7BE-A156-A7DE-6B2E-78920CDB903C}"/>
              </a:ext>
            </a:extLst>
          </xdr:cNvPr>
          <xdr:cNvSpPr txBox="1"/>
        </xdr:nvSpPr>
        <xdr:spPr>
          <a:xfrm>
            <a:off x="2936001" y="1578145"/>
            <a:ext cx="396480" cy="1812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l-GR" altLang="ko-KR" sz="900"/>
              <a:t>ε</a:t>
            </a:r>
            <a:r>
              <a:rPr lang="en-US" altLang="ko-KR" sz="900"/>
              <a:t>0</a:t>
            </a:r>
            <a:endParaRPr lang="en-US" sz="900"/>
          </a:p>
        </xdr:txBody>
      </xdr:sp>
      <xdr:grpSp>
        <xdr:nvGrpSpPr>
          <xdr:cNvPr id="187" name="Group 186">
            <a:extLst>
              <a:ext uri="{FF2B5EF4-FFF2-40B4-BE49-F238E27FC236}">
                <a16:creationId xmlns:a16="http://schemas.microsoft.com/office/drawing/2014/main" id="{0546BE25-8A45-3412-A7BD-B83C17E26A85}"/>
              </a:ext>
            </a:extLst>
          </xdr:cNvPr>
          <xdr:cNvGrpSpPr/>
        </xdr:nvGrpSpPr>
        <xdr:grpSpPr>
          <a:xfrm>
            <a:off x="688415" y="766902"/>
            <a:ext cx="3142143" cy="1642891"/>
            <a:chOff x="688415" y="768807"/>
            <a:chExt cx="3142143" cy="1642891"/>
          </a:xfrm>
        </xdr:grpSpPr>
        <xdr:grpSp>
          <xdr:nvGrpSpPr>
            <xdr:cNvPr id="188" name="Group 187">
              <a:extLst>
                <a:ext uri="{FF2B5EF4-FFF2-40B4-BE49-F238E27FC236}">
                  <a16:creationId xmlns:a16="http://schemas.microsoft.com/office/drawing/2014/main" id="{31BB15B1-E45F-55F9-E8F5-BDAC17AF029B}"/>
                </a:ext>
              </a:extLst>
            </xdr:cNvPr>
            <xdr:cNvGrpSpPr/>
          </xdr:nvGrpSpPr>
          <xdr:grpSpPr>
            <a:xfrm>
              <a:off x="3259569" y="957476"/>
              <a:ext cx="570989" cy="390895"/>
              <a:chOff x="3273942" y="904554"/>
              <a:chExt cx="572139" cy="393452"/>
            </a:xfrm>
          </xdr:grpSpPr>
          <xdr:sp macro="" textlink="">
            <xdr:nvSpPr>
              <xdr:cNvPr id="225" name="Right Triangle 224">
                <a:extLst>
                  <a:ext uri="{FF2B5EF4-FFF2-40B4-BE49-F238E27FC236}">
                    <a16:creationId xmlns:a16="http://schemas.microsoft.com/office/drawing/2014/main" id="{C625A2BB-9860-931A-388E-1795C83DF356}"/>
                  </a:ext>
                </a:extLst>
              </xdr:cNvPr>
              <xdr:cNvSpPr/>
            </xdr:nvSpPr>
            <xdr:spPr>
              <a:xfrm flipH="1">
                <a:off x="3315494" y="904554"/>
                <a:ext cx="137594" cy="226938"/>
              </a:xfrm>
              <a:prstGeom prst="rtTriangle">
                <a:avLst/>
              </a:prstGeom>
              <a:solidFill>
                <a:schemeClr val="accent6">
                  <a:lumMod val="20000"/>
                  <a:lumOff val="80000"/>
                </a:schemeClr>
              </a:solidFill>
              <a:ln w="12700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>
                  <a:ln w="15875">
                    <a:solidFill>
                      <a:srgbClr val="FF0000"/>
                    </a:solidFill>
                  </a:ln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226" name="TextBox 225">
                <a:extLst>
                  <a:ext uri="{FF2B5EF4-FFF2-40B4-BE49-F238E27FC236}">
                    <a16:creationId xmlns:a16="http://schemas.microsoft.com/office/drawing/2014/main" id="{A39C74F7-C44A-6849-5632-C3A3D8E9EAD3}"/>
                  </a:ext>
                </a:extLst>
              </xdr:cNvPr>
              <xdr:cNvSpPr txBox="1"/>
            </xdr:nvSpPr>
            <xdr:spPr>
              <a:xfrm>
                <a:off x="3398597" y="936517"/>
                <a:ext cx="447484" cy="18249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r>
                  <a:rPr lang="en-US" altLang="ko-KR" sz="900">
                    <a:solidFill>
                      <a:srgbClr val="FF0000"/>
                    </a:solidFill>
                  </a:rPr>
                  <a:t>1mm</a:t>
                </a:r>
                <a:endParaRPr lang="en-US" sz="9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227" name="TextBox 226">
                <a:extLst>
                  <a:ext uri="{FF2B5EF4-FFF2-40B4-BE49-F238E27FC236}">
                    <a16:creationId xmlns:a16="http://schemas.microsoft.com/office/drawing/2014/main" id="{D4F44070-A175-6A89-2DC3-6948245FD8FC}"/>
                  </a:ext>
                </a:extLst>
              </xdr:cNvPr>
              <xdr:cNvSpPr txBox="1"/>
            </xdr:nvSpPr>
            <xdr:spPr>
              <a:xfrm>
                <a:off x="3273942" y="1115512"/>
                <a:ext cx="447484" cy="18249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r>
                  <a:rPr lang="el-GR" altLang="ko-KR" sz="900">
                    <a:solidFill>
                      <a:srgbClr val="FF0000"/>
                    </a:solidFill>
                  </a:rPr>
                  <a:t>κ</a:t>
                </a:r>
                <a:endParaRPr lang="en-US" sz="900">
                  <a:solidFill>
                    <a:srgbClr val="FF0000"/>
                  </a:solidFill>
                </a:endParaRPr>
              </a:p>
            </xdr:txBody>
          </xdr:sp>
        </xdr:grpSp>
        <xdr:grpSp>
          <xdr:nvGrpSpPr>
            <xdr:cNvPr id="197" name="Group 196">
              <a:extLst>
                <a:ext uri="{FF2B5EF4-FFF2-40B4-BE49-F238E27FC236}">
                  <a16:creationId xmlns:a16="http://schemas.microsoft.com/office/drawing/2014/main" id="{130756FD-02F1-B23B-6E0E-D4B031B4411A}"/>
                </a:ext>
              </a:extLst>
            </xdr:cNvPr>
            <xdr:cNvGrpSpPr/>
          </xdr:nvGrpSpPr>
          <xdr:grpSpPr>
            <a:xfrm>
              <a:off x="688415" y="768807"/>
              <a:ext cx="2707105" cy="1642891"/>
              <a:chOff x="2397583" y="355492"/>
              <a:chExt cx="2704863" cy="1616074"/>
            </a:xfrm>
          </xdr:grpSpPr>
          <xdr:grpSp>
            <xdr:nvGrpSpPr>
              <xdr:cNvPr id="201" name="Group 200">
                <a:extLst>
                  <a:ext uri="{FF2B5EF4-FFF2-40B4-BE49-F238E27FC236}">
                    <a16:creationId xmlns:a16="http://schemas.microsoft.com/office/drawing/2014/main" id="{ADE22D69-580C-3C7B-4380-7EDD89FCF5F8}"/>
                  </a:ext>
                </a:extLst>
              </xdr:cNvPr>
              <xdr:cNvGrpSpPr/>
            </xdr:nvGrpSpPr>
            <xdr:grpSpPr>
              <a:xfrm>
                <a:off x="2595241" y="355492"/>
                <a:ext cx="2507205" cy="1616074"/>
                <a:chOff x="2052698" y="298342"/>
                <a:chExt cx="2507184" cy="1616074"/>
              </a:xfrm>
            </xdr:grpSpPr>
            <xdr:cxnSp macro="">
              <xdr:nvCxnSpPr>
                <xdr:cNvPr id="206" name="Straight Connector 205">
                  <a:extLst>
                    <a:ext uri="{FF2B5EF4-FFF2-40B4-BE49-F238E27FC236}">
                      <a16:creationId xmlns:a16="http://schemas.microsoft.com/office/drawing/2014/main" id="{DB181ABD-6F64-9265-C0AF-607F5E27A579}"/>
                    </a:ext>
                  </a:extLst>
                </xdr:cNvPr>
                <xdr:cNvCxnSpPr/>
              </xdr:nvCxnSpPr>
              <xdr:spPr>
                <a:xfrm>
                  <a:off x="2241476" y="481405"/>
                  <a:ext cx="0" cy="724762"/>
                </a:xfrm>
                <a:prstGeom prst="line">
                  <a:avLst/>
                </a:prstGeom>
                <a:ln w="3175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07" name="Straight Connector 206">
                  <a:extLst>
                    <a:ext uri="{FF2B5EF4-FFF2-40B4-BE49-F238E27FC236}">
                      <a16:creationId xmlns:a16="http://schemas.microsoft.com/office/drawing/2014/main" id="{F8B6D56F-0188-2F6C-EED5-50973BAD9707}"/>
                    </a:ext>
                  </a:extLst>
                </xdr:cNvPr>
                <xdr:cNvCxnSpPr/>
              </xdr:nvCxnSpPr>
              <xdr:spPr>
                <a:xfrm flipH="1">
                  <a:off x="2242418" y="1004129"/>
                  <a:ext cx="166719" cy="0"/>
                </a:xfrm>
                <a:prstGeom prst="line">
                  <a:avLst/>
                </a:prstGeom>
                <a:ln w="3175">
                  <a:headEnd type="none"/>
                  <a:tailEnd type="oval" w="sm" len="sm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grpSp>
              <xdr:nvGrpSpPr>
                <xdr:cNvPr id="209" name="Group 208">
                  <a:extLst>
                    <a:ext uri="{FF2B5EF4-FFF2-40B4-BE49-F238E27FC236}">
                      <a16:creationId xmlns:a16="http://schemas.microsoft.com/office/drawing/2014/main" id="{79F44FD7-9486-9EFC-1F6B-AE592337F017}"/>
                    </a:ext>
                  </a:extLst>
                </xdr:cNvPr>
                <xdr:cNvGrpSpPr/>
              </xdr:nvGrpSpPr>
              <xdr:grpSpPr>
                <a:xfrm>
                  <a:off x="2052698" y="298342"/>
                  <a:ext cx="2507184" cy="1616074"/>
                  <a:chOff x="2052698" y="298342"/>
                  <a:chExt cx="2507184" cy="1616074"/>
                </a:xfrm>
              </xdr:grpSpPr>
              <xdr:grpSp>
                <xdr:nvGrpSpPr>
                  <xdr:cNvPr id="210" name="Group 209">
                    <a:extLst>
                      <a:ext uri="{FF2B5EF4-FFF2-40B4-BE49-F238E27FC236}">
                        <a16:creationId xmlns:a16="http://schemas.microsoft.com/office/drawing/2014/main" id="{3A868918-2EB5-8393-F789-3DD7B285BA02}"/>
                      </a:ext>
                    </a:extLst>
                  </xdr:cNvPr>
                  <xdr:cNvGrpSpPr/>
                </xdr:nvGrpSpPr>
                <xdr:grpSpPr>
                  <a:xfrm>
                    <a:off x="2052698" y="473882"/>
                    <a:ext cx="2452603" cy="1440534"/>
                    <a:chOff x="2090249" y="312796"/>
                    <a:chExt cx="2999678" cy="1445402"/>
                  </a:xfrm>
                </xdr:grpSpPr>
                <xdr:cxnSp macro="">
                  <xdr:nvCxnSpPr>
                    <xdr:cNvPr id="212" name="Straight Connector 211">
                      <a:extLst>
                        <a:ext uri="{FF2B5EF4-FFF2-40B4-BE49-F238E27FC236}">
                          <a16:creationId xmlns:a16="http://schemas.microsoft.com/office/drawing/2014/main" id="{90F12E0F-1C18-DF82-87DE-76B5431E8E9A}"/>
                        </a:ext>
                      </a:extLst>
                    </xdr:cNvPr>
                    <xdr:cNvCxnSpPr/>
                  </xdr:nvCxnSpPr>
                  <xdr:spPr>
                    <a:xfrm>
                      <a:off x="3890721" y="856714"/>
                      <a:ext cx="788114" cy="0"/>
                    </a:xfrm>
                    <a:prstGeom prst="line">
                      <a:avLst/>
                    </a:prstGeom>
                    <a:ln w="6350">
                      <a:solidFill>
                        <a:srgbClr val="FF0000"/>
                      </a:solidFill>
                      <a:prstDash val="sysDot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grpSp>
                  <xdr:nvGrpSpPr>
                    <xdr:cNvPr id="213" name="Group 212">
                      <a:extLst>
                        <a:ext uri="{FF2B5EF4-FFF2-40B4-BE49-F238E27FC236}">
                          <a16:creationId xmlns:a16="http://schemas.microsoft.com/office/drawing/2014/main" id="{FC6A20C1-2D1E-162F-5B3C-1ABAF1C0C9E5}"/>
                        </a:ext>
                      </a:extLst>
                    </xdr:cNvPr>
                    <xdr:cNvGrpSpPr/>
                  </xdr:nvGrpSpPr>
                  <xdr:grpSpPr>
                    <a:xfrm>
                      <a:off x="2090249" y="312796"/>
                      <a:ext cx="2999678" cy="1445402"/>
                      <a:chOff x="2090249" y="312796"/>
                      <a:chExt cx="2999678" cy="1445402"/>
                    </a:xfrm>
                  </xdr:grpSpPr>
                  <xdr:grpSp>
                    <xdr:nvGrpSpPr>
                      <xdr:cNvPr id="214" name="Group 213">
                        <a:extLst>
                          <a:ext uri="{FF2B5EF4-FFF2-40B4-BE49-F238E27FC236}">
                            <a16:creationId xmlns:a16="http://schemas.microsoft.com/office/drawing/2014/main" id="{68BE2384-1E35-0910-16DD-A3593450CEF2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2090249" y="319515"/>
                        <a:ext cx="1795697" cy="1437337"/>
                        <a:chOff x="5985623" y="168425"/>
                        <a:chExt cx="1805326" cy="1431775"/>
                      </a:xfrm>
                    </xdr:grpSpPr>
                    <xdr:grpSp>
                      <xdr:nvGrpSpPr>
                        <xdr:cNvPr id="217" name="Group 216">
                          <a:extLst>
                            <a:ext uri="{FF2B5EF4-FFF2-40B4-BE49-F238E27FC236}">
                              <a16:creationId xmlns:a16="http://schemas.microsoft.com/office/drawing/2014/main" id="{DA2E4BFC-F707-4DA4-0F57-BD97AD56ACFE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6520112" y="171450"/>
                          <a:ext cx="1270837" cy="1428750"/>
                          <a:chOff x="3086100" y="295275"/>
                          <a:chExt cx="981076" cy="1076324"/>
                        </a:xfrm>
                      </xdr:grpSpPr>
                      <xdr:sp macro="" textlink="">
                        <xdr:nvSpPr>
                          <xdr:cNvPr id="223" name="Rectangle 222">
                            <a:extLst>
                              <a:ext uri="{FF2B5EF4-FFF2-40B4-BE49-F238E27FC236}">
                                <a16:creationId xmlns:a16="http://schemas.microsoft.com/office/drawing/2014/main" id="{A9BEA25E-C73B-5B24-1A63-6ED887848114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3086100" y="295275"/>
                            <a:ext cx="981075" cy="400050"/>
                          </a:xfrm>
                          <a:prstGeom prst="rect">
                            <a:avLst/>
                          </a:prstGeom>
                          <a:pattFill prst="dkHorz">
                            <a:fgClr>
                              <a:schemeClr val="accent1">
                                <a:lumMod val="40000"/>
                                <a:lumOff val="60000"/>
                              </a:schemeClr>
                            </a:fgClr>
                            <a:bgClr>
                              <a:schemeClr val="bg1"/>
                            </a:bgClr>
                          </a:pattFill>
                          <a:ln w="22225">
                            <a:solidFill>
                              <a:schemeClr val="tx2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ctr"/>
                          <a:lstStyle/>
                          <a:p>
                            <a:pPr algn="ctr"/>
                            <a:r>
                              <a:rPr lang="en-US" sz="900">
                                <a:solidFill>
                                  <a:srgbClr val="FF0000"/>
                                </a:solidFill>
                              </a:rPr>
                              <a:t>Compression</a:t>
                            </a:r>
                          </a:p>
                        </xdr:txBody>
                      </xdr:sp>
                      <xdr:sp macro="" textlink="">
                        <xdr:nvSpPr>
                          <xdr:cNvPr id="224" name="Rectangle 223">
                            <a:extLst>
                              <a:ext uri="{FF2B5EF4-FFF2-40B4-BE49-F238E27FC236}">
                                <a16:creationId xmlns:a16="http://schemas.microsoft.com/office/drawing/2014/main" id="{1B6F9D45-0936-9C40-1BC8-13CC0173361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3086101" y="695324"/>
                            <a:ext cx="981075" cy="676275"/>
                          </a:xfrm>
                          <a:prstGeom prst="rect">
                            <a:avLst/>
                          </a:prstGeom>
                          <a:solidFill>
                            <a:schemeClr val="accent6">
                              <a:lumMod val="40000"/>
                              <a:lumOff val="60000"/>
                            </a:schemeClr>
                          </a:solidFill>
                          <a:ln w="22225">
                            <a:solidFill>
                              <a:schemeClr val="tx2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ctr"/>
                          <a:lstStyle/>
                          <a:p>
                            <a:pPr algn="ctr"/>
                            <a:r>
                              <a:rPr lang="en-US" sz="900">
                                <a:solidFill>
                                  <a:srgbClr val="FF0000"/>
                                </a:solidFill>
                              </a:rPr>
                              <a:t>Tension</a:t>
                            </a:r>
                          </a:p>
                        </xdr:txBody>
                      </xdr:sp>
                    </xdr:grpSp>
                    <xdr:grpSp>
                      <xdr:nvGrpSpPr>
                        <xdr:cNvPr id="218" name="Group 217">
                          <a:extLst>
                            <a:ext uri="{FF2B5EF4-FFF2-40B4-BE49-F238E27FC236}">
                              <a16:creationId xmlns:a16="http://schemas.microsoft.com/office/drawing/2014/main" id="{334CC028-7182-0FDE-ED16-386169B80F1E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985623" y="168425"/>
                          <a:ext cx="459089" cy="355901"/>
                          <a:chOff x="10147504" y="4191000"/>
                          <a:chExt cx="370576" cy="167180"/>
                        </a:xfrm>
                      </xdr:grpSpPr>
                      <xdr:sp macro="" textlink="">
                        <xdr:nvSpPr>
                          <xdr:cNvPr id="219" name="TextBox 218">
                            <a:extLst>
                              <a:ext uri="{FF2B5EF4-FFF2-40B4-BE49-F238E27FC236}">
                                <a16:creationId xmlns:a16="http://schemas.microsoft.com/office/drawing/2014/main" id="{B314249B-138E-CCA2-B8FD-02E301322EFE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10147504" y="4243473"/>
                            <a:ext cx="277760" cy="114707"/>
                          </a:xfrm>
                          <a:prstGeom prst="rect">
                            <a:avLst/>
                          </a:prstGeom>
                          <a:noFill/>
                          <a:ln w="9525" cmpd="sng">
                            <a:noFill/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ctr"/>
                          <a:lstStyle/>
                          <a:p>
                            <a:r>
                              <a:rPr lang="en-US" altLang="ko-KR" sz="900"/>
                              <a:t>c</a:t>
                            </a:r>
                            <a:endParaRPr lang="en-US" sz="900"/>
                          </a:p>
                        </xdr:txBody>
                      </xdr:sp>
                      <xdr:cxnSp macro="">
                        <xdr:nvCxnSpPr>
                          <xdr:cNvPr id="220" name="Straight Connector 219">
                            <a:extLst>
                              <a:ext uri="{FF2B5EF4-FFF2-40B4-BE49-F238E27FC236}">
                                <a16:creationId xmlns:a16="http://schemas.microsoft.com/office/drawing/2014/main" id="{9443610A-22F6-55ED-5EB9-805FF5C870B1}"/>
                              </a:ext>
                            </a:extLst>
                          </xdr:cNvPr>
                          <xdr:cNvCxnSpPr/>
                        </xdr:nvCxnSpPr>
                        <xdr:spPr>
                          <a:xfrm flipH="1">
                            <a:off x="10339102" y="4191000"/>
                            <a:ext cx="178978" cy="0"/>
                          </a:xfrm>
                          <a:prstGeom prst="line">
                            <a:avLst/>
                          </a:prstGeom>
                          <a:ln w="3175">
                            <a:headEnd type="none"/>
                            <a:tailEnd type="oval" w="sm" len="sm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</xdr:grpSp>
                  </xdr:grpSp>
                  <xdr:sp macro="" textlink="">
                    <xdr:nvSpPr>
                      <xdr:cNvPr id="215" name="Right Triangle 214">
                        <a:extLst>
                          <a:ext uri="{FF2B5EF4-FFF2-40B4-BE49-F238E27FC236}">
                            <a16:creationId xmlns:a16="http://schemas.microsoft.com/office/drawing/2014/main" id="{21282B3F-F958-F5CD-A821-6B0482C0CC74}"/>
                          </a:ext>
                        </a:extLst>
                      </xdr:cNvPr>
                      <xdr:cNvSpPr/>
                    </xdr:nvSpPr>
                    <xdr:spPr>
                      <a:xfrm flipV="1">
                        <a:off x="4679526" y="312796"/>
                        <a:ext cx="410401" cy="544596"/>
                      </a:xfrm>
                      <a:prstGeom prst="rtTriangle">
                        <a:avLst/>
                      </a:prstGeom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ln w="12700"/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ctr"/>
                        <a:r>
                          <a:rPr lang="en-US" altLang="ko-KR" sz="1100">
                            <a:ln w="12700">
                              <a:solidFill>
                                <a:srgbClr val="FF0000"/>
                              </a:solidFill>
                            </a:ln>
                            <a:solidFill>
                              <a:srgbClr val="FF0000"/>
                            </a:solidFill>
                          </a:rPr>
                          <a:t>+</a:t>
                        </a:r>
                        <a:endParaRPr lang="ko-KR" altLang="en-US" sz="1100">
                          <a:ln w="12700">
                            <a:solidFill>
                              <a:srgbClr val="FF0000"/>
                            </a:solidFill>
                          </a:ln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">
                    <xdr:nvSpPr>
                      <xdr:cNvPr id="216" name="Right Triangle 215">
                        <a:extLst>
                          <a:ext uri="{FF2B5EF4-FFF2-40B4-BE49-F238E27FC236}">
                            <a16:creationId xmlns:a16="http://schemas.microsoft.com/office/drawing/2014/main" id="{44AC0D6C-FA5F-CD31-E4F8-C077907D524E}"/>
                          </a:ext>
                        </a:extLst>
                      </xdr:cNvPr>
                      <xdr:cNvSpPr/>
                    </xdr:nvSpPr>
                    <xdr:spPr>
                      <a:xfrm flipH="1">
                        <a:off x="3998589" y="860417"/>
                        <a:ext cx="681505" cy="897781"/>
                      </a:xfrm>
                      <a:prstGeom prst="rtTriangle">
                        <a:avLst/>
                      </a:prstGeom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ln w="12700"/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r>
                          <a:rPr lang="en-US" altLang="ko-KR" sz="1100">
                            <a:ln w="15875">
                              <a:solidFill>
                                <a:srgbClr val="FF0000"/>
                              </a:solidFill>
                            </a:ln>
                            <a:solidFill>
                              <a:srgbClr val="FF0000"/>
                            </a:solidFill>
                          </a:rPr>
                          <a:t>-</a:t>
                        </a:r>
                        <a:endParaRPr lang="ko-KR" altLang="en-US" sz="1100">
                          <a:ln w="15875">
                            <a:solidFill>
                              <a:srgbClr val="FF0000"/>
                            </a:solidFill>
                          </a:ln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</xdr:grpSp>
              </xdr:grpSp>
              <xdr:sp macro="" textlink="">
                <xdr:nvSpPr>
                  <xdr:cNvPr id="211" name="TextBox 210">
                    <a:extLst>
                      <a:ext uri="{FF2B5EF4-FFF2-40B4-BE49-F238E27FC236}">
                        <a16:creationId xmlns:a16="http://schemas.microsoft.com/office/drawing/2014/main" id="{6259D9C7-F445-84B5-EDED-AC1E85140D8A}"/>
                      </a:ext>
                    </a:extLst>
                  </xdr:cNvPr>
                  <xdr:cNvSpPr txBox="1"/>
                </xdr:nvSpPr>
                <xdr:spPr>
                  <a:xfrm>
                    <a:off x="4079622" y="298342"/>
                    <a:ext cx="480260" cy="1437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n-US" altLang="ko-KR" sz="900">
                        <a:solidFill>
                          <a:srgbClr val="0070C0"/>
                        </a:solidFill>
                      </a:rPr>
                      <a:t>Strain</a:t>
                    </a:r>
                    <a:endParaRPr lang="en-US" sz="900">
                      <a:solidFill>
                        <a:srgbClr val="0070C0"/>
                      </a:solidFill>
                    </a:endParaRPr>
                  </a:p>
                </xdr:txBody>
              </xdr:sp>
            </xdr:grpSp>
          </xdr:grpSp>
          <xdr:cxnSp macro="">
            <xdr:nvCxnSpPr>
              <xdr:cNvPr id="202" name="Straight Connector 201">
                <a:extLst>
                  <a:ext uri="{FF2B5EF4-FFF2-40B4-BE49-F238E27FC236}">
                    <a16:creationId xmlns:a16="http://schemas.microsoft.com/office/drawing/2014/main" id="{DBCDC651-1D24-ADC0-5721-86EB52FDC96C}"/>
                  </a:ext>
                </a:extLst>
              </xdr:cNvPr>
              <xdr:cNvCxnSpPr/>
            </xdr:nvCxnSpPr>
            <xdr:spPr>
              <a:xfrm>
                <a:off x="2571640" y="1253289"/>
                <a:ext cx="2139027" cy="0"/>
              </a:xfrm>
              <a:prstGeom prst="line">
                <a:avLst/>
              </a:prstGeom>
              <a:ln w="6350">
                <a:solidFill>
                  <a:srgbClr val="FF0000"/>
                </a:solidFill>
                <a:prstDash val="lgDashDot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03" name="Straight Connector 202">
                <a:extLst>
                  <a:ext uri="{FF2B5EF4-FFF2-40B4-BE49-F238E27FC236}">
                    <a16:creationId xmlns:a16="http://schemas.microsoft.com/office/drawing/2014/main" id="{3AB615CB-7741-8674-9D1F-ACE792FEC375}"/>
                  </a:ext>
                </a:extLst>
              </xdr:cNvPr>
              <xdr:cNvCxnSpPr/>
            </xdr:nvCxnSpPr>
            <xdr:spPr>
              <a:xfrm flipH="1">
                <a:off x="2785519" y="1253290"/>
                <a:ext cx="167509" cy="0"/>
              </a:xfrm>
              <a:prstGeom prst="line">
                <a:avLst/>
              </a:prstGeom>
              <a:ln w="3175">
                <a:headEnd type="none"/>
                <a:tailEnd type="oval" w="sm" len="sm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04" name="TextBox 203">
                <a:extLst>
                  <a:ext uri="{FF2B5EF4-FFF2-40B4-BE49-F238E27FC236}">
                    <a16:creationId xmlns:a16="http://schemas.microsoft.com/office/drawing/2014/main" id="{C5496E7A-89FB-1F5F-C11A-20F57981E659}"/>
                  </a:ext>
                </a:extLst>
              </xdr:cNvPr>
              <xdr:cNvSpPr txBox="1"/>
            </xdr:nvSpPr>
            <xdr:spPr>
              <a:xfrm>
                <a:off x="2397583" y="1023005"/>
                <a:ext cx="553569" cy="24294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r>
                  <a:rPr lang="en-US" altLang="ko-KR" sz="900"/>
                  <a:t>y_NA</a:t>
                </a:r>
                <a:endParaRPr lang="en-US" sz="900"/>
              </a:p>
            </xdr:txBody>
          </xdr:sp>
        </xdr:grpSp>
      </xdr:grp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554956</xdr:colOff>
      <xdr:row>43</xdr:row>
      <xdr:rowOff>119202</xdr:rowOff>
    </xdr:from>
    <xdr:to>
      <xdr:col>5</xdr:col>
      <xdr:colOff>688703</xdr:colOff>
      <xdr:row>52</xdr:row>
      <xdr:rowOff>46590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8F82208-5792-49F6-945D-30AA0EFF494E}"/>
            </a:ext>
          </a:extLst>
        </xdr:cNvPr>
        <xdr:cNvGrpSpPr/>
      </xdr:nvGrpSpPr>
      <xdr:grpSpPr>
        <a:xfrm>
          <a:off x="554956" y="8777427"/>
          <a:ext cx="3667522" cy="1718088"/>
          <a:chOff x="688415" y="766902"/>
          <a:chExt cx="3142143" cy="1642891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C3A91D42-D83B-160B-D49A-9C8C6FECA2C7}"/>
              </a:ext>
            </a:extLst>
          </xdr:cNvPr>
          <xdr:cNvSpPr txBox="1"/>
        </xdr:nvSpPr>
        <xdr:spPr>
          <a:xfrm>
            <a:off x="2936001" y="1578145"/>
            <a:ext cx="396480" cy="1812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l-GR" altLang="ko-KR" sz="900"/>
              <a:t>ε</a:t>
            </a:r>
            <a:r>
              <a:rPr lang="en-US" altLang="ko-KR" sz="900"/>
              <a:t>0</a:t>
            </a:r>
            <a:endParaRPr lang="en-US" sz="900"/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7F531D49-D439-0617-3262-B56E5E71104C}"/>
              </a:ext>
            </a:extLst>
          </xdr:cNvPr>
          <xdr:cNvGrpSpPr/>
        </xdr:nvGrpSpPr>
        <xdr:grpSpPr>
          <a:xfrm>
            <a:off x="688415" y="766902"/>
            <a:ext cx="3142143" cy="1642891"/>
            <a:chOff x="688415" y="768807"/>
            <a:chExt cx="3142143" cy="1642891"/>
          </a:xfrm>
        </xdr:grpSpPr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EC0C64A3-2DDA-DB33-7324-54CE2EA95B50}"/>
                </a:ext>
              </a:extLst>
            </xdr:cNvPr>
            <xdr:cNvGrpSpPr/>
          </xdr:nvGrpSpPr>
          <xdr:grpSpPr>
            <a:xfrm>
              <a:off x="3259569" y="957476"/>
              <a:ext cx="570989" cy="390895"/>
              <a:chOff x="3273942" y="904554"/>
              <a:chExt cx="572139" cy="393452"/>
            </a:xfrm>
          </xdr:grpSpPr>
          <xdr:sp macro="" textlink="">
            <xdr:nvSpPr>
              <xdr:cNvPr id="27" name="Right Triangle 26">
                <a:extLst>
                  <a:ext uri="{FF2B5EF4-FFF2-40B4-BE49-F238E27FC236}">
                    <a16:creationId xmlns:a16="http://schemas.microsoft.com/office/drawing/2014/main" id="{A18EF015-BE73-984E-5EAB-D34CA736DD44}"/>
                  </a:ext>
                </a:extLst>
              </xdr:cNvPr>
              <xdr:cNvSpPr/>
            </xdr:nvSpPr>
            <xdr:spPr>
              <a:xfrm flipH="1">
                <a:off x="3315494" y="904554"/>
                <a:ext cx="137594" cy="226938"/>
              </a:xfrm>
              <a:prstGeom prst="rtTriangle">
                <a:avLst/>
              </a:prstGeom>
              <a:solidFill>
                <a:schemeClr val="accent6">
                  <a:lumMod val="20000"/>
                  <a:lumOff val="80000"/>
                </a:schemeClr>
              </a:solidFill>
              <a:ln w="12700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>
                  <a:ln w="15875">
                    <a:solidFill>
                      <a:srgbClr val="FF0000"/>
                    </a:solidFill>
                  </a:ln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28" name="TextBox 27">
                <a:extLst>
                  <a:ext uri="{FF2B5EF4-FFF2-40B4-BE49-F238E27FC236}">
                    <a16:creationId xmlns:a16="http://schemas.microsoft.com/office/drawing/2014/main" id="{4CF69D01-A0CC-9ED7-B39B-1F88CC8F973C}"/>
                  </a:ext>
                </a:extLst>
              </xdr:cNvPr>
              <xdr:cNvSpPr txBox="1"/>
            </xdr:nvSpPr>
            <xdr:spPr>
              <a:xfrm>
                <a:off x="3398597" y="936517"/>
                <a:ext cx="447484" cy="18249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r>
                  <a:rPr lang="en-US" altLang="ko-KR" sz="900">
                    <a:solidFill>
                      <a:srgbClr val="FF0000"/>
                    </a:solidFill>
                  </a:rPr>
                  <a:t>1mm</a:t>
                </a:r>
                <a:endParaRPr lang="en-US" sz="9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29" name="TextBox 28">
                <a:extLst>
                  <a:ext uri="{FF2B5EF4-FFF2-40B4-BE49-F238E27FC236}">
                    <a16:creationId xmlns:a16="http://schemas.microsoft.com/office/drawing/2014/main" id="{6C4B90B7-5A95-D425-78D3-9D54A5E662D4}"/>
                  </a:ext>
                </a:extLst>
              </xdr:cNvPr>
              <xdr:cNvSpPr txBox="1"/>
            </xdr:nvSpPr>
            <xdr:spPr>
              <a:xfrm>
                <a:off x="3273942" y="1115512"/>
                <a:ext cx="447484" cy="18249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r>
                  <a:rPr lang="el-GR" altLang="ko-KR" sz="900">
                    <a:solidFill>
                      <a:srgbClr val="FF0000"/>
                    </a:solidFill>
                  </a:rPr>
                  <a:t>κ</a:t>
                </a:r>
                <a:endParaRPr lang="en-US" sz="900">
                  <a:solidFill>
                    <a:srgbClr val="FF0000"/>
                  </a:solidFill>
                </a:endParaRPr>
              </a:p>
            </xdr:txBody>
          </xdr:sp>
        </xdr:grpSp>
        <xdr:grpSp>
          <xdr:nvGrpSpPr>
            <xdr:cNvPr id="6" name="Group 5">
              <a:extLst>
                <a:ext uri="{FF2B5EF4-FFF2-40B4-BE49-F238E27FC236}">
                  <a16:creationId xmlns:a16="http://schemas.microsoft.com/office/drawing/2014/main" id="{552A5A05-18FD-1E10-4F04-20B07CA3CCDD}"/>
                </a:ext>
              </a:extLst>
            </xdr:cNvPr>
            <xdr:cNvGrpSpPr/>
          </xdr:nvGrpSpPr>
          <xdr:grpSpPr>
            <a:xfrm>
              <a:off x="688415" y="768807"/>
              <a:ext cx="2707105" cy="1642891"/>
              <a:chOff x="2397583" y="355492"/>
              <a:chExt cx="2704863" cy="1616074"/>
            </a:xfrm>
          </xdr:grpSpPr>
          <xdr:grpSp>
            <xdr:nvGrpSpPr>
              <xdr:cNvPr id="7" name="Group 6">
                <a:extLst>
                  <a:ext uri="{FF2B5EF4-FFF2-40B4-BE49-F238E27FC236}">
                    <a16:creationId xmlns:a16="http://schemas.microsoft.com/office/drawing/2014/main" id="{EC9E6C16-DBD8-A46B-5A84-F924B1E8408F}"/>
                  </a:ext>
                </a:extLst>
              </xdr:cNvPr>
              <xdr:cNvGrpSpPr/>
            </xdr:nvGrpSpPr>
            <xdr:grpSpPr>
              <a:xfrm>
                <a:off x="2595241" y="355492"/>
                <a:ext cx="2507205" cy="1616074"/>
                <a:chOff x="2052698" y="298342"/>
                <a:chExt cx="2507184" cy="1616074"/>
              </a:xfrm>
            </xdr:grpSpPr>
            <xdr:cxnSp macro="">
              <xdr:nvCxnSpPr>
                <xdr:cNvPr id="11" name="Straight Connector 10">
                  <a:extLst>
                    <a:ext uri="{FF2B5EF4-FFF2-40B4-BE49-F238E27FC236}">
                      <a16:creationId xmlns:a16="http://schemas.microsoft.com/office/drawing/2014/main" id="{94F51BF0-EDEF-A9D4-21D7-53B2CB9CE178}"/>
                    </a:ext>
                  </a:extLst>
                </xdr:cNvPr>
                <xdr:cNvCxnSpPr/>
              </xdr:nvCxnSpPr>
              <xdr:spPr>
                <a:xfrm>
                  <a:off x="2241476" y="481405"/>
                  <a:ext cx="0" cy="724762"/>
                </a:xfrm>
                <a:prstGeom prst="line">
                  <a:avLst/>
                </a:prstGeom>
                <a:ln w="3175"/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2" name="Straight Connector 11">
                  <a:extLst>
                    <a:ext uri="{FF2B5EF4-FFF2-40B4-BE49-F238E27FC236}">
                      <a16:creationId xmlns:a16="http://schemas.microsoft.com/office/drawing/2014/main" id="{4FA560E6-F3F3-A0C1-6F3D-ED58B319A866}"/>
                    </a:ext>
                  </a:extLst>
                </xdr:cNvPr>
                <xdr:cNvCxnSpPr/>
              </xdr:nvCxnSpPr>
              <xdr:spPr>
                <a:xfrm flipH="1">
                  <a:off x="2242418" y="1004129"/>
                  <a:ext cx="166719" cy="0"/>
                </a:xfrm>
                <a:prstGeom prst="line">
                  <a:avLst/>
                </a:prstGeom>
                <a:ln w="3175">
                  <a:headEnd type="none"/>
                  <a:tailEnd type="oval" w="sm" len="sm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grpSp>
              <xdr:nvGrpSpPr>
                <xdr:cNvPr id="13" name="Group 12">
                  <a:extLst>
                    <a:ext uri="{FF2B5EF4-FFF2-40B4-BE49-F238E27FC236}">
                      <a16:creationId xmlns:a16="http://schemas.microsoft.com/office/drawing/2014/main" id="{27310758-BEFF-81BF-634D-D7067C86EC49}"/>
                    </a:ext>
                  </a:extLst>
                </xdr:cNvPr>
                <xdr:cNvGrpSpPr/>
              </xdr:nvGrpSpPr>
              <xdr:grpSpPr>
                <a:xfrm>
                  <a:off x="2052698" y="298342"/>
                  <a:ext cx="2507184" cy="1616074"/>
                  <a:chOff x="2052698" y="298342"/>
                  <a:chExt cx="2507184" cy="1616074"/>
                </a:xfrm>
              </xdr:grpSpPr>
              <xdr:grpSp>
                <xdr:nvGrpSpPr>
                  <xdr:cNvPr id="14" name="Group 13">
                    <a:extLst>
                      <a:ext uri="{FF2B5EF4-FFF2-40B4-BE49-F238E27FC236}">
                        <a16:creationId xmlns:a16="http://schemas.microsoft.com/office/drawing/2014/main" id="{14B270E1-A262-6523-B12C-21BA90A0C1F2}"/>
                      </a:ext>
                    </a:extLst>
                  </xdr:cNvPr>
                  <xdr:cNvGrpSpPr/>
                </xdr:nvGrpSpPr>
                <xdr:grpSpPr>
                  <a:xfrm>
                    <a:off x="2052698" y="473882"/>
                    <a:ext cx="2452603" cy="1440534"/>
                    <a:chOff x="2090249" y="312796"/>
                    <a:chExt cx="2999678" cy="1445402"/>
                  </a:xfrm>
                </xdr:grpSpPr>
                <xdr:cxnSp macro="">
                  <xdr:nvCxnSpPr>
                    <xdr:cNvPr id="16" name="Straight Connector 15">
                      <a:extLst>
                        <a:ext uri="{FF2B5EF4-FFF2-40B4-BE49-F238E27FC236}">
                          <a16:creationId xmlns:a16="http://schemas.microsoft.com/office/drawing/2014/main" id="{5F96376A-7638-2B75-9E9E-9D4AFCF9541D}"/>
                        </a:ext>
                      </a:extLst>
                    </xdr:cNvPr>
                    <xdr:cNvCxnSpPr/>
                  </xdr:nvCxnSpPr>
                  <xdr:spPr>
                    <a:xfrm>
                      <a:off x="3890721" y="856714"/>
                      <a:ext cx="788114" cy="0"/>
                    </a:xfrm>
                    <a:prstGeom prst="line">
                      <a:avLst/>
                    </a:prstGeom>
                    <a:ln w="6350">
                      <a:solidFill>
                        <a:srgbClr val="FF0000"/>
                      </a:solidFill>
                      <a:prstDash val="sysDot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grpSp>
                  <xdr:nvGrpSpPr>
                    <xdr:cNvPr id="17" name="Group 16">
                      <a:extLst>
                        <a:ext uri="{FF2B5EF4-FFF2-40B4-BE49-F238E27FC236}">
                          <a16:creationId xmlns:a16="http://schemas.microsoft.com/office/drawing/2014/main" id="{1392A6E3-71D1-1EC8-2C88-64D52E6975F7}"/>
                        </a:ext>
                      </a:extLst>
                    </xdr:cNvPr>
                    <xdr:cNvGrpSpPr/>
                  </xdr:nvGrpSpPr>
                  <xdr:grpSpPr>
                    <a:xfrm>
                      <a:off x="2090249" y="312796"/>
                      <a:ext cx="2999678" cy="1445402"/>
                      <a:chOff x="2090249" y="312796"/>
                      <a:chExt cx="2999678" cy="1445402"/>
                    </a:xfrm>
                  </xdr:grpSpPr>
                  <xdr:grpSp>
                    <xdr:nvGrpSpPr>
                      <xdr:cNvPr id="18" name="Group 17">
                        <a:extLst>
                          <a:ext uri="{FF2B5EF4-FFF2-40B4-BE49-F238E27FC236}">
                            <a16:creationId xmlns:a16="http://schemas.microsoft.com/office/drawing/2014/main" id="{8F2BDFC8-84F6-B22A-E3E5-2102B493C393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2090249" y="319515"/>
                        <a:ext cx="1795697" cy="1437337"/>
                        <a:chOff x="5985623" y="168425"/>
                        <a:chExt cx="1805326" cy="1431775"/>
                      </a:xfrm>
                    </xdr:grpSpPr>
                    <xdr:grpSp>
                      <xdr:nvGrpSpPr>
                        <xdr:cNvPr id="21" name="Group 20">
                          <a:extLst>
                            <a:ext uri="{FF2B5EF4-FFF2-40B4-BE49-F238E27FC236}">
                              <a16:creationId xmlns:a16="http://schemas.microsoft.com/office/drawing/2014/main" id="{E5940525-7531-5B3C-2235-1102E25A2569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6520112" y="171450"/>
                          <a:ext cx="1270837" cy="1428750"/>
                          <a:chOff x="3086100" y="295275"/>
                          <a:chExt cx="981076" cy="1076324"/>
                        </a:xfrm>
                      </xdr:grpSpPr>
                      <xdr:sp macro="" textlink="">
                        <xdr:nvSpPr>
                          <xdr:cNvPr id="25" name="Rectangle 24">
                            <a:extLst>
                              <a:ext uri="{FF2B5EF4-FFF2-40B4-BE49-F238E27FC236}">
                                <a16:creationId xmlns:a16="http://schemas.microsoft.com/office/drawing/2014/main" id="{5A763148-621A-1B78-63A2-86834B12A8BA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3086100" y="295275"/>
                            <a:ext cx="981075" cy="400050"/>
                          </a:xfrm>
                          <a:prstGeom prst="rect">
                            <a:avLst/>
                          </a:prstGeom>
                          <a:pattFill prst="dkHorz">
                            <a:fgClr>
                              <a:schemeClr val="accent1">
                                <a:lumMod val="40000"/>
                                <a:lumOff val="60000"/>
                              </a:schemeClr>
                            </a:fgClr>
                            <a:bgClr>
                              <a:schemeClr val="bg1"/>
                            </a:bgClr>
                          </a:pattFill>
                          <a:ln w="22225">
                            <a:solidFill>
                              <a:schemeClr val="tx2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ctr"/>
                          <a:lstStyle/>
                          <a:p>
                            <a:pPr algn="ctr"/>
                            <a:r>
                              <a:rPr lang="en-US" sz="900">
                                <a:solidFill>
                                  <a:srgbClr val="FF0000"/>
                                </a:solidFill>
                              </a:rPr>
                              <a:t>Compression</a:t>
                            </a:r>
                          </a:p>
                        </xdr:txBody>
                      </xdr:sp>
                      <xdr:sp macro="" textlink="">
                        <xdr:nvSpPr>
                          <xdr:cNvPr id="26" name="Rectangle 25">
                            <a:extLst>
                              <a:ext uri="{FF2B5EF4-FFF2-40B4-BE49-F238E27FC236}">
                                <a16:creationId xmlns:a16="http://schemas.microsoft.com/office/drawing/2014/main" id="{37E0A0A1-17EE-B5A4-ABB8-C7C53D93D283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3086101" y="695324"/>
                            <a:ext cx="981075" cy="676275"/>
                          </a:xfrm>
                          <a:prstGeom prst="rect">
                            <a:avLst/>
                          </a:prstGeom>
                          <a:solidFill>
                            <a:schemeClr val="accent6">
                              <a:lumMod val="40000"/>
                              <a:lumOff val="60000"/>
                            </a:schemeClr>
                          </a:solidFill>
                          <a:ln w="22225">
                            <a:solidFill>
                              <a:schemeClr val="tx2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ctr"/>
                          <a:lstStyle/>
                          <a:p>
                            <a:pPr algn="ctr"/>
                            <a:r>
                              <a:rPr lang="en-US" sz="900">
                                <a:solidFill>
                                  <a:srgbClr val="FF0000"/>
                                </a:solidFill>
                              </a:rPr>
                              <a:t>Tension</a:t>
                            </a:r>
                          </a:p>
                        </xdr:txBody>
                      </xdr:sp>
                    </xdr:grpSp>
                    <xdr:grpSp>
                      <xdr:nvGrpSpPr>
                        <xdr:cNvPr id="22" name="Group 21">
                          <a:extLst>
                            <a:ext uri="{FF2B5EF4-FFF2-40B4-BE49-F238E27FC236}">
                              <a16:creationId xmlns:a16="http://schemas.microsoft.com/office/drawing/2014/main" id="{52480661-61ED-3D07-581D-D98E2E25126E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985623" y="168425"/>
                          <a:ext cx="459089" cy="355901"/>
                          <a:chOff x="10147504" y="4191000"/>
                          <a:chExt cx="370576" cy="167180"/>
                        </a:xfrm>
                      </xdr:grpSpPr>
                      <xdr:sp macro="" textlink="">
                        <xdr:nvSpPr>
                          <xdr:cNvPr id="23" name="TextBox 22">
                            <a:extLst>
                              <a:ext uri="{FF2B5EF4-FFF2-40B4-BE49-F238E27FC236}">
                                <a16:creationId xmlns:a16="http://schemas.microsoft.com/office/drawing/2014/main" id="{36601253-60A5-172A-1FD3-B7E73CB1FC65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10147504" y="4243473"/>
                            <a:ext cx="277760" cy="114707"/>
                          </a:xfrm>
                          <a:prstGeom prst="rect">
                            <a:avLst/>
                          </a:prstGeom>
                          <a:noFill/>
                          <a:ln w="9525" cmpd="sng">
                            <a:noFill/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ctr"/>
                          <a:lstStyle/>
                          <a:p>
                            <a:r>
                              <a:rPr lang="en-US" altLang="ko-KR" sz="900"/>
                              <a:t>c</a:t>
                            </a:r>
                            <a:endParaRPr lang="en-US" sz="900"/>
                          </a:p>
                        </xdr:txBody>
                      </xdr:sp>
                      <xdr:cxnSp macro="">
                        <xdr:nvCxnSpPr>
                          <xdr:cNvPr id="24" name="Straight Connector 23">
                            <a:extLst>
                              <a:ext uri="{FF2B5EF4-FFF2-40B4-BE49-F238E27FC236}">
                                <a16:creationId xmlns:a16="http://schemas.microsoft.com/office/drawing/2014/main" id="{F044F4D3-C5FA-A6F1-AEDD-203706A2EA61}"/>
                              </a:ext>
                            </a:extLst>
                          </xdr:cNvPr>
                          <xdr:cNvCxnSpPr/>
                        </xdr:nvCxnSpPr>
                        <xdr:spPr>
                          <a:xfrm flipH="1">
                            <a:off x="10339102" y="4191000"/>
                            <a:ext cx="178978" cy="0"/>
                          </a:xfrm>
                          <a:prstGeom prst="line">
                            <a:avLst/>
                          </a:prstGeom>
                          <a:ln w="3175">
                            <a:headEnd type="none"/>
                            <a:tailEnd type="oval" w="sm" len="sm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</xdr:grpSp>
                  </xdr:grpSp>
                  <xdr:sp macro="" textlink="">
                    <xdr:nvSpPr>
                      <xdr:cNvPr id="19" name="Right Triangle 18">
                        <a:extLst>
                          <a:ext uri="{FF2B5EF4-FFF2-40B4-BE49-F238E27FC236}">
                            <a16:creationId xmlns:a16="http://schemas.microsoft.com/office/drawing/2014/main" id="{631D011A-0D7C-AC84-5D39-20399E081793}"/>
                          </a:ext>
                        </a:extLst>
                      </xdr:cNvPr>
                      <xdr:cNvSpPr/>
                    </xdr:nvSpPr>
                    <xdr:spPr>
                      <a:xfrm flipV="1">
                        <a:off x="4679526" y="312796"/>
                        <a:ext cx="410401" cy="544596"/>
                      </a:xfrm>
                      <a:prstGeom prst="rtTriangle">
                        <a:avLst/>
                      </a:prstGeom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ln w="12700"/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ctr"/>
                        <a:r>
                          <a:rPr lang="en-US" altLang="ko-KR" sz="1100">
                            <a:ln w="12700">
                              <a:solidFill>
                                <a:srgbClr val="FF0000"/>
                              </a:solidFill>
                            </a:ln>
                            <a:solidFill>
                              <a:srgbClr val="FF0000"/>
                            </a:solidFill>
                          </a:rPr>
                          <a:t>+</a:t>
                        </a:r>
                        <a:endParaRPr lang="ko-KR" altLang="en-US" sz="1100">
                          <a:ln w="12700">
                            <a:solidFill>
                              <a:srgbClr val="FF0000"/>
                            </a:solidFill>
                          </a:ln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">
                    <xdr:nvSpPr>
                      <xdr:cNvPr id="20" name="Right Triangle 19">
                        <a:extLst>
                          <a:ext uri="{FF2B5EF4-FFF2-40B4-BE49-F238E27FC236}">
                            <a16:creationId xmlns:a16="http://schemas.microsoft.com/office/drawing/2014/main" id="{CB581F53-900B-01ED-DEFF-83BBA8F904FA}"/>
                          </a:ext>
                        </a:extLst>
                      </xdr:cNvPr>
                      <xdr:cNvSpPr/>
                    </xdr:nvSpPr>
                    <xdr:spPr>
                      <a:xfrm flipH="1">
                        <a:off x="3998589" y="860417"/>
                        <a:ext cx="681505" cy="897781"/>
                      </a:xfrm>
                      <a:prstGeom prst="rtTriangle">
                        <a:avLst/>
                      </a:prstGeom>
                      <a:solidFill>
                        <a:schemeClr val="accent5">
                          <a:lumMod val="20000"/>
                          <a:lumOff val="80000"/>
                        </a:schemeClr>
                      </a:solidFill>
                      <a:ln w="12700"/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r>
                          <a:rPr lang="en-US" altLang="ko-KR" sz="1100">
                            <a:ln w="15875">
                              <a:solidFill>
                                <a:srgbClr val="FF0000"/>
                              </a:solidFill>
                            </a:ln>
                            <a:solidFill>
                              <a:srgbClr val="FF0000"/>
                            </a:solidFill>
                          </a:rPr>
                          <a:t>-</a:t>
                        </a:r>
                        <a:endParaRPr lang="ko-KR" altLang="en-US" sz="1100">
                          <a:ln w="15875">
                            <a:solidFill>
                              <a:srgbClr val="FF0000"/>
                            </a:solidFill>
                          </a:ln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</xdr:grpSp>
              </xdr:grpSp>
              <xdr:sp macro="" textlink="">
                <xdr:nvSpPr>
                  <xdr:cNvPr id="15" name="TextBox 14">
                    <a:extLst>
                      <a:ext uri="{FF2B5EF4-FFF2-40B4-BE49-F238E27FC236}">
                        <a16:creationId xmlns:a16="http://schemas.microsoft.com/office/drawing/2014/main" id="{9CCF105B-A30D-FB15-BE43-9A94099A910A}"/>
                      </a:ext>
                    </a:extLst>
                  </xdr:cNvPr>
                  <xdr:cNvSpPr txBox="1"/>
                </xdr:nvSpPr>
                <xdr:spPr>
                  <a:xfrm>
                    <a:off x="4079622" y="298342"/>
                    <a:ext cx="480260" cy="1437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n-US" altLang="ko-KR" sz="900">
                        <a:solidFill>
                          <a:srgbClr val="0070C0"/>
                        </a:solidFill>
                      </a:rPr>
                      <a:t>Strain</a:t>
                    </a:r>
                    <a:endParaRPr lang="en-US" sz="900">
                      <a:solidFill>
                        <a:srgbClr val="0070C0"/>
                      </a:solidFill>
                    </a:endParaRPr>
                  </a:p>
                </xdr:txBody>
              </xdr:sp>
            </xdr:grpSp>
          </xdr:grpSp>
          <xdr:cxnSp macro="">
            <xdr:nvCxnSpPr>
              <xdr:cNvPr id="8" name="Straight Connector 7">
                <a:extLst>
                  <a:ext uri="{FF2B5EF4-FFF2-40B4-BE49-F238E27FC236}">
                    <a16:creationId xmlns:a16="http://schemas.microsoft.com/office/drawing/2014/main" id="{84CF2538-B68B-F01A-C48A-20B005825EC7}"/>
                  </a:ext>
                </a:extLst>
              </xdr:cNvPr>
              <xdr:cNvCxnSpPr/>
            </xdr:nvCxnSpPr>
            <xdr:spPr>
              <a:xfrm>
                <a:off x="2571640" y="1253289"/>
                <a:ext cx="2139027" cy="0"/>
              </a:xfrm>
              <a:prstGeom prst="line">
                <a:avLst/>
              </a:prstGeom>
              <a:ln w="6350">
                <a:solidFill>
                  <a:srgbClr val="FF0000"/>
                </a:solidFill>
                <a:prstDash val="lgDashDot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Straight Connector 8">
                <a:extLst>
                  <a:ext uri="{FF2B5EF4-FFF2-40B4-BE49-F238E27FC236}">
                    <a16:creationId xmlns:a16="http://schemas.microsoft.com/office/drawing/2014/main" id="{FCFFC655-7BC1-C614-478F-3D0B81FEC30A}"/>
                  </a:ext>
                </a:extLst>
              </xdr:cNvPr>
              <xdr:cNvCxnSpPr/>
            </xdr:nvCxnSpPr>
            <xdr:spPr>
              <a:xfrm flipH="1">
                <a:off x="2785519" y="1253290"/>
                <a:ext cx="167509" cy="0"/>
              </a:xfrm>
              <a:prstGeom prst="line">
                <a:avLst/>
              </a:prstGeom>
              <a:ln w="3175">
                <a:headEnd type="none"/>
                <a:tailEnd type="oval" w="sm" len="sm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0" name="TextBox 9">
                <a:extLst>
                  <a:ext uri="{FF2B5EF4-FFF2-40B4-BE49-F238E27FC236}">
                    <a16:creationId xmlns:a16="http://schemas.microsoft.com/office/drawing/2014/main" id="{B872A41A-A8DD-67A7-8149-AE5D58980392}"/>
                  </a:ext>
                </a:extLst>
              </xdr:cNvPr>
              <xdr:cNvSpPr txBox="1"/>
            </xdr:nvSpPr>
            <xdr:spPr>
              <a:xfrm>
                <a:off x="2397583" y="1023005"/>
                <a:ext cx="553569" cy="24294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r>
                  <a:rPr lang="en-US" altLang="ko-KR" sz="900"/>
                  <a:t>y_NA</a:t>
                </a:r>
                <a:endParaRPr lang="en-US" sz="900"/>
              </a:p>
            </xdr:txBody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B51"/>
  <sheetViews>
    <sheetView workbookViewId="0">
      <selection activeCell="R22" sqref="R21:R22"/>
    </sheetView>
  </sheetViews>
  <sheetFormatPr defaultRowHeight="15"/>
  <cols>
    <col min="1" max="22" width="6.7109375" customWidth="1"/>
    <col min="23" max="32" width="7.7109375" customWidth="1"/>
  </cols>
  <sheetData>
    <row r="3" spans="1:28" ht="17.25">
      <c r="A3" s="1"/>
      <c r="B3" s="43" t="s">
        <v>28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R3" s="37">
        <v>-130</v>
      </c>
      <c r="S3" s="37">
        <v>-43.333333333333329</v>
      </c>
      <c r="T3" s="37">
        <v>43.333333333333343</v>
      </c>
      <c r="U3" s="37">
        <v>-130</v>
      </c>
      <c r="V3" s="37">
        <v>-43.333333333333329</v>
      </c>
      <c r="W3" s="37">
        <v>43.333333333333343</v>
      </c>
      <c r="X3" s="37">
        <v>130</v>
      </c>
      <c r="Y3" s="39">
        <v>-130</v>
      </c>
      <c r="Z3" s="39">
        <v>130</v>
      </c>
      <c r="AA3" s="39">
        <v>-130</v>
      </c>
      <c r="AB3" s="39">
        <v>130</v>
      </c>
    </row>
    <row r="4" spans="1:28">
      <c r="B4" s="10" t="s">
        <v>24</v>
      </c>
      <c r="C4" s="5" t="s">
        <v>157</v>
      </c>
      <c r="H4" s="10" t="s">
        <v>24</v>
      </c>
      <c r="I4" s="5" t="s">
        <v>19</v>
      </c>
      <c r="R4" s="38">
        <v>230</v>
      </c>
      <c r="S4" s="38">
        <v>230</v>
      </c>
      <c r="T4" s="38">
        <v>230</v>
      </c>
      <c r="U4" s="38">
        <v>-230</v>
      </c>
      <c r="V4" s="38">
        <v>-230</v>
      </c>
      <c r="W4" s="38">
        <v>-230</v>
      </c>
      <c r="X4" s="38">
        <v>-230</v>
      </c>
      <c r="Y4" s="38">
        <v>130</v>
      </c>
      <c r="Z4" s="38">
        <v>130</v>
      </c>
      <c r="AA4" s="38">
        <v>-130</v>
      </c>
      <c r="AB4" s="38">
        <v>-130</v>
      </c>
    </row>
    <row r="5" spans="1:28">
      <c r="C5" t="s">
        <v>25</v>
      </c>
      <c r="E5" s="9" t="s">
        <v>27</v>
      </c>
      <c r="F5" s="3">
        <v>400</v>
      </c>
      <c r="G5" t="s">
        <v>13</v>
      </c>
      <c r="H5" s="10"/>
      <c r="I5" s="42" t="s">
        <v>36</v>
      </c>
      <c r="J5" s="9" t="s">
        <v>27</v>
      </c>
      <c r="K5" s="3">
        <v>32</v>
      </c>
      <c r="L5" t="s">
        <v>13</v>
      </c>
    </row>
    <row r="6" spans="1:28">
      <c r="C6" t="s">
        <v>26</v>
      </c>
      <c r="E6" s="9" t="s">
        <v>27</v>
      </c>
      <c r="F6" s="3">
        <v>600</v>
      </c>
      <c r="G6" t="s">
        <v>13</v>
      </c>
      <c r="I6" t="s">
        <v>62</v>
      </c>
      <c r="J6" s="9" t="s">
        <v>27</v>
      </c>
      <c r="K6" s="8">
        <f>0.25*PI()*dia^2</f>
        <v>804.24771931898704</v>
      </c>
      <c r="L6" t="s">
        <v>10</v>
      </c>
    </row>
    <row r="7" spans="1:28">
      <c r="B7" s="10"/>
      <c r="C7" s="5"/>
      <c r="D7" s="35"/>
      <c r="E7" s="9"/>
      <c r="F7" s="3"/>
    </row>
    <row r="8" spans="1:28" ht="15.75" thickBot="1">
      <c r="B8" s="10"/>
      <c r="C8" s="35" t="s">
        <v>35</v>
      </c>
      <c r="D8" s="35"/>
    </row>
    <row r="9" spans="1:28" ht="15.75" thickTop="1">
      <c r="C9" s="22"/>
      <c r="D9" s="23" t="s">
        <v>23</v>
      </c>
      <c r="E9" s="24" t="s">
        <v>16</v>
      </c>
      <c r="G9" s="19"/>
      <c r="H9" s="20"/>
      <c r="I9" s="20" t="s">
        <v>29</v>
      </c>
      <c r="J9" s="20"/>
      <c r="K9" s="20"/>
      <c r="L9" s="20"/>
      <c r="M9" s="21"/>
    </row>
    <row r="10" spans="1:28">
      <c r="C10" s="25">
        <v>1</v>
      </c>
      <c r="D10" s="37">
        <v>-130</v>
      </c>
      <c r="E10" s="38">
        <v>230</v>
      </c>
      <c r="G10" s="14"/>
      <c r="M10" s="15"/>
    </row>
    <row r="11" spans="1:28">
      <c r="C11" s="25">
        <v>2</v>
      </c>
      <c r="D11" s="37">
        <v>-43.333333333333329</v>
      </c>
      <c r="E11" s="38">
        <v>230</v>
      </c>
      <c r="G11" s="14"/>
      <c r="M11" s="15"/>
    </row>
    <row r="12" spans="1:28">
      <c r="C12" s="25">
        <v>3</v>
      </c>
      <c r="D12" s="37">
        <v>43.333333333333343</v>
      </c>
      <c r="E12" s="38">
        <v>230</v>
      </c>
      <c r="G12" s="14"/>
      <c r="M12" s="15"/>
    </row>
    <row r="13" spans="1:28">
      <c r="C13" s="25">
        <v>4</v>
      </c>
      <c r="D13" s="37"/>
      <c r="E13" s="38"/>
      <c r="G13" s="14"/>
      <c r="M13" s="15"/>
      <c r="O13" s="27"/>
      <c r="P13" s="28" t="s">
        <v>22</v>
      </c>
      <c r="Q13" s="29" t="s">
        <v>3</v>
      </c>
    </row>
    <row r="14" spans="1:28">
      <c r="C14" s="25">
        <v>5</v>
      </c>
      <c r="D14" s="37">
        <v>-130</v>
      </c>
      <c r="E14" s="38">
        <v>-230</v>
      </c>
      <c r="G14" s="14"/>
      <c r="M14" s="15"/>
      <c r="O14" s="30">
        <v>1</v>
      </c>
      <c r="P14">
        <f>-b/2</f>
        <v>-200</v>
      </c>
      <c r="Q14" s="31">
        <f>+h/2</f>
        <v>300</v>
      </c>
    </row>
    <row r="15" spans="1:28">
      <c r="C15" s="25">
        <v>6</v>
      </c>
      <c r="D15" s="37">
        <v>-43.333333333333329</v>
      </c>
      <c r="E15" s="38">
        <v>-230</v>
      </c>
      <c r="G15" s="14"/>
      <c r="M15" s="15"/>
      <c r="O15" s="30">
        <v>2</v>
      </c>
      <c r="P15">
        <f>+b/2</f>
        <v>200</v>
      </c>
      <c r="Q15" s="31">
        <f>+h/2</f>
        <v>300</v>
      </c>
    </row>
    <row r="16" spans="1:28">
      <c r="C16" s="25">
        <v>7</v>
      </c>
      <c r="D16" s="37">
        <v>43.333333333333343</v>
      </c>
      <c r="E16" s="38">
        <v>-230</v>
      </c>
      <c r="G16" s="14"/>
      <c r="M16" s="15"/>
      <c r="O16" s="30">
        <v>3</v>
      </c>
      <c r="P16">
        <f>+b/2</f>
        <v>200</v>
      </c>
      <c r="Q16" s="31">
        <f>-h/2</f>
        <v>-300</v>
      </c>
    </row>
    <row r="17" spans="1:17">
      <c r="C17" s="25">
        <v>8</v>
      </c>
      <c r="D17" s="37">
        <v>130</v>
      </c>
      <c r="E17" s="38">
        <v>-230</v>
      </c>
      <c r="G17" s="14"/>
      <c r="M17" s="15"/>
      <c r="O17" s="30">
        <v>4</v>
      </c>
      <c r="P17">
        <f>-b/2</f>
        <v>-200</v>
      </c>
      <c r="Q17" s="31">
        <f>-h/2</f>
        <v>-300</v>
      </c>
    </row>
    <row r="18" spans="1:17">
      <c r="C18" s="25">
        <v>9</v>
      </c>
      <c r="D18" s="39">
        <v>-130</v>
      </c>
      <c r="E18" s="38">
        <v>130</v>
      </c>
      <c r="G18" s="14"/>
      <c r="M18" s="15"/>
      <c r="O18" s="32">
        <v>5</v>
      </c>
      <c r="P18" s="33">
        <f>+P14</f>
        <v>-200</v>
      </c>
      <c r="Q18" s="34">
        <f>+Q14</f>
        <v>300</v>
      </c>
    </row>
    <row r="19" spans="1:17">
      <c r="C19" s="25">
        <v>10</v>
      </c>
      <c r="D19" s="39">
        <v>130</v>
      </c>
      <c r="E19" s="38">
        <v>130</v>
      </c>
      <c r="G19" s="14"/>
      <c r="M19" s="15"/>
    </row>
    <row r="20" spans="1:17">
      <c r="C20" s="25">
        <v>11</v>
      </c>
      <c r="D20" s="39">
        <v>-130</v>
      </c>
      <c r="E20" s="38">
        <v>-130</v>
      </c>
      <c r="G20" s="14"/>
      <c r="M20" s="15"/>
    </row>
    <row r="21" spans="1:17">
      <c r="C21" s="25">
        <v>12</v>
      </c>
      <c r="D21" s="39">
        <v>130</v>
      </c>
      <c r="E21" s="38">
        <v>-130</v>
      </c>
      <c r="G21" s="14"/>
      <c r="M21" s="15"/>
    </row>
    <row r="22" spans="1:17">
      <c r="C22" s="25">
        <v>13</v>
      </c>
      <c r="D22" s="39"/>
      <c r="E22" s="38"/>
      <c r="G22" s="14"/>
      <c r="M22" s="15"/>
    </row>
    <row r="23" spans="1:17" ht="15.75" thickBot="1">
      <c r="C23" s="26">
        <v>14</v>
      </c>
      <c r="D23" s="40"/>
      <c r="E23" s="41"/>
      <c r="G23" s="16"/>
      <c r="H23" s="17"/>
      <c r="I23" s="17"/>
      <c r="J23" s="17"/>
      <c r="K23" s="17"/>
      <c r="L23" s="17"/>
      <c r="M23" s="18"/>
    </row>
    <row r="24" spans="1:17" ht="15.75" thickTop="1"/>
    <row r="26" spans="1:17">
      <c r="I26" s="4"/>
      <c r="J26" s="4"/>
      <c r="K26" s="4"/>
      <c r="L26" s="4"/>
    </row>
    <row r="27" spans="1:17" ht="17.25">
      <c r="A27" s="1"/>
      <c r="B27" s="43" t="s">
        <v>30</v>
      </c>
      <c r="C27" s="1"/>
      <c r="D27" s="1"/>
      <c r="E27" s="1"/>
      <c r="F27" s="1"/>
      <c r="G27" s="1"/>
      <c r="H27" s="1"/>
      <c r="I27" s="44"/>
      <c r="J27" s="44"/>
      <c r="K27" s="44"/>
      <c r="L27" s="44"/>
      <c r="M27" s="1"/>
    </row>
    <row r="28" spans="1:17" ht="17.25">
      <c r="A28" s="1"/>
      <c r="B28" s="43" t="s">
        <v>151</v>
      </c>
      <c r="C28" s="1"/>
      <c r="D28" s="1"/>
      <c r="E28" s="1"/>
      <c r="F28" s="1"/>
      <c r="G28" s="1"/>
      <c r="H28" s="1"/>
      <c r="I28" s="44"/>
      <c r="J28" s="44"/>
      <c r="K28" s="44"/>
      <c r="L28" s="44"/>
      <c r="M28" s="1"/>
    </row>
    <row r="29" spans="1:17">
      <c r="B29" s="10" t="s">
        <v>24</v>
      </c>
      <c r="C29" s="5" t="s">
        <v>15</v>
      </c>
      <c r="E29" t="s">
        <v>31</v>
      </c>
      <c r="F29" s="9" t="s">
        <v>27</v>
      </c>
      <c r="G29" s="3">
        <v>30</v>
      </c>
      <c r="H29" t="s">
        <v>11</v>
      </c>
      <c r="I29" s="4"/>
      <c r="J29" s="4"/>
      <c r="K29" s="4"/>
      <c r="L29" s="4"/>
    </row>
    <row r="30" spans="1:17">
      <c r="B30" s="10"/>
      <c r="C30" s="5"/>
      <c r="E30" t="s">
        <v>0</v>
      </c>
      <c r="F30" s="9" t="s">
        <v>27</v>
      </c>
      <c r="G30" s="8">
        <f>MIN(0.0033-(fck-40)/100000,0.0033)</f>
        <v>3.3E-3</v>
      </c>
      <c r="I30" s="4"/>
      <c r="J30" s="4"/>
      <c r="K30" s="4"/>
      <c r="L30" s="4"/>
      <c r="M30" s="36" t="s">
        <v>32</v>
      </c>
    </row>
    <row r="31" spans="1:17" ht="15.75" thickBot="1"/>
    <row r="32" spans="1:17" ht="15.75" thickTop="1">
      <c r="B32" s="11"/>
      <c r="C32" s="12" t="s">
        <v>34</v>
      </c>
      <c r="D32" s="12"/>
      <c r="E32" s="12"/>
      <c r="F32" s="12"/>
      <c r="G32" s="12"/>
      <c r="H32" s="12"/>
      <c r="I32" s="6"/>
      <c r="J32" s="6"/>
      <c r="K32" s="6"/>
      <c r="L32" s="6"/>
      <c r="M32" s="45" t="s">
        <v>32</v>
      </c>
    </row>
    <row r="33" spans="2:17">
      <c r="B33" s="14"/>
      <c r="M33" s="15"/>
    </row>
    <row r="34" spans="2:17" ht="17.25">
      <c r="B34" s="14"/>
      <c r="C34" t="s">
        <v>6</v>
      </c>
      <c r="E34" t="s">
        <v>7</v>
      </c>
      <c r="F34" s="8"/>
      <c r="I34" s="4"/>
      <c r="J34" s="4"/>
      <c r="K34" s="4"/>
      <c r="L34" s="4"/>
      <c r="M34" s="15"/>
      <c r="O34" s="27"/>
      <c r="P34" s="28" t="s">
        <v>33</v>
      </c>
      <c r="Q34" s="29" t="s">
        <v>21</v>
      </c>
    </row>
    <row r="35" spans="2:17">
      <c r="B35" s="14"/>
      <c r="C35" t="s">
        <v>8</v>
      </c>
      <c r="E35" t="s">
        <v>9</v>
      </c>
      <c r="F35" s="8"/>
      <c r="I35" s="4"/>
      <c r="J35" s="4"/>
      <c r="K35" s="4"/>
      <c r="L35" s="4"/>
      <c r="M35" s="15"/>
      <c r="O35" s="30">
        <v>1</v>
      </c>
      <c r="P35">
        <v>0</v>
      </c>
      <c r="Q35" s="31">
        <f t="shared" ref="Q35" si="0">+IF(P35&gt;=0,IF(P35&lt;=eco,1-(1-P35/eco)^$E$40,1),0)*pc*0.85*fck</f>
        <v>0</v>
      </c>
    </row>
    <row r="36" spans="2:17">
      <c r="B36" s="14"/>
      <c r="E36" s="9"/>
      <c r="F36" s="8"/>
      <c r="I36" s="4"/>
      <c r="J36" s="4"/>
      <c r="K36" s="4"/>
      <c r="L36" s="4"/>
      <c r="M36" s="15"/>
      <c r="O36" s="30">
        <v>2</v>
      </c>
      <c r="P36">
        <f t="shared" ref="P36:P44" si="1">+ecu/10*(O36-1)</f>
        <v>3.3E-4</v>
      </c>
      <c r="Q36" s="31">
        <f t="shared" ref="Q36:Q44" si="2">+IF(P36&gt;=0,IF(P36&lt;=eco,1-(1-P36/eco)^$E$40,1),0)*0.85*fck</f>
        <v>7.7207625000000011</v>
      </c>
    </row>
    <row r="37" spans="2:17">
      <c r="B37" s="14"/>
      <c r="F37" s="8"/>
      <c r="I37" s="4"/>
      <c r="J37" s="4"/>
      <c r="K37" s="4"/>
      <c r="L37" s="4"/>
      <c r="M37" s="46"/>
      <c r="O37" s="30">
        <v>3</v>
      </c>
      <c r="P37">
        <f t="shared" si="1"/>
        <v>6.6E-4</v>
      </c>
      <c r="Q37" s="31">
        <f t="shared" si="2"/>
        <v>14.053050000000002</v>
      </c>
    </row>
    <row r="38" spans="2:17">
      <c r="B38" s="14"/>
      <c r="F38" s="8"/>
      <c r="I38" s="4"/>
      <c r="J38" s="4"/>
      <c r="K38" s="4"/>
      <c r="L38" s="4"/>
      <c r="M38" s="15"/>
      <c r="O38" s="30">
        <v>4</v>
      </c>
      <c r="P38">
        <f t="shared" si="1"/>
        <v>9.8999999999999999E-4</v>
      </c>
      <c r="Q38" s="31">
        <f t="shared" si="2"/>
        <v>18.996862499999995</v>
      </c>
    </row>
    <row r="39" spans="2:17">
      <c r="B39" s="14"/>
      <c r="F39" s="8"/>
      <c r="I39" s="4"/>
      <c r="J39" s="4"/>
      <c r="K39" s="4"/>
      <c r="L39" s="4"/>
      <c r="M39" s="15"/>
      <c r="O39" s="30">
        <v>5</v>
      </c>
      <c r="P39">
        <f t="shared" si="1"/>
        <v>1.32E-3</v>
      </c>
      <c r="Q39" s="31">
        <f t="shared" si="2"/>
        <v>22.552200000000003</v>
      </c>
    </row>
    <row r="40" spans="2:17">
      <c r="B40" s="14"/>
      <c r="C40" t="s">
        <v>4</v>
      </c>
      <c r="D40" s="7" t="s">
        <v>27</v>
      </c>
      <c r="E40" s="8">
        <f>MIN(1.2+1.5*((100-fck)/60)^4,2)</f>
        <v>2</v>
      </c>
      <c r="F40" s="8"/>
      <c r="I40" s="4"/>
      <c r="J40" s="4"/>
      <c r="K40" s="4"/>
      <c r="L40" s="4"/>
      <c r="M40" s="15"/>
      <c r="O40" s="30">
        <v>6</v>
      </c>
      <c r="P40">
        <f t="shared" si="1"/>
        <v>1.65E-3</v>
      </c>
      <c r="Q40" s="31">
        <f t="shared" si="2"/>
        <v>24.719062499999996</v>
      </c>
    </row>
    <row r="41" spans="2:17">
      <c r="B41" s="14"/>
      <c r="C41" t="s">
        <v>5</v>
      </c>
      <c r="D41" s="7" t="s">
        <v>27</v>
      </c>
      <c r="E41" s="8">
        <f>MAX(0.002+(fck-40)/100000,0.002)</f>
        <v>2E-3</v>
      </c>
      <c r="I41" s="4"/>
      <c r="J41" s="4"/>
      <c r="K41" s="4"/>
      <c r="L41" s="4"/>
      <c r="M41" s="15"/>
      <c r="O41" s="30">
        <v>7</v>
      </c>
      <c r="P41">
        <f t="shared" si="1"/>
        <v>1.98E-3</v>
      </c>
      <c r="Q41" s="31">
        <f t="shared" si="2"/>
        <v>25.497450000000001</v>
      </c>
    </row>
    <row r="42" spans="2:17">
      <c r="B42" s="14"/>
      <c r="I42" s="4"/>
      <c r="J42" s="4"/>
      <c r="K42" s="4"/>
      <c r="L42" s="4"/>
      <c r="M42" s="15"/>
      <c r="O42" s="30">
        <v>8</v>
      </c>
      <c r="P42">
        <f t="shared" si="1"/>
        <v>2.31E-3</v>
      </c>
      <c r="Q42" s="31">
        <f t="shared" si="2"/>
        <v>25.5</v>
      </c>
    </row>
    <row r="43" spans="2:17">
      <c r="B43" s="14"/>
      <c r="E43" s="9"/>
      <c r="F43" s="8"/>
      <c r="I43" s="4"/>
      <c r="J43" s="4"/>
      <c r="K43" s="4"/>
      <c r="L43" s="4"/>
      <c r="M43" s="15"/>
      <c r="O43" s="30">
        <v>9</v>
      </c>
      <c r="P43">
        <f t="shared" si="1"/>
        <v>2.64E-3</v>
      </c>
      <c r="Q43" s="31">
        <f t="shared" si="2"/>
        <v>25.5</v>
      </c>
    </row>
    <row r="44" spans="2:17">
      <c r="B44" s="14"/>
      <c r="F44" s="8"/>
      <c r="I44" s="4"/>
      <c r="J44" s="4"/>
      <c r="K44" s="4"/>
      <c r="L44" s="4"/>
      <c r="M44" s="15"/>
      <c r="O44" s="32">
        <v>10</v>
      </c>
      <c r="P44" s="33">
        <f t="shared" si="1"/>
        <v>2.97E-3</v>
      </c>
      <c r="Q44" s="34">
        <f t="shared" si="2"/>
        <v>25.5</v>
      </c>
    </row>
    <row r="45" spans="2:17">
      <c r="B45" s="14"/>
      <c r="F45" s="8"/>
      <c r="I45" s="4"/>
      <c r="J45" s="4"/>
      <c r="K45" s="4"/>
      <c r="L45" s="4"/>
      <c r="M45" s="15"/>
    </row>
    <row r="46" spans="2:17" ht="15.75" thickBot="1">
      <c r="B46" s="16"/>
      <c r="C46" s="17"/>
      <c r="D46" s="17"/>
      <c r="E46" s="17"/>
      <c r="F46" s="47"/>
      <c r="G46" s="17"/>
      <c r="H46" s="17"/>
      <c r="I46" s="48"/>
      <c r="J46" s="48"/>
      <c r="K46" s="48"/>
      <c r="L46" s="48"/>
      <c r="M46" s="18"/>
    </row>
    <row r="47" spans="2:17" ht="15.75" thickTop="1">
      <c r="F47" s="8"/>
      <c r="I47" s="4"/>
      <c r="J47" s="4"/>
      <c r="K47" s="4"/>
      <c r="L47" s="4"/>
    </row>
    <row r="48" spans="2:17">
      <c r="B48" s="10" t="s">
        <v>24</v>
      </c>
      <c r="C48" s="5" t="s">
        <v>37</v>
      </c>
      <c r="F48" s="8"/>
      <c r="I48" s="4"/>
      <c r="L48" s="4"/>
    </row>
    <row r="49" spans="3:12">
      <c r="C49" t="s">
        <v>17</v>
      </c>
      <c r="D49" s="7" t="s">
        <v>27</v>
      </c>
      <c r="E49" s="3">
        <v>200000</v>
      </c>
      <c r="F49" t="s">
        <v>11</v>
      </c>
      <c r="I49" s="4"/>
      <c r="L49" s="4"/>
    </row>
    <row r="50" spans="3:12">
      <c r="C50" t="s">
        <v>38</v>
      </c>
      <c r="D50" s="7" t="s">
        <v>27</v>
      </c>
      <c r="E50" s="3">
        <v>400</v>
      </c>
      <c r="F50" t="s">
        <v>11</v>
      </c>
      <c r="I50" s="4"/>
    </row>
    <row r="51" spans="3:12">
      <c r="I51" s="4"/>
    </row>
  </sheetData>
  <pageMargins left="0.59055118110236227" right="0.59055118110236227" top="0.78740157480314965" bottom="0.78740157480314965" header="0.51181102362204722" footer="0.51181102362204722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FF79-532B-4B93-9D57-DE7B046CEAD2}">
  <dimension ref="A2:O128"/>
  <sheetViews>
    <sheetView zoomScaleNormal="100" workbookViewId="0">
      <selection activeCell="B15" sqref="B15:F15"/>
    </sheetView>
  </sheetViews>
  <sheetFormatPr defaultRowHeight="15"/>
  <cols>
    <col min="1" max="15" width="9.7109375" customWidth="1"/>
    <col min="16" max="16" width="11.85546875" customWidth="1"/>
  </cols>
  <sheetData>
    <row r="2" spans="1:15" ht="17.25">
      <c r="A2" s="1"/>
      <c r="B2" s="43" t="s">
        <v>158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1:15">
      <c r="I4" t="s">
        <v>177</v>
      </c>
      <c r="K4" t="s">
        <v>178</v>
      </c>
    </row>
    <row r="9" spans="1:15" ht="16.5">
      <c r="G9" s="50"/>
      <c r="I9" s="79" t="s">
        <v>51</v>
      </c>
      <c r="J9" s="80" t="s">
        <v>1</v>
      </c>
      <c r="K9" s="81" t="s">
        <v>52</v>
      </c>
      <c r="L9" s="81" t="s">
        <v>53</v>
      </c>
      <c r="M9" s="80" t="s">
        <v>56</v>
      </c>
      <c r="N9" s="80" t="s">
        <v>57</v>
      </c>
      <c r="O9" s="82" t="s">
        <v>54</v>
      </c>
    </row>
    <row r="10" spans="1:15">
      <c r="I10" s="30">
        <v>1</v>
      </c>
      <c r="J10">
        <v>100</v>
      </c>
      <c r="K10" s="2">
        <f>+E28</f>
        <v>813995.13900000008</v>
      </c>
      <c r="L10" s="77">
        <f>+G28</f>
        <v>210675176.31000006</v>
      </c>
      <c r="M10" s="78">
        <f>(K10-K11)/K10</f>
        <v>5.1210978423638326E-5</v>
      </c>
      <c r="N10" s="78">
        <f>(L10-L11)/L10</f>
        <v>3.3411007372680397E-5</v>
      </c>
      <c r="O10" s="31" t="b">
        <f>+MIN(M10,N10)&lt;=F15</f>
        <v>1</v>
      </c>
    </row>
    <row r="11" spans="1:15">
      <c r="C11" s="49"/>
      <c r="D11" s="36"/>
      <c r="I11" s="30">
        <v>2</v>
      </c>
      <c r="J11">
        <v>200</v>
      </c>
      <c r="K11" s="2">
        <f>+M28</f>
        <v>813953.45351249981</v>
      </c>
      <c r="L11" s="77">
        <f>+O28</f>
        <v>210668137.44013113</v>
      </c>
      <c r="O11" s="31"/>
    </row>
    <row r="12" spans="1:15">
      <c r="G12" s="50"/>
      <c r="I12" s="32"/>
      <c r="J12" s="33"/>
      <c r="K12" s="33"/>
      <c r="L12" s="33"/>
      <c r="M12" s="33"/>
      <c r="N12" s="33"/>
      <c r="O12" s="34"/>
    </row>
    <row r="13" spans="1:15">
      <c r="G13" s="50"/>
    </row>
    <row r="14" spans="1:15">
      <c r="G14" s="9"/>
    </row>
    <row r="15" spans="1:15">
      <c r="B15" s="75" t="s">
        <v>55</v>
      </c>
      <c r="C15" s="75"/>
      <c r="D15" s="75" t="s">
        <v>159</v>
      </c>
      <c r="E15" s="75"/>
      <c r="F15" s="152">
        <v>1E-3</v>
      </c>
      <c r="G15" s="9"/>
    </row>
    <row r="16" spans="1:15">
      <c r="B16" s="75"/>
      <c r="C16" s="75"/>
      <c r="D16" s="75"/>
      <c r="E16" s="75"/>
      <c r="F16" s="76"/>
      <c r="G16" s="9"/>
    </row>
    <row r="18" spans="1:15">
      <c r="A18" t="s">
        <v>161</v>
      </c>
    </row>
    <row r="19" spans="1:15">
      <c r="A19" t="s">
        <v>160</v>
      </c>
    </row>
    <row r="21" spans="1:15" ht="15.75" thickBot="1">
      <c r="A21" t="s">
        <v>48</v>
      </c>
      <c r="E21" t="s">
        <v>49</v>
      </c>
      <c r="I21" t="s">
        <v>48</v>
      </c>
      <c r="M21" t="s">
        <v>49</v>
      </c>
    </row>
    <row r="22" spans="1:15" ht="15.75" thickTop="1">
      <c r="A22" s="67" t="s">
        <v>40</v>
      </c>
      <c r="B22" s="68">
        <v>100</v>
      </c>
      <c r="C22" s="13" t="s">
        <v>13</v>
      </c>
      <c r="E22" s="67" t="s">
        <v>41</v>
      </c>
      <c r="F22" s="72">
        <f>B$22/B$23</f>
        <v>2</v>
      </c>
      <c r="G22" s="13" t="s">
        <v>13</v>
      </c>
      <c r="I22" s="67" t="s">
        <v>40</v>
      </c>
      <c r="J22" s="68">
        <v>100</v>
      </c>
      <c r="K22" s="13" t="s">
        <v>13</v>
      </c>
      <c r="M22" s="67" t="s">
        <v>41</v>
      </c>
      <c r="N22" s="72">
        <f>J$22/J$23</f>
        <v>1</v>
      </c>
      <c r="O22" s="13" t="s">
        <v>13</v>
      </c>
    </row>
    <row r="23" spans="1:15" ht="15.75" thickBot="1">
      <c r="A23" s="70" t="s">
        <v>1</v>
      </c>
      <c r="B23" s="73">
        <v>50</v>
      </c>
      <c r="C23" s="18" t="s">
        <v>39</v>
      </c>
      <c r="E23" s="69" t="s">
        <v>42</v>
      </c>
      <c r="F23" s="66">
        <f>+b</f>
        <v>400</v>
      </c>
      <c r="G23" s="15" t="s">
        <v>13</v>
      </c>
      <c r="I23" s="70" t="s">
        <v>1</v>
      </c>
      <c r="J23" s="73">
        <v>100</v>
      </c>
      <c r="K23" s="18" t="s">
        <v>39</v>
      </c>
      <c r="M23" s="69" t="s">
        <v>42</v>
      </c>
      <c r="N23" s="66">
        <f>+b</f>
        <v>400</v>
      </c>
      <c r="O23" s="15" t="s">
        <v>13</v>
      </c>
    </row>
    <row r="24" spans="1:15" ht="16.5" thickTop="1" thickBot="1">
      <c r="E24" s="70" t="s">
        <v>43</v>
      </c>
      <c r="F24" s="71">
        <f>+F22*F23</f>
        <v>800</v>
      </c>
      <c r="G24" s="18" t="s">
        <v>10</v>
      </c>
      <c r="M24" s="70" t="s">
        <v>43</v>
      </c>
      <c r="N24" s="71">
        <f>+N22*N23</f>
        <v>400</v>
      </c>
      <c r="O24" s="18" t="s">
        <v>10</v>
      </c>
    </row>
    <row r="25" spans="1:15" ht="16.5" thickTop="1" thickBot="1"/>
    <row r="26" spans="1:15" s="58" customFormat="1" ht="21" customHeight="1" thickTop="1">
      <c r="A26" s="55" t="s">
        <v>2</v>
      </c>
      <c r="B26" s="56" t="s">
        <v>50</v>
      </c>
      <c r="C26" s="56" t="s">
        <v>46</v>
      </c>
      <c r="D26" s="56" t="s">
        <v>47</v>
      </c>
      <c r="E26" s="56" t="s">
        <v>65</v>
      </c>
      <c r="F26" s="56" t="s">
        <v>3</v>
      </c>
      <c r="G26" s="57" t="s">
        <v>66</v>
      </c>
      <c r="I26" s="55" t="s">
        <v>2</v>
      </c>
      <c r="J26" s="56" t="s">
        <v>50</v>
      </c>
      <c r="K26" s="56" t="s">
        <v>46</v>
      </c>
      <c r="L26" s="56" t="s">
        <v>47</v>
      </c>
      <c r="M26" s="56" t="s">
        <v>65</v>
      </c>
      <c r="N26" s="56" t="s">
        <v>3</v>
      </c>
      <c r="O26" s="57" t="s">
        <v>66</v>
      </c>
    </row>
    <row r="27" spans="1:15">
      <c r="A27" s="59" t="s">
        <v>45</v>
      </c>
      <c r="B27" s="60" t="s">
        <v>13</v>
      </c>
      <c r="C27" s="60"/>
      <c r="D27" s="60" t="s">
        <v>11</v>
      </c>
      <c r="E27" s="60" t="s">
        <v>12</v>
      </c>
      <c r="F27" s="60" t="s">
        <v>13</v>
      </c>
      <c r="G27" s="61" t="s">
        <v>14</v>
      </c>
      <c r="I27" s="59" t="s">
        <v>45</v>
      </c>
      <c r="J27" s="60" t="s">
        <v>13</v>
      </c>
      <c r="K27" s="60"/>
      <c r="L27" s="60" t="s">
        <v>11</v>
      </c>
      <c r="M27" s="60" t="s">
        <v>12</v>
      </c>
      <c r="N27" s="60" t="s">
        <v>13</v>
      </c>
      <c r="O27" s="61" t="s">
        <v>14</v>
      </c>
    </row>
    <row r="28" spans="1:15" ht="20.25" customHeight="1">
      <c r="A28" s="62" t="s">
        <v>44</v>
      </c>
      <c r="B28" s="63"/>
      <c r="C28" s="63"/>
      <c r="D28" s="63"/>
      <c r="E28" s="64">
        <f>+SUM(E29:E128)</f>
        <v>813995.13900000008</v>
      </c>
      <c r="F28" s="63"/>
      <c r="G28" s="65">
        <f>+SUM(G29:G128)</f>
        <v>210675176.31000006</v>
      </c>
      <c r="I28" s="62" t="s">
        <v>44</v>
      </c>
      <c r="J28" s="63"/>
      <c r="K28" s="63"/>
      <c r="L28" s="63"/>
      <c r="M28" s="64">
        <f>+SUM(M29:M228)</f>
        <v>813953.45351249981</v>
      </c>
      <c r="N28" s="63"/>
      <c r="O28" s="65">
        <f>+SUM(O29:O228)</f>
        <v>210668137.44013113</v>
      </c>
    </row>
    <row r="29" spans="1:15">
      <c r="A29" s="25">
        <v>1</v>
      </c>
      <c r="B29" s="51">
        <f t="shared" ref="B29:B60" si="0">B$22/B$23*(A29-1)+F$22/2</f>
        <v>1</v>
      </c>
      <c r="C29" s="74">
        <f t="shared" ref="C29:C60" si="1">+(B$22-B29)/B$22*ecu</f>
        <v>3.2669999999999999E-3</v>
      </c>
      <c r="D29" s="52">
        <f t="shared" ref="D29:D60" si="2">+IF(C29&gt;=0,IF(C29&lt;=eco,1-(1-C29/eco)^n,1),0)*0.85*fck</f>
        <v>25.5</v>
      </c>
      <c r="E29" s="53">
        <f t="shared" ref="E29:E60" si="3">+D29*F$24</f>
        <v>20400</v>
      </c>
      <c r="F29" s="51">
        <f>+h/2-B29</f>
        <v>299</v>
      </c>
      <c r="G29" s="54">
        <f>+E29*F29</f>
        <v>6099600</v>
      </c>
      <c r="I29" s="25">
        <v>1</v>
      </c>
      <c r="J29" s="51">
        <f>J$22/J$23*(I29-1)+N$22/2</f>
        <v>0.5</v>
      </c>
      <c r="K29" s="74">
        <f t="shared" ref="K29:K60" si="4">+(J$22-J29)/J$22*ecu</f>
        <v>3.2835E-3</v>
      </c>
      <c r="L29" s="52">
        <f t="shared" ref="L29:L60" si="5">+IF(K29&gt;=0,IF(K29&lt;=eco,1-(1-K29/eco)^n,1),0)*0.85*fck</f>
        <v>25.5</v>
      </c>
      <c r="M29" s="53">
        <f>+L29*N$24</f>
        <v>10200</v>
      </c>
      <c r="N29" s="51">
        <f t="shared" ref="N29:N60" si="6">+h/2-J29</f>
        <v>299.5</v>
      </c>
      <c r="O29" s="54">
        <f>+M29*N29</f>
        <v>3054900</v>
      </c>
    </row>
    <row r="30" spans="1:15">
      <c r="A30" s="25">
        <v>2</v>
      </c>
      <c r="B30" s="51">
        <f t="shared" si="0"/>
        <v>3</v>
      </c>
      <c r="C30" s="74">
        <f t="shared" si="1"/>
        <v>3.2009999999999999E-3</v>
      </c>
      <c r="D30" s="52">
        <f t="shared" si="2"/>
        <v>25.5</v>
      </c>
      <c r="E30" s="53">
        <f t="shared" si="3"/>
        <v>20400</v>
      </c>
      <c r="F30" s="51">
        <f t="shared" ref="F30:F60" si="7">+h/2-B30</f>
        <v>297</v>
      </c>
      <c r="G30" s="54">
        <f t="shared" ref="G30:G78" si="8">+E30*F30</f>
        <v>6058800</v>
      </c>
      <c r="I30" s="25">
        <v>2</v>
      </c>
      <c r="J30" s="51">
        <f t="shared" ref="J30:J93" si="9">J$22/J$23*(I30-1)+N$22/2</f>
        <v>1.5</v>
      </c>
      <c r="K30" s="74">
        <f t="shared" si="4"/>
        <v>3.2504999999999999E-3</v>
      </c>
      <c r="L30" s="52">
        <f t="shared" si="5"/>
        <v>25.5</v>
      </c>
      <c r="M30" s="53">
        <f t="shared" ref="M30:M93" si="10">+L30*N$24</f>
        <v>10200</v>
      </c>
      <c r="N30" s="51">
        <f t="shared" si="6"/>
        <v>298.5</v>
      </c>
      <c r="O30" s="54">
        <f t="shared" ref="O30:O93" si="11">+M30*N30</f>
        <v>3044700</v>
      </c>
    </row>
    <row r="31" spans="1:15">
      <c r="A31" s="25">
        <v>3</v>
      </c>
      <c r="B31" s="51">
        <f t="shared" si="0"/>
        <v>5</v>
      </c>
      <c r="C31" s="74">
        <f t="shared" si="1"/>
        <v>3.1349999999999998E-3</v>
      </c>
      <c r="D31" s="52">
        <f t="shared" si="2"/>
        <v>25.5</v>
      </c>
      <c r="E31" s="53">
        <f t="shared" si="3"/>
        <v>20400</v>
      </c>
      <c r="F31" s="51">
        <f t="shared" si="7"/>
        <v>295</v>
      </c>
      <c r="G31" s="54">
        <f t="shared" si="8"/>
        <v>6018000</v>
      </c>
      <c r="I31" s="25">
        <v>3</v>
      </c>
      <c r="J31" s="51">
        <f t="shared" si="9"/>
        <v>2.5</v>
      </c>
      <c r="K31" s="74">
        <f t="shared" si="4"/>
        <v>3.2174999999999999E-3</v>
      </c>
      <c r="L31" s="52">
        <f t="shared" si="5"/>
        <v>25.5</v>
      </c>
      <c r="M31" s="53">
        <f t="shared" si="10"/>
        <v>10200</v>
      </c>
      <c r="N31" s="51">
        <f t="shared" si="6"/>
        <v>297.5</v>
      </c>
      <c r="O31" s="54">
        <f t="shared" si="11"/>
        <v>3034500</v>
      </c>
    </row>
    <row r="32" spans="1:15">
      <c r="A32" s="25">
        <v>4</v>
      </c>
      <c r="B32" s="51">
        <f t="shared" si="0"/>
        <v>7</v>
      </c>
      <c r="C32" s="74">
        <f t="shared" si="1"/>
        <v>3.0690000000000001E-3</v>
      </c>
      <c r="D32" s="52">
        <f t="shared" si="2"/>
        <v>25.5</v>
      </c>
      <c r="E32" s="53">
        <f t="shared" si="3"/>
        <v>20400</v>
      </c>
      <c r="F32" s="51">
        <f t="shared" si="7"/>
        <v>293</v>
      </c>
      <c r="G32" s="54">
        <f t="shared" si="8"/>
        <v>5977200</v>
      </c>
      <c r="I32" s="25">
        <v>4</v>
      </c>
      <c r="J32" s="51">
        <f t="shared" si="9"/>
        <v>3.5</v>
      </c>
      <c r="K32" s="74">
        <f t="shared" si="4"/>
        <v>3.1844999999999998E-3</v>
      </c>
      <c r="L32" s="52">
        <f t="shared" si="5"/>
        <v>25.5</v>
      </c>
      <c r="M32" s="53">
        <f t="shared" si="10"/>
        <v>10200</v>
      </c>
      <c r="N32" s="51">
        <f t="shared" si="6"/>
        <v>296.5</v>
      </c>
      <c r="O32" s="54">
        <f t="shared" si="11"/>
        <v>3024300</v>
      </c>
    </row>
    <row r="33" spans="1:15">
      <c r="A33" s="25">
        <v>5</v>
      </c>
      <c r="B33" s="51">
        <f t="shared" si="0"/>
        <v>9</v>
      </c>
      <c r="C33" s="74">
        <f t="shared" si="1"/>
        <v>3.003E-3</v>
      </c>
      <c r="D33" s="52">
        <f t="shared" si="2"/>
        <v>25.5</v>
      </c>
      <c r="E33" s="53">
        <f t="shared" si="3"/>
        <v>20400</v>
      </c>
      <c r="F33" s="51">
        <f t="shared" si="7"/>
        <v>291</v>
      </c>
      <c r="G33" s="54">
        <f t="shared" si="8"/>
        <v>5936400</v>
      </c>
      <c r="I33" s="25">
        <v>5</v>
      </c>
      <c r="J33" s="51">
        <f t="shared" si="9"/>
        <v>4.5</v>
      </c>
      <c r="K33" s="74">
        <f t="shared" si="4"/>
        <v>3.1514999999999998E-3</v>
      </c>
      <c r="L33" s="52">
        <f t="shared" si="5"/>
        <v>25.5</v>
      </c>
      <c r="M33" s="53">
        <f t="shared" si="10"/>
        <v>10200</v>
      </c>
      <c r="N33" s="51">
        <f t="shared" si="6"/>
        <v>295.5</v>
      </c>
      <c r="O33" s="54">
        <f t="shared" si="11"/>
        <v>3014100</v>
      </c>
    </row>
    <row r="34" spans="1:15">
      <c r="A34" s="25">
        <v>6</v>
      </c>
      <c r="B34" s="51">
        <f t="shared" si="0"/>
        <v>11</v>
      </c>
      <c r="C34" s="74">
        <f t="shared" si="1"/>
        <v>2.9369999999999999E-3</v>
      </c>
      <c r="D34" s="52">
        <f t="shared" si="2"/>
        <v>25.5</v>
      </c>
      <c r="E34" s="53">
        <f t="shared" si="3"/>
        <v>20400</v>
      </c>
      <c r="F34" s="51">
        <f t="shared" si="7"/>
        <v>289</v>
      </c>
      <c r="G34" s="54">
        <f t="shared" si="8"/>
        <v>5895600</v>
      </c>
      <c r="I34" s="25">
        <v>6</v>
      </c>
      <c r="J34" s="51">
        <f t="shared" si="9"/>
        <v>5.5</v>
      </c>
      <c r="K34" s="74">
        <f t="shared" si="4"/>
        <v>3.1184999999999997E-3</v>
      </c>
      <c r="L34" s="52">
        <f t="shared" si="5"/>
        <v>25.5</v>
      </c>
      <c r="M34" s="53">
        <f t="shared" si="10"/>
        <v>10200</v>
      </c>
      <c r="N34" s="51">
        <f t="shared" si="6"/>
        <v>294.5</v>
      </c>
      <c r="O34" s="54">
        <f t="shared" si="11"/>
        <v>3003900</v>
      </c>
    </row>
    <row r="35" spans="1:15">
      <c r="A35" s="25">
        <v>7</v>
      </c>
      <c r="B35" s="51">
        <f t="shared" si="0"/>
        <v>13</v>
      </c>
      <c r="C35" s="74">
        <f t="shared" si="1"/>
        <v>2.8709999999999999E-3</v>
      </c>
      <c r="D35" s="52">
        <f t="shared" si="2"/>
        <v>25.5</v>
      </c>
      <c r="E35" s="53">
        <f t="shared" si="3"/>
        <v>20400</v>
      </c>
      <c r="F35" s="51">
        <f t="shared" si="7"/>
        <v>287</v>
      </c>
      <c r="G35" s="54">
        <f t="shared" si="8"/>
        <v>5854800</v>
      </c>
      <c r="I35" s="25">
        <v>7</v>
      </c>
      <c r="J35" s="51">
        <f t="shared" si="9"/>
        <v>6.5</v>
      </c>
      <c r="K35" s="74">
        <f t="shared" si="4"/>
        <v>3.0855000000000001E-3</v>
      </c>
      <c r="L35" s="52">
        <f t="shared" si="5"/>
        <v>25.5</v>
      </c>
      <c r="M35" s="53">
        <f t="shared" si="10"/>
        <v>10200</v>
      </c>
      <c r="N35" s="51">
        <f t="shared" si="6"/>
        <v>293.5</v>
      </c>
      <c r="O35" s="54">
        <f t="shared" si="11"/>
        <v>2993700</v>
      </c>
    </row>
    <row r="36" spans="1:15">
      <c r="A36" s="25">
        <v>8</v>
      </c>
      <c r="B36" s="51">
        <f t="shared" si="0"/>
        <v>15</v>
      </c>
      <c r="C36" s="74">
        <f t="shared" si="1"/>
        <v>2.8049999999999998E-3</v>
      </c>
      <c r="D36" s="52">
        <f t="shared" si="2"/>
        <v>25.5</v>
      </c>
      <c r="E36" s="53">
        <f t="shared" si="3"/>
        <v>20400</v>
      </c>
      <c r="F36" s="51">
        <f t="shared" si="7"/>
        <v>285</v>
      </c>
      <c r="G36" s="54">
        <f t="shared" si="8"/>
        <v>5814000</v>
      </c>
      <c r="I36" s="25">
        <v>8</v>
      </c>
      <c r="J36" s="51">
        <f t="shared" si="9"/>
        <v>7.5</v>
      </c>
      <c r="K36" s="74">
        <f t="shared" si="4"/>
        <v>3.0525000000000001E-3</v>
      </c>
      <c r="L36" s="52">
        <f t="shared" si="5"/>
        <v>25.5</v>
      </c>
      <c r="M36" s="53">
        <f t="shared" si="10"/>
        <v>10200</v>
      </c>
      <c r="N36" s="51">
        <f t="shared" si="6"/>
        <v>292.5</v>
      </c>
      <c r="O36" s="54">
        <f t="shared" si="11"/>
        <v>2983500</v>
      </c>
    </row>
    <row r="37" spans="1:15">
      <c r="A37" s="25">
        <v>9</v>
      </c>
      <c r="B37" s="51">
        <f t="shared" si="0"/>
        <v>17</v>
      </c>
      <c r="C37" s="74">
        <f t="shared" si="1"/>
        <v>2.7389999999999997E-3</v>
      </c>
      <c r="D37" s="52">
        <f t="shared" si="2"/>
        <v>25.5</v>
      </c>
      <c r="E37" s="53">
        <f t="shared" si="3"/>
        <v>20400</v>
      </c>
      <c r="F37" s="51">
        <f t="shared" si="7"/>
        <v>283</v>
      </c>
      <c r="G37" s="54">
        <f t="shared" si="8"/>
        <v>5773200</v>
      </c>
      <c r="I37" s="25">
        <v>9</v>
      </c>
      <c r="J37" s="51">
        <f t="shared" si="9"/>
        <v>8.5</v>
      </c>
      <c r="K37" s="74">
        <f t="shared" si="4"/>
        <v>3.0195E-3</v>
      </c>
      <c r="L37" s="52">
        <f t="shared" si="5"/>
        <v>25.5</v>
      </c>
      <c r="M37" s="53">
        <f t="shared" si="10"/>
        <v>10200</v>
      </c>
      <c r="N37" s="51">
        <f t="shared" si="6"/>
        <v>291.5</v>
      </c>
      <c r="O37" s="54">
        <f t="shared" si="11"/>
        <v>2973300</v>
      </c>
    </row>
    <row r="38" spans="1:15">
      <c r="A38" s="25">
        <v>10</v>
      </c>
      <c r="B38" s="51">
        <f t="shared" si="0"/>
        <v>19</v>
      </c>
      <c r="C38" s="74">
        <f t="shared" si="1"/>
        <v>2.673E-3</v>
      </c>
      <c r="D38" s="52">
        <f t="shared" si="2"/>
        <v>25.5</v>
      </c>
      <c r="E38" s="53">
        <f t="shared" si="3"/>
        <v>20400</v>
      </c>
      <c r="F38" s="51">
        <f t="shared" si="7"/>
        <v>281</v>
      </c>
      <c r="G38" s="54">
        <f t="shared" si="8"/>
        <v>5732400</v>
      </c>
      <c r="I38" s="25">
        <v>10</v>
      </c>
      <c r="J38" s="51">
        <f t="shared" si="9"/>
        <v>9.5</v>
      </c>
      <c r="K38" s="74">
        <f t="shared" si="4"/>
        <v>2.9865E-3</v>
      </c>
      <c r="L38" s="52">
        <f t="shared" si="5"/>
        <v>25.5</v>
      </c>
      <c r="M38" s="53">
        <f t="shared" si="10"/>
        <v>10200</v>
      </c>
      <c r="N38" s="51">
        <f t="shared" si="6"/>
        <v>290.5</v>
      </c>
      <c r="O38" s="54">
        <f t="shared" si="11"/>
        <v>2963100</v>
      </c>
    </row>
    <row r="39" spans="1:15">
      <c r="A39" s="25">
        <v>11</v>
      </c>
      <c r="B39" s="51">
        <f t="shared" si="0"/>
        <v>21</v>
      </c>
      <c r="C39" s="74">
        <f t="shared" si="1"/>
        <v>2.6069999999999999E-3</v>
      </c>
      <c r="D39" s="52">
        <f t="shared" si="2"/>
        <v>25.5</v>
      </c>
      <c r="E39" s="53">
        <f t="shared" si="3"/>
        <v>20400</v>
      </c>
      <c r="F39" s="51">
        <f t="shared" si="7"/>
        <v>279</v>
      </c>
      <c r="G39" s="54">
        <f t="shared" si="8"/>
        <v>5691600</v>
      </c>
      <c r="I39" s="25">
        <v>11</v>
      </c>
      <c r="J39" s="51">
        <f t="shared" si="9"/>
        <v>10.5</v>
      </c>
      <c r="K39" s="74">
        <f t="shared" si="4"/>
        <v>2.9535E-3</v>
      </c>
      <c r="L39" s="52">
        <f t="shared" si="5"/>
        <v>25.5</v>
      </c>
      <c r="M39" s="53">
        <f t="shared" si="10"/>
        <v>10200</v>
      </c>
      <c r="N39" s="51">
        <f t="shared" si="6"/>
        <v>289.5</v>
      </c>
      <c r="O39" s="54">
        <f t="shared" si="11"/>
        <v>2952900</v>
      </c>
    </row>
    <row r="40" spans="1:15">
      <c r="A40" s="25">
        <v>12</v>
      </c>
      <c r="B40" s="51">
        <f t="shared" si="0"/>
        <v>23</v>
      </c>
      <c r="C40" s="74">
        <f t="shared" si="1"/>
        <v>2.5409999999999999E-3</v>
      </c>
      <c r="D40" s="52">
        <f t="shared" si="2"/>
        <v>25.5</v>
      </c>
      <c r="E40" s="53">
        <f t="shared" si="3"/>
        <v>20400</v>
      </c>
      <c r="F40" s="51">
        <f t="shared" si="7"/>
        <v>277</v>
      </c>
      <c r="G40" s="54">
        <f t="shared" si="8"/>
        <v>5650800</v>
      </c>
      <c r="I40" s="25">
        <v>12</v>
      </c>
      <c r="J40" s="51">
        <f t="shared" si="9"/>
        <v>11.5</v>
      </c>
      <c r="K40" s="74">
        <f t="shared" si="4"/>
        <v>2.9204999999999999E-3</v>
      </c>
      <c r="L40" s="52">
        <f t="shared" si="5"/>
        <v>25.5</v>
      </c>
      <c r="M40" s="53">
        <f t="shared" si="10"/>
        <v>10200</v>
      </c>
      <c r="N40" s="51">
        <f t="shared" si="6"/>
        <v>288.5</v>
      </c>
      <c r="O40" s="54">
        <f t="shared" si="11"/>
        <v>2942700</v>
      </c>
    </row>
    <row r="41" spans="1:15">
      <c r="A41" s="25">
        <v>13</v>
      </c>
      <c r="B41" s="51">
        <f t="shared" si="0"/>
        <v>25</v>
      </c>
      <c r="C41" s="74">
        <f t="shared" si="1"/>
        <v>2.4749999999999998E-3</v>
      </c>
      <c r="D41" s="52">
        <f t="shared" si="2"/>
        <v>25.5</v>
      </c>
      <c r="E41" s="53">
        <f t="shared" si="3"/>
        <v>20400</v>
      </c>
      <c r="F41" s="51">
        <f t="shared" si="7"/>
        <v>275</v>
      </c>
      <c r="G41" s="54">
        <f t="shared" si="8"/>
        <v>5610000</v>
      </c>
      <c r="I41" s="25">
        <v>13</v>
      </c>
      <c r="J41" s="51">
        <f t="shared" si="9"/>
        <v>12.5</v>
      </c>
      <c r="K41" s="74">
        <f t="shared" si="4"/>
        <v>2.8874999999999999E-3</v>
      </c>
      <c r="L41" s="52">
        <f t="shared" si="5"/>
        <v>25.5</v>
      </c>
      <c r="M41" s="53">
        <f t="shared" si="10"/>
        <v>10200</v>
      </c>
      <c r="N41" s="51">
        <f t="shared" si="6"/>
        <v>287.5</v>
      </c>
      <c r="O41" s="54">
        <f t="shared" si="11"/>
        <v>2932500</v>
      </c>
    </row>
    <row r="42" spans="1:15">
      <c r="A42" s="25">
        <v>14</v>
      </c>
      <c r="B42" s="51">
        <f t="shared" si="0"/>
        <v>27</v>
      </c>
      <c r="C42" s="74">
        <f t="shared" si="1"/>
        <v>2.4090000000000001E-3</v>
      </c>
      <c r="D42" s="52">
        <f t="shared" si="2"/>
        <v>25.5</v>
      </c>
      <c r="E42" s="53">
        <f t="shared" si="3"/>
        <v>20400</v>
      </c>
      <c r="F42" s="51">
        <f t="shared" si="7"/>
        <v>273</v>
      </c>
      <c r="G42" s="54">
        <f t="shared" si="8"/>
        <v>5569200</v>
      </c>
      <c r="I42" s="25">
        <v>14</v>
      </c>
      <c r="J42" s="51">
        <f t="shared" si="9"/>
        <v>13.5</v>
      </c>
      <c r="K42" s="74">
        <f t="shared" si="4"/>
        <v>2.8544999999999998E-3</v>
      </c>
      <c r="L42" s="52">
        <f t="shared" si="5"/>
        <v>25.5</v>
      </c>
      <c r="M42" s="53">
        <f t="shared" si="10"/>
        <v>10200</v>
      </c>
      <c r="N42" s="51">
        <f t="shared" si="6"/>
        <v>286.5</v>
      </c>
      <c r="O42" s="54">
        <f t="shared" si="11"/>
        <v>2922300</v>
      </c>
    </row>
    <row r="43" spans="1:15">
      <c r="A43" s="25">
        <v>15</v>
      </c>
      <c r="B43" s="51">
        <f t="shared" si="0"/>
        <v>29</v>
      </c>
      <c r="C43" s="74">
        <f t="shared" si="1"/>
        <v>2.343E-3</v>
      </c>
      <c r="D43" s="52">
        <f t="shared" si="2"/>
        <v>25.5</v>
      </c>
      <c r="E43" s="53">
        <f t="shared" si="3"/>
        <v>20400</v>
      </c>
      <c r="F43" s="51">
        <f t="shared" si="7"/>
        <v>271</v>
      </c>
      <c r="G43" s="54">
        <f t="shared" si="8"/>
        <v>5528400</v>
      </c>
      <c r="I43" s="25">
        <v>15</v>
      </c>
      <c r="J43" s="51">
        <f t="shared" si="9"/>
        <v>14.5</v>
      </c>
      <c r="K43" s="74">
        <f t="shared" si="4"/>
        <v>2.8214999999999998E-3</v>
      </c>
      <c r="L43" s="52">
        <f t="shared" si="5"/>
        <v>25.5</v>
      </c>
      <c r="M43" s="53">
        <f t="shared" si="10"/>
        <v>10200</v>
      </c>
      <c r="N43" s="51">
        <f t="shared" si="6"/>
        <v>285.5</v>
      </c>
      <c r="O43" s="54">
        <f t="shared" si="11"/>
        <v>2912100</v>
      </c>
    </row>
    <row r="44" spans="1:15">
      <c r="A44" s="25">
        <v>16</v>
      </c>
      <c r="B44" s="51">
        <f t="shared" si="0"/>
        <v>31</v>
      </c>
      <c r="C44" s="74">
        <f t="shared" si="1"/>
        <v>2.2769999999999999E-3</v>
      </c>
      <c r="D44" s="52">
        <f t="shared" si="2"/>
        <v>25.5</v>
      </c>
      <c r="E44" s="53">
        <f t="shared" si="3"/>
        <v>20400</v>
      </c>
      <c r="F44" s="51">
        <f t="shared" si="7"/>
        <v>269</v>
      </c>
      <c r="G44" s="54">
        <f t="shared" si="8"/>
        <v>5487600</v>
      </c>
      <c r="I44" s="25">
        <v>16</v>
      </c>
      <c r="J44" s="51">
        <f t="shared" si="9"/>
        <v>15.5</v>
      </c>
      <c r="K44" s="74">
        <f t="shared" si="4"/>
        <v>2.7884999999999997E-3</v>
      </c>
      <c r="L44" s="52">
        <f t="shared" si="5"/>
        <v>25.5</v>
      </c>
      <c r="M44" s="53">
        <f t="shared" si="10"/>
        <v>10200</v>
      </c>
      <c r="N44" s="51">
        <f t="shared" si="6"/>
        <v>284.5</v>
      </c>
      <c r="O44" s="54">
        <f t="shared" si="11"/>
        <v>2901900</v>
      </c>
    </row>
    <row r="45" spans="1:15">
      <c r="A45" s="25">
        <v>17</v>
      </c>
      <c r="B45" s="51">
        <f t="shared" si="0"/>
        <v>33</v>
      </c>
      <c r="C45" s="74">
        <f t="shared" si="1"/>
        <v>2.2110000000000003E-3</v>
      </c>
      <c r="D45" s="52">
        <f t="shared" si="2"/>
        <v>25.5</v>
      </c>
      <c r="E45" s="53">
        <f t="shared" si="3"/>
        <v>20400</v>
      </c>
      <c r="F45" s="51">
        <f t="shared" si="7"/>
        <v>267</v>
      </c>
      <c r="G45" s="54">
        <f t="shared" si="8"/>
        <v>5446800</v>
      </c>
      <c r="I45" s="25">
        <v>17</v>
      </c>
      <c r="J45" s="51">
        <f t="shared" si="9"/>
        <v>16.5</v>
      </c>
      <c r="K45" s="74">
        <f t="shared" si="4"/>
        <v>2.7554999999999997E-3</v>
      </c>
      <c r="L45" s="52">
        <f t="shared" si="5"/>
        <v>25.5</v>
      </c>
      <c r="M45" s="53">
        <f t="shared" si="10"/>
        <v>10200</v>
      </c>
      <c r="N45" s="51">
        <f t="shared" si="6"/>
        <v>283.5</v>
      </c>
      <c r="O45" s="54">
        <f t="shared" si="11"/>
        <v>2891700</v>
      </c>
    </row>
    <row r="46" spans="1:15">
      <c r="A46" s="25">
        <v>18</v>
      </c>
      <c r="B46" s="51">
        <f t="shared" si="0"/>
        <v>35</v>
      </c>
      <c r="C46" s="74">
        <f t="shared" si="1"/>
        <v>2.1450000000000002E-3</v>
      </c>
      <c r="D46" s="52">
        <f t="shared" si="2"/>
        <v>25.5</v>
      </c>
      <c r="E46" s="53">
        <f t="shared" si="3"/>
        <v>20400</v>
      </c>
      <c r="F46" s="51">
        <f t="shared" si="7"/>
        <v>265</v>
      </c>
      <c r="G46" s="54">
        <f t="shared" si="8"/>
        <v>5406000</v>
      </c>
      <c r="I46" s="25">
        <v>18</v>
      </c>
      <c r="J46" s="51">
        <f t="shared" si="9"/>
        <v>17.5</v>
      </c>
      <c r="K46" s="74">
        <f t="shared" si="4"/>
        <v>2.7224999999999997E-3</v>
      </c>
      <c r="L46" s="52">
        <f t="shared" si="5"/>
        <v>25.5</v>
      </c>
      <c r="M46" s="53">
        <f t="shared" si="10"/>
        <v>10200</v>
      </c>
      <c r="N46" s="51">
        <f t="shared" si="6"/>
        <v>282.5</v>
      </c>
      <c r="O46" s="54">
        <f t="shared" si="11"/>
        <v>2881500</v>
      </c>
    </row>
    <row r="47" spans="1:15">
      <c r="A47" s="25">
        <v>19</v>
      </c>
      <c r="B47" s="51">
        <f t="shared" si="0"/>
        <v>37</v>
      </c>
      <c r="C47" s="74">
        <f t="shared" si="1"/>
        <v>2.0790000000000001E-3</v>
      </c>
      <c r="D47" s="52">
        <f t="shared" si="2"/>
        <v>25.5</v>
      </c>
      <c r="E47" s="53">
        <f t="shared" si="3"/>
        <v>20400</v>
      </c>
      <c r="F47" s="51">
        <f t="shared" si="7"/>
        <v>263</v>
      </c>
      <c r="G47" s="54">
        <f t="shared" si="8"/>
        <v>5365200</v>
      </c>
      <c r="I47" s="25">
        <v>19</v>
      </c>
      <c r="J47" s="51">
        <f t="shared" si="9"/>
        <v>18.5</v>
      </c>
      <c r="K47" s="74">
        <f t="shared" si="4"/>
        <v>2.6894999999999996E-3</v>
      </c>
      <c r="L47" s="52">
        <f t="shared" si="5"/>
        <v>25.5</v>
      </c>
      <c r="M47" s="53">
        <f t="shared" si="10"/>
        <v>10200</v>
      </c>
      <c r="N47" s="51">
        <f t="shared" si="6"/>
        <v>281.5</v>
      </c>
      <c r="O47" s="54">
        <f t="shared" si="11"/>
        <v>2871300</v>
      </c>
    </row>
    <row r="48" spans="1:15">
      <c r="A48" s="25">
        <v>20</v>
      </c>
      <c r="B48" s="51">
        <f t="shared" si="0"/>
        <v>39</v>
      </c>
      <c r="C48" s="74">
        <f t="shared" si="1"/>
        <v>2.013E-3</v>
      </c>
      <c r="D48" s="52">
        <f t="shared" si="2"/>
        <v>25.5</v>
      </c>
      <c r="E48" s="53">
        <f t="shared" si="3"/>
        <v>20400</v>
      </c>
      <c r="F48" s="51">
        <f t="shared" si="7"/>
        <v>261</v>
      </c>
      <c r="G48" s="54">
        <f t="shared" si="8"/>
        <v>5324400</v>
      </c>
      <c r="I48" s="25">
        <v>20</v>
      </c>
      <c r="J48" s="51">
        <f t="shared" si="9"/>
        <v>19.5</v>
      </c>
      <c r="K48" s="74">
        <f t="shared" si="4"/>
        <v>2.6565E-3</v>
      </c>
      <c r="L48" s="52">
        <f t="shared" si="5"/>
        <v>25.5</v>
      </c>
      <c r="M48" s="53">
        <f t="shared" si="10"/>
        <v>10200</v>
      </c>
      <c r="N48" s="51">
        <f t="shared" si="6"/>
        <v>280.5</v>
      </c>
      <c r="O48" s="54">
        <f t="shared" si="11"/>
        <v>2861100</v>
      </c>
    </row>
    <row r="49" spans="1:15">
      <c r="A49" s="25">
        <v>21</v>
      </c>
      <c r="B49" s="51">
        <f t="shared" si="0"/>
        <v>41</v>
      </c>
      <c r="C49" s="74">
        <f t="shared" si="1"/>
        <v>1.9469999999999999E-3</v>
      </c>
      <c r="D49" s="52">
        <f t="shared" si="2"/>
        <v>25.482092624999996</v>
      </c>
      <c r="E49" s="53">
        <f t="shared" si="3"/>
        <v>20385.674099999997</v>
      </c>
      <c r="F49" s="51">
        <f t="shared" si="7"/>
        <v>259</v>
      </c>
      <c r="G49" s="54">
        <f t="shared" si="8"/>
        <v>5279889.5918999994</v>
      </c>
      <c r="I49" s="25">
        <v>21</v>
      </c>
      <c r="J49" s="51">
        <f t="shared" si="9"/>
        <v>20.5</v>
      </c>
      <c r="K49" s="74">
        <f t="shared" si="4"/>
        <v>2.6235E-3</v>
      </c>
      <c r="L49" s="52">
        <f t="shared" si="5"/>
        <v>25.5</v>
      </c>
      <c r="M49" s="53">
        <f t="shared" si="10"/>
        <v>10200</v>
      </c>
      <c r="N49" s="51">
        <f t="shared" si="6"/>
        <v>279.5</v>
      </c>
      <c r="O49" s="54">
        <f t="shared" si="11"/>
        <v>2850900</v>
      </c>
    </row>
    <row r="50" spans="1:15">
      <c r="A50" s="25">
        <v>22</v>
      </c>
      <c r="B50" s="51">
        <f t="shared" si="0"/>
        <v>43</v>
      </c>
      <c r="C50" s="74">
        <f t="shared" si="1"/>
        <v>1.8809999999999999E-3</v>
      </c>
      <c r="D50" s="52">
        <f t="shared" si="2"/>
        <v>25.409723625000002</v>
      </c>
      <c r="E50" s="53">
        <f t="shared" si="3"/>
        <v>20327.778900000001</v>
      </c>
      <c r="F50" s="51">
        <f t="shared" si="7"/>
        <v>257</v>
      </c>
      <c r="G50" s="54">
        <f t="shared" si="8"/>
        <v>5224239.1773000006</v>
      </c>
      <c r="I50" s="25">
        <v>22</v>
      </c>
      <c r="J50" s="51">
        <f t="shared" si="9"/>
        <v>21.5</v>
      </c>
      <c r="K50" s="74">
        <f t="shared" si="4"/>
        <v>2.5904999999999999E-3</v>
      </c>
      <c r="L50" s="52">
        <f t="shared" si="5"/>
        <v>25.5</v>
      </c>
      <c r="M50" s="53">
        <f t="shared" si="10"/>
        <v>10200</v>
      </c>
      <c r="N50" s="51">
        <f t="shared" si="6"/>
        <v>278.5</v>
      </c>
      <c r="O50" s="54">
        <f t="shared" si="11"/>
        <v>2840700</v>
      </c>
    </row>
    <row r="51" spans="1:15">
      <c r="A51" s="25">
        <v>23</v>
      </c>
      <c r="B51" s="51">
        <f t="shared" si="0"/>
        <v>45</v>
      </c>
      <c r="C51" s="74">
        <f t="shared" si="1"/>
        <v>1.8150000000000002E-3</v>
      </c>
      <c r="D51" s="52">
        <f t="shared" si="2"/>
        <v>25.281815625000004</v>
      </c>
      <c r="E51" s="53">
        <f t="shared" si="3"/>
        <v>20225.452500000003</v>
      </c>
      <c r="F51" s="51">
        <f t="shared" si="7"/>
        <v>255</v>
      </c>
      <c r="G51" s="54">
        <f t="shared" si="8"/>
        <v>5157490.3875000011</v>
      </c>
      <c r="I51" s="25">
        <v>23</v>
      </c>
      <c r="J51" s="51">
        <f t="shared" si="9"/>
        <v>22.5</v>
      </c>
      <c r="K51" s="74">
        <f t="shared" si="4"/>
        <v>2.5574999999999999E-3</v>
      </c>
      <c r="L51" s="52">
        <f t="shared" si="5"/>
        <v>25.5</v>
      </c>
      <c r="M51" s="53">
        <f t="shared" si="10"/>
        <v>10200</v>
      </c>
      <c r="N51" s="51">
        <f t="shared" si="6"/>
        <v>277.5</v>
      </c>
      <c r="O51" s="54">
        <f t="shared" si="11"/>
        <v>2830500</v>
      </c>
    </row>
    <row r="52" spans="1:15">
      <c r="A52" s="25">
        <v>24</v>
      </c>
      <c r="B52" s="51">
        <f t="shared" si="0"/>
        <v>47</v>
      </c>
      <c r="C52" s="74">
        <f t="shared" si="1"/>
        <v>1.7490000000000001E-3</v>
      </c>
      <c r="D52" s="52">
        <f t="shared" si="2"/>
        <v>25.098368625000003</v>
      </c>
      <c r="E52" s="53">
        <f t="shared" si="3"/>
        <v>20078.694900000002</v>
      </c>
      <c r="F52" s="51">
        <f t="shared" si="7"/>
        <v>253</v>
      </c>
      <c r="G52" s="54">
        <f t="shared" si="8"/>
        <v>5079909.809700001</v>
      </c>
      <c r="I52" s="25">
        <v>24</v>
      </c>
      <c r="J52" s="51">
        <f t="shared" si="9"/>
        <v>23.5</v>
      </c>
      <c r="K52" s="74">
        <f t="shared" si="4"/>
        <v>2.5244999999999998E-3</v>
      </c>
      <c r="L52" s="52">
        <f t="shared" si="5"/>
        <v>25.5</v>
      </c>
      <c r="M52" s="53">
        <f t="shared" si="10"/>
        <v>10200</v>
      </c>
      <c r="N52" s="51">
        <f t="shared" si="6"/>
        <v>276.5</v>
      </c>
      <c r="O52" s="54">
        <f t="shared" si="11"/>
        <v>2820300</v>
      </c>
    </row>
    <row r="53" spans="1:15">
      <c r="A53" s="25">
        <v>25</v>
      </c>
      <c r="B53" s="51">
        <f t="shared" si="0"/>
        <v>49</v>
      </c>
      <c r="C53" s="74">
        <f t="shared" si="1"/>
        <v>1.683E-3</v>
      </c>
      <c r="D53" s="52">
        <f t="shared" si="2"/>
        <v>24.859382625000002</v>
      </c>
      <c r="E53" s="53">
        <f t="shared" si="3"/>
        <v>19887.506100000002</v>
      </c>
      <c r="F53" s="51">
        <f t="shared" si="7"/>
        <v>251</v>
      </c>
      <c r="G53" s="54">
        <f t="shared" si="8"/>
        <v>4991764.0311000003</v>
      </c>
      <c r="I53" s="25">
        <v>25</v>
      </c>
      <c r="J53" s="51">
        <f t="shared" si="9"/>
        <v>24.5</v>
      </c>
      <c r="K53" s="74">
        <f t="shared" si="4"/>
        <v>2.4914999999999998E-3</v>
      </c>
      <c r="L53" s="52">
        <f t="shared" si="5"/>
        <v>25.5</v>
      </c>
      <c r="M53" s="53">
        <f t="shared" si="10"/>
        <v>10200</v>
      </c>
      <c r="N53" s="51">
        <f t="shared" si="6"/>
        <v>275.5</v>
      </c>
      <c r="O53" s="54">
        <f t="shared" si="11"/>
        <v>2810100</v>
      </c>
    </row>
    <row r="54" spans="1:15">
      <c r="A54" s="25">
        <v>26</v>
      </c>
      <c r="B54" s="51">
        <f t="shared" si="0"/>
        <v>51</v>
      </c>
      <c r="C54" s="74">
        <f t="shared" si="1"/>
        <v>1.6169999999999999E-3</v>
      </c>
      <c r="D54" s="52">
        <f t="shared" si="2"/>
        <v>24.564857624999998</v>
      </c>
      <c r="E54" s="53">
        <f t="shared" si="3"/>
        <v>19651.8861</v>
      </c>
      <c r="F54" s="51">
        <f t="shared" si="7"/>
        <v>249</v>
      </c>
      <c r="G54" s="54">
        <f t="shared" si="8"/>
        <v>4893319.6388999997</v>
      </c>
      <c r="I54" s="25">
        <v>26</v>
      </c>
      <c r="J54" s="51">
        <f t="shared" si="9"/>
        <v>25.5</v>
      </c>
      <c r="K54" s="74">
        <f t="shared" si="4"/>
        <v>2.4585000000000002E-3</v>
      </c>
      <c r="L54" s="52">
        <f t="shared" si="5"/>
        <v>25.5</v>
      </c>
      <c r="M54" s="53">
        <f t="shared" si="10"/>
        <v>10200</v>
      </c>
      <c r="N54" s="51">
        <f t="shared" si="6"/>
        <v>274.5</v>
      </c>
      <c r="O54" s="54">
        <f t="shared" si="11"/>
        <v>2799900</v>
      </c>
    </row>
    <row r="55" spans="1:15">
      <c r="A55" s="25">
        <v>27</v>
      </c>
      <c r="B55" s="51">
        <f t="shared" si="0"/>
        <v>53</v>
      </c>
      <c r="C55" s="74">
        <f t="shared" si="1"/>
        <v>1.5509999999999999E-3</v>
      </c>
      <c r="D55" s="52">
        <f t="shared" si="2"/>
        <v>24.214793624999999</v>
      </c>
      <c r="E55" s="53">
        <f t="shared" si="3"/>
        <v>19371.834899999998</v>
      </c>
      <c r="F55" s="51">
        <f t="shared" si="7"/>
        <v>247</v>
      </c>
      <c r="G55" s="54">
        <f t="shared" si="8"/>
        <v>4784843.2202999992</v>
      </c>
      <c r="I55" s="25">
        <v>27</v>
      </c>
      <c r="J55" s="51">
        <f t="shared" si="9"/>
        <v>26.5</v>
      </c>
      <c r="K55" s="74">
        <f t="shared" si="4"/>
        <v>2.4255000000000001E-3</v>
      </c>
      <c r="L55" s="52">
        <f t="shared" si="5"/>
        <v>25.5</v>
      </c>
      <c r="M55" s="53">
        <f t="shared" si="10"/>
        <v>10200</v>
      </c>
      <c r="N55" s="51">
        <f t="shared" si="6"/>
        <v>273.5</v>
      </c>
      <c r="O55" s="54">
        <f t="shared" si="11"/>
        <v>2789700</v>
      </c>
    </row>
    <row r="56" spans="1:15">
      <c r="A56" s="25">
        <v>28</v>
      </c>
      <c r="B56" s="51">
        <f t="shared" si="0"/>
        <v>55</v>
      </c>
      <c r="C56" s="74">
        <f t="shared" si="1"/>
        <v>1.485E-3</v>
      </c>
      <c r="D56" s="52">
        <f t="shared" si="2"/>
        <v>23.809190624999999</v>
      </c>
      <c r="E56" s="53">
        <f t="shared" si="3"/>
        <v>19047.352500000001</v>
      </c>
      <c r="F56" s="51">
        <f t="shared" si="7"/>
        <v>245</v>
      </c>
      <c r="G56" s="54">
        <f t="shared" si="8"/>
        <v>4666601.3624999998</v>
      </c>
      <c r="I56" s="25">
        <v>28</v>
      </c>
      <c r="J56" s="51">
        <f t="shared" si="9"/>
        <v>27.5</v>
      </c>
      <c r="K56" s="74">
        <f t="shared" si="4"/>
        <v>2.3925000000000001E-3</v>
      </c>
      <c r="L56" s="52">
        <f t="shared" si="5"/>
        <v>25.5</v>
      </c>
      <c r="M56" s="53">
        <f t="shared" si="10"/>
        <v>10200</v>
      </c>
      <c r="N56" s="51">
        <f t="shared" si="6"/>
        <v>272.5</v>
      </c>
      <c r="O56" s="54">
        <f t="shared" si="11"/>
        <v>2779500</v>
      </c>
    </row>
    <row r="57" spans="1:15">
      <c r="A57" s="25">
        <v>29</v>
      </c>
      <c r="B57" s="51">
        <f t="shared" si="0"/>
        <v>57</v>
      </c>
      <c r="C57" s="74">
        <f t="shared" si="1"/>
        <v>1.4189999999999999E-3</v>
      </c>
      <c r="D57" s="52">
        <f t="shared" si="2"/>
        <v>23.348048625000001</v>
      </c>
      <c r="E57" s="53">
        <f t="shared" si="3"/>
        <v>18678.438900000001</v>
      </c>
      <c r="F57" s="51">
        <f t="shared" si="7"/>
        <v>243</v>
      </c>
      <c r="G57" s="54">
        <f t="shared" si="8"/>
        <v>4538860.6527000004</v>
      </c>
      <c r="I57" s="25">
        <v>29</v>
      </c>
      <c r="J57" s="51">
        <f t="shared" si="9"/>
        <v>28.5</v>
      </c>
      <c r="K57" s="74">
        <f t="shared" si="4"/>
        <v>2.3595000000000001E-3</v>
      </c>
      <c r="L57" s="52">
        <f t="shared" si="5"/>
        <v>25.5</v>
      </c>
      <c r="M57" s="53">
        <f t="shared" si="10"/>
        <v>10200</v>
      </c>
      <c r="N57" s="51">
        <f t="shared" si="6"/>
        <v>271.5</v>
      </c>
      <c r="O57" s="54">
        <f t="shared" si="11"/>
        <v>2769300</v>
      </c>
    </row>
    <row r="58" spans="1:15">
      <c r="A58" s="25">
        <v>30</v>
      </c>
      <c r="B58" s="51">
        <f t="shared" si="0"/>
        <v>59</v>
      </c>
      <c r="C58" s="74">
        <f t="shared" si="1"/>
        <v>1.3529999999999998E-3</v>
      </c>
      <c r="D58" s="52">
        <f t="shared" si="2"/>
        <v>22.831367624999995</v>
      </c>
      <c r="E58" s="53">
        <f t="shared" si="3"/>
        <v>18265.094099999995</v>
      </c>
      <c r="F58" s="51">
        <f t="shared" si="7"/>
        <v>241</v>
      </c>
      <c r="G58" s="54">
        <f t="shared" si="8"/>
        <v>4401887.6780999992</v>
      </c>
      <c r="I58" s="25">
        <v>30</v>
      </c>
      <c r="J58" s="51">
        <f t="shared" si="9"/>
        <v>29.5</v>
      </c>
      <c r="K58" s="74">
        <f t="shared" si="4"/>
        <v>2.3265E-3</v>
      </c>
      <c r="L58" s="52">
        <f t="shared" si="5"/>
        <v>25.5</v>
      </c>
      <c r="M58" s="53">
        <f t="shared" si="10"/>
        <v>10200</v>
      </c>
      <c r="N58" s="51">
        <f t="shared" si="6"/>
        <v>270.5</v>
      </c>
      <c r="O58" s="54">
        <f t="shared" si="11"/>
        <v>2759100</v>
      </c>
    </row>
    <row r="59" spans="1:15">
      <c r="A59" s="25">
        <v>31</v>
      </c>
      <c r="B59" s="51">
        <f t="shared" si="0"/>
        <v>61</v>
      </c>
      <c r="C59" s="74">
        <f t="shared" si="1"/>
        <v>1.2869999999999999E-3</v>
      </c>
      <c r="D59" s="52">
        <f t="shared" si="2"/>
        <v>22.259147624999997</v>
      </c>
      <c r="E59" s="53">
        <f t="shared" si="3"/>
        <v>17807.318099999997</v>
      </c>
      <c r="F59" s="51">
        <f t="shared" si="7"/>
        <v>239</v>
      </c>
      <c r="G59" s="54">
        <f t="shared" si="8"/>
        <v>4255949.0258999988</v>
      </c>
      <c r="I59" s="25">
        <v>31</v>
      </c>
      <c r="J59" s="51">
        <f t="shared" si="9"/>
        <v>30.5</v>
      </c>
      <c r="K59" s="74">
        <f t="shared" si="4"/>
        <v>2.2935E-3</v>
      </c>
      <c r="L59" s="52">
        <f t="shared" si="5"/>
        <v>25.5</v>
      </c>
      <c r="M59" s="53">
        <f t="shared" si="10"/>
        <v>10200</v>
      </c>
      <c r="N59" s="51">
        <f t="shared" si="6"/>
        <v>269.5</v>
      </c>
      <c r="O59" s="54">
        <f t="shared" si="11"/>
        <v>2748900</v>
      </c>
    </row>
    <row r="60" spans="1:15">
      <c r="A60" s="25">
        <v>32</v>
      </c>
      <c r="B60" s="51">
        <f t="shared" si="0"/>
        <v>63</v>
      </c>
      <c r="C60" s="74">
        <f t="shared" si="1"/>
        <v>1.2210000000000001E-3</v>
      </c>
      <c r="D60" s="52">
        <f t="shared" si="2"/>
        <v>21.631388625</v>
      </c>
      <c r="E60" s="53">
        <f t="shared" si="3"/>
        <v>17305.1109</v>
      </c>
      <c r="F60" s="51">
        <f t="shared" si="7"/>
        <v>237</v>
      </c>
      <c r="G60" s="54">
        <f t="shared" si="8"/>
        <v>4101311.2832999998</v>
      </c>
      <c r="I60" s="25">
        <v>32</v>
      </c>
      <c r="J60" s="51">
        <f t="shared" si="9"/>
        <v>31.5</v>
      </c>
      <c r="K60" s="74">
        <f t="shared" si="4"/>
        <v>2.2605000000000004E-3</v>
      </c>
      <c r="L60" s="52">
        <f t="shared" si="5"/>
        <v>25.5</v>
      </c>
      <c r="M60" s="53">
        <f t="shared" si="10"/>
        <v>10200</v>
      </c>
      <c r="N60" s="51">
        <f t="shared" si="6"/>
        <v>268.5</v>
      </c>
      <c r="O60" s="54">
        <f t="shared" si="11"/>
        <v>2738700</v>
      </c>
    </row>
    <row r="61" spans="1:15">
      <c r="A61" s="25">
        <v>33</v>
      </c>
      <c r="B61" s="51">
        <f t="shared" ref="B61:B78" si="12">B$22/B$23*(A61-1)+F$22/2</f>
        <v>65</v>
      </c>
      <c r="C61" s="74">
        <f t="shared" ref="C61:C78" si="13">+(B$22-B61)/B$22*ecu</f>
        <v>1.155E-3</v>
      </c>
      <c r="D61" s="52">
        <f t="shared" ref="D61:D78" si="14">+IF(C61&gt;=0,IF(C61&lt;=eco,1-(1-C61/eco)^n,1),0)*0.85*fck</f>
        <v>20.948090624999999</v>
      </c>
      <c r="E61" s="53">
        <f t="shared" ref="E61:E78" si="15">+D61*F$24</f>
        <v>16758.4725</v>
      </c>
      <c r="F61" s="51">
        <f t="shared" ref="F61:F78" si="16">+h/2-B61</f>
        <v>235</v>
      </c>
      <c r="G61" s="54">
        <f t="shared" si="8"/>
        <v>3938241.0375000001</v>
      </c>
      <c r="I61" s="25">
        <v>33</v>
      </c>
      <c r="J61" s="51">
        <f t="shared" si="9"/>
        <v>32.5</v>
      </c>
      <c r="K61" s="74">
        <f t="shared" ref="K61:K92" si="17">+(J$22-J61)/J$22*ecu</f>
        <v>2.2275000000000003E-3</v>
      </c>
      <c r="L61" s="52">
        <f t="shared" ref="L61:L92" si="18">+IF(K61&gt;=0,IF(K61&lt;=eco,1-(1-K61/eco)^n,1),0)*0.85*fck</f>
        <v>25.5</v>
      </c>
      <c r="M61" s="53">
        <f t="shared" si="10"/>
        <v>10200</v>
      </c>
      <c r="N61" s="51">
        <f t="shared" ref="N61:N92" si="19">+h/2-J61</f>
        <v>267.5</v>
      </c>
      <c r="O61" s="54">
        <f t="shared" si="11"/>
        <v>2728500</v>
      </c>
    </row>
    <row r="62" spans="1:15">
      <c r="A62" s="25">
        <v>34</v>
      </c>
      <c r="B62" s="51">
        <f t="shared" si="12"/>
        <v>67</v>
      </c>
      <c r="C62" s="74">
        <f t="shared" si="13"/>
        <v>1.0890000000000001E-3</v>
      </c>
      <c r="D62" s="52">
        <f t="shared" si="14"/>
        <v>20.209253625000002</v>
      </c>
      <c r="E62" s="53">
        <f t="shared" si="15"/>
        <v>16167.402900000001</v>
      </c>
      <c r="F62" s="51">
        <f t="shared" si="16"/>
        <v>233</v>
      </c>
      <c r="G62" s="54">
        <f t="shared" si="8"/>
        <v>3767004.8757000002</v>
      </c>
      <c r="I62" s="25">
        <v>34</v>
      </c>
      <c r="J62" s="51">
        <f t="shared" si="9"/>
        <v>33.5</v>
      </c>
      <c r="K62" s="74">
        <f t="shared" si="17"/>
        <v>2.1945000000000003E-3</v>
      </c>
      <c r="L62" s="52">
        <f t="shared" si="18"/>
        <v>25.5</v>
      </c>
      <c r="M62" s="53">
        <f t="shared" si="10"/>
        <v>10200</v>
      </c>
      <c r="N62" s="51">
        <f t="shared" si="19"/>
        <v>266.5</v>
      </c>
      <c r="O62" s="54">
        <f t="shared" si="11"/>
        <v>2718300</v>
      </c>
    </row>
    <row r="63" spans="1:15">
      <c r="A63" s="25">
        <v>35</v>
      </c>
      <c r="B63" s="51">
        <f t="shared" si="12"/>
        <v>69</v>
      </c>
      <c r="C63" s="74">
        <f t="shared" si="13"/>
        <v>1.023E-3</v>
      </c>
      <c r="D63" s="52">
        <f t="shared" si="14"/>
        <v>19.414877624999999</v>
      </c>
      <c r="E63" s="53">
        <f t="shared" si="15"/>
        <v>15531.902099999999</v>
      </c>
      <c r="F63" s="51">
        <f t="shared" si="16"/>
        <v>231</v>
      </c>
      <c r="G63" s="54">
        <f t="shared" si="8"/>
        <v>3587869.3851000001</v>
      </c>
      <c r="I63" s="25">
        <v>35</v>
      </c>
      <c r="J63" s="51">
        <f t="shared" si="9"/>
        <v>34.5</v>
      </c>
      <c r="K63" s="74">
        <f t="shared" si="17"/>
        <v>2.1615000000000002E-3</v>
      </c>
      <c r="L63" s="52">
        <f t="shared" si="18"/>
        <v>25.5</v>
      </c>
      <c r="M63" s="53">
        <f t="shared" si="10"/>
        <v>10200</v>
      </c>
      <c r="N63" s="51">
        <f t="shared" si="19"/>
        <v>265.5</v>
      </c>
      <c r="O63" s="54">
        <f t="shared" si="11"/>
        <v>2708100</v>
      </c>
    </row>
    <row r="64" spans="1:15">
      <c r="A64" s="25">
        <v>36</v>
      </c>
      <c r="B64" s="51">
        <f t="shared" si="12"/>
        <v>71</v>
      </c>
      <c r="C64" s="74">
        <f t="shared" si="13"/>
        <v>9.5699999999999995E-4</v>
      </c>
      <c r="D64" s="52">
        <f t="shared" si="14"/>
        <v>18.564962625</v>
      </c>
      <c r="E64" s="53">
        <f t="shared" si="15"/>
        <v>14851.9701</v>
      </c>
      <c r="F64" s="51">
        <f t="shared" si="16"/>
        <v>229</v>
      </c>
      <c r="G64" s="54">
        <f t="shared" si="8"/>
        <v>3401101.1529000001</v>
      </c>
      <c r="I64" s="25">
        <v>36</v>
      </c>
      <c r="J64" s="51">
        <f t="shared" si="9"/>
        <v>35.5</v>
      </c>
      <c r="K64" s="74">
        <f t="shared" si="17"/>
        <v>2.1285000000000002E-3</v>
      </c>
      <c r="L64" s="52">
        <f t="shared" si="18"/>
        <v>25.5</v>
      </c>
      <c r="M64" s="53">
        <f t="shared" si="10"/>
        <v>10200</v>
      </c>
      <c r="N64" s="51">
        <f t="shared" si="19"/>
        <v>264.5</v>
      </c>
      <c r="O64" s="54">
        <f t="shared" si="11"/>
        <v>2697900</v>
      </c>
    </row>
    <row r="65" spans="1:15">
      <c r="A65" s="25">
        <v>37</v>
      </c>
      <c r="B65" s="51">
        <f t="shared" si="12"/>
        <v>73</v>
      </c>
      <c r="C65" s="74">
        <f t="shared" si="13"/>
        <v>8.9100000000000008E-4</v>
      </c>
      <c r="D65" s="52">
        <f t="shared" si="14"/>
        <v>17.659508625000001</v>
      </c>
      <c r="E65" s="53">
        <f t="shared" si="15"/>
        <v>14127.606900000001</v>
      </c>
      <c r="F65" s="51">
        <f t="shared" si="16"/>
        <v>227</v>
      </c>
      <c r="G65" s="54">
        <f t="shared" si="8"/>
        <v>3206966.7663000003</v>
      </c>
      <c r="I65" s="25">
        <v>37</v>
      </c>
      <c r="J65" s="51">
        <f t="shared" si="9"/>
        <v>36.5</v>
      </c>
      <c r="K65" s="74">
        <f t="shared" si="17"/>
        <v>2.0955000000000001E-3</v>
      </c>
      <c r="L65" s="52">
        <f t="shared" si="18"/>
        <v>25.5</v>
      </c>
      <c r="M65" s="53">
        <f t="shared" si="10"/>
        <v>10200</v>
      </c>
      <c r="N65" s="51">
        <f t="shared" si="19"/>
        <v>263.5</v>
      </c>
      <c r="O65" s="54">
        <f t="shared" si="11"/>
        <v>2687700</v>
      </c>
    </row>
    <row r="66" spans="1:15">
      <c r="A66" s="25">
        <v>38</v>
      </c>
      <c r="B66" s="51">
        <f t="shared" si="12"/>
        <v>75</v>
      </c>
      <c r="C66" s="74">
        <f t="shared" si="13"/>
        <v>8.25E-4</v>
      </c>
      <c r="D66" s="52">
        <f t="shared" si="14"/>
        <v>16.698515624999995</v>
      </c>
      <c r="E66" s="53">
        <f t="shared" si="15"/>
        <v>13358.812499999996</v>
      </c>
      <c r="F66" s="51">
        <f t="shared" si="16"/>
        <v>225</v>
      </c>
      <c r="G66" s="54">
        <f t="shared" si="8"/>
        <v>3005732.8124999991</v>
      </c>
      <c r="I66" s="25">
        <v>38</v>
      </c>
      <c r="J66" s="51">
        <f t="shared" si="9"/>
        <v>37.5</v>
      </c>
      <c r="K66" s="74">
        <f t="shared" si="17"/>
        <v>2.0625000000000001E-3</v>
      </c>
      <c r="L66" s="52">
        <f t="shared" si="18"/>
        <v>25.5</v>
      </c>
      <c r="M66" s="53">
        <f t="shared" si="10"/>
        <v>10200</v>
      </c>
      <c r="N66" s="51">
        <f t="shared" si="19"/>
        <v>262.5</v>
      </c>
      <c r="O66" s="54">
        <f t="shared" si="11"/>
        <v>2677500</v>
      </c>
    </row>
    <row r="67" spans="1:15">
      <c r="A67" s="25">
        <v>39</v>
      </c>
      <c r="B67" s="51">
        <f t="shared" si="12"/>
        <v>77</v>
      </c>
      <c r="C67" s="74">
        <f t="shared" si="13"/>
        <v>7.5900000000000002E-4</v>
      </c>
      <c r="D67" s="52">
        <f t="shared" si="14"/>
        <v>15.681983624999999</v>
      </c>
      <c r="E67" s="53">
        <f t="shared" si="15"/>
        <v>12545.586899999998</v>
      </c>
      <c r="F67" s="51">
        <f t="shared" si="16"/>
        <v>223</v>
      </c>
      <c r="G67" s="54">
        <f t="shared" si="8"/>
        <v>2797665.8786999998</v>
      </c>
      <c r="I67" s="25">
        <v>39</v>
      </c>
      <c r="J67" s="51">
        <f t="shared" si="9"/>
        <v>38.5</v>
      </c>
      <c r="K67" s="74">
        <f t="shared" si="17"/>
        <v>2.0295000000000001E-3</v>
      </c>
      <c r="L67" s="52">
        <f t="shared" si="18"/>
        <v>25.5</v>
      </c>
      <c r="M67" s="53">
        <f t="shared" si="10"/>
        <v>10200</v>
      </c>
      <c r="N67" s="51">
        <f t="shared" si="19"/>
        <v>261.5</v>
      </c>
      <c r="O67" s="54">
        <f t="shared" si="11"/>
        <v>2667300</v>
      </c>
    </row>
    <row r="68" spans="1:15">
      <c r="A68" s="25">
        <v>40</v>
      </c>
      <c r="B68" s="51">
        <f t="shared" si="12"/>
        <v>79</v>
      </c>
      <c r="C68" s="74">
        <f t="shared" si="13"/>
        <v>6.9299999999999993E-4</v>
      </c>
      <c r="D68" s="52">
        <f t="shared" si="14"/>
        <v>14.609912625</v>
      </c>
      <c r="E68" s="53">
        <f t="shared" si="15"/>
        <v>11687.9301</v>
      </c>
      <c r="F68" s="51">
        <f t="shared" si="16"/>
        <v>221</v>
      </c>
      <c r="G68" s="54">
        <f t="shared" si="8"/>
        <v>2583032.5521</v>
      </c>
      <c r="I68" s="25">
        <v>40</v>
      </c>
      <c r="J68" s="51">
        <f t="shared" si="9"/>
        <v>39.5</v>
      </c>
      <c r="K68" s="74">
        <f t="shared" si="17"/>
        <v>1.9965E-3</v>
      </c>
      <c r="L68" s="52">
        <f t="shared" si="18"/>
        <v>25.499921906249998</v>
      </c>
      <c r="M68" s="53">
        <f t="shared" si="10"/>
        <v>10199.968762499999</v>
      </c>
      <c r="N68" s="51">
        <f t="shared" si="19"/>
        <v>260.5</v>
      </c>
      <c r="O68" s="54">
        <f t="shared" si="11"/>
        <v>2657091.8626312497</v>
      </c>
    </row>
    <row r="69" spans="1:15">
      <c r="A69" s="25">
        <v>41</v>
      </c>
      <c r="B69" s="51">
        <f t="shared" si="12"/>
        <v>81</v>
      </c>
      <c r="C69" s="74">
        <f t="shared" si="13"/>
        <v>6.2699999999999995E-4</v>
      </c>
      <c r="D69" s="52">
        <f t="shared" si="14"/>
        <v>13.482302624999997</v>
      </c>
      <c r="E69" s="53">
        <f t="shared" si="15"/>
        <v>10785.842099999998</v>
      </c>
      <c r="F69" s="51">
        <f t="shared" si="16"/>
        <v>219</v>
      </c>
      <c r="G69" s="54">
        <f t="shared" si="8"/>
        <v>2362099.4198999996</v>
      </c>
      <c r="I69" s="25">
        <v>41</v>
      </c>
      <c r="J69" s="51">
        <f t="shared" si="9"/>
        <v>40.5</v>
      </c>
      <c r="K69" s="74">
        <f t="shared" si="17"/>
        <v>1.9635E-3</v>
      </c>
      <c r="L69" s="52">
        <f t="shared" si="18"/>
        <v>25.491506906249999</v>
      </c>
      <c r="M69" s="53">
        <f t="shared" si="10"/>
        <v>10196.602762499999</v>
      </c>
      <c r="N69" s="51">
        <f t="shared" si="19"/>
        <v>259.5</v>
      </c>
      <c r="O69" s="54">
        <f t="shared" si="11"/>
        <v>2646018.4168687495</v>
      </c>
    </row>
    <row r="70" spans="1:15">
      <c r="A70" s="25">
        <v>42</v>
      </c>
      <c r="B70" s="51">
        <f t="shared" si="12"/>
        <v>83</v>
      </c>
      <c r="C70" s="74">
        <f t="shared" si="13"/>
        <v>5.6100000000000008E-4</v>
      </c>
      <c r="D70" s="52">
        <f t="shared" si="14"/>
        <v>12.299153624999999</v>
      </c>
      <c r="E70" s="53">
        <f t="shared" si="15"/>
        <v>9839.3228999999992</v>
      </c>
      <c r="F70" s="51">
        <f t="shared" si="16"/>
        <v>217</v>
      </c>
      <c r="G70" s="54">
        <f t="shared" si="8"/>
        <v>2135133.0692999996</v>
      </c>
      <c r="I70" s="25">
        <v>42</v>
      </c>
      <c r="J70" s="51">
        <f t="shared" si="9"/>
        <v>41.5</v>
      </c>
      <c r="K70" s="74">
        <f t="shared" si="17"/>
        <v>1.9304999999999999E-3</v>
      </c>
      <c r="L70" s="52">
        <f t="shared" si="18"/>
        <v>25.46920715625</v>
      </c>
      <c r="M70" s="53">
        <f t="shared" si="10"/>
        <v>10187.6828625</v>
      </c>
      <c r="N70" s="51">
        <f t="shared" si="19"/>
        <v>258.5</v>
      </c>
      <c r="O70" s="54">
        <f t="shared" si="11"/>
        <v>2633516.0199562497</v>
      </c>
    </row>
    <row r="71" spans="1:15">
      <c r="A71" s="25">
        <v>43</v>
      </c>
      <c r="B71" s="51">
        <f t="shared" si="12"/>
        <v>85</v>
      </c>
      <c r="C71" s="74">
        <f t="shared" si="13"/>
        <v>4.95E-4</v>
      </c>
      <c r="D71" s="52">
        <f t="shared" si="14"/>
        <v>11.060465625000003</v>
      </c>
      <c r="E71" s="53">
        <f t="shared" si="15"/>
        <v>8848.3725000000013</v>
      </c>
      <c r="F71" s="51">
        <f t="shared" si="16"/>
        <v>215</v>
      </c>
      <c r="G71" s="54">
        <f t="shared" si="8"/>
        <v>1902400.0875000004</v>
      </c>
      <c r="I71" s="25">
        <v>43</v>
      </c>
      <c r="J71" s="51">
        <f t="shared" si="9"/>
        <v>42.5</v>
      </c>
      <c r="K71" s="74">
        <f t="shared" si="17"/>
        <v>1.8974999999999999E-3</v>
      </c>
      <c r="L71" s="52">
        <f t="shared" si="18"/>
        <v>25.433022656249999</v>
      </c>
      <c r="M71" s="53">
        <f t="shared" si="10"/>
        <v>10173.2090625</v>
      </c>
      <c r="N71" s="51">
        <f t="shared" si="19"/>
        <v>257.5</v>
      </c>
      <c r="O71" s="54">
        <f t="shared" si="11"/>
        <v>2619601.3335937499</v>
      </c>
    </row>
    <row r="72" spans="1:15">
      <c r="A72" s="25">
        <v>44</v>
      </c>
      <c r="B72" s="51">
        <f t="shared" si="12"/>
        <v>87</v>
      </c>
      <c r="C72" s="74">
        <f t="shared" si="13"/>
        <v>4.2900000000000002E-4</v>
      </c>
      <c r="D72" s="52">
        <f t="shared" si="14"/>
        <v>9.7662386249999997</v>
      </c>
      <c r="E72" s="53">
        <f t="shared" si="15"/>
        <v>7812.9908999999998</v>
      </c>
      <c r="F72" s="51">
        <f t="shared" si="16"/>
        <v>213</v>
      </c>
      <c r="G72" s="54">
        <f t="shared" si="8"/>
        <v>1664167.0617</v>
      </c>
      <c r="I72" s="25">
        <v>44</v>
      </c>
      <c r="J72" s="51">
        <f t="shared" si="9"/>
        <v>43.5</v>
      </c>
      <c r="K72" s="74">
        <f t="shared" si="17"/>
        <v>1.8644999999999998E-3</v>
      </c>
      <c r="L72" s="52">
        <f t="shared" si="18"/>
        <v>25.382953406249996</v>
      </c>
      <c r="M72" s="53">
        <f t="shared" si="10"/>
        <v>10153.181362499998</v>
      </c>
      <c r="N72" s="51">
        <f t="shared" si="19"/>
        <v>256.5</v>
      </c>
      <c r="O72" s="54">
        <f t="shared" si="11"/>
        <v>2604291.0194812496</v>
      </c>
    </row>
    <row r="73" spans="1:15">
      <c r="A73" s="25">
        <v>45</v>
      </c>
      <c r="B73" s="51">
        <f t="shared" si="12"/>
        <v>89</v>
      </c>
      <c r="C73" s="74">
        <f t="shared" si="13"/>
        <v>3.6299999999999999E-4</v>
      </c>
      <c r="D73" s="52">
        <f t="shared" si="14"/>
        <v>8.4164726250000008</v>
      </c>
      <c r="E73" s="53">
        <f t="shared" si="15"/>
        <v>6733.178100000001</v>
      </c>
      <c r="F73" s="51">
        <f t="shared" si="16"/>
        <v>211</v>
      </c>
      <c r="G73" s="54">
        <f t="shared" si="8"/>
        <v>1420700.5791000002</v>
      </c>
      <c r="I73" s="25">
        <v>45</v>
      </c>
      <c r="J73" s="51">
        <f t="shared" si="9"/>
        <v>44.5</v>
      </c>
      <c r="K73" s="74">
        <f t="shared" si="17"/>
        <v>1.8315000000000002E-3</v>
      </c>
      <c r="L73" s="52">
        <f t="shared" si="18"/>
        <v>25.318999406250001</v>
      </c>
      <c r="M73" s="53">
        <f t="shared" si="10"/>
        <v>10127.5997625</v>
      </c>
      <c r="N73" s="51">
        <f t="shared" si="19"/>
        <v>255.5</v>
      </c>
      <c r="O73" s="54">
        <f t="shared" si="11"/>
        <v>2587601.7393187499</v>
      </c>
    </row>
    <row r="74" spans="1:15">
      <c r="A74" s="25">
        <v>46</v>
      </c>
      <c r="B74" s="51">
        <f t="shared" si="12"/>
        <v>91</v>
      </c>
      <c r="C74" s="74">
        <f t="shared" si="13"/>
        <v>2.9700000000000001E-4</v>
      </c>
      <c r="D74" s="52">
        <f t="shared" si="14"/>
        <v>7.0111676249999988</v>
      </c>
      <c r="E74" s="53">
        <f t="shared" si="15"/>
        <v>5608.9340999999986</v>
      </c>
      <c r="F74" s="51">
        <f t="shared" si="16"/>
        <v>209</v>
      </c>
      <c r="G74" s="54">
        <f t="shared" si="8"/>
        <v>1172267.2268999997</v>
      </c>
      <c r="I74" s="25">
        <v>46</v>
      </c>
      <c r="J74" s="51">
        <f t="shared" si="9"/>
        <v>45.5</v>
      </c>
      <c r="K74" s="74">
        <f t="shared" si="17"/>
        <v>1.7985000000000002E-3</v>
      </c>
      <c r="L74" s="52">
        <f t="shared" si="18"/>
        <v>25.241160656249999</v>
      </c>
      <c r="M74" s="53">
        <f t="shared" si="10"/>
        <v>10096.4642625</v>
      </c>
      <c r="N74" s="51">
        <f t="shared" si="19"/>
        <v>254.5</v>
      </c>
      <c r="O74" s="54">
        <f t="shared" si="11"/>
        <v>2569550.1548062498</v>
      </c>
    </row>
    <row r="75" spans="1:15">
      <c r="A75" s="25">
        <v>47</v>
      </c>
      <c r="B75" s="51">
        <f t="shared" si="12"/>
        <v>93</v>
      </c>
      <c r="C75" s="74">
        <f t="shared" si="13"/>
        <v>2.3100000000000003E-4</v>
      </c>
      <c r="D75" s="52">
        <f t="shared" si="14"/>
        <v>5.5503236250000008</v>
      </c>
      <c r="E75" s="53">
        <f t="shared" si="15"/>
        <v>4440.2589000000007</v>
      </c>
      <c r="F75" s="51">
        <f t="shared" si="16"/>
        <v>207</v>
      </c>
      <c r="G75" s="54">
        <f t="shared" si="8"/>
        <v>919133.59230000013</v>
      </c>
      <c r="I75" s="25">
        <v>47</v>
      </c>
      <c r="J75" s="51">
        <f t="shared" si="9"/>
        <v>46.5</v>
      </c>
      <c r="K75" s="74">
        <f t="shared" si="17"/>
        <v>1.7655000000000001E-3</v>
      </c>
      <c r="L75" s="52">
        <f t="shared" si="18"/>
        <v>25.149437156250002</v>
      </c>
      <c r="M75" s="53">
        <f t="shared" si="10"/>
        <v>10059.7748625</v>
      </c>
      <c r="N75" s="51">
        <f t="shared" si="19"/>
        <v>253.5</v>
      </c>
      <c r="O75" s="54">
        <f t="shared" si="11"/>
        <v>2550152.9276437503</v>
      </c>
    </row>
    <row r="76" spans="1:15">
      <c r="A76" s="25">
        <v>48</v>
      </c>
      <c r="B76" s="51">
        <f t="shared" si="12"/>
        <v>95</v>
      </c>
      <c r="C76" s="74">
        <f t="shared" si="13"/>
        <v>1.65E-4</v>
      </c>
      <c r="D76" s="52">
        <f t="shared" si="14"/>
        <v>4.0339406250000005</v>
      </c>
      <c r="E76" s="53">
        <f t="shared" si="15"/>
        <v>3227.1525000000006</v>
      </c>
      <c r="F76" s="51">
        <f t="shared" si="16"/>
        <v>205</v>
      </c>
      <c r="G76" s="54">
        <f t="shared" si="8"/>
        <v>661566.26250000007</v>
      </c>
      <c r="I76" s="25">
        <v>48</v>
      </c>
      <c r="J76" s="51">
        <f t="shared" si="9"/>
        <v>47.5</v>
      </c>
      <c r="K76" s="74">
        <f t="shared" si="17"/>
        <v>1.7325000000000001E-3</v>
      </c>
      <c r="L76" s="52">
        <f t="shared" si="18"/>
        <v>25.043828906249999</v>
      </c>
      <c r="M76" s="53">
        <f t="shared" si="10"/>
        <v>10017.5315625</v>
      </c>
      <c r="N76" s="51">
        <f t="shared" si="19"/>
        <v>252.5</v>
      </c>
      <c r="O76" s="54">
        <f t="shared" si="11"/>
        <v>2529426.7195312502</v>
      </c>
    </row>
    <row r="77" spans="1:15">
      <c r="A77" s="25">
        <v>49</v>
      </c>
      <c r="B77" s="51">
        <f t="shared" si="12"/>
        <v>97</v>
      </c>
      <c r="C77" s="74">
        <f t="shared" si="13"/>
        <v>9.8999999999999994E-5</v>
      </c>
      <c r="D77" s="52">
        <f t="shared" si="14"/>
        <v>2.4620186249999998</v>
      </c>
      <c r="E77" s="53">
        <f t="shared" si="15"/>
        <v>1969.6148999999998</v>
      </c>
      <c r="F77" s="51">
        <f t="shared" si="16"/>
        <v>203</v>
      </c>
      <c r="G77" s="54">
        <f t="shared" si="8"/>
        <v>399831.82469999994</v>
      </c>
      <c r="I77" s="25">
        <v>49</v>
      </c>
      <c r="J77" s="51">
        <f t="shared" si="9"/>
        <v>48.5</v>
      </c>
      <c r="K77" s="74">
        <f t="shared" si="17"/>
        <v>1.6995000000000001E-3</v>
      </c>
      <c r="L77" s="52">
        <f t="shared" si="18"/>
        <v>24.924335906250001</v>
      </c>
      <c r="M77" s="53">
        <f t="shared" si="10"/>
        <v>9969.7343624999994</v>
      </c>
      <c r="N77" s="51">
        <f t="shared" si="19"/>
        <v>251.5</v>
      </c>
      <c r="O77" s="54">
        <f t="shared" si="11"/>
        <v>2507388.1921687499</v>
      </c>
    </row>
    <row r="78" spans="1:15">
      <c r="A78" s="25">
        <v>50</v>
      </c>
      <c r="B78" s="51">
        <f t="shared" si="12"/>
        <v>99</v>
      </c>
      <c r="C78" s="74">
        <f t="shared" si="13"/>
        <v>3.3000000000000003E-5</v>
      </c>
      <c r="D78" s="52">
        <f t="shared" si="14"/>
        <v>0.83455762499999864</v>
      </c>
      <c r="E78" s="53">
        <f t="shared" si="15"/>
        <v>667.64609999999891</v>
      </c>
      <c r="F78" s="51">
        <f t="shared" si="16"/>
        <v>201</v>
      </c>
      <c r="G78" s="54">
        <f t="shared" si="8"/>
        <v>134196.86609999978</v>
      </c>
      <c r="I78" s="25">
        <v>50</v>
      </c>
      <c r="J78" s="51">
        <f t="shared" si="9"/>
        <v>49.5</v>
      </c>
      <c r="K78" s="74">
        <f t="shared" si="17"/>
        <v>1.6665E-3</v>
      </c>
      <c r="L78" s="52">
        <f t="shared" si="18"/>
        <v>24.790958156249999</v>
      </c>
      <c r="M78" s="53">
        <f t="shared" si="10"/>
        <v>9916.3832624999995</v>
      </c>
      <c r="N78" s="51">
        <f t="shared" si="19"/>
        <v>250.5</v>
      </c>
      <c r="O78" s="54">
        <f t="shared" si="11"/>
        <v>2484054.0072562499</v>
      </c>
    </row>
    <row r="79" spans="1:15">
      <c r="I79" s="25">
        <v>51</v>
      </c>
      <c r="J79" s="51">
        <f t="shared" si="9"/>
        <v>50.5</v>
      </c>
      <c r="K79" s="74">
        <f t="shared" si="17"/>
        <v>1.6335E-3</v>
      </c>
      <c r="L79" s="52">
        <f t="shared" si="18"/>
        <v>24.643695656249999</v>
      </c>
      <c r="M79" s="53">
        <f t="shared" si="10"/>
        <v>9857.4782624999989</v>
      </c>
      <c r="N79" s="51">
        <f t="shared" si="19"/>
        <v>249.5</v>
      </c>
      <c r="O79" s="54">
        <f t="shared" si="11"/>
        <v>2459440.8264937499</v>
      </c>
    </row>
    <row r="80" spans="1:15">
      <c r="I80" s="25">
        <v>52</v>
      </c>
      <c r="J80" s="51">
        <f t="shared" si="9"/>
        <v>51.5</v>
      </c>
      <c r="K80" s="74">
        <f t="shared" si="17"/>
        <v>1.6004999999999999E-3</v>
      </c>
      <c r="L80" s="52">
        <f t="shared" si="18"/>
        <v>24.48254840625</v>
      </c>
      <c r="M80" s="53">
        <f t="shared" si="10"/>
        <v>9793.0193624999993</v>
      </c>
      <c r="N80" s="51">
        <f t="shared" si="19"/>
        <v>248.5</v>
      </c>
      <c r="O80" s="54">
        <f t="shared" si="11"/>
        <v>2433565.3115812498</v>
      </c>
    </row>
    <row r="81" spans="9:15">
      <c r="I81" s="25">
        <v>53</v>
      </c>
      <c r="J81" s="51">
        <f t="shared" si="9"/>
        <v>52.5</v>
      </c>
      <c r="K81" s="74">
        <f t="shared" si="17"/>
        <v>1.5674999999999999E-3</v>
      </c>
      <c r="L81" s="52">
        <f t="shared" si="18"/>
        <v>24.307516406249999</v>
      </c>
      <c r="M81" s="53">
        <f t="shared" si="10"/>
        <v>9723.0065624999988</v>
      </c>
      <c r="N81" s="51">
        <f t="shared" si="19"/>
        <v>247.5</v>
      </c>
      <c r="O81" s="54">
        <f t="shared" si="11"/>
        <v>2406444.1242187498</v>
      </c>
    </row>
    <row r="82" spans="9:15">
      <c r="I82" s="25">
        <v>54</v>
      </c>
      <c r="J82" s="51">
        <f t="shared" si="9"/>
        <v>53.5</v>
      </c>
      <c r="K82" s="74">
        <f t="shared" si="17"/>
        <v>1.5345000000000001E-3</v>
      </c>
      <c r="L82" s="52">
        <f t="shared" si="18"/>
        <v>24.118599656250002</v>
      </c>
      <c r="M82" s="53">
        <f t="shared" si="10"/>
        <v>9647.4398625000013</v>
      </c>
      <c r="N82" s="51">
        <f t="shared" si="19"/>
        <v>246.5</v>
      </c>
      <c r="O82" s="54">
        <f t="shared" si="11"/>
        <v>2378093.9261062504</v>
      </c>
    </row>
    <row r="83" spans="9:15">
      <c r="I83" s="25">
        <v>55</v>
      </c>
      <c r="J83" s="51">
        <f t="shared" si="9"/>
        <v>54.5</v>
      </c>
      <c r="K83" s="74">
        <f t="shared" si="17"/>
        <v>1.5015E-3</v>
      </c>
      <c r="L83" s="52">
        <f t="shared" si="18"/>
        <v>23.915798156249998</v>
      </c>
      <c r="M83" s="53">
        <f t="shared" si="10"/>
        <v>9566.3192624999992</v>
      </c>
      <c r="N83" s="51">
        <f t="shared" si="19"/>
        <v>245.5</v>
      </c>
      <c r="O83" s="54">
        <f t="shared" si="11"/>
        <v>2348531.3789437497</v>
      </c>
    </row>
    <row r="84" spans="9:15">
      <c r="I84" s="25">
        <v>56</v>
      </c>
      <c r="J84" s="51">
        <f t="shared" si="9"/>
        <v>55.5</v>
      </c>
      <c r="K84" s="74">
        <f t="shared" si="17"/>
        <v>1.4685E-3</v>
      </c>
      <c r="L84" s="52">
        <f t="shared" si="18"/>
        <v>23.699111906249996</v>
      </c>
      <c r="M84" s="53">
        <f t="shared" si="10"/>
        <v>9479.6447624999983</v>
      </c>
      <c r="N84" s="51">
        <f t="shared" si="19"/>
        <v>244.5</v>
      </c>
      <c r="O84" s="54">
        <f t="shared" si="11"/>
        <v>2317773.1444312497</v>
      </c>
    </row>
    <row r="85" spans="9:15">
      <c r="I85" s="25">
        <v>57</v>
      </c>
      <c r="J85" s="51">
        <f t="shared" si="9"/>
        <v>56.5</v>
      </c>
      <c r="K85" s="74">
        <f t="shared" si="17"/>
        <v>1.4354999999999999E-3</v>
      </c>
      <c r="L85" s="52">
        <f t="shared" si="18"/>
        <v>23.468540906250002</v>
      </c>
      <c r="M85" s="53">
        <f t="shared" si="10"/>
        <v>9387.4163625000001</v>
      </c>
      <c r="N85" s="51">
        <f t="shared" si="19"/>
        <v>243.5</v>
      </c>
      <c r="O85" s="54">
        <f t="shared" si="11"/>
        <v>2285835.88426875</v>
      </c>
    </row>
    <row r="86" spans="9:15">
      <c r="I86" s="25">
        <v>58</v>
      </c>
      <c r="J86" s="51">
        <f t="shared" si="9"/>
        <v>57.5</v>
      </c>
      <c r="K86" s="74">
        <f t="shared" si="17"/>
        <v>1.4024999999999999E-3</v>
      </c>
      <c r="L86" s="52">
        <f t="shared" si="18"/>
        <v>23.224085156249998</v>
      </c>
      <c r="M86" s="53">
        <f t="shared" si="10"/>
        <v>9289.6340624999993</v>
      </c>
      <c r="N86" s="51">
        <f t="shared" si="19"/>
        <v>242.5</v>
      </c>
      <c r="O86" s="54">
        <f t="shared" si="11"/>
        <v>2252736.2601562496</v>
      </c>
    </row>
    <row r="87" spans="9:15">
      <c r="I87" s="25">
        <v>59</v>
      </c>
      <c r="J87" s="51">
        <f t="shared" si="9"/>
        <v>58.5</v>
      </c>
      <c r="K87" s="74">
        <f t="shared" si="17"/>
        <v>1.3694999999999998E-3</v>
      </c>
      <c r="L87" s="52">
        <f t="shared" si="18"/>
        <v>22.965744656249999</v>
      </c>
      <c r="M87" s="53">
        <f t="shared" si="10"/>
        <v>9186.2978624999996</v>
      </c>
      <c r="N87" s="51">
        <f t="shared" si="19"/>
        <v>241.5</v>
      </c>
      <c r="O87" s="54">
        <f t="shared" si="11"/>
        <v>2218490.9337937501</v>
      </c>
    </row>
    <row r="88" spans="9:15">
      <c r="I88" s="25">
        <v>60</v>
      </c>
      <c r="J88" s="51">
        <f t="shared" si="9"/>
        <v>59.5</v>
      </c>
      <c r="K88" s="74">
        <f t="shared" si="17"/>
        <v>1.3365E-3</v>
      </c>
      <c r="L88" s="52">
        <f t="shared" si="18"/>
        <v>22.693519406249997</v>
      </c>
      <c r="M88" s="53">
        <f t="shared" si="10"/>
        <v>9077.4077624999991</v>
      </c>
      <c r="N88" s="51">
        <f t="shared" si="19"/>
        <v>240.5</v>
      </c>
      <c r="O88" s="54">
        <f t="shared" si="11"/>
        <v>2183116.5668812497</v>
      </c>
    </row>
    <row r="89" spans="9:15">
      <c r="I89" s="25">
        <v>61</v>
      </c>
      <c r="J89" s="51">
        <f t="shared" si="9"/>
        <v>60.5</v>
      </c>
      <c r="K89" s="74">
        <f t="shared" si="17"/>
        <v>1.3035E-3</v>
      </c>
      <c r="L89" s="52">
        <f t="shared" si="18"/>
        <v>22.407409406249997</v>
      </c>
      <c r="M89" s="53">
        <f t="shared" si="10"/>
        <v>8962.9637624999996</v>
      </c>
      <c r="N89" s="51">
        <f t="shared" si="19"/>
        <v>239.5</v>
      </c>
      <c r="O89" s="54">
        <f t="shared" si="11"/>
        <v>2146629.8211187497</v>
      </c>
    </row>
    <row r="90" spans="9:15">
      <c r="I90" s="25">
        <v>62</v>
      </c>
      <c r="J90" s="51">
        <f t="shared" si="9"/>
        <v>61.5</v>
      </c>
      <c r="K90" s="74">
        <f t="shared" si="17"/>
        <v>1.2704999999999999E-3</v>
      </c>
      <c r="L90" s="52">
        <f t="shared" si="18"/>
        <v>22.10741465625</v>
      </c>
      <c r="M90" s="53">
        <f t="shared" si="10"/>
        <v>8842.9658625000011</v>
      </c>
      <c r="N90" s="51">
        <f t="shared" si="19"/>
        <v>238.5</v>
      </c>
      <c r="O90" s="54">
        <f t="shared" si="11"/>
        <v>2109047.3582062502</v>
      </c>
    </row>
    <row r="91" spans="9:15">
      <c r="I91" s="25">
        <v>63</v>
      </c>
      <c r="J91" s="51">
        <f t="shared" si="9"/>
        <v>62.5</v>
      </c>
      <c r="K91" s="74">
        <f t="shared" si="17"/>
        <v>1.2374999999999999E-3</v>
      </c>
      <c r="L91" s="52">
        <f t="shared" si="18"/>
        <v>21.793535156249998</v>
      </c>
      <c r="M91" s="53">
        <f t="shared" si="10"/>
        <v>8717.4140625</v>
      </c>
      <c r="N91" s="51">
        <f t="shared" si="19"/>
        <v>237.5</v>
      </c>
      <c r="O91" s="54">
        <f t="shared" si="11"/>
        <v>2070385.83984375</v>
      </c>
    </row>
    <row r="92" spans="9:15">
      <c r="I92" s="25">
        <v>64</v>
      </c>
      <c r="J92" s="51">
        <f t="shared" si="9"/>
        <v>63.5</v>
      </c>
      <c r="K92" s="74">
        <f t="shared" si="17"/>
        <v>1.2045000000000001E-3</v>
      </c>
      <c r="L92" s="52">
        <f t="shared" si="18"/>
        <v>21.46577090625</v>
      </c>
      <c r="M92" s="53">
        <f t="shared" si="10"/>
        <v>8586.3083624999999</v>
      </c>
      <c r="N92" s="51">
        <f t="shared" si="19"/>
        <v>236.5</v>
      </c>
      <c r="O92" s="54">
        <f t="shared" si="11"/>
        <v>2030661.9277312499</v>
      </c>
    </row>
    <row r="93" spans="9:15">
      <c r="I93" s="25">
        <v>65</v>
      </c>
      <c r="J93" s="51">
        <f t="shared" si="9"/>
        <v>64.5</v>
      </c>
      <c r="K93" s="74">
        <f t="shared" ref="K93:K124" si="20">+(J$22-J93)/J$22*ecu</f>
        <v>1.1715E-3</v>
      </c>
      <c r="L93" s="52">
        <f t="shared" ref="L93:L124" si="21">+IF(K93&gt;=0,IF(K93&lt;=eco,1-(1-K93/eco)^n,1),0)*0.85*fck</f>
        <v>21.12412190625</v>
      </c>
      <c r="M93" s="53">
        <f t="shared" si="10"/>
        <v>8449.6487625000009</v>
      </c>
      <c r="N93" s="51">
        <f t="shared" ref="N93:N124" si="22">+h/2-J93</f>
        <v>235.5</v>
      </c>
      <c r="O93" s="54">
        <f t="shared" si="11"/>
        <v>1989892.2835687501</v>
      </c>
    </row>
    <row r="94" spans="9:15">
      <c r="I94" s="25">
        <v>66</v>
      </c>
      <c r="J94" s="51">
        <f t="shared" ref="J94:J128" si="23">J$22/J$23*(I94-1)+N$22/2</f>
        <v>65.5</v>
      </c>
      <c r="K94" s="74">
        <f t="shared" si="20"/>
        <v>1.1385E-3</v>
      </c>
      <c r="L94" s="52">
        <f t="shared" si="21"/>
        <v>20.768588156249997</v>
      </c>
      <c r="M94" s="53">
        <f t="shared" ref="M94:M128" si="24">+L94*N$24</f>
        <v>8307.4352624999992</v>
      </c>
      <c r="N94" s="51">
        <f t="shared" si="22"/>
        <v>234.5</v>
      </c>
      <c r="O94" s="54">
        <f t="shared" ref="O94:O128" si="25">+M94*N94</f>
        <v>1948093.5690562499</v>
      </c>
    </row>
    <row r="95" spans="9:15">
      <c r="I95" s="25">
        <v>67</v>
      </c>
      <c r="J95" s="51">
        <f t="shared" si="23"/>
        <v>66.5</v>
      </c>
      <c r="K95" s="74">
        <f t="shared" si="20"/>
        <v>1.1055000000000001E-3</v>
      </c>
      <c r="L95" s="52">
        <f t="shared" si="21"/>
        <v>20.399169656250002</v>
      </c>
      <c r="M95" s="53">
        <f t="shared" si="24"/>
        <v>8159.6678625000013</v>
      </c>
      <c r="N95" s="51">
        <f t="shared" si="22"/>
        <v>233.5</v>
      </c>
      <c r="O95" s="54">
        <f t="shared" si="25"/>
        <v>1905282.4458937503</v>
      </c>
    </row>
    <row r="96" spans="9:15">
      <c r="I96" s="25">
        <v>68</v>
      </c>
      <c r="J96" s="51">
        <f t="shared" si="23"/>
        <v>67.5</v>
      </c>
      <c r="K96" s="74">
        <f t="shared" si="20"/>
        <v>1.0725000000000001E-3</v>
      </c>
      <c r="L96" s="52">
        <f t="shared" si="21"/>
        <v>20.015866406250002</v>
      </c>
      <c r="M96" s="53">
        <f t="shared" si="24"/>
        <v>8006.3465625000008</v>
      </c>
      <c r="N96" s="51">
        <f t="shared" si="22"/>
        <v>232.5</v>
      </c>
      <c r="O96" s="54">
        <f t="shared" si="25"/>
        <v>1861475.5757812501</v>
      </c>
    </row>
    <row r="97" spans="9:15">
      <c r="I97" s="25">
        <v>69</v>
      </c>
      <c r="J97" s="51">
        <f t="shared" si="23"/>
        <v>68.5</v>
      </c>
      <c r="K97" s="74">
        <f t="shared" si="20"/>
        <v>1.0395000000000001E-3</v>
      </c>
      <c r="L97" s="52">
        <f t="shared" si="21"/>
        <v>19.618678406249998</v>
      </c>
      <c r="M97" s="53">
        <f t="shared" si="24"/>
        <v>7847.4713624999995</v>
      </c>
      <c r="N97" s="51">
        <f t="shared" si="22"/>
        <v>231.5</v>
      </c>
      <c r="O97" s="54">
        <f t="shared" si="25"/>
        <v>1816689.62041875</v>
      </c>
    </row>
    <row r="98" spans="9:15">
      <c r="I98" s="25">
        <v>70</v>
      </c>
      <c r="J98" s="51">
        <f t="shared" si="23"/>
        <v>69.5</v>
      </c>
      <c r="K98" s="74">
        <f t="shared" si="20"/>
        <v>1.0065E-3</v>
      </c>
      <c r="L98" s="52">
        <f t="shared" si="21"/>
        <v>19.207605656249999</v>
      </c>
      <c r="M98" s="53">
        <f t="shared" si="24"/>
        <v>7683.0422625000001</v>
      </c>
      <c r="N98" s="51">
        <f t="shared" si="22"/>
        <v>230.5</v>
      </c>
      <c r="O98" s="54">
        <f t="shared" si="25"/>
        <v>1770941.2415062501</v>
      </c>
    </row>
    <row r="99" spans="9:15">
      <c r="I99" s="25">
        <v>71</v>
      </c>
      <c r="J99" s="51">
        <f t="shared" si="23"/>
        <v>70.5</v>
      </c>
      <c r="K99" s="74">
        <f t="shared" si="20"/>
        <v>9.7349999999999997E-4</v>
      </c>
      <c r="L99" s="52">
        <f t="shared" si="21"/>
        <v>18.782648156250001</v>
      </c>
      <c r="M99" s="53">
        <f t="shared" si="24"/>
        <v>7513.0592625000008</v>
      </c>
      <c r="N99" s="51">
        <f t="shared" si="22"/>
        <v>229.5</v>
      </c>
      <c r="O99" s="54">
        <f t="shared" si="25"/>
        <v>1724247.1007437501</v>
      </c>
    </row>
    <row r="100" spans="9:15">
      <c r="I100" s="25">
        <v>72</v>
      </c>
      <c r="J100" s="51">
        <f t="shared" si="23"/>
        <v>71.5</v>
      </c>
      <c r="K100" s="74">
        <f t="shared" si="20"/>
        <v>9.4049999999999993E-4</v>
      </c>
      <c r="L100" s="52">
        <f t="shared" si="21"/>
        <v>18.343805906249997</v>
      </c>
      <c r="M100" s="53">
        <f t="shared" si="24"/>
        <v>7337.522362499999</v>
      </c>
      <c r="N100" s="51">
        <f t="shared" si="22"/>
        <v>228.5</v>
      </c>
      <c r="O100" s="54">
        <f t="shared" si="25"/>
        <v>1676623.8598312498</v>
      </c>
    </row>
    <row r="101" spans="9:15">
      <c r="I101" s="25">
        <v>73</v>
      </c>
      <c r="J101" s="51">
        <f t="shared" si="23"/>
        <v>72.5</v>
      </c>
      <c r="K101" s="74">
        <f t="shared" si="20"/>
        <v>9.075000000000001E-4</v>
      </c>
      <c r="L101" s="52">
        <f t="shared" si="21"/>
        <v>17.891078906250002</v>
      </c>
      <c r="M101" s="53">
        <f t="shared" si="24"/>
        <v>7156.4315625000008</v>
      </c>
      <c r="N101" s="51">
        <f t="shared" si="22"/>
        <v>227.5</v>
      </c>
      <c r="O101" s="54">
        <f t="shared" si="25"/>
        <v>1628088.1804687502</v>
      </c>
    </row>
    <row r="102" spans="9:15">
      <c r="I102" s="25">
        <v>74</v>
      </c>
      <c r="J102" s="51">
        <f t="shared" si="23"/>
        <v>73.5</v>
      </c>
      <c r="K102" s="74">
        <f t="shared" si="20"/>
        <v>8.7450000000000006E-4</v>
      </c>
      <c r="L102" s="52">
        <f t="shared" si="21"/>
        <v>17.42446715625</v>
      </c>
      <c r="M102" s="53">
        <f t="shared" si="24"/>
        <v>6969.7868625000001</v>
      </c>
      <c r="N102" s="51">
        <f t="shared" si="22"/>
        <v>226.5</v>
      </c>
      <c r="O102" s="54">
        <f t="shared" si="25"/>
        <v>1578656.7243562499</v>
      </c>
    </row>
    <row r="103" spans="9:15">
      <c r="I103" s="25">
        <v>75</v>
      </c>
      <c r="J103" s="51">
        <f t="shared" si="23"/>
        <v>74.5</v>
      </c>
      <c r="K103" s="74">
        <f t="shared" si="20"/>
        <v>8.4150000000000002E-4</v>
      </c>
      <c r="L103" s="52">
        <f t="shared" si="21"/>
        <v>16.943970656249999</v>
      </c>
      <c r="M103" s="53">
        <f t="shared" si="24"/>
        <v>6777.5882624999995</v>
      </c>
      <c r="N103" s="51">
        <f t="shared" si="22"/>
        <v>225.5</v>
      </c>
      <c r="O103" s="54">
        <f t="shared" si="25"/>
        <v>1528346.15319375</v>
      </c>
    </row>
    <row r="104" spans="9:15">
      <c r="I104" s="25">
        <v>76</v>
      </c>
      <c r="J104" s="51">
        <f t="shared" si="23"/>
        <v>75.5</v>
      </c>
      <c r="K104" s="74">
        <f t="shared" si="20"/>
        <v>8.0849999999999997E-4</v>
      </c>
      <c r="L104" s="52">
        <f t="shared" si="21"/>
        <v>16.449589406249999</v>
      </c>
      <c r="M104" s="53">
        <f t="shared" si="24"/>
        <v>6579.835762499999</v>
      </c>
      <c r="N104" s="51">
        <f t="shared" si="22"/>
        <v>224.5</v>
      </c>
      <c r="O104" s="54">
        <f t="shared" si="25"/>
        <v>1477173.1286812497</v>
      </c>
    </row>
    <row r="105" spans="9:15">
      <c r="I105" s="25">
        <v>77</v>
      </c>
      <c r="J105" s="51">
        <f t="shared" si="23"/>
        <v>76.5</v>
      </c>
      <c r="K105" s="74">
        <f t="shared" si="20"/>
        <v>7.7549999999999993E-4</v>
      </c>
      <c r="L105" s="52">
        <f t="shared" si="21"/>
        <v>15.94132340625</v>
      </c>
      <c r="M105" s="53">
        <f t="shared" si="24"/>
        <v>6376.5293624999995</v>
      </c>
      <c r="N105" s="51">
        <f t="shared" si="22"/>
        <v>223.5</v>
      </c>
      <c r="O105" s="54">
        <f t="shared" si="25"/>
        <v>1425154.3125187499</v>
      </c>
    </row>
    <row r="106" spans="9:15">
      <c r="I106" s="25">
        <v>78</v>
      </c>
      <c r="J106" s="51">
        <f t="shared" si="23"/>
        <v>77.5</v>
      </c>
      <c r="K106" s="74">
        <f t="shared" si="20"/>
        <v>7.425E-4</v>
      </c>
      <c r="L106" s="52">
        <f t="shared" si="21"/>
        <v>15.419172656250002</v>
      </c>
      <c r="M106" s="53">
        <f t="shared" si="24"/>
        <v>6167.669062500001</v>
      </c>
      <c r="N106" s="51">
        <f t="shared" si="22"/>
        <v>222.5</v>
      </c>
      <c r="O106" s="54">
        <f t="shared" si="25"/>
        <v>1372306.3664062503</v>
      </c>
    </row>
    <row r="107" spans="9:15">
      <c r="I107" s="25">
        <v>79</v>
      </c>
      <c r="J107" s="51">
        <f t="shared" si="23"/>
        <v>78.5</v>
      </c>
      <c r="K107" s="74">
        <f t="shared" si="20"/>
        <v>7.0949999999999995E-4</v>
      </c>
      <c r="L107" s="52">
        <f t="shared" si="21"/>
        <v>14.883137156249996</v>
      </c>
      <c r="M107" s="53">
        <f t="shared" si="24"/>
        <v>5953.2548624999981</v>
      </c>
      <c r="N107" s="51">
        <f t="shared" si="22"/>
        <v>221.5</v>
      </c>
      <c r="O107" s="54">
        <f t="shared" si="25"/>
        <v>1318645.9520437496</v>
      </c>
    </row>
    <row r="108" spans="9:15">
      <c r="I108" s="25">
        <v>80</v>
      </c>
      <c r="J108" s="51">
        <f t="shared" si="23"/>
        <v>79.5</v>
      </c>
      <c r="K108" s="74">
        <f t="shared" si="20"/>
        <v>6.7649999999999991E-4</v>
      </c>
      <c r="L108" s="52">
        <f t="shared" si="21"/>
        <v>14.333216906249998</v>
      </c>
      <c r="M108" s="53">
        <f t="shared" si="24"/>
        <v>5733.286762499999</v>
      </c>
      <c r="N108" s="51">
        <f t="shared" si="22"/>
        <v>220.5</v>
      </c>
      <c r="O108" s="54">
        <f t="shared" si="25"/>
        <v>1264189.7311312498</v>
      </c>
    </row>
    <row r="109" spans="9:15">
      <c r="I109" s="25">
        <v>81</v>
      </c>
      <c r="J109" s="51">
        <f t="shared" si="23"/>
        <v>80.5</v>
      </c>
      <c r="K109" s="74">
        <f t="shared" si="20"/>
        <v>6.4349999999999997E-4</v>
      </c>
      <c r="L109" s="52">
        <f t="shared" si="21"/>
        <v>13.769411906249999</v>
      </c>
      <c r="M109" s="53">
        <f t="shared" si="24"/>
        <v>5507.7647625</v>
      </c>
      <c r="N109" s="51">
        <f t="shared" si="22"/>
        <v>219.5</v>
      </c>
      <c r="O109" s="54">
        <f t="shared" si="25"/>
        <v>1208954.3653687499</v>
      </c>
    </row>
    <row r="110" spans="9:15">
      <c r="I110" s="25">
        <v>82</v>
      </c>
      <c r="J110" s="51">
        <f t="shared" si="23"/>
        <v>81.5</v>
      </c>
      <c r="K110" s="74">
        <f t="shared" si="20"/>
        <v>6.1050000000000004E-4</v>
      </c>
      <c r="L110" s="52">
        <f t="shared" si="21"/>
        <v>13.191722156250002</v>
      </c>
      <c r="M110" s="53">
        <f t="shared" si="24"/>
        <v>5276.6888625000011</v>
      </c>
      <c r="N110" s="51">
        <f t="shared" si="22"/>
        <v>218.5</v>
      </c>
      <c r="O110" s="54">
        <f t="shared" si="25"/>
        <v>1152956.5164562503</v>
      </c>
    </row>
    <row r="111" spans="9:15">
      <c r="I111" s="25">
        <v>83</v>
      </c>
      <c r="J111" s="51">
        <f t="shared" si="23"/>
        <v>82.5</v>
      </c>
      <c r="K111" s="74">
        <f t="shared" si="20"/>
        <v>5.775E-4</v>
      </c>
      <c r="L111" s="52">
        <f t="shared" si="21"/>
        <v>12.600147656250002</v>
      </c>
      <c r="M111" s="53">
        <f t="shared" si="24"/>
        <v>5040.0590625000004</v>
      </c>
      <c r="N111" s="51">
        <f t="shared" si="22"/>
        <v>217.5</v>
      </c>
      <c r="O111" s="54">
        <f t="shared" si="25"/>
        <v>1096212.8460937501</v>
      </c>
    </row>
    <row r="112" spans="9:15">
      <c r="I112" s="25">
        <v>84</v>
      </c>
      <c r="J112" s="51">
        <f t="shared" si="23"/>
        <v>83.5</v>
      </c>
      <c r="K112" s="74">
        <f t="shared" si="20"/>
        <v>5.4450000000000006E-4</v>
      </c>
      <c r="L112" s="52">
        <f t="shared" si="21"/>
        <v>11.994688406250004</v>
      </c>
      <c r="M112" s="53">
        <f t="shared" si="24"/>
        <v>4797.8753625000018</v>
      </c>
      <c r="N112" s="51">
        <f t="shared" si="22"/>
        <v>216.5</v>
      </c>
      <c r="O112" s="54">
        <f t="shared" si="25"/>
        <v>1038740.0159812503</v>
      </c>
    </row>
    <row r="113" spans="9:15">
      <c r="I113" s="25">
        <v>85</v>
      </c>
      <c r="J113" s="51">
        <f t="shared" si="23"/>
        <v>84.5</v>
      </c>
      <c r="K113" s="74">
        <f t="shared" si="20"/>
        <v>5.1150000000000002E-4</v>
      </c>
      <c r="L113" s="52">
        <f t="shared" si="21"/>
        <v>11.375344406249997</v>
      </c>
      <c r="M113" s="53">
        <f t="shared" si="24"/>
        <v>4550.1377624999986</v>
      </c>
      <c r="N113" s="51">
        <f t="shared" si="22"/>
        <v>215.5</v>
      </c>
      <c r="O113" s="54">
        <f t="shared" si="25"/>
        <v>980554.68781874969</v>
      </c>
    </row>
    <row r="114" spans="9:15">
      <c r="I114" s="25">
        <v>86</v>
      </c>
      <c r="J114" s="51">
        <f t="shared" si="23"/>
        <v>85.5</v>
      </c>
      <c r="K114" s="74">
        <f t="shared" si="20"/>
        <v>4.7849999999999998E-4</v>
      </c>
      <c r="L114" s="52">
        <f t="shared" si="21"/>
        <v>10.742115656249998</v>
      </c>
      <c r="M114" s="53">
        <f t="shared" si="24"/>
        <v>4296.8462624999993</v>
      </c>
      <c r="N114" s="51">
        <f t="shared" si="22"/>
        <v>214.5</v>
      </c>
      <c r="O114" s="54">
        <f t="shared" si="25"/>
        <v>921673.52330624987</v>
      </c>
    </row>
    <row r="115" spans="9:15">
      <c r="I115" s="25">
        <v>87</v>
      </c>
      <c r="J115" s="51">
        <f t="shared" si="23"/>
        <v>86.5</v>
      </c>
      <c r="K115" s="74">
        <f t="shared" si="20"/>
        <v>4.4550000000000004E-4</v>
      </c>
      <c r="L115" s="52">
        <f t="shared" si="21"/>
        <v>10.095002156249999</v>
      </c>
      <c r="M115" s="53">
        <f t="shared" si="24"/>
        <v>4038.0008624999996</v>
      </c>
      <c r="N115" s="51">
        <f t="shared" si="22"/>
        <v>213.5</v>
      </c>
      <c r="O115" s="54">
        <f t="shared" si="25"/>
        <v>862113.18414374988</v>
      </c>
    </row>
    <row r="116" spans="9:15">
      <c r="I116" s="25">
        <v>88</v>
      </c>
      <c r="J116" s="51">
        <f t="shared" si="23"/>
        <v>87.5</v>
      </c>
      <c r="K116" s="74">
        <f t="shared" si="20"/>
        <v>4.125E-4</v>
      </c>
      <c r="L116" s="52">
        <f t="shared" si="21"/>
        <v>9.4340039062500001</v>
      </c>
      <c r="M116" s="53">
        <f t="shared" si="24"/>
        <v>3773.6015625</v>
      </c>
      <c r="N116" s="51">
        <f t="shared" si="22"/>
        <v>212.5</v>
      </c>
      <c r="O116" s="54">
        <f t="shared" si="25"/>
        <v>801890.33203125</v>
      </c>
    </row>
    <row r="117" spans="9:15">
      <c r="I117" s="25">
        <v>89</v>
      </c>
      <c r="J117" s="51">
        <f t="shared" si="23"/>
        <v>88.5</v>
      </c>
      <c r="K117" s="74">
        <f t="shared" si="20"/>
        <v>3.7950000000000001E-4</v>
      </c>
      <c r="L117" s="52">
        <f t="shared" si="21"/>
        <v>8.7591209062499988</v>
      </c>
      <c r="M117" s="53">
        <f t="shared" si="24"/>
        <v>3503.6483624999996</v>
      </c>
      <c r="N117" s="51">
        <f t="shared" si="22"/>
        <v>211.5</v>
      </c>
      <c r="O117" s="54">
        <f t="shared" si="25"/>
        <v>741021.62866874994</v>
      </c>
    </row>
    <row r="118" spans="9:15">
      <c r="I118" s="25">
        <v>90</v>
      </c>
      <c r="J118" s="51">
        <f t="shared" si="23"/>
        <v>89.5</v>
      </c>
      <c r="K118" s="74">
        <f t="shared" si="20"/>
        <v>3.4649999999999997E-4</v>
      </c>
      <c r="L118" s="52">
        <f t="shared" si="21"/>
        <v>8.0703531562499986</v>
      </c>
      <c r="M118" s="53">
        <f t="shared" si="24"/>
        <v>3228.1412624999994</v>
      </c>
      <c r="N118" s="51">
        <f t="shared" si="22"/>
        <v>210.5</v>
      </c>
      <c r="O118" s="54">
        <f t="shared" si="25"/>
        <v>679523.73575624987</v>
      </c>
    </row>
    <row r="119" spans="9:15">
      <c r="I119" s="25">
        <v>91</v>
      </c>
      <c r="J119" s="51">
        <f t="shared" si="23"/>
        <v>90.5</v>
      </c>
      <c r="K119" s="74">
        <f t="shared" si="20"/>
        <v>3.1349999999999998E-4</v>
      </c>
      <c r="L119" s="52">
        <f t="shared" si="21"/>
        <v>7.3677006562499967</v>
      </c>
      <c r="M119" s="53">
        <f t="shared" si="24"/>
        <v>2947.0802624999988</v>
      </c>
      <c r="N119" s="51">
        <f t="shared" si="22"/>
        <v>209.5</v>
      </c>
      <c r="O119" s="54">
        <f t="shared" si="25"/>
        <v>617413.31499374972</v>
      </c>
    </row>
    <row r="120" spans="9:15">
      <c r="I120" s="25">
        <v>92</v>
      </c>
      <c r="J120" s="51">
        <f t="shared" si="23"/>
        <v>91.5</v>
      </c>
      <c r="K120" s="74">
        <f t="shared" si="20"/>
        <v>2.8050000000000004E-4</v>
      </c>
      <c r="L120" s="52">
        <f t="shared" si="21"/>
        <v>6.6511634062499976</v>
      </c>
      <c r="M120" s="53">
        <f t="shared" si="24"/>
        <v>2660.4653624999992</v>
      </c>
      <c r="N120" s="51">
        <f t="shared" si="22"/>
        <v>208.5</v>
      </c>
      <c r="O120" s="54">
        <f t="shared" si="25"/>
        <v>554707.02808124979</v>
      </c>
    </row>
    <row r="121" spans="9:15">
      <c r="I121" s="25">
        <v>93</v>
      </c>
      <c r="J121" s="51">
        <f t="shared" si="23"/>
        <v>92.5</v>
      </c>
      <c r="K121" s="74">
        <f t="shared" si="20"/>
        <v>2.475E-4</v>
      </c>
      <c r="L121" s="52">
        <f t="shared" si="21"/>
        <v>5.9207414062500003</v>
      </c>
      <c r="M121" s="53">
        <f t="shared" si="24"/>
        <v>2368.2965625000002</v>
      </c>
      <c r="N121" s="51">
        <f t="shared" si="22"/>
        <v>207.5</v>
      </c>
      <c r="O121" s="54">
        <f t="shared" si="25"/>
        <v>491421.53671875002</v>
      </c>
    </row>
    <row r="122" spans="9:15">
      <c r="I122" s="25">
        <v>94</v>
      </c>
      <c r="J122" s="51">
        <f t="shared" si="23"/>
        <v>93.5</v>
      </c>
      <c r="K122" s="74">
        <f t="shared" si="20"/>
        <v>2.1450000000000001E-4</v>
      </c>
      <c r="L122" s="52">
        <f t="shared" si="21"/>
        <v>5.176434656249997</v>
      </c>
      <c r="M122" s="53">
        <f t="shared" si="24"/>
        <v>2070.573862499999</v>
      </c>
      <c r="N122" s="51">
        <f t="shared" si="22"/>
        <v>206.5</v>
      </c>
      <c r="O122" s="54">
        <f t="shared" si="25"/>
        <v>427573.50260624976</v>
      </c>
    </row>
    <row r="123" spans="9:15">
      <c r="I123" s="25">
        <v>95</v>
      </c>
      <c r="J123" s="51">
        <f t="shared" si="23"/>
        <v>94.5</v>
      </c>
      <c r="K123" s="74">
        <f t="shared" si="20"/>
        <v>1.8149999999999999E-4</v>
      </c>
      <c r="L123" s="52">
        <f t="shared" si="21"/>
        <v>4.41824315625</v>
      </c>
      <c r="M123" s="53">
        <f t="shared" si="24"/>
        <v>1767.2972625</v>
      </c>
      <c r="N123" s="51">
        <f t="shared" si="22"/>
        <v>205.5</v>
      </c>
      <c r="O123" s="54">
        <f t="shared" si="25"/>
        <v>363179.58744375</v>
      </c>
    </row>
    <row r="124" spans="9:15">
      <c r="I124" s="25">
        <v>96</v>
      </c>
      <c r="J124" s="51">
        <f t="shared" si="23"/>
        <v>95.5</v>
      </c>
      <c r="K124" s="74">
        <f t="shared" si="20"/>
        <v>1.485E-4</v>
      </c>
      <c r="L124" s="52">
        <f t="shared" si="21"/>
        <v>3.6461669062500004</v>
      </c>
      <c r="M124" s="53">
        <f t="shared" si="24"/>
        <v>1458.4667625000002</v>
      </c>
      <c r="N124" s="51">
        <f t="shared" si="22"/>
        <v>204.5</v>
      </c>
      <c r="O124" s="54">
        <f t="shared" si="25"/>
        <v>298256.45293125004</v>
      </c>
    </row>
    <row r="125" spans="9:15">
      <c r="I125" s="25">
        <v>97</v>
      </c>
      <c r="J125" s="51">
        <f t="shared" si="23"/>
        <v>96.5</v>
      </c>
      <c r="K125" s="74">
        <f>+(J$22-J125)/J$22*ecu</f>
        <v>1.1550000000000002E-4</v>
      </c>
      <c r="L125" s="52">
        <f t="shared" ref="L125:L128" si="26">+IF(K125&gt;=0,IF(K125&lt;=eco,1-(1-K125/eco)^n,1),0)*0.85*fck</f>
        <v>2.8602059062499974</v>
      </c>
      <c r="M125" s="53">
        <f t="shared" si="24"/>
        <v>1144.0823624999989</v>
      </c>
      <c r="N125" s="51">
        <f t="shared" ref="N125:N128" si="27">+h/2-J125</f>
        <v>203.5</v>
      </c>
      <c r="O125" s="54">
        <f t="shared" si="25"/>
        <v>232820.76076874978</v>
      </c>
    </row>
    <row r="126" spans="9:15">
      <c r="I126" s="25">
        <v>98</v>
      </c>
      <c r="J126" s="51">
        <f t="shared" si="23"/>
        <v>97.5</v>
      </c>
      <c r="K126" s="74">
        <f>+(J$22-J126)/J$22*ecu</f>
        <v>8.25E-5</v>
      </c>
      <c r="L126" s="52">
        <f t="shared" si="26"/>
        <v>2.0603601562500007</v>
      </c>
      <c r="M126" s="53">
        <f t="shared" si="24"/>
        <v>824.14406250000025</v>
      </c>
      <c r="N126" s="51">
        <f t="shared" si="27"/>
        <v>202.5</v>
      </c>
      <c r="O126" s="54">
        <f t="shared" si="25"/>
        <v>166889.17265625004</v>
      </c>
    </row>
    <row r="127" spans="9:15">
      <c r="I127" s="25">
        <v>99</v>
      </c>
      <c r="J127" s="51">
        <f t="shared" si="23"/>
        <v>98.5</v>
      </c>
      <c r="K127" s="74">
        <f>+(J$22-J127)/J$22*ecu</f>
        <v>4.9499999999999997E-5</v>
      </c>
      <c r="L127" s="52">
        <f t="shared" si="26"/>
        <v>1.2466296562500034</v>
      </c>
      <c r="M127" s="53">
        <f t="shared" si="24"/>
        <v>498.65186250000136</v>
      </c>
      <c r="N127" s="51">
        <f t="shared" si="27"/>
        <v>201.5</v>
      </c>
      <c r="O127" s="54">
        <f t="shared" si="25"/>
        <v>100478.35029375028</v>
      </c>
    </row>
    <row r="128" spans="9:15">
      <c r="I128" s="25">
        <v>100</v>
      </c>
      <c r="J128" s="51">
        <f t="shared" si="23"/>
        <v>99.5</v>
      </c>
      <c r="K128" s="74">
        <f>+(J$22-J128)/J$22*ecu</f>
        <v>1.6500000000000001E-5</v>
      </c>
      <c r="L128" s="52">
        <f t="shared" si="26"/>
        <v>0.41901440624999842</v>
      </c>
      <c r="M128" s="53">
        <f t="shared" si="24"/>
        <v>167.60576249999937</v>
      </c>
      <c r="N128" s="51">
        <f t="shared" si="27"/>
        <v>200.5</v>
      </c>
      <c r="O128" s="54">
        <f t="shared" si="25"/>
        <v>33604.955381249871</v>
      </c>
    </row>
  </sheetData>
  <conditionalFormatting sqref="C29:C78">
    <cfRule type="dataBar" priority="19">
      <dataBar>
        <cfvo type="num" val="0"/>
        <cfvo type="num" val="$C$29"/>
        <color theme="9" tint="0.59999389629810485"/>
      </dataBar>
      <extLst>
        <ext xmlns:x14="http://schemas.microsoft.com/office/spreadsheetml/2009/9/main" uri="{B025F937-C7B1-47D3-B67F-A62EFF666E3E}">
          <x14:id>{92E6FD28-4550-464B-9E90-8F84045433F8}</x14:id>
        </ext>
      </extLst>
    </cfRule>
  </conditionalFormatting>
  <conditionalFormatting sqref="D29:D78">
    <cfRule type="dataBar" priority="22">
      <dataBar>
        <cfvo type="num" val="0"/>
        <cfvo type="num" val="$D$29"/>
        <color theme="9" tint="0.59999389629810485"/>
      </dataBar>
      <extLst>
        <ext xmlns:x14="http://schemas.microsoft.com/office/spreadsheetml/2009/9/main" uri="{B025F937-C7B1-47D3-B67F-A62EFF666E3E}">
          <x14:id>{4857B42F-CE22-4931-AE42-EFB4AC3DCE4F}</x14:id>
        </ext>
      </extLst>
    </cfRule>
  </conditionalFormatting>
  <conditionalFormatting sqref="K29:K128">
    <cfRule type="dataBar" priority="17">
      <dataBar>
        <cfvo type="num" val="0"/>
        <cfvo type="num" val="$C$29"/>
        <color theme="9" tint="0.59999389629810485"/>
      </dataBar>
      <extLst>
        <ext xmlns:x14="http://schemas.microsoft.com/office/spreadsheetml/2009/9/main" uri="{B025F937-C7B1-47D3-B67F-A62EFF666E3E}">
          <x14:id>{DC2D3ABB-C8EB-427D-A331-7EED6C3AFF21}</x14:id>
        </ext>
      </extLst>
    </cfRule>
  </conditionalFormatting>
  <conditionalFormatting sqref="L29:L128">
    <cfRule type="dataBar" priority="18">
      <dataBar>
        <cfvo type="num" val="0"/>
        <cfvo type="num" val="$D$29"/>
        <color theme="9" tint="0.59999389629810485"/>
      </dataBar>
      <extLst>
        <ext xmlns:x14="http://schemas.microsoft.com/office/spreadsheetml/2009/9/main" uri="{B025F937-C7B1-47D3-B67F-A62EFF666E3E}">
          <x14:id>{40EFAD9A-B307-4DE9-9F80-CA46D6B829BD}</x14:id>
        </ext>
      </extLst>
    </cfRule>
  </conditionalFormatting>
  <pageMargins left="0.59055118110236227" right="0.59055118110236227" top="0.78740157480314965" bottom="0.78740157480314965" header="0.31496062992125984" footer="0.31496062992125984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E6FD28-4550-464B-9E90-8F84045433F8}">
            <x14:dataBar minLength="0" maxLength="100" border="1" gradient="0" direction="leftToRight">
              <x14:cfvo type="num">
                <xm:f>0</xm:f>
              </x14:cfvo>
              <x14:cfvo type="num">
                <xm:f>$C$29</xm:f>
              </x14:cfvo>
              <x14:borderColor theme="9" tint="0.59999389629810485"/>
              <x14:negativeFillColor rgb="FFFF0000"/>
              <x14:axisColor rgb="FF000000"/>
            </x14:dataBar>
          </x14:cfRule>
          <xm:sqref>C29:C78</xm:sqref>
        </x14:conditionalFormatting>
        <x14:conditionalFormatting xmlns:xm="http://schemas.microsoft.com/office/excel/2006/main">
          <x14:cfRule type="dataBar" id="{4857B42F-CE22-4931-AE42-EFB4AC3DCE4F}">
            <x14:dataBar minLength="0" maxLength="100" border="1" gradient="0" direction="leftToRight">
              <x14:cfvo type="num">
                <xm:f>0</xm:f>
              </x14:cfvo>
              <x14:cfvo type="num">
                <xm:f>$D$29</xm:f>
              </x14:cfvo>
              <x14:borderColor theme="9" tint="0.59999389629810485"/>
              <x14:negativeFillColor rgb="FFFF0000"/>
              <x14:axisColor rgb="FF000000"/>
            </x14:dataBar>
          </x14:cfRule>
          <xm:sqref>D29:D78</xm:sqref>
        </x14:conditionalFormatting>
        <x14:conditionalFormatting xmlns:xm="http://schemas.microsoft.com/office/excel/2006/main">
          <x14:cfRule type="dataBar" id="{DC2D3ABB-C8EB-427D-A331-7EED6C3AFF21}">
            <x14:dataBar minLength="0" maxLength="100" border="1" gradient="0" direction="leftToRight">
              <x14:cfvo type="num">
                <xm:f>0</xm:f>
              </x14:cfvo>
              <x14:cfvo type="num">
                <xm:f>$C$29</xm:f>
              </x14:cfvo>
              <x14:borderColor theme="9" tint="0.59999389629810485"/>
              <x14:negativeFillColor rgb="FFFF0000"/>
              <x14:axisColor rgb="FF000000"/>
            </x14:dataBar>
          </x14:cfRule>
          <xm:sqref>K29:K128</xm:sqref>
        </x14:conditionalFormatting>
        <x14:conditionalFormatting xmlns:xm="http://schemas.microsoft.com/office/excel/2006/main">
          <x14:cfRule type="dataBar" id="{40EFAD9A-B307-4DE9-9F80-CA46D6B829BD}">
            <x14:dataBar minLength="0" maxLength="100" border="1" gradient="0" direction="leftToRight">
              <x14:cfvo type="num">
                <xm:f>0</xm:f>
              </x14:cfvo>
              <x14:cfvo type="num">
                <xm:f>$D$29</xm:f>
              </x14:cfvo>
              <x14:borderColor theme="9" tint="0.59999389629810485"/>
              <x14:negativeFillColor rgb="FFFF0000"/>
              <x14:axisColor rgb="FF000000"/>
            </x14:dataBar>
          </x14:cfRule>
          <xm:sqref>L29:L128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6851C-9963-44F2-BF61-EB9E61E75766}">
  <dimension ref="A2:P28"/>
  <sheetViews>
    <sheetView zoomScaleNormal="100" workbookViewId="0">
      <selection activeCell="I31" sqref="I31"/>
    </sheetView>
  </sheetViews>
  <sheetFormatPr defaultRowHeight="15"/>
  <cols>
    <col min="1" max="15" width="9.7109375" customWidth="1"/>
    <col min="16" max="16" width="11.85546875" customWidth="1"/>
  </cols>
  <sheetData>
    <row r="2" spans="1:13" ht="17.25">
      <c r="A2" s="1"/>
      <c r="B2" s="43" t="s">
        <v>187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1:13">
      <c r="I4" s="161" t="s">
        <v>177</v>
      </c>
      <c r="J4" s="162"/>
      <c r="K4" s="162"/>
      <c r="L4" s="163"/>
    </row>
    <row r="5" spans="1:13">
      <c r="I5" s="164"/>
      <c r="J5" s="170" t="s">
        <v>182</v>
      </c>
      <c r="K5" s="170"/>
      <c r="L5" s="166"/>
    </row>
    <row r="6" spans="1:13">
      <c r="I6" s="164"/>
      <c r="J6" s="165"/>
      <c r="K6" s="165"/>
      <c r="L6" s="166"/>
    </row>
    <row r="7" spans="1:13">
      <c r="I7" s="164" t="s">
        <v>186</v>
      </c>
      <c r="J7" s="165" t="s">
        <v>179</v>
      </c>
      <c r="K7" s="165"/>
      <c r="L7" s="166"/>
    </row>
    <row r="8" spans="1:13">
      <c r="I8" s="164" t="s">
        <v>185</v>
      </c>
      <c r="J8" s="165" t="s">
        <v>180</v>
      </c>
      <c r="K8" s="165"/>
      <c r="L8" s="166"/>
    </row>
    <row r="9" spans="1:13">
      <c r="G9" s="50"/>
      <c r="I9" s="164" t="s">
        <v>184</v>
      </c>
      <c r="J9" s="165" t="s">
        <v>183</v>
      </c>
      <c r="K9" s="165"/>
      <c r="L9" s="166"/>
    </row>
    <row r="10" spans="1:13">
      <c r="I10" s="167"/>
      <c r="J10" s="168"/>
      <c r="K10" s="168"/>
      <c r="L10" s="169"/>
    </row>
    <row r="11" spans="1:13">
      <c r="C11" s="49"/>
      <c r="D11" s="36"/>
    </row>
    <row r="12" spans="1:13">
      <c r="G12" s="50"/>
    </row>
    <row r="13" spans="1:13">
      <c r="G13" s="50"/>
    </row>
    <row r="14" spans="1:13">
      <c r="G14" s="9"/>
    </row>
    <row r="26" spans="1:16" s="58" customFormat="1" ht="21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8" spans="1:16" ht="20.25" customHeight="1"/>
  </sheetData>
  <pageMargins left="0.59055118110236227" right="0.59055118110236227" top="0.78740157480314965" bottom="0.78740157480314965" header="0.31496062992125984" footer="0.31496062992125984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E9ED0-8826-49D1-8F2D-F2ACDCDF9E6B}">
  <dimension ref="D3:X35"/>
  <sheetViews>
    <sheetView zoomScaleNormal="100" workbookViewId="0">
      <selection activeCell="L32" sqref="L32"/>
    </sheetView>
  </sheetViews>
  <sheetFormatPr defaultRowHeight="15"/>
  <cols>
    <col min="1" max="7" width="9.7109375" customWidth="1"/>
    <col min="8" max="8" width="10.7109375" customWidth="1"/>
    <col min="9" max="9" width="9.7109375" customWidth="1"/>
    <col min="10" max="10" width="9.85546875" customWidth="1"/>
    <col min="11" max="11" width="11.85546875" customWidth="1"/>
    <col min="16" max="17" width="10.5703125" customWidth="1"/>
    <col min="18" max="18" width="11.28515625" customWidth="1"/>
    <col min="25" max="25" width="9.85546875" customWidth="1"/>
  </cols>
  <sheetData>
    <row r="3" spans="15:24" ht="15.75" thickBot="1">
      <c r="O3" s="111" t="s">
        <v>162</v>
      </c>
    </row>
    <row r="4" spans="15:24" ht="16.5" thickTop="1" thickBot="1">
      <c r="O4" s="105"/>
      <c r="P4" s="106"/>
      <c r="Q4" s="106"/>
      <c r="R4" s="105" t="s">
        <v>95</v>
      </c>
      <c r="S4" s="107"/>
      <c r="T4" s="106" t="s">
        <v>94</v>
      </c>
      <c r="U4" s="106"/>
      <c r="V4" s="107"/>
    </row>
    <row r="5" spans="15:24" ht="15.75" thickTop="1">
      <c r="O5" s="108" t="s">
        <v>15</v>
      </c>
      <c r="P5" s="1" t="s">
        <v>109</v>
      </c>
      <c r="Q5" s="1" t="s">
        <v>113</v>
      </c>
      <c r="R5" s="14"/>
      <c r="S5" s="15"/>
      <c r="T5" t="s">
        <v>46</v>
      </c>
      <c r="V5" s="15"/>
    </row>
    <row r="6" spans="15:24">
      <c r="O6" s="108"/>
      <c r="P6" s="1" t="s">
        <v>98</v>
      </c>
      <c r="Q6" s="1" t="s">
        <v>21</v>
      </c>
      <c r="R6" s="14"/>
      <c r="S6" s="15"/>
      <c r="T6" t="s">
        <v>108</v>
      </c>
      <c r="V6" s="15"/>
    </row>
    <row r="7" spans="15:24">
      <c r="O7" s="108"/>
      <c r="P7" s="1" t="s">
        <v>99</v>
      </c>
      <c r="Q7" s="1" t="s">
        <v>102</v>
      </c>
      <c r="R7" s="14">
        <v>0</v>
      </c>
      <c r="S7" s="15"/>
      <c r="T7" t="s">
        <v>96</v>
      </c>
      <c r="V7" s="15"/>
    </row>
    <row r="8" spans="15:24">
      <c r="O8" s="108"/>
      <c r="P8" s="1" t="s">
        <v>100</v>
      </c>
      <c r="Q8" s="1" t="s">
        <v>92</v>
      </c>
      <c r="R8" s="14"/>
      <c r="S8" s="15"/>
      <c r="T8" t="s">
        <v>106</v>
      </c>
      <c r="V8" s="15"/>
    </row>
    <row r="9" spans="15:24">
      <c r="O9" s="108"/>
      <c r="P9" s="1" t="s">
        <v>101</v>
      </c>
      <c r="Q9" s="1" t="s">
        <v>20</v>
      </c>
      <c r="R9" s="14">
        <v>0</v>
      </c>
      <c r="S9" s="15"/>
      <c r="T9" t="s">
        <v>107</v>
      </c>
      <c r="V9" s="15"/>
    </row>
    <row r="10" spans="15:24" ht="15.75" thickBot="1">
      <c r="O10" s="109"/>
      <c r="P10" s="110"/>
      <c r="Q10" s="110"/>
      <c r="R10" s="16"/>
      <c r="S10" s="18"/>
      <c r="T10" s="17"/>
      <c r="U10" s="17"/>
      <c r="V10" s="18"/>
      <c r="X10" s="7"/>
    </row>
    <row r="11" spans="15:24" ht="15.75" thickTop="1">
      <c r="O11" s="108" t="s">
        <v>37</v>
      </c>
      <c r="P11" s="1" t="s">
        <v>109</v>
      </c>
      <c r="Q11" s="1" t="s">
        <v>114</v>
      </c>
      <c r="R11" s="14" t="s">
        <v>117</v>
      </c>
      <c r="S11" s="15"/>
      <c r="T11" t="s">
        <v>110</v>
      </c>
      <c r="V11" s="15"/>
    </row>
    <row r="12" spans="15:24">
      <c r="O12" s="108"/>
      <c r="P12" s="1" t="s">
        <v>98</v>
      </c>
      <c r="Q12" s="1" t="s">
        <v>115</v>
      </c>
      <c r="R12" s="104" t="s">
        <v>104</v>
      </c>
      <c r="S12" s="15"/>
      <c r="T12" t="s">
        <v>111</v>
      </c>
      <c r="V12" s="15"/>
      <c r="X12" t="s">
        <v>123</v>
      </c>
    </row>
    <row r="13" spans="15:24">
      <c r="O13" s="108"/>
      <c r="P13" s="1" t="s">
        <v>99</v>
      </c>
      <c r="Q13" s="1" t="s">
        <v>103</v>
      </c>
      <c r="R13" s="104" t="s">
        <v>118</v>
      </c>
      <c r="S13" s="15"/>
      <c r="T13" s="7" t="s">
        <v>97</v>
      </c>
      <c r="V13" s="15"/>
      <c r="X13" t="s">
        <v>124</v>
      </c>
    </row>
    <row r="14" spans="15:24">
      <c r="O14" s="108"/>
      <c r="P14" s="1" t="s">
        <v>100</v>
      </c>
      <c r="Q14" s="1" t="s">
        <v>116</v>
      </c>
      <c r="R14" s="14" t="s">
        <v>119</v>
      </c>
      <c r="S14" s="15"/>
      <c r="T14" s="7" t="s">
        <v>112</v>
      </c>
      <c r="V14" s="15"/>
    </row>
    <row r="15" spans="15:24" ht="15.75" thickBot="1">
      <c r="O15" s="109"/>
      <c r="P15" s="110" t="s">
        <v>101</v>
      </c>
      <c r="Q15" s="110" t="s">
        <v>20</v>
      </c>
      <c r="R15" s="16" t="s">
        <v>121</v>
      </c>
      <c r="S15" s="18"/>
      <c r="T15" s="17" t="s">
        <v>105</v>
      </c>
      <c r="U15" s="17"/>
      <c r="V15" s="18"/>
    </row>
    <row r="16" spans="15:24" ht="16.5" thickTop="1">
      <c r="O16" s="112" t="s">
        <v>120</v>
      </c>
      <c r="P16" s="113"/>
      <c r="Q16" s="113"/>
      <c r="R16" s="113"/>
      <c r="S16" s="113"/>
      <c r="T16" s="113"/>
      <c r="U16" s="113"/>
      <c r="V16" s="114"/>
    </row>
    <row r="17" spans="4:23" ht="16.5" thickBot="1">
      <c r="O17" s="115" t="s">
        <v>122</v>
      </c>
      <c r="P17" s="116"/>
      <c r="Q17" s="117"/>
      <c r="R17" s="117"/>
      <c r="S17" s="117"/>
      <c r="T17" s="116"/>
      <c r="U17" s="116"/>
      <c r="V17" s="118"/>
    </row>
    <row r="18" spans="4:23" ht="15.75" thickTop="1">
      <c r="Q18" s="111"/>
      <c r="R18" s="111"/>
      <c r="S18" s="111"/>
    </row>
    <row r="22" spans="4:23" ht="15.75" thickBot="1">
      <c r="R22" s="7"/>
    </row>
    <row r="23" spans="4:23" ht="15.75" thickTop="1">
      <c r="D23" s="49"/>
      <c r="E23" s="36"/>
      <c r="O23" s="55" t="s">
        <v>85</v>
      </c>
      <c r="P23" s="56" t="s">
        <v>170</v>
      </c>
      <c r="Q23" s="56"/>
      <c r="R23" s="130"/>
      <c r="S23" s="56" t="s">
        <v>169</v>
      </c>
      <c r="T23" s="131"/>
    </row>
    <row r="24" spans="4:23">
      <c r="O24" s="59"/>
      <c r="P24" s="60"/>
      <c r="Q24" s="60"/>
      <c r="R24" s="141"/>
      <c r="S24" s="60"/>
      <c r="T24" s="154"/>
    </row>
    <row r="25" spans="4:23">
      <c r="H25" s="50"/>
      <c r="O25" s="25" t="s">
        <v>78</v>
      </c>
      <c r="P25" s="119" t="s">
        <v>91</v>
      </c>
      <c r="Q25" s="51"/>
      <c r="R25" s="51"/>
      <c r="S25" s="51" t="s">
        <v>149</v>
      </c>
      <c r="T25" s="54"/>
    </row>
    <row r="26" spans="4:23">
      <c r="H26" s="50"/>
      <c r="O26" s="25" t="s">
        <v>86</v>
      </c>
      <c r="P26" s="51" t="s">
        <v>167</v>
      </c>
      <c r="Q26" s="101"/>
      <c r="R26" s="51"/>
      <c r="S26" s="101" t="s">
        <v>166</v>
      </c>
      <c r="T26" s="54"/>
    </row>
    <row r="27" spans="4:23" s="58" customFormat="1" ht="21" customHeight="1">
      <c r="H27" s="50"/>
      <c r="I27"/>
      <c r="J27"/>
      <c r="O27" s="25" t="s">
        <v>87</v>
      </c>
      <c r="P27" s="83" t="s">
        <v>131</v>
      </c>
      <c r="Q27" s="51"/>
      <c r="R27" s="153"/>
      <c r="S27" s="51" t="s">
        <v>168</v>
      </c>
      <c r="T27" s="54"/>
      <c r="U27"/>
      <c r="W27"/>
    </row>
    <row r="28" spans="4:23" ht="15.75" thickBot="1">
      <c r="H28" s="50"/>
      <c r="O28" s="26" t="s">
        <v>88</v>
      </c>
      <c r="P28" s="95" t="s">
        <v>171</v>
      </c>
      <c r="Q28" s="126"/>
      <c r="R28" s="126"/>
      <c r="S28" s="155" t="s">
        <v>148</v>
      </c>
      <c r="T28" s="97"/>
    </row>
    <row r="29" spans="4:23" ht="15.75" thickTop="1">
      <c r="H29" s="50"/>
    </row>
    <row r="30" spans="4:23">
      <c r="H30" s="50"/>
    </row>
    <row r="31" spans="4:23">
      <c r="H31" s="50"/>
    </row>
    <row r="32" spans="4:23">
      <c r="H32" s="50"/>
    </row>
    <row r="33" spans="8:8">
      <c r="H33" s="50"/>
    </row>
    <row r="34" spans="8:8">
      <c r="H34" s="50"/>
    </row>
    <row r="35" spans="8:8">
      <c r="H35" s="50"/>
    </row>
  </sheetData>
  <pageMargins left="0.59055118110236227" right="0.59055118110236227" top="0.78740157480314965" bottom="0.78740157480314965" header="0.31496062992125984" footer="0.31496062992125984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83590-E2B1-4385-8817-D9911FFA4E52}">
  <dimension ref="A1:M34"/>
  <sheetViews>
    <sheetView zoomScaleNormal="100" workbookViewId="0">
      <selection activeCell="E23" sqref="E23"/>
    </sheetView>
  </sheetViews>
  <sheetFormatPr defaultRowHeight="15"/>
  <cols>
    <col min="1" max="6" width="9.7109375" customWidth="1"/>
    <col min="7" max="7" width="10.7109375" customWidth="1"/>
    <col min="8" max="8" width="9.7109375" customWidth="1"/>
    <col min="9" max="10" width="11.85546875" customWidth="1"/>
    <col min="11" max="11" width="11.28515625" bestFit="1" customWidth="1"/>
  </cols>
  <sheetData>
    <row r="1" spans="1:13" ht="15.75">
      <c r="A1" s="94" t="s">
        <v>163</v>
      </c>
    </row>
    <row r="2" spans="1:13">
      <c r="A2" t="s">
        <v>83</v>
      </c>
    </row>
    <row r="3" spans="1:13" ht="15.75">
      <c r="A3" s="94"/>
    </row>
    <row r="6" spans="1:13" ht="16.5" thickBot="1">
      <c r="J6" s="94" t="s">
        <v>82</v>
      </c>
    </row>
    <row r="7" spans="1:13" ht="15.75" thickTop="1">
      <c r="F7" t="s">
        <v>69</v>
      </c>
      <c r="G7" t="s">
        <v>70</v>
      </c>
      <c r="J7" s="22"/>
      <c r="K7" s="23" t="s">
        <v>15</v>
      </c>
      <c r="L7" s="23" t="s">
        <v>37</v>
      </c>
      <c r="M7" s="24" t="s">
        <v>81</v>
      </c>
    </row>
    <row r="8" spans="1:13">
      <c r="F8" t="s">
        <v>71</v>
      </c>
      <c r="G8" t="s">
        <v>72</v>
      </c>
      <c r="J8" s="25" t="s">
        <v>18</v>
      </c>
      <c r="K8" s="53">
        <f>0.85*fck*G11/1000</f>
        <v>6120</v>
      </c>
      <c r="L8" s="53">
        <f>H22/1000</f>
        <v>3313.0984797345677</v>
      </c>
      <c r="M8" s="128">
        <f>+K8+L8</f>
        <v>9433.0984797345682</v>
      </c>
    </row>
    <row r="9" spans="1:13" ht="15.75" thickBot="1">
      <c r="J9" s="26" t="s">
        <v>20</v>
      </c>
      <c r="K9" s="158">
        <v>0</v>
      </c>
      <c r="L9" s="96">
        <f>+I22/10^6</f>
        <v>-69.273877303540942</v>
      </c>
      <c r="M9" s="129">
        <f>+K9+L9</f>
        <v>-69.273877303540942</v>
      </c>
    </row>
    <row r="10" spans="1:13" ht="15.75" thickTop="1">
      <c r="G10" s="50"/>
    </row>
    <row r="11" spans="1:13">
      <c r="F11" t="s">
        <v>73</v>
      </c>
      <c r="G11" s="90">
        <f>+b*h</f>
        <v>240000</v>
      </c>
      <c r="H11" t="s">
        <v>10</v>
      </c>
    </row>
    <row r="12" spans="1:13" ht="16.5" thickBot="1">
      <c r="C12" s="49"/>
      <c r="D12" s="36"/>
      <c r="F12" t="s">
        <v>74</v>
      </c>
      <c r="G12" s="91">
        <f>+COUNT(Input!D10:D23)*As</f>
        <v>8846.7249125088565</v>
      </c>
      <c r="H12" t="s">
        <v>10</v>
      </c>
      <c r="J12" s="94" t="s">
        <v>147</v>
      </c>
    </row>
    <row r="13" spans="1:13" ht="15.75" thickTop="1">
      <c r="F13" t="s">
        <v>75</v>
      </c>
      <c r="G13" s="92">
        <f>fck</f>
        <v>30</v>
      </c>
      <c r="H13" t="s">
        <v>11</v>
      </c>
      <c r="J13" s="22"/>
      <c r="K13" s="23" t="s">
        <v>15</v>
      </c>
      <c r="L13" s="23" t="s">
        <v>37</v>
      </c>
      <c r="M13" s="24" t="s">
        <v>81</v>
      </c>
    </row>
    <row r="14" spans="1:13">
      <c r="F14" t="s">
        <v>76</v>
      </c>
      <c r="G14" s="92">
        <f>+fy</f>
        <v>400</v>
      </c>
      <c r="H14" t="s">
        <v>77</v>
      </c>
      <c r="J14" s="25" t="s">
        <v>18</v>
      </c>
      <c r="K14" s="53">
        <v>0</v>
      </c>
      <c r="L14" s="53">
        <f>J22/1000</f>
        <v>-3538.6899650035425</v>
      </c>
      <c r="M14" s="128">
        <f>+K14+L14</f>
        <v>-3538.6899650035425</v>
      </c>
    </row>
    <row r="15" spans="1:13" ht="15.75" thickBot="1">
      <c r="G15" s="9"/>
      <c r="J15" s="26" t="s">
        <v>20</v>
      </c>
      <c r="K15" s="95">
        <v>0</v>
      </c>
      <c r="L15" s="96">
        <f>+K22/10^6</f>
        <v>73.990790177346838</v>
      </c>
      <c r="M15" s="129">
        <f>+K15+L15</f>
        <v>73.990790177346838</v>
      </c>
    </row>
    <row r="16" spans="1:13" s="58" customFormat="1" ht="16.5" customHeight="1" thickTop="1">
      <c r="I16"/>
    </row>
    <row r="17" spans="2:11" s="58" customFormat="1" ht="21" customHeight="1">
      <c r="I17"/>
    </row>
    <row r="18" spans="2:11" ht="23.25" customHeight="1"/>
    <row r="19" spans="2:11" ht="16.5" thickBot="1">
      <c r="B19" s="94" t="s">
        <v>79</v>
      </c>
      <c r="H19" t="s">
        <v>94</v>
      </c>
      <c r="J19" t="s">
        <v>176</v>
      </c>
    </row>
    <row r="20" spans="2:11" ht="15.75" thickTop="1">
      <c r="B20" s="55" t="s">
        <v>2</v>
      </c>
      <c r="C20" s="56" t="s">
        <v>50</v>
      </c>
      <c r="D20" s="56" t="s">
        <v>58</v>
      </c>
      <c r="E20" s="56" t="s">
        <v>47</v>
      </c>
      <c r="F20" s="56" t="s">
        <v>60</v>
      </c>
      <c r="G20" s="56" t="s">
        <v>64</v>
      </c>
      <c r="H20" s="84" t="s">
        <v>61</v>
      </c>
      <c r="I20" s="56" t="s">
        <v>63</v>
      </c>
      <c r="J20" s="84" t="s">
        <v>61</v>
      </c>
      <c r="K20" s="57" t="s">
        <v>63</v>
      </c>
    </row>
    <row r="21" spans="2:11">
      <c r="B21" s="59" t="s">
        <v>45</v>
      </c>
      <c r="C21" s="60" t="s">
        <v>13</v>
      </c>
      <c r="D21" s="60" t="s">
        <v>11</v>
      </c>
      <c r="E21" s="60" t="s">
        <v>11</v>
      </c>
      <c r="F21" s="60" t="s">
        <v>11</v>
      </c>
      <c r="G21" s="60" t="s">
        <v>13</v>
      </c>
      <c r="H21" s="85" t="s">
        <v>14</v>
      </c>
      <c r="I21" s="60" t="s">
        <v>14</v>
      </c>
      <c r="J21" s="85" t="s">
        <v>14</v>
      </c>
      <c r="K21" s="61" t="s">
        <v>14</v>
      </c>
    </row>
    <row r="22" spans="2:11">
      <c r="B22" s="62" t="s">
        <v>44</v>
      </c>
      <c r="C22" s="63"/>
      <c r="D22" s="63"/>
      <c r="E22" s="64"/>
      <c r="F22" s="63"/>
      <c r="G22" s="87"/>
      <c r="H22" s="86">
        <f>+SUM(H23:H34)</f>
        <v>3313098.4797345679</v>
      </c>
      <c r="I22" s="87">
        <f>+SUM(I23:I34)</f>
        <v>-69273877.303540945</v>
      </c>
      <c r="J22" s="86">
        <f>+SUM(J23:J34)</f>
        <v>-3538689.9650035426</v>
      </c>
      <c r="K22" s="65">
        <f>+SUM(K23:K34)</f>
        <v>73990790.177346841</v>
      </c>
    </row>
    <row r="23" spans="2:11">
      <c r="B23" s="25">
        <v>1</v>
      </c>
      <c r="C23" s="51">
        <f>+h/2-Input!E10</f>
        <v>70</v>
      </c>
      <c r="D23" s="52">
        <f>IF(AND(ISNUMBER(Input!D10),ISNUMBER(Input!E10)),fy,0)</f>
        <v>400</v>
      </c>
      <c r="E23" s="52">
        <f>IF(AND(ISNUMBER(Input!D10),ISNUMBER(Input!E10)),0.85*fck,0)</f>
        <v>25.5</v>
      </c>
      <c r="F23" s="83">
        <f t="shared" ref="F23:F34" si="0">MAX(MIN(D23,fy),-fy)-IF(D23&gt;=0,E23,0)</f>
        <v>374.5</v>
      </c>
      <c r="G23" s="51">
        <f t="shared" ref="G23:G34" si="1">h/2-C23</f>
        <v>230</v>
      </c>
      <c r="H23" s="159">
        <f t="shared" ref="H23:H34" si="2">+F23*As</f>
        <v>301190.77088496066</v>
      </c>
      <c r="I23" s="53">
        <f t="shared" ref="I23:I34" si="3">H23*G23</f>
        <v>69273877.303540945</v>
      </c>
      <c r="J23" s="159">
        <f t="shared" ref="J23:J34" si="4">-D23*As</f>
        <v>-321699.08772759483</v>
      </c>
      <c r="K23" s="120">
        <f>J23*G23</f>
        <v>-73990790.177346811</v>
      </c>
    </row>
    <row r="24" spans="2:11">
      <c r="B24" s="25">
        <v>2</v>
      </c>
      <c r="C24" s="51">
        <f>+h/2-Input!E11</f>
        <v>70</v>
      </c>
      <c r="D24" s="52">
        <f>IF(AND(ISNUMBER(Input!D11),ISNUMBER(Input!E11)),fy,0)</f>
        <v>400</v>
      </c>
      <c r="E24" s="52">
        <f>IF(AND(ISNUMBER(Input!D11),ISNUMBER(Input!E11)),0.85*fck,0)</f>
        <v>25.5</v>
      </c>
      <c r="F24" s="83">
        <f t="shared" si="0"/>
        <v>374.5</v>
      </c>
      <c r="G24" s="51">
        <f t="shared" si="1"/>
        <v>230</v>
      </c>
      <c r="H24" s="159">
        <f t="shared" si="2"/>
        <v>301190.77088496066</v>
      </c>
      <c r="I24" s="53">
        <f t="shared" si="3"/>
        <v>69273877.303540945</v>
      </c>
      <c r="J24" s="159">
        <f t="shared" si="4"/>
        <v>-321699.08772759483</v>
      </c>
      <c r="K24" s="120">
        <f t="shared" ref="K24:K34" si="5">J24*G24</f>
        <v>-73990790.177346811</v>
      </c>
    </row>
    <row r="25" spans="2:11">
      <c r="B25" s="25">
        <v>3</v>
      </c>
      <c r="C25" s="51">
        <f>+h/2-Input!E12</f>
        <v>70</v>
      </c>
      <c r="D25" s="52">
        <f>IF(AND(ISNUMBER(Input!D12),ISNUMBER(Input!E12)),fy,0)</f>
        <v>400</v>
      </c>
      <c r="E25" s="52">
        <f>IF(AND(ISNUMBER(Input!D12),ISNUMBER(Input!E12)),0.85*fck,0)</f>
        <v>25.5</v>
      </c>
      <c r="F25" s="83">
        <f t="shared" si="0"/>
        <v>374.5</v>
      </c>
      <c r="G25" s="51">
        <f t="shared" si="1"/>
        <v>230</v>
      </c>
      <c r="H25" s="159">
        <f t="shared" si="2"/>
        <v>301190.77088496066</v>
      </c>
      <c r="I25" s="53">
        <f t="shared" si="3"/>
        <v>69273877.303540945</v>
      </c>
      <c r="J25" s="159">
        <f t="shared" si="4"/>
        <v>-321699.08772759483</v>
      </c>
      <c r="K25" s="120">
        <f t="shared" si="5"/>
        <v>-73990790.177346811</v>
      </c>
    </row>
    <row r="26" spans="2:11">
      <c r="B26" s="25">
        <v>4</v>
      </c>
      <c r="C26" s="51">
        <f>+h/2-Input!E13</f>
        <v>300</v>
      </c>
      <c r="D26" s="52">
        <f>IF(AND(ISNUMBER(Input!D13),ISNUMBER(Input!E13)),fy,0)</f>
        <v>0</v>
      </c>
      <c r="E26" s="52">
        <f>IF(AND(ISNUMBER(Input!D13),ISNUMBER(Input!E13)),0.85*fck,0)</f>
        <v>0</v>
      </c>
      <c r="F26" s="83">
        <f t="shared" si="0"/>
        <v>0</v>
      </c>
      <c r="G26" s="51">
        <f t="shared" si="1"/>
        <v>0</v>
      </c>
      <c r="H26" s="159">
        <f t="shared" si="2"/>
        <v>0</v>
      </c>
      <c r="I26" s="53">
        <f t="shared" si="3"/>
        <v>0</v>
      </c>
      <c r="J26" s="159">
        <f t="shared" si="4"/>
        <v>0</v>
      </c>
      <c r="K26" s="120">
        <f t="shared" si="5"/>
        <v>0</v>
      </c>
    </row>
    <row r="27" spans="2:11">
      <c r="B27" s="25">
        <v>5</v>
      </c>
      <c r="C27" s="51">
        <f>+h/2-Input!E14</f>
        <v>530</v>
      </c>
      <c r="D27" s="52">
        <f>IF(AND(ISNUMBER(Input!D14),ISNUMBER(Input!E14)),fy,0)</f>
        <v>400</v>
      </c>
      <c r="E27" s="52">
        <f>IF(AND(ISNUMBER(Input!D14),ISNUMBER(Input!E14)),0.85*fck,0)</f>
        <v>25.5</v>
      </c>
      <c r="F27" s="83">
        <f t="shared" si="0"/>
        <v>374.5</v>
      </c>
      <c r="G27" s="51">
        <f t="shared" si="1"/>
        <v>-230</v>
      </c>
      <c r="H27" s="159">
        <f t="shared" si="2"/>
        <v>301190.77088496066</v>
      </c>
      <c r="I27" s="53">
        <f t="shared" si="3"/>
        <v>-69273877.303540945</v>
      </c>
      <c r="J27" s="159">
        <f t="shared" si="4"/>
        <v>-321699.08772759483</v>
      </c>
      <c r="K27" s="120">
        <f t="shared" si="5"/>
        <v>73990790.177346811</v>
      </c>
    </row>
    <row r="28" spans="2:11">
      <c r="B28" s="25">
        <v>6</v>
      </c>
      <c r="C28" s="51">
        <f>+h/2-Input!E15</f>
        <v>530</v>
      </c>
      <c r="D28" s="52">
        <f>IF(AND(ISNUMBER(Input!D15),ISNUMBER(Input!E15)),fy,0)</f>
        <v>400</v>
      </c>
      <c r="E28" s="52">
        <f>IF(AND(ISNUMBER(Input!D15),ISNUMBER(Input!E15)),0.85*fck,0)</f>
        <v>25.5</v>
      </c>
      <c r="F28" s="83">
        <f t="shared" si="0"/>
        <v>374.5</v>
      </c>
      <c r="G28" s="51">
        <f t="shared" si="1"/>
        <v>-230</v>
      </c>
      <c r="H28" s="159">
        <f t="shared" si="2"/>
        <v>301190.77088496066</v>
      </c>
      <c r="I28" s="53">
        <f t="shared" si="3"/>
        <v>-69273877.303540945</v>
      </c>
      <c r="J28" s="159">
        <f t="shared" si="4"/>
        <v>-321699.08772759483</v>
      </c>
      <c r="K28" s="120">
        <f t="shared" si="5"/>
        <v>73990790.177346811</v>
      </c>
    </row>
    <row r="29" spans="2:11">
      <c r="B29" s="25">
        <v>7</v>
      </c>
      <c r="C29" s="51">
        <f>+h/2-Input!E16</f>
        <v>530</v>
      </c>
      <c r="D29" s="52">
        <f>IF(AND(ISNUMBER(Input!D16),ISNUMBER(Input!E16)),fy,0)</f>
        <v>400</v>
      </c>
      <c r="E29" s="52">
        <f>IF(AND(ISNUMBER(Input!D16),ISNUMBER(Input!E16)),0.85*fck,0)</f>
        <v>25.5</v>
      </c>
      <c r="F29" s="83">
        <f t="shared" si="0"/>
        <v>374.5</v>
      </c>
      <c r="G29" s="51">
        <f t="shared" si="1"/>
        <v>-230</v>
      </c>
      <c r="H29" s="159">
        <f t="shared" si="2"/>
        <v>301190.77088496066</v>
      </c>
      <c r="I29" s="53">
        <f t="shared" si="3"/>
        <v>-69273877.303540945</v>
      </c>
      <c r="J29" s="159">
        <f t="shared" si="4"/>
        <v>-321699.08772759483</v>
      </c>
      <c r="K29" s="120">
        <f t="shared" si="5"/>
        <v>73990790.177346811</v>
      </c>
    </row>
    <row r="30" spans="2:11">
      <c r="B30" s="25">
        <v>8</v>
      </c>
      <c r="C30" s="51">
        <f>+h/2-Input!E17</f>
        <v>530</v>
      </c>
      <c r="D30" s="52">
        <f>IF(AND(ISNUMBER(Input!D17),ISNUMBER(Input!E17)),fy,0)</f>
        <v>400</v>
      </c>
      <c r="E30" s="52">
        <f>IF(AND(ISNUMBER(Input!D17),ISNUMBER(Input!E17)),0.85*fck,0)</f>
        <v>25.5</v>
      </c>
      <c r="F30" s="83">
        <f t="shared" si="0"/>
        <v>374.5</v>
      </c>
      <c r="G30" s="51">
        <f t="shared" si="1"/>
        <v>-230</v>
      </c>
      <c r="H30" s="159">
        <f t="shared" si="2"/>
        <v>301190.77088496066</v>
      </c>
      <c r="I30" s="53">
        <f t="shared" si="3"/>
        <v>-69273877.303540945</v>
      </c>
      <c r="J30" s="159">
        <f t="shared" si="4"/>
        <v>-321699.08772759483</v>
      </c>
      <c r="K30" s="120">
        <f t="shared" si="5"/>
        <v>73990790.177346811</v>
      </c>
    </row>
    <row r="31" spans="2:11">
      <c r="B31" s="25">
        <v>9</v>
      </c>
      <c r="C31" s="51">
        <f>+h/2-Input!E18</f>
        <v>170</v>
      </c>
      <c r="D31" s="52">
        <f>IF(AND(ISNUMBER(Input!D18),ISNUMBER(Input!E18)),fy,0)</f>
        <v>400</v>
      </c>
      <c r="E31" s="52">
        <f>IF(AND(ISNUMBER(Input!D18),ISNUMBER(Input!E18)),0.85*fck,0)</f>
        <v>25.5</v>
      </c>
      <c r="F31" s="83">
        <f t="shared" si="0"/>
        <v>374.5</v>
      </c>
      <c r="G31" s="51">
        <f t="shared" si="1"/>
        <v>130</v>
      </c>
      <c r="H31" s="159">
        <f t="shared" si="2"/>
        <v>301190.77088496066</v>
      </c>
      <c r="I31" s="53">
        <f t="shared" si="3"/>
        <v>39154800.215044886</v>
      </c>
      <c r="J31" s="159">
        <f t="shared" si="4"/>
        <v>-321699.08772759483</v>
      </c>
      <c r="K31" s="120">
        <f t="shared" si="5"/>
        <v>-41820881.404587328</v>
      </c>
    </row>
    <row r="32" spans="2:11">
      <c r="B32" s="25">
        <v>10</v>
      </c>
      <c r="C32" s="51">
        <f>+h/2-Input!E19</f>
        <v>170</v>
      </c>
      <c r="D32" s="52">
        <f>IF(AND(ISNUMBER(Input!D19),ISNUMBER(Input!E19)),fy,0)</f>
        <v>400</v>
      </c>
      <c r="E32" s="52">
        <f>IF(AND(ISNUMBER(Input!D19),ISNUMBER(Input!E19)),0.85*fck,0)</f>
        <v>25.5</v>
      </c>
      <c r="F32" s="83">
        <f t="shared" si="0"/>
        <v>374.5</v>
      </c>
      <c r="G32" s="51">
        <f t="shared" si="1"/>
        <v>130</v>
      </c>
      <c r="H32" s="159">
        <f t="shared" si="2"/>
        <v>301190.77088496066</v>
      </c>
      <c r="I32" s="53">
        <f t="shared" si="3"/>
        <v>39154800.215044886</v>
      </c>
      <c r="J32" s="159">
        <f t="shared" si="4"/>
        <v>-321699.08772759483</v>
      </c>
      <c r="K32" s="120">
        <f t="shared" si="5"/>
        <v>-41820881.404587328</v>
      </c>
    </row>
    <row r="33" spans="2:11">
      <c r="B33" s="25">
        <v>11</v>
      </c>
      <c r="C33" s="51">
        <f>+h/2-Input!E20</f>
        <v>430</v>
      </c>
      <c r="D33" s="52">
        <f>IF(AND(ISNUMBER(Input!D20),ISNUMBER(Input!E20)),fy,0)</f>
        <v>400</v>
      </c>
      <c r="E33" s="52">
        <f>IF(AND(ISNUMBER(Input!D20),ISNUMBER(Input!E20)),0.85*fck,0)</f>
        <v>25.5</v>
      </c>
      <c r="F33" s="83">
        <f t="shared" si="0"/>
        <v>374.5</v>
      </c>
      <c r="G33" s="51">
        <f t="shared" si="1"/>
        <v>-130</v>
      </c>
      <c r="H33" s="159">
        <f t="shared" si="2"/>
        <v>301190.77088496066</v>
      </c>
      <c r="I33" s="53">
        <f t="shared" si="3"/>
        <v>-39154800.215044886</v>
      </c>
      <c r="J33" s="159">
        <f t="shared" si="4"/>
        <v>-321699.08772759483</v>
      </c>
      <c r="K33" s="120">
        <f t="shared" si="5"/>
        <v>41820881.404587328</v>
      </c>
    </row>
    <row r="34" spans="2:11">
      <c r="B34" s="25">
        <v>12</v>
      </c>
      <c r="C34" s="51">
        <f>+h/2-Input!E21</f>
        <v>430</v>
      </c>
      <c r="D34" s="52">
        <f>IF(AND(ISNUMBER(Input!D21),ISNUMBER(Input!E21)),fy,0)</f>
        <v>400</v>
      </c>
      <c r="E34" s="52">
        <f>IF(AND(ISNUMBER(Input!D21),ISNUMBER(Input!E21)),0.85*fck,0)</f>
        <v>25.5</v>
      </c>
      <c r="F34" s="83">
        <f t="shared" si="0"/>
        <v>374.5</v>
      </c>
      <c r="G34" s="51">
        <f t="shared" si="1"/>
        <v>-130</v>
      </c>
      <c r="H34" s="159">
        <f t="shared" si="2"/>
        <v>301190.77088496066</v>
      </c>
      <c r="I34" s="53">
        <f t="shared" si="3"/>
        <v>-39154800.215044886</v>
      </c>
      <c r="J34" s="159">
        <f t="shared" si="4"/>
        <v>-321699.08772759483</v>
      </c>
      <c r="K34" s="120">
        <f t="shared" si="5"/>
        <v>41820881.404587328</v>
      </c>
    </row>
  </sheetData>
  <pageMargins left="0.59055118110236227" right="0.59055118110236227" top="0.78740157480314965" bottom="0.78740157480314965" header="0.31496062992125984" footer="0.31496062992125984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44933-FAB5-47B3-A517-357930A716DB}">
  <dimension ref="A1:CA81"/>
  <sheetViews>
    <sheetView topLeftCell="AZ15" zoomScaleNormal="100" workbookViewId="0">
      <selection activeCell="BX23" sqref="BX23:BY24"/>
    </sheetView>
  </sheetViews>
  <sheetFormatPr defaultRowHeight="15"/>
  <cols>
    <col min="1" max="4" width="9.7109375" customWidth="1"/>
    <col min="5" max="5" width="12" customWidth="1"/>
    <col min="6" max="8" width="9.7109375" customWidth="1"/>
    <col min="9" max="9" width="11.85546875" customWidth="1"/>
    <col min="15" max="15" width="12.5703125" customWidth="1"/>
    <col min="16" max="17" width="10.28515625" customWidth="1"/>
    <col min="21" max="21" width="11" customWidth="1"/>
    <col min="30" max="30" width="9.7109375" customWidth="1"/>
    <col min="31" max="31" width="11.140625" customWidth="1"/>
    <col min="53" max="53" width="11.28515625" customWidth="1"/>
    <col min="69" max="70" width="10.28515625" customWidth="1"/>
  </cols>
  <sheetData>
    <row r="1" spans="1:20" ht="18.75">
      <c r="A1" s="100" t="s">
        <v>164</v>
      </c>
    </row>
    <row r="2" spans="1:20" ht="15.75" thickBot="1">
      <c r="A2" t="s">
        <v>84</v>
      </c>
      <c r="H2" s="27" t="s">
        <v>89</v>
      </c>
      <c r="I2" s="28"/>
      <c r="J2" s="29"/>
    </row>
    <row r="3" spans="1:20" ht="15.75" thickTop="1">
      <c r="H3" s="30">
        <v>1</v>
      </c>
      <c r="I3">
        <f>-b/2</f>
        <v>-200</v>
      </c>
      <c r="J3" s="31">
        <f>+h/2-R22</f>
        <v>-760</v>
      </c>
      <c r="N3" s="181"/>
      <c r="O3" s="182"/>
      <c r="P3" s="182"/>
      <c r="Q3" s="183" t="s">
        <v>198</v>
      </c>
      <c r="R3" s="183"/>
      <c r="S3" s="183" t="s">
        <v>199</v>
      </c>
      <c r="T3" s="184"/>
    </row>
    <row r="4" spans="1:20">
      <c r="H4" s="32">
        <v>2</v>
      </c>
      <c r="I4" s="33">
        <f>+b/2</f>
        <v>200</v>
      </c>
      <c r="J4" s="34">
        <f>+J3</f>
        <v>-760</v>
      </c>
      <c r="N4" s="185" t="s">
        <v>146</v>
      </c>
      <c r="O4" s="186" t="s">
        <v>196</v>
      </c>
      <c r="P4" s="186" t="s">
        <v>197</v>
      </c>
      <c r="Q4" s="186" t="s">
        <v>15</v>
      </c>
      <c r="R4" s="186" t="s">
        <v>37</v>
      </c>
      <c r="S4" s="186" t="s">
        <v>15</v>
      </c>
      <c r="T4" s="187" t="s">
        <v>37</v>
      </c>
    </row>
    <row r="5" spans="1:20">
      <c r="N5" s="195">
        <f>+'P-M chart'!C16</f>
        <v>3</v>
      </c>
      <c r="O5" s="177">
        <f>+D25</f>
        <v>2.6773584905660374E-3</v>
      </c>
      <c r="P5" s="178">
        <f>+D26</f>
        <v>2.0754716981132075E-6</v>
      </c>
      <c r="Q5" s="53">
        <f>+L23</f>
        <v>6120</v>
      </c>
      <c r="R5" s="53">
        <f>+M23</f>
        <v>3313.0984797345677</v>
      </c>
      <c r="S5" s="83">
        <f>+L24</f>
        <v>0</v>
      </c>
      <c r="T5" s="120">
        <f>+M24</f>
        <v>-69.273877303540942</v>
      </c>
    </row>
    <row r="6" spans="1:20">
      <c r="N6" s="195">
        <f>+'P-M chart'!C17</f>
        <v>2</v>
      </c>
      <c r="O6" s="177">
        <f>+T25</f>
        <v>2.3660377358490567E-3</v>
      </c>
      <c r="P6" s="178">
        <f>+T26</f>
        <v>3.1132075471698111E-6</v>
      </c>
      <c r="Q6" s="53">
        <f>+AB23</f>
        <v>6070.0405216447125</v>
      </c>
      <c r="R6" s="53">
        <f>+AC23</f>
        <v>3077.9936502994419</v>
      </c>
      <c r="S6" s="83">
        <f>+AB24</f>
        <v>12.701906346386682</v>
      </c>
      <c r="T6" s="120">
        <f>+AC24</f>
        <v>-16.442540217365384</v>
      </c>
    </row>
    <row r="7" spans="1:20">
      <c r="N7" s="195">
        <f>+'P-M chart'!C18</f>
        <v>1.5</v>
      </c>
      <c r="O7" s="177">
        <f>+AJ25</f>
        <v>2.0547169811320756E-3</v>
      </c>
      <c r="P7" s="178">
        <f>+AJ26</f>
        <v>4.1509433962264151E-6</v>
      </c>
      <c r="Q7" s="53">
        <f>+AR23</f>
        <v>5774.5845681167675</v>
      </c>
      <c r="R7" s="53">
        <f>+AS23</f>
        <v>2597.0692460437704</v>
      </c>
      <c r="S7" s="83">
        <f>+AR24</f>
        <v>78.824372531491548</v>
      </c>
      <c r="T7" s="125">
        <f>+AS24</f>
        <v>80.054585202976341</v>
      </c>
    </row>
    <row r="8" spans="1:20">
      <c r="N8" s="195">
        <f>+'P-M chart'!C19</f>
        <v>1.2</v>
      </c>
      <c r="O8" s="177">
        <f>+AZ25</f>
        <v>1.7433962264150943E-3</v>
      </c>
      <c r="P8" s="178">
        <f>+AZ26</f>
        <v>5.1886792452830191E-6</v>
      </c>
      <c r="Q8" s="53">
        <f>+BH23</f>
        <v>5143.7138901744383</v>
      </c>
      <c r="R8" s="53">
        <f>+BI23</f>
        <v>2132.6359487883983</v>
      </c>
      <c r="S8" s="83">
        <f>+BH24</f>
        <v>207.51818198469212</v>
      </c>
      <c r="T8" s="125">
        <f>+BI24</f>
        <v>173.16711354429967</v>
      </c>
    </row>
    <row r="9" spans="1:20" ht="15.75" thickBot="1">
      <c r="N9" s="196">
        <f>+'P-M chart'!C20</f>
        <v>1</v>
      </c>
      <c r="O9" s="179">
        <f>+BP25</f>
        <v>1.4320754716981132E-3</v>
      </c>
      <c r="P9" s="180">
        <f>+BP26</f>
        <v>6.2264150943396222E-6</v>
      </c>
      <c r="Q9" s="96">
        <f>+BX23</f>
        <v>4314.1742367000006</v>
      </c>
      <c r="R9" s="96">
        <f>+BY23</f>
        <v>1684.6937585333271</v>
      </c>
      <c r="S9" s="95">
        <f>+BX24</f>
        <v>352.5809372048999</v>
      </c>
      <c r="T9" s="127">
        <f>+BY24</f>
        <v>262.89504480660452</v>
      </c>
    </row>
    <row r="10" spans="1:20" ht="15.75" thickTop="1"/>
    <row r="13" spans="1:20">
      <c r="G13" s="50"/>
    </row>
    <row r="15" spans="1:20">
      <c r="C15" s="49"/>
      <c r="D15" s="36"/>
    </row>
    <row r="16" spans="1:20">
      <c r="G16" s="50"/>
    </row>
    <row r="17" spans="1:79">
      <c r="G17" s="50"/>
    </row>
    <row r="18" spans="1:79">
      <c r="G18" s="50"/>
    </row>
    <row r="19" spans="1:79">
      <c r="G19" s="50"/>
    </row>
    <row r="20" spans="1:79" ht="15.75">
      <c r="A20" s="122" t="s">
        <v>193</v>
      </c>
      <c r="B20" s="123"/>
      <c r="C20" s="1"/>
      <c r="D20" s="1"/>
      <c r="E20" s="1"/>
      <c r="F20" s="1"/>
      <c r="G20" s="124"/>
      <c r="H20" s="124"/>
      <c r="I20" s="124"/>
      <c r="J20" s="124"/>
      <c r="K20" s="124"/>
      <c r="L20" s="124"/>
      <c r="M20" s="124"/>
      <c r="N20" s="124"/>
      <c r="O20" s="124"/>
      <c r="Q20" s="122" t="s">
        <v>127</v>
      </c>
      <c r="R20" s="123"/>
      <c r="S20" s="1"/>
      <c r="T20" s="1"/>
      <c r="U20" s="1"/>
      <c r="V20" s="1"/>
      <c r="W20" s="124"/>
      <c r="X20" s="124"/>
      <c r="Y20" s="124"/>
      <c r="Z20" s="124"/>
      <c r="AA20" s="124"/>
      <c r="AB20" s="124"/>
      <c r="AC20" s="124"/>
      <c r="AD20" s="124"/>
      <c r="AE20" s="124"/>
      <c r="AG20" s="122" t="s">
        <v>194</v>
      </c>
      <c r="AH20" s="123"/>
      <c r="AI20" s="1"/>
      <c r="AJ20" s="1"/>
      <c r="AK20" s="1"/>
      <c r="AL20" s="1"/>
      <c r="AM20" s="124"/>
      <c r="AN20" s="124"/>
      <c r="AO20" s="124"/>
      <c r="AP20" s="124"/>
      <c r="AQ20" s="124"/>
      <c r="AR20" s="124"/>
      <c r="AS20" s="124"/>
      <c r="AT20" s="124"/>
      <c r="AU20" s="124"/>
      <c r="AW20" s="122" t="s">
        <v>128</v>
      </c>
      <c r="AX20" s="123"/>
      <c r="AY20" s="1"/>
      <c r="AZ20" s="1"/>
      <c r="BA20" s="1"/>
      <c r="BB20" s="1"/>
      <c r="BC20" s="124"/>
      <c r="BD20" s="124"/>
      <c r="BE20" s="124"/>
      <c r="BF20" s="124"/>
      <c r="BG20" s="124"/>
      <c r="BH20" s="124"/>
      <c r="BI20" s="124"/>
      <c r="BJ20" s="124"/>
      <c r="BK20" s="124"/>
      <c r="BM20" s="122" t="s">
        <v>195</v>
      </c>
      <c r="BN20" s="123"/>
      <c r="BO20" s="1"/>
      <c r="BP20" s="1"/>
      <c r="BQ20" s="1"/>
      <c r="BR20" s="1"/>
      <c r="BS20" s="124"/>
      <c r="BT20" s="124"/>
      <c r="BU20" s="124"/>
      <c r="BV20" s="124"/>
      <c r="BW20" s="124"/>
      <c r="BX20" s="124"/>
      <c r="BY20" s="124"/>
      <c r="BZ20" s="124"/>
      <c r="CA20" s="124"/>
    </row>
    <row r="21" spans="1:79" ht="15.75" thickBot="1">
      <c r="A21" t="s">
        <v>125</v>
      </c>
      <c r="B21" s="121">
        <f>+h/2-MIN(Input!$E$10:$E$23)</f>
        <v>530</v>
      </c>
      <c r="C21" t="s">
        <v>13</v>
      </c>
      <c r="F21" s="111" t="s">
        <v>191</v>
      </c>
      <c r="K21" s="111" t="s">
        <v>192</v>
      </c>
      <c r="Q21" t="s">
        <v>125</v>
      </c>
      <c r="R21" s="121">
        <f>+h/2-MIN(Input!$E$10:$E$23)</f>
        <v>530</v>
      </c>
      <c r="S21" t="s">
        <v>13</v>
      </c>
      <c r="V21" s="111" t="s">
        <v>191</v>
      </c>
      <c r="AA21" s="111" t="s">
        <v>192</v>
      </c>
      <c r="AG21" t="s">
        <v>125</v>
      </c>
      <c r="AH21" s="121">
        <f>+h/2-MIN(Input!$E$10:$E$23)</f>
        <v>530</v>
      </c>
      <c r="AI21" t="s">
        <v>13</v>
      </c>
      <c r="AL21" s="111" t="s">
        <v>191</v>
      </c>
      <c r="AQ21" s="111" t="s">
        <v>192</v>
      </c>
      <c r="AW21" t="s">
        <v>125</v>
      </c>
      <c r="AX21" s="121">
        <f>+h/2-MIN(Input!$E$10:$E$23)</f>
        <v>530</v>
      </c>
      <c r="AY21" t="s">
        <v>13</v>
      </c>
      <c r="BB21" s="111" t="s">
        <v>191</v>
      </c>
      <c r="BG21" s="111" t="s">
        <v>192</v>
      </c>
      <c r="BM21" t="s">
        <v>125</v>
      </c>
      <c r="BN21" s="121">
        <f>+h/2-MIN(Input!$E$10:$E$23)</f>
        <v>530</v>
      </c>
      <c r="BO21" t="s">
        <v>13</v>
      </c>
      <c r="BR21" s="111" t="s">
        <v>191</v>
      </c>
      <c r="BW21" s="111" t="s">
        <v>192</v>
      </c>
    </row>
    <row r="22" spans="1:79" ht="15.75" thickTop="1">
      <c r="A22" s="49" t="s">
        <v>40</v>
      </c>
      <c r="B22" s="175">
        <f>N5*B21</f>
        <v>1590</v>
      </c>
      <c r="C22" t="s">
        <v>13</v>
      </c>
      <c r="F22" s="11" t="s">
        <v>126</v>
      </c>
      <c r="G22" s="12">
        <f>+MIN(B22,h)</f>
        <v>600</v>
      </c>
      <c r="H22" s="13" t="s">
        <v>13</v>
      </c>
      <c r="K22" s="22"/>
      <c r="L22" s="23" t="s">
        <v>15</v>
      </c>
      <c r="M22" s="23" t="s">
        <v>37</v>
      </c>
      <c r="N22" s="23" t="s">
        <v>81</v>
      </c>
      <c r="O22" s="24" t="s">
        <v>45</v>
      </c>
      <c r="Q22" s="49" t="s">
        <v>40</v>
      </c>
      <c r="R22" s="175">
        <f>N6*R21</f>
        <v>1060</v>
      </c>
      <c r="S22" t="s">
        <v>13</v>
      </c>
      <c r="V22" s="11" t="s">
        <v>126</v>
      </c>
      <c r="W22" s="12">
        <f>+MIN(R22,h)</f>
        <v>600</v>
      </c>
      <c r="X22" s="13" t="s">
        <v>13</v>
      </c>
      <c r="AA22" s="22"/>
      <c r="AB22" s="23" t="s">
        <v>15</v>
      </c>
      <c r="AC22" s="23" t="s">
        <v>37</v>
      </c>
      <c r="AD22" s="23" t="s">
        <v>81</v>
      </c>
      <c r="AE22" s="24" t="s">
        <v>45</v>
      </c>
      <c r="AG22" s="49" t="s">
        <v>40</v>
      </c>
      <c r="AH22" s="175">
        <f>N7*AH21</f>
        <v>795</v>
      </c>
      <c r="AI22" t="s">
        <v>13</v>
      </c>
      <c r="AL22" s="11" t="s">
        <v>126</v>
      </c>
      <c r="AM22" s="12">
        <f>+MIN(AH22,h)</f>
        <v>600</v>
      </c>
      <c r="AN22" s="13" t="s">
        <v>13</v>
      </c>
      <c r="AQ22" s="22"/>
      <c r="AR22" s="23" t="s">
        <v>15</v>
      </c>
      <c r="AS22" s="23" t="s">
        <v>37</v>
      </c>
      <c r="AT22" s="23" t="s">
        <v>81</v>
      </c>
      <c r="AU22" s="24" t="s">
        <v>45</v>
      </c>
      <c r="AW22" s="49" t="s">
        <v>40</v>
      </c>
      <c r="AX22" s="175">
        <f>N8*AX21</f>
        <v>636</v>
      </c>
      <c r="AY22" t="s">
        <v>13</v>
      </c>
      <c r="BB22" s="11" t="s">
        <v>126</v>
      </c>
      <c r="BC22" s="12">
        <f>+MIN(AX22,h)</f>
        <v>600</v>
      </c>
      <c r="BD22" s="13" t="s">
        <v>13</v>
      </c>
      <c r="BG22" s="22"/>
      <c r="BH22" s="23" t="s">
        <v>15</v>
      </c>
      <c r="BI22" s="23" t="s">
        <v>37</v>
      </c>
      <c r="BJ22" s="23" t="s">
        <v>81</v>
      </c>
      <c r="BK22" s="24" t="s">
        <v>45</v>
      </c>
      <c r="BM22" s="49" t="s">
        <v>40</v>
      </c>
      <c r="BN22" s="175">
        <f>N9*BN21</f>
        <v>530</v>
      </c>
      <c r="BO22" t="s">
        <v>13</v>
      </c>
      <c r="BR22" s="11" t="s">
        <v>126</v>
      </c>
      <c r="BS22" s="12">
        <f>+MIN(BN22,h)</f>
        <v>530</v>
      </c>
      <c r="BT22" s="13" t="s">
        <v>13</v>
      </c>
      <c r="BW22" s="22"/>
      <c r="BX22" s="23" t="s">
        <v>15</v>
      </c>
      <c r="BY22" s="23" t="s">
        <v>37</v>
      </c>
      <c r="BZ22" s="23" t="s">
        <v>81</v>
      </c>
      <c r="CA22" s="24" t="s">
        <v>45</v>
      </c>
    </row>
    <row r="23" spans="1:79">
      <c r="A23" s="111" t="s">
        <v>177</v>
      </c>
      <c r="F23" s="69" t="s">
        <v>1</v>
      </c>
      <c r="G23" s="175">
        <v>50</v>
      </c>
      <c r="H23" s="15" t="s">
        <v>39</v>
      </c>
      <c r="K23" s="25" t="s">
        <v>18</v>
      </c>
      <c r="L23" s="53">
        <f>+E31/10^3</f>
        <v>6120</v>
      </c>
      <c r="M23" s="53">
        <f>+N31/10^3</f>
        <v>3313.0984797345677</v>
      </c>
      <c r="N23" s="98">
        <f>+L23+M23</f>
        <v>9433.0984797345682</v>
      </c>
      <c r="O23" s="54" t="s">
        <v>67</v>
      </c>
      <c r="Q23" s="111" t="s">
        <v>177</v>
      </c>
      <c r="V23" s="69" t="s">
        <v>1</v>
      </c>
      <c r="W23" s="175">
        <v>50</v>
      </c>
      <c r="X23" s="15" t="s">
        <v>39</v>
      </c>
      <c r="AA23" s="25" t="s">
        <v>18</v>
      </c>
      <c r="AB23" s="53">
        <f>+U31/10^3</f>
        <v>6070.0405216447125</v>
      </c>
      <c r="AC23" s="53">
        <f>+AD31/10^3</f>
        <v>3077.9936502994419</v>
      </c>
      <c r="AD23" s="98">
        <f>+AB23+AC23</f>
        <v>9148.0341719441549</v>
      </c>
      <c r="AE23" s="54" t="s">
        <v>67</v>
      </c>
      <c r="AG23" s="111" t="s">
        <v>177</v>
      </c>
      <c r="AL23" s="69" t="s">
        <v>1</v>
      </c>
      <c r="AM23" s="175">
        <v>50</v>
      </c>
      <c r="AN23" s="15" t="s">
        <v>39</v>
      </c>
      <c r="AQ23" s="25" t="s">
        <v>18</v>
      </c>
      <c r="AR23" s="53">
        <f>+AK31/10^3</f>
        <v>5774.5845681167675</v>
      </c>
      <c r="AS23" s="53">
        <f>+AT31/10^3</f>
        <v>2597.0692460437704</v>
      </c>
      <c r="AT23" s="98">
        <f>+AR23+AS23</f>
        <v>8371.6538141605379</v>
      </c>
      <c r="AU23" s="54" t="s">
        <v>67</v>
      </c>
      <c r="AW23" s="111" t="s">
        <v>177</v>
      </c>
      <c r="BB23" s="69" t="s">
        <v>1</v>
      </c>
      <c r="BC23" s="175">
        <v>50</v>
      </c>
      <c r="BD23" s="15" t="s">
        <v>39</v>
      </c>
      <c r="BG23" s="25" t="s">
        <v>18</v>
      </c>
      <c r="BH23" s="53">
        <f>+BA31/10^3</f>
        <v>5143.7138901744383</v>
      </c>
      <c r="BI23" s="53">
        <f>+BJ31/10^3</f>
        <v>2132.6359487883983</v>
      </c>
      <c r="BJ23" s="98">
        <f>+BH23+BI23</f>
        <v>7276.3498389628367</v>
      </c>
      <c r="BK23" s="54" t="s">
        <v>67</v>
      </c>
      <c r="BM23" s="111" t="s">
        <v>177</v>
      </c>
      <c r="BR23" s="69" t="s">
        <v>1</v>
      </c>
      <c r="BS23" s="175">
        <v>50</v>
      </c>
      <c r="BT23" s="15" t="s">
        <v>39</v>
      </c>
      <c r="BW23" s="25" t="s">
        <v>18</v>
      </c>
      <c r="BX23" s="53">
        <f>+BQ31/10^3</f>
        <v>4314.1742367000006</v>
      </c>
      <c r="BY23" s="53">
        <f>+BZ31/10^3</f>
        <v>1684.6937585333271</v>
      </c>
      <c r="BZ23" s="98">
        <f>+BX23+BY23</f>
        <v>5998.8679952333277</v>
      </c>
      <c r="CA23" s="54" t="s">
        <v>67</v>
      </c>
    </row>
    <row r="24" spans="1:79" ht="15.75" thickBot="1">
      <c r="A24" s="111" t="s">
        <v>181</v>
      </c>
      <c r="F24" s="69" t="s">
        <v>41</v>
      </c>
      <c r="G24" s="66">
        <f>G22/G$23</f>
        <v>12</v>
      </c>
      <c r="H24" s="15" t="s">
        <v>13</v>
      </c>
      <c r="K24" s="26" t="s">
        <v>20</v>
      </c>
      <c r="L24" s="95">
        <f>+F31/10^6</f>
        <v>0</v>
      </c>
      <c r="M24" s="96">
        <f>+O31/10^6</f>
        <v>-69.273877303540942</v>
      </c>
      <c r="N24" s="99">
        <f>+L24+M24</f>
        <v>-69.273877303540942</v>
      </c>
      <c r="O24" s="97" t="s">
        <v>68</v>
      </c>
      <c r="Q24" s="111" t="s">
        <v>181</v>
      </c>
      <c r="V24" s="69" t="s">
        <v>41</v>
      </c>
      <c r="W24" s="66">
        <f>W22/W$23</f>
        <v>12</v>
      </c>
      <c r="X24" s="15" t="s">
        <v>13</v>
      </c>
      <c r="AA24" s="26" t="s">
        <v>20</v>
      </c>
      <c r="AB24" s="95">
        <f>+V31/10^6</f>
        <v>12.701906346386682</v>
      </c>
      <c r="AC24" s="96">
        <f>+AE31/10^6</f>
        <v>-16.442540217365384</v>
      </c>
      <c r="AD24" s="99">
        <f>+AB24+AC24</f>
        <v>-3.7406338709787015</v>
      </c>
      <c r="AE24" s="97" t="s">
        <v>68</v>
      </c>
      <c r="AG24" s="111" t="s">
        <v>181</v>
      </c>
      <c r="AL24" s="69" t="s">
        <v>41</v>
      </c>
      <c r="AM24" s="66">
        <f>AM22/AM$23</f>
        <v>12</v>
      </c>
      <c r="AN24" s="15" t="s">
        <v>13</v>
      </c>
      <c r="AQ24" s="26" t="s">
        <v>20</v>
      </c>
      <c r="AR24" s="95">
        <f>+AL31/10^6</f>
        <v>78.824372531491548</v>
      </c>
      <c r="AS24" s="96">
        <f>+AU31/10^6</f>
        <v>80.054585202976341</v>
      </c>
      <c r="AT24" s="99">
        <f>+AR24+AS24</f>
        <v>158.87895773446789</v>
      </c>
      <c r="AU24" s="97" t="s">
        <v>68</v>
      </c>
      <c r="AW24" s="111" t="s">
        <v>181</v>
      </c>
      <c r="BB24" s="69" t="s">
        <v>41</v>
      </c>
      <c r="BC24" s="66">
        <f>BC22/BC$23</f>
        <v>12</v>
      </c>
      <c r="BD24" s="15" t="s">
        <v>13</v>
      </c>
      <c r="BG24" s="26" t="s">
        <v>20</v>
      </c>
      <c r="BH24" s="95">
        <f>+BB31/10^6</f>
        <v>207.51818198469212</v>
      </c>
      <c r="BI24" s="96">
        <f>+BK31/10^6</f>
        <v>173.16711354429967</v>
      </c>
      <c r="BJ24" s="99">
        <f>+BH24+BI24</f>
        <v>380.68529552899179</v>
      </c>
      <c r="BK24" s="97" t="s">
        <v>68</v>
      </c>
      <c r="BM24" s="111" t="s">
        <v>181</v>
      </c>
      <c r="BR24" s="69" t="s">
        <v>41</v>
      </c>
      <c r="BS24" s="66">
        <f>BS22/BS$23</f>
        <v>10.6</v>
      </c>
      <c r="BT24" s="15" t="s">
        <v>13</v>
      </c>
      <c r="BW24" s="26" t="s">
        <v>20</v>
      </c>
      <c r="BX24" s="95">
        <f>+BR31/10^6</f>
        <v>352.5809372048999</v>
      </c>
      <c r="BY24" s="96">
        <f>+CA31/10^6</f>
        <v>262.89504480660452</v>
      </c>
      <c r="BZ24" s="99">
        <f>+BX24+BY24</f>
        <v>615.47598201150436</v>
      </c>
      <c r="CA24" s="97" t="s">
        <v>68</v>
      </c>
    </row>
    <row r="25" spans="1:79" ht="15.75" thickTop="1">
      <c r="A25" t="s">
        <v>188</v>
      </c>
      <c r="C25" s="171" t="s">
        <v>189</v>
      </c>
      <c r="D25" s="172">
        <f>+ecu*(B22-h/2)/B22</f>
        <v>2.6773584905660374E-3</v>
      </c>
      <c r="F25" s="69" t="s">
        <v>42</v>
      </c>
      <c r="G25" s="66">
        <f>+b</f>
        <v>400</v>
      </c>
      <c r="H25" s="15" t="s">
        <v>13</v>
      </c>
      <c r="Q25" t="s">
        <v>188</v>
      </c>
      <c r="S25" s="171" t="s">
        <v>189</v>
      </c>
      <c r="T25" s="172">
        <f>+ecu*(R22-h/2)/R22</f>
        <v>2.3660377358490567E-3</v>
      </c>
      <c r="V25" s="69" t="s">
        <v>42</v>
      </c>
      <c r="W25" s="66">
        <f>+b</f>
        <v>400</v>
      </c>
      <c r="X25" s="15" t="s">
        <v>13</v>
      </c>
      <c r="AG25" t="s">
        <v>188</v>
      </c>
      <c r="AI25" s="171" t="s">
        <v>189</v>
      </c>
      <c r="AJ25" s="172">
        <f>+ecu*(AH22-h/2)/AH22</f>
        <v>2.0547169811320756E-3</v>
      </c>
      <c r="AL25" s="69" t="s">
        <v>42</v>
      </c>
      <c r="AM25" s="66">
        <f>+b</f>
        <v>400</v>
      </c>
      <c r="AN25" s="15" t="s">
        <v>13</v>
      </c>
      <c r="AW25" t="s">
        <v>188</v>
      </c>
      <c r="AY25" s="171" t="s">
        <v>189</v>
      </c>
      <c r="AZ25" s="172">
        <f>+ecu*(AX22-h/2)/AX22</f>
        <v>1.7433962264150943E-3</v>
      </c>
      <c r="BB25" s="69" t="s">
        <v>42</v>
      </c>
      <c r="BC25" s="66">
        <f>+b</f>
        <v>400</v>
      </c>
      <c r="BD25" s="15" t="s">
        <v>13</v>
      </c>
      <c r="BM25" t="s">
        <v>188</v>
      </c>
      <c r="BO25" s="171" t="s">
        <v>189</v>
      </c>
      <c r="BP25" s="172">
        <f>+ecu*(BN22-h/2)/BN22</f>
        <v>1.4320754716981132E-3</v>
      </c>
      <c r="BR25" s="69" t="s">
        <v>42</v>
      </c>
      <c r="BS25" s="66">
        <f>+b</f>
        <v>400</v>
      </c>
      <c r="BT25" s="15" t="s">
        <v>13</v>
      </c>
    </row>
    <row r="26" spans="1:79" ht="15.75" thickBot="1">
      <c r="A26" t="s">
        <v>190</v>
      </c>
      <c r="C26" s="173" t="s">
        <v>185</v>
      </c>
      <c r="D26" s="174">
        <f>+ecu/B22</f>
        <v>2.0754716981132075E-6</v>
      </c>
      <c r="F26" s="70" t="s">
        <v>43</v>
      </c>
      <c r="G26" s="71">
        <f>+G24*G25</f>
        <v>4800</v>
      </c>
      <c r="H26" s="18" t="s">
        <v>10</v>
      </c>
      <c r="Q26" t="s">
        <v>190</v>
      </c>
      <c r="S26" s="173" t="s">
        <v>185</v>
      </c>
      <c r="T26" s="174">
        <f>+ecu/R22</f>
        <v>3.1132075471698111E-6</v>
      </c>
      <c r="V26" s="70" t="s">
        <v>43</v>
      </c>
      <c r="W26" s="71">
        <f>+W24*W25</f>
        <v>4800</v>
      </c>
      <c r="X26" s="18" t="s">
        <v>10</v>
      </c>
      <c r="AG26" t="s">
        <v>190</v>
      </c>
      <c r="AI26" s="173" t="s">
        <v>185</v>
      </c>
      <c r="AJ26" s="174">
        <f>+ecu/AH22</f>
        <v>4.1509433962264151E-6</v>
      </c>
      <c r="AL26" s="70" t="s">
        <v>43</v>
      </c>
      <c r="AM26" s="71">
        <f>+AM24*AM25</f>
        <v>4800</v>
      </c>
      <c r="AN26" s="18" t="s">
        <v>10</v>
      </c>
      <c r="AW26" t="s">
        <v>190</v>
      </c>
      <c r="AY26" s="173" t="s">
        <v>185</v>
      </c>
      <c r="AZ26" s="174">
        <f>+ecu/AX22</f>
        <v>5.1886792452830191E-6</v>
      </c>
      <c r="BB26" s="70" t="s">
        <v>43</v>
      </c>
      <c r="BC26" s="71">
        <f>+BC24*BC25</f>
        <v>4800</v>
      </c>
      <c r="BD26" s="18" t="s">
        <v>10</v>
      </c>
      <c r="BM26" t="s">
        <v>190</v>
      </c>
      <c r="BO26" s="173" t="s">
        <v>185</v>
      </c>
      <c r="BP26" s="174">
        <f>+ecu/BN22</f>
        <v>6.2264150943396222E-6</v>
      </c>
      <c r="BR26" s="70" t="s">
        <v>43</v>
      </c>
      <c r="BS26" s="71">
        <f>+BS24*BS25</f>
        <v>4240</v>
      </c>
      <c r="BT26" s="18" t="s">
        <v>10</v>
      </c>
    </row>
    <row r="27" spans="1:79" ht="15.75" thickTop="1">
      <c r="F27" s="49"/>
      <c r="G27" s="90"/>
      <c r="V27" s="49"/>
      <c r="W27" s="90"/>
      <c r="AL27" s="49"/>
      <c r="AM27" s="90"/>
      <c r="BB27" s="49"/>
      <c r="BC27" s="90"/>
      <c r="BR27" s="49"/>
      <c r="BS27" s="90"/>
    </row>
    <row r="28" spans="1:79" ht="16.5" thickBot="1">
      <c r="A28" s="94" t="s">
        <v>80</v>
      </c>
      <c r="I28" s="94" t="s">
        <v>79</v>
      </c>
      <c r="Q28" s="94" t="s">
        <v>80</v>
      </c>
      <c r="Y28" s="94" t="s">
        <v>79</v>
      </c>
      <c r="AG28" s="94" t="s">
        <v>80</v>
      </c>
      <c r="AO28" s="94" t="s">
        <v>79</v>
      </c>
      <c r="AW28" s="94" t="s">
        <v>80</v>
      </c>
      <c r="BE28" s="94" t="s">
        <v>79</v>
      </c>
      <c r="BM28" s="94" t="s">
        <v>80</v>
      </c>
      <c r="BU28" s="94" t="s">
        <v>79</v>
      </c>
    </row>
    <row r="29" spans="1:79" s="58" customFormat="1" ht="21" customHeight="1" thickTop="1">
      <c r="A29" s="55" t="s">
        <v>2</v>
      </c>
      <c r="B29" s="56" t="s">
        <v>3</v>
      </c>
      <c r="C29" s="56" t="s">
        <v>46</v>
      </c>
      <c r="D29" s="56" t="s">
        <v>47</v>
      </c>
      <c r="E29" s="56" t="s">
        <v>65</v>
      </c>
      <c r="F29" s="57" t="s">
        <v>66</v>
      </c>
      <c r="H29" s="55" t="s">
        <v>2</v>
      </c>
      <c r="I29" s="56" t="s">
        <v>16</v>
      </c>
      <c r="J29" s="56" t="s">
        <v>59</v>
      </c>
      <c r="K29" s="56" t="s">
        <v>58</v>
      </c>
      <c r="L29" s="56" t="s">
        <v>47</v>
      </c>
      <c r="M29" s="56" t="s">
        <v>60</v>
      </c>
      <c r="N29" s="84" t="s">
        <v>61</v>
      </c>
      <c r="O29" s="57" t="s">
        <v>63</v>
      </c>
      <c r="P29"/>
      <c r="Q29" s="55" t="s">
        <v>2</v>
      </c>
      <c r="R29" s="56" t="s">
        <v>3</v>
      </c>
      <c r="S29" s="56" t="s">
        <v>46</v>
      </c>
      <c r="T29" s="56" t="s">
        <v>47</v>
      </c>
      <c r="U29" s="56" t="s">
        <v>65</v>
      </c>
      <c r="V29" s="57" t="s">
        <v>66</v>
      </c>
      <c r="X29" s="55" t="s">
        <v>2</v>
      </c>
      <c r="Y29" s="56" t="s">
        <v>16</v>
      </c>
      <c r="Z29" s="56" t="s">
        <v>59</v>
      </c>
      <c r="AA29" s="56" t="s">
        <v>58</v>
      </c>
      <c r="AB29" s="56" t="s">
        <v>47</v>
      </c>
      <c r="AC29" s="56" t="s">
        <v>60</v>
      </c>
      <c r="AD29" s="84" t="s">
        <v>61</v>
      </c>
      <c r="AE29" s="57" t="s">
        <v>63</v>
      </c>
      <c r="AG29" s="55" t="s">
        <v>2</v>
      </c>
      <c r="AH29" s="56" t="s">
        <v>3</v>
      </c>
      <c r="AI29" s="56" t="s">
        <v>46</v>
      </c>
      <c r="AJ29" s="56" t="s">
        <v>47</v>
      </c>
      <c r="AK29" s="56" t="s">
        <v>65</v>
      </c>
      <c r="AL29" s="57" t="s">
        <v>66</v>
      </c>
      <c r="AN29" s="55" t="s">
        <v>2</v>
      </c>
      <c r="AO29" s="56" t="s">
        <v>16</v>
      </c>
      <c r="AP29" s="56" t="s">
        <v>59</v>
      </c>
      <c r="AQ29" s="56" t="s">
        <v>58</v>
      </c>
      <c r="AR29" s="56" t="s">
        <v>47</v>
      </c>
      <c r="AS29" s="56" t="s">
        <v>60</v>
      </c>
      <c r="AT29" s="84" t="s">
        <v>61</v>
      </c>
      <c r="AU29" s="57" t="s">
        <v>63</v>
      </c>
      <c r="AW29" s="55" t="s">
        <v>2</v>
      </c>
      <c r="AX29" s="56" t="s">
        <v>3</v>
      </c>
      <c r="AY29" s="56" t="s">
        <v>46</v>
      </c>
      <c r="AZ29" s="56" t="s">
        <v>47</v>
      </c>
      <c r="BA29" s="56" t="s">
        <v>65</v>
      </c>
      <c r="BB29" s="57" t="s">
        <v>66</v>
      </c>
      <c r="BD29" s="55" t="s">
        <v>2</v>
      </c>
      <c r="BE29" s="56" t="s">
        <v>16</v>
      </c>
      <c r="BF29" s="56" t="s">
        <v>59</v>
      </c>
      <c r="BG29" s="56" t="s">
        <v>58</v>
      </c>
      <c r="BH29" s="56" t="s">
        <v>47</v>
      </c>
      <c r="BI29" s="56" t="s">
        <v>60</v>
      </c>
      <c r="BJ29" s="84" t="s">
        <v>61</v>
      </c>
      <c r="BK29" s="57" t="s">
        <v>63</v>
      </c>
      <c r="BM29" s="55" t="s">
        <v>2</v>
      </c>
      <c r="BN29" s="56" t="s">
        <v>3</v>
      </c>
      <c r="BO29" s="56" t="s">
        <v>46</v>
      </c>
      <c r="BP29" s="56" t="s">
        <v>47</v>
      </c>
      <c r="BQ29" s="56" t="s">
        <v>65</v>
      </c>
      <c r="BR29" s="57" t="s">
        <v>66</v>
      </c>
      <c r="BT29" s="55" t="s">
        <v>2</v>
      </c>
      <c r="BU29" s="56" t="s">
        <v>16</v>
      </c>
      <c r="BV29" s="56" t="s">
        <v>59</v>
      </c>
      <c r="BW29" s="56" t="s">
        <v>58</v>
      </c>
      <c r="BX29" s="56" t="s">
        <v>47</v>
      </c>
      <c r="BY29" s="56" t="s">
        <v>60</v>
      </c>
      <c r="BZ29" s="84" t="s">
        <v>61</v>
      </c>
      <c r="CA29" s="57" t="s">
        <v>63</v>
      </c>
    </row>
    <row r="30" spans="1:79">
      <c r="A30" s="59" t="s">
        <v>45</v>
      </c>
      <c r="B30" s="60" t="s">
        <v>13</v>
      </c>
      <c r="C30" s="60"/>
      <c r="D30" s="60" t="s">
        <v>11</v>
      </c>
      <c r="E30" s="60" t="s">
        <v>12</v>
      </c>
      <c r="F30" s="61" t="s">
        <v>14</v>
      </c>
      <c r="H30" s="59" t="s">
        <v>45</v>
      </c>
      <c r="I30" s="60" t="s">
        <v>13</v>
      </c>
      <c r="J30" s="60"/>
      <c r="K30" s="60" t="s">
        <v>11</v>
      </c>
      <c r="L30" s="60" t="s">
        <v>11</v>
      </c>
      <c r="M30" s="60" t="s">
        <v>11</v>
      </c>
      <c r="N30" s="85" t="s">
        <v>14</v>
      </c>
      <c r="O30" s="61" t="s">
        <v>14</v>
      </c>
      <c r="Q30" s="59" t="s">
        <v>45</v>
      </c>
      <c r="R30" s="60" t="s">
        <v>13</v>
      </c>
      <c r="S30" s="60"/>
      <c r="T30" s="60" t="s">
        <v>11</v>
      </c>
      <c r="U30" s="60" t="s">
        <v>12</v>
      </c>
      <c r="V30" s="61" t="s">
        <v>14</v>
      </c>
      <c r="X30" s="59" t="s">
        <v>45</v>
      </c>
      <c r="Y30" s="60" t="s">
        <v>13</v>
      </c>
      <c r="Z30" s="60"/>
      <c r="AA30" s="60" t="s">
        <v>11</v>
      </c>
      <c r="AB30" s="60" t="s">
        <v>11</v>
      </c>
      <c r="AC30" s="60" t="s">
        <v>11</v>
      </c>
      <c r="AD30" s="85" t="s">
        <v>14</v>
      </c>
      <c r="AE30" s="61" t="s">
        <v>14</v>
      </c>
      <c r="AG30" s="59" t="s">
        <v>45</v>
      </c>
      <c r="AH30" s="60" t="s">
        <v>13</v>
      </c>
      <c r="AI30" s="60"/>
      <c r="AJ30" s="60" t="s">
        <v>11</v>
      </c>
      <c r="AK30" s="60" t="s">
        <v>12</v>
      </c>
      <c r="AL30" s="61" t="s">
        <v>14</v>
      </c>
      <c r="AN30" s="59" t="s">
        <v>45</v>
      </c>
      <c r="AO30" s="60" t="s">
        <v>13</v>
      </c>
      <c r="AP30" s="60"/>
      <c r="AQ30" s="60" t="s">
        <v>11</v>
      </c>
      <c r="AR30" s="60" t="s">
        <v>11</v>
      </c>
      <c r="AS30" s="60" t="s">
        <v>11</v>
      </c>
      <c r="AT30" s="85" t="s">
        <v>14</v>
      </c>
      <c r="AU30" s="61" t="s">
        <v>14</v>
      </c>
      <c r="AW30" s="59" t="s">
        <v>45</v>
      </c>
      <c r="AX30" s="60" t="s">
        <v>13</v>
      </c>
      <c r="AY30" s="60"/>
      <c r="AZ30" s="60" t="s">
        <v>11</v>
      </c>
      <c r="BA30" s="60" t="s">
        <v>12</v>
      </c>
      <c r="BB30" s="61" t="s">
        <v>14</v>
      </c>
      <c r="BD30" s="59" t="s">
        <v>45</v>
      </c>
      <c r="BE30" s="60" t="s">
        <v>13</v>
      </c>
      <c r="BF30" s="60"/>
      <c r="BG30" s="60" t="s">
        <v>11</v>
      </c>
      <c r="BH30" s="60" t="s">
        <v>11</v>
      </c>
      <c r="BI30" s="60" t="s">
        <v>11</v>
      </c>
      <c r="BJ30" s="85" t="s">
        <v>14</v>
      </c>
      <c r="BK30" s="61" t="s">
        <v>14</v>
      </c>
      <c r="BM30" s="59" t="s">
        <v>45</v>
      </c>
      <c r="BN30" s="60" t="s">
        <v>13</v>
      </c>
      <c r="BO30" s="60"/>
      <c r="BP30" s="60" t="s">
        <v>11</v>
      </c>
      <c r="BQ30" s="60" t="s">
        <v>12</v>
      </c>
      <c r="BR30" s="61" t="s">
        <v>14</v>
      </c>
      <c r="BT30" s="59" t="s">
        <v>45</v>
      </c>
      <c r="BU30" s="60" t="s">
        <v>13</v>
      </c>
      <c r="BV30" s="60"/>
      <c r="BW30" s="60" t="s">
        <v>11</v>
      </c>
      <c r="BX30" s="60" t="s">
        <v>11</v>
      </c>
      <c r="BY30" s="60" t="s">
        <v>11</v>
      </c>
      <c r="BZ30" s="85" t="s">
        <v>14</v>
      </c>
      <c r="CA30" s="61" t="s">
        <v>14</v>
      </c>
    </row>
    <row r="31" spans="1:79" ht="20.25" customHeight="1">
      <c r="A31" s="62" t="s">
        <v>44</v>
      </c>
      <c r="B31" s="63"/>
      <c r="C31" s="63"/>
      <c r="D31" s="63"/>
      <c r="E31" s="64">
        <f>+SUM(E32:E81)</f>
        <v>6120000</v>
      </c>
      <c r="F31" s="65">
        <f>+SUM(F32:F81)</f>
        <v>0</v>
      </c>
      <c r="H31" s="62" t="s">
        <v>44</v>
      </c>
      <c r="I31" s="63"/>
      <c r="J31" s="63"/>
      <c r="K31" s="63"/>
      <c r="L31" s="64"/>
      <c r="M31" s="63"/>
      <c r="N31" s="86">
        <f>+SUM(N32:N43)</f>
        <v>3313098.4797345679</v>
      </c>
      <c r="O31" s="65">
        <f>+SUM(O32:O43)</f>
        <v>-69273877.303540945</v>
      </c>
      <c r="Q31" s="62" t="s">
        <v>44</v>
      </c>
      <c r="R31" s="63"/>
      <c r="S31" s="63"/>
      <c r="T31" s="63"/>
      <c r="U31" s="64">
        <f>+SUM(U32:U81)</f>
        <v>6070040.5216447124</v>
      </c>
      <c r="V31" s="65">
        <f>+SUM(V32:V81)</f>
        <v>12701906.346386682</v>
      </c>
      <c r="X31" s="62" t="s">
        <v>44</v>
      </c>
      <c r="Y31" s="63"/>
      <c r="Z31" s="63"/>
      <c r="AA31" s="63"/>
      <c r="AB31" s="64"/>
      <c r="AC31" s="63"/>
      <c r="AD31" s="86">
        <f>+SUM(AD32:AD43)</f>
        <v>3077993.650299442</v>
      </c>
      <c r="AE31" s="65">
        <f>+SUM(AE32:AE43)</f>
        <v>-16442540.217365384</v>
      </c>
      <c r="AG31" s="62" t="s">
        <v>44</v>
      </c>
      <c r="AH31" s="63"/>
      <c r="AI31" s="63"/>
      <c r="AJ31" s="63"/>
      <c r="AK31" s="64">
        <f>+SUM(AK32:AK81)</f>
        <v>5774584.5681167673</v>
      </c>
      <c r="AL31" s="65">
        <f>+SUM(AL32:AL81)</f>
        <v>78824372.531491548</v>
      </c>
      <c r="AN31" s="62" t="s">
        <v>44</v>
      </c>
      <c r="AO31" s="63"/>
      <c r="AP31" s="63"/>
      <c r="AQ31" s="63"/>
      <c r="AR31" s="64"/>
      <c r="AS31" s="63"/>
      <c r="AT31" s="86">
        <f>+SUM(AT32:AT43)</f>
        <v>2597069.2460437706</v>
      </c>
      <c r="AU31" s="65">
        <f>+SUM(AU32:AU43)</f>
        <v>80054585.202976346</v>
      </c>
      <c r="AW31" s="62" t="s">
        <v>44</v>
      </c>
      <c r="AX31" s="63"/>
      <c r="AY31" s="63"/>
      <c r="AZ31" s="63"/>
      <c r="BA31" s="64">
        <f>+SUM(BA32:BA81)</f>
        <v>5143713.8901744382</v>
      </c>
      <c r="BB31" s="65">
        <f>+SUM(BB32:BB81)</f>
        <v>207518181.98469213</v>
      </c>
      <c r="BD31" s="62" t="s">
        <v>44</v>
      </c>
      <c r="BE31" s="63"/>
      <c r="BF31" s="63"/>
      <c r="BG31" s="63"/>
      <c r="BH31" s="64"/>
      <c r="BI31" s="63"/>
      <c r="BJ31" s="86">
        <f>+SUM(BJ32:BJ43)</f>
        <v>2132635.9487883984</v>
      </c>
      <c r="BK31" s="65">
        <f>+SUM(BK32:BK43)</f>
        <v>173167113.54429966</v>
      </c>
      <c r="BM31" s="62" t="s">
        <v>44</v>
      </c>
      <c r="BN31" s="63"/>
      <c r="BO31" s="63"/>
      <c r="BP31" s="63"/>
      <c r="BQ31" s="64">
        <f>+SUM(BQ32:BQ81)</f>
        <v>4314174.2367000002</v>
      </c>
      <c r="BR31" s="65">
        <f>+SUM(BR32:BR81)</f>
        <v>352580937.20489991</v>
      </c>
      <c r="BT31" s="62" t="s">
        <v>44</v>
      </c>
      <c r="BU31" s="63"/>
      <c r="BV31" s="63"/>
      <c r="BW31" s="63"/>
      <c r="BX31" s="64"/>
      <c r="BY31" s="63"/>
      <c r="BZ31" s="86">
        <f>+SUM(BZ32:BZ43)</f>
        <v>1684693.7585333271</v>
      </c>
      <c r="CA31" s="65">
        <f>+SUM(CA32:CA43)</f>
        <v>262895044.80660453</v>
      </c>
    </row>
    <row r="32" spans="1:79">
      <c r="A32" s="25">
        <v>1</v>
      </c>
      <c r="B32" s="51">
        <f t="shared" ref="B32:B63" si="0">h/2-($A32-0.5)*G$24</f>
        <v>294</v>
      </c>
      <c r="C32" s="74">
        <f>D$25+D$26*B32</f>
        <v>3.2875471698113204E-3</v>
      </c>
      <c r="D32" s="52">
        <f t="shared" ref="D32:D63" si="1">+IF(C32&gt;=0,IF(C32&lt;=eco,1-(1-C32/eco)^n,1),0)*0.85*fck</f>
        <v>25.5</v>
      </c>
      <c r="E32" s="53">
        <f t="shared" ref="E32:E63" si="2">+D32*G$26</f>
        <v>122400</v>
      </c>
      <c r="F32" s="54">
        <f t="shared" ref="F32:F63" si="3">+E32*B32</f>
        <v>35985600</v>
      </c>
      <c r="H32" s="25">
        <v>1</v>
      </c>
      <c r="I32" s="51">
        <f>Input!$E10</f>
        <v>230</v>
      </c>
      <c r="J32" s="74">
        <f>D$25+D$26*I32</f>
        <v>3.154716981132075E-3</v>
      </c>
      <c r="K32" s="52">
        <f t="shared" ref="K32:K43" si="4">J32*Es</f>
        <v>630.94339622641496</v>
      </c>
      <c r="L32" s="52">
        <f t="shared" ref="L32:L43" si="5">+IF(K32&gt;=0,IF(J32&lt;=eco,1-(1-J32/eco)^n,1),0)*0.85*fck</f>
        <v>25.5</v>
      </c>
      <c r="M32" s="83">
        <f t="shared" ref="M32:M43" si="6">MAX(MIN(K32,fy),-fy)-IF(K32&gt;=0,L32,0)</f>
        <v>374.5</v>
      </c>
      <c r="N32" s="93">
        <f>IF(AND(ISNUMBER(Input!$D10),ISNUMBER(Input!$E10)),M32*As,0)</f>
        <v>301190.77088496066</v>
      </c>
      <c r="O32" s="54">
        <f>N32*I32</f>
        <v>69273877.303540945</v>
      </c>
      <c r="Q32" s="25">
        <v>1</v>
      </c>
      <c r="R32" s="51">
        <f t="shared" ref="R32:R63" si="7">h/2-($Q32-0.5)*W$24</f>
        <v>294</v>
      </c>
      <c r="S32" s="74">
        <f>T$25+T$26*R32</f>
        <v>3.2813207547169811E-3</v>
      </c>
      <c r="T32" s="52">
        <f t="shared" ref="T32:T81" si="8">+IF(S32&gt;=0,IF(S32&lt;=eco,1-(1-S32/eco)^n,1),0)*0.85*fck</f>
        <v>25.5</v>
      </c>
      <c r="U32" s="53">
        <f t="shared" ref="U32:U63" si="9">+T32*W$26</f>
        <v>122400</v>
      </c>
      <c r="V32" s="54">
        <f t="shared" ref="V32:V63" si="10">+U32*R32</f>
        <v>35985600</v>
      </c>
      <c r="X32" s="25">
        <v>1</v>
      </c>
      <c r="Y32" s="51">
        <f>Input!$E10</f>
        <v>230</v>
      </c>
      <c r="Z32" s="74">
        <f>T$25+T$26*Y32</f>
        <v>3.0820754716981134E-3</v>
      </c>
      <c r="AA32" s="52">
        <f t="shared" ref="AA32:AA43" si="11">Z32*Es</f>
        <v>616.41509433962267</v>
      </c>
      <c r="AB32" s="52">
        <f t="shared" ref="AB32:AB43" si="12">+IF(AA32&gt;=0,IF(Z32&lt;=eco,1-(1-Z32/eco)^n,1),0)*0.85*fck</f>
        <v>25.5</v>
      </c>
      <c r="AC32" s="83">
        <f t="shared" ref="AC32:AC43" si="13">MAX(MIN(AA32,fy),-fy)-IF(AA32&gt;=0,AB32,0)</f>
        <v>374.5</v>
      </c>
      <c r="AD32" s="93">
        <f>IF(AND(ISNUMBER(Input!$D10),ISNUMBER(Input!$E10)),AC32*As,0)</f>
        <v>301190.77088496066</v>
      </c>
      <c r="AE32" s="54">
        <f>AD32*Y32</f>
        <v>69273877.303540945</v>
      </c>
      <c r="AG32" s="25">
        <v>1</v>
      </c>
      <c r="AH32" s="51">
        <f t="shared" ref="AH32:AH63" si="14">h/2-($AG32-0.5)*AM$24</f>
        <v>294</v>
      </c>
      <c r="AI32" s="74">
        <f>AJ$25+AJ$26*AH32</f>
        <v>3.2750943396226417E-3</v>
      </c>
      <c r="AJ32" s="52">
        <f t="shared" ref="AJ32:AJ81" si="15">+IF(AI32&gt;=0,IF(AI32&lt;=eco,1-(1-AI32/eco)^n,1),0)*0.85*fck</f>
        <v>25.5</v>
      </c>
      <c r="AK32" s="53">
        <f t="shared" ref="AK32:AK63" si="16">+AJ32*AM$26</f>
        <v>122400</v>
      </c>
      <c r="AL32" s="54">
        <f t="shared" ref="AL32:AL63" si="17">+AK32*AH32</f>
        <v>35985600</v>
      </c>
      <c r="AN32" s="25">
        <v>1</v>
      </c>
      <c r="AO32" s="51">
        <f>Input!$E10</f>
        <v>230</v>
      </c>
      <c r="AP32" s="74">
        <f>AJ$25+AJ$26*AO32</f>
        <v>3.0094339622641509E-3</v>
      </c>
      <c r="AQ32" s="52">
        <f t="shared" ref="AQ32:AQ43" si="18">AP32*Es</f>
        <v>601.88679245283015</v>
      </c>
      <c r="AR32" s="52">
        <f t="shared" ref="AR32:AR43" si="19">+IF(AQ32&gt;=0,IF(AP32&lt;=eco,1-(1-AP32/eco)^n,1),0)*0.85*fck</f>
        <v>25.5</v>
      </c>
      <c r="AS32" s="83">
        <f t="shared" ref="AS32:AS43" si="20">MAX(MIN(AQ32,fy),-fy)-IF(AQ32&gt;=0,AR32,0)</f>
        <v>374.5</v>
      </c>
      <c r="AT32" s="93">
        <f>IF(AND(ISNUMBER(Input!$D10),ISNUMBER(Input!$E10)),AS32*As,0)</f>
        <v>301190.77088496066</v>
      </c>
      <c r="AU32" s="54">
        <f>AT32*AO32</f>
        <v>69273877.303540945</v>
      </c>
      <c r="AW32" s="25">
        <v>1</v>
      </c>
      <c r="AX32" s="51">
        <f t="shared" ref="AX32:AX63" si="21">h/2-($AW32-0.5)*BC$24</f>
        <v>294</v>
      </c>
      <c r="AY32" s="74">
        <f>AZ$25+AZ$26*AX32</f>
        <v>3.268867924528302E-3</v>
      </c>
      <c r="AZ32" s="52">
        <f t="shared" ref="AZ32:AZ81" si="22">+IF(AY32&gt;=0,IF(AY32&lt;=eco,1-(1-AY32/eco)^n,1),0)*0.85*fck</f>
        <v>25.5</v>
      </c>
      <c r="BA32" s="53">
        <f t="shared" ref="BA32:BA63" si="23">+AZ32*BC$26</f>
        <v>122400</v>
      </c>
      <c r="BB32" s="54">
        <f t="shared" ref="BB32:BB63" si="24">+BA32*AX32</f>
        <v>35985600</v>
      </c>
      <c r="BD32" s="25">
        <v>1</v>
      </c>
      <c r="BE32" s="51">
        <f>Input!$E10</f>
        <v>230</v>
      </c>
      <c r="BF32" s="74">
        <f>AZ$25+AZ$26*BE32</f>
        <v>2.9367924528301888E-3</v>
      </c>
      <c r="BG32" s="52">
        <f t="shared" ref="BG32:BG43" si="25">BF32*Es</f>
        <v>587.35849056603774</v>
      </c>
      <c r="BH32" s="52">
        <f t="shared" ref="BH32:BH43" si="26">+IF(BG32&gt;=0,IF(BF32&lt;=eco,1-(1-BF32/eco)^n,1),0)*0.85*fck</f>
        <v>25.5</v>
      </c>
      <c r="BI32" s="83">
        <f t="shared" ref="BI32:BI43" si="27">MAX(MIN(BG32,fy),-fy)-IF(BG32&gt;=0,BH32,0)</f>
        <v>374.5</v>
      </c>
      <c r="BJ32" s="93">
        <f>IF(AND(ISNUMBER(Input!$D10),ISNUMBER(Input!$E10)),BI32*As,0)</f>
        <v>301190.77088496066</v>
      </c>
      <c r="BK32" s="54">
        <f>BJ32*BE32</f>
        <v>69273877.303540945</v>
      </c>
      <c r="BM32" s="25">
        <v>1</v>
      </c>
      <c r="BN32" s="51">
        <f t="shared" ref="BN32:BN63" si="28">h/2-($BM32-0.5)*BS$24</f>
        <v>294.7</v>
      </c>
      <c r="BO32" s="74">
        <f>BP$25+BP$26*BN32</f>
        <v>3.2669999999999999E-3</v>
      </c>
      <c r="BP32" s="52">
        <f t="shared" ref="BP32:BP81" si="29">+IF(BO32&gt;=0,IF(BO32&lt;=eco,1-(1-BO32/eco)^n,1),0)*0.85*fck</f>
        <v>25.5</v>
      </c>
      <c r="BQ32" s="53">
        <f t="shared" ref="BQ32:BQ63" si="30">+BP32*BS$26</f>
        <v>108120</v>
      </c>
      <c r="BR32" s="54">
        <f t="shared" ref="BR32:BR63" si="31">+BQ32*BN32</f>
        <v>31862964</v>
      </c>
      <c r="BT32" s="25">
        <v>1</v>
      </c>
      <c r="BU32" s="51">
        <f>Input!$E10</f>
        <v>230</v>
      </c>
      <c r="BV32" s="74">
        <f>BP$25+BP$26*BU32</f>
        <v>2.8641509433962264E-3</v>
      </c>
      <c r="BW32" s="52">
        <f t="shared" ref="BW32:BW43" si="32">BV32*Es</f>
        <v>572.83018867924523</v>
      </c>
      <c r="BX32" s="52">
        <f t="shared" ref="BX32:BX43" si="33">+IF(BW32&gt;=0,IF(BV32&lt;=eco,1-(1-BV32/eco)^n,1),0)*0.85*fck</f>
        <v>25.5</v>
      </c>
      <c r="BY32" s="83">
        <f t="shared" ref="BY32:BY43" si="34">MAX(MIN(BW32,fy),-fy)-IF(BW32&gt;=0,BX32,0)</f>
        <v>374.5</v>
      </c>
      <c r="BZ32" s="93">
        <f>IF(AND(ISNUMBER(Input!$D10),ISNUMBER(Input!$E10)),BY32*As,0)</f>
        <v>301190.77088496066</v>
      </c>
      <c r="CA32" s="54">
        <f>BZ32*BU32</f>
        <v>69273877.303540945</v>
      </c>
    </row>
    <row r="33" spans="1:79">
      <c r="A33" s="25">
        <v>2</v>
      </c>
      <c r="B33" s="51">
        <f t="shared" si="0"/>
        <v>282</v>
      </c>
      <c r="C33" s="74">
        <f t="shared" ref="C33:C81" si="35">D$25+D$26*B33</f>
        <v>3.2626415094339617E-3</v>
      </c>
      <c r="D33" s="52">
        <f t="shared" si="1"/>
        <v>25.5</v>
      </c>
      <c r="E33" s="53">
        <f t="shared" si="2"/>
        <v>122400</v>
      </c>
      <c r="F33" s="54">
        <f t="shared" si="3"/>
        <v>34516800</v>
      </c>
      <c r="H33" s="25">
        <v>2</v>
      </c>
      <c r="I33" s="51">
        <f>Input!$E11</f>
        <v>230</v>
      </c>
      <c r="J33" s="74">
        <f t="shared" ref="J33:J43" si="36">D$25+D$26*I33</f>
        <v>3.154716981132075E-3</v>
      </c>
      <c r="K33" s="52">
        <f t="shared" si="4"/>
        <v>630.94339622641496</v>
      </c>
      <c r="L33" s="52">
        <f t="shared" si="5"/>
        <v>25.5</v>
      </c>
      <c r="M33" s="83">
        <f t="shared" si="6"/>
        <v>374.5</v>
      </c>
      <c r="N33" s="93">
        <f>IF(AND(ISNUMBER(Input!$D11),ISNUMBER(Input!$E11)),M33*As,0)</f>
        <v>301190.77088496066</v>
      </c>
      <c r="O33" s="54">
        <f t="shared" ref="O33:O43" si="37">N33*I33</f>
        <v>69273877.303540945</v>
      </c>
      <c r="Q33" s="25">
        <v>2</v>
      </c>
      <c r="R33" s="51">
        <f t="shared" si="7"/>
        <v>282</v>
      </c>
      <c r="S33" s="74">
        <f t="shared" ref="S33:S81" si="38">T$25+T$26*R33</f>
        <v>3.2439622641509433E-3</v>
      </c>
      <c r="T33" s="52">
        <f t="shared" si="8"/>
        <v>25.5</v>
      </c>
      <c r="U33" s="53">
        <f t="shared" si="9"/>
        <v>122400</v>
      </c>
      <c r="V33" s="54">
        <f t="shared" si="10"/>
        <v>34516800</v>
      </c>
      <c r="X33" s="25">
        <v>2</v>
      </c>
      <c r="Y33" s="51">
        <f>Input!$E11</f>
        <v>230</v>
      </c>
      <c r="Z33" s="74">
        <f t="shared" ref="Z33:Z43" si="39">T$25+T$26*Y33</f>
        <v>3.0820754716981134E-3</v>
      </c>
      <c r="AA33" s="52">
        <f t="shared" si="11"/>
        <v>616.41509433962267</v>
      </c>
      <c r="AB33" s="52">
        <f t="shared" si="12"/>
        <v>25.5</v>
      </c>
      <c r="AC33" s="83">
        <f t="shared" si="13"/>
        <v>374.5</v>
      </c>
      <c r="AD33" s="93">
        <f>IF(AND(ISNUMBER(Input!$D11),ISNUMBER(Input!$E11)),AC33*As,0)</f>
        <v>301190.77088496066</v>
      </c>
      <c r="AE33" s="54">
        <f t="shared" ref="AE33:AE43" si="40">AD33*Y33</f>
        <v>69273877.303540945</v>
      </c>
      <c r="AG33" s="25">
        <v>2</v>
      </c>
      <c r="AH33" s="51">
        <f t="shared" si="14"/>
        <v>282</v>
      </c>
      <c r="AI33" s="74">
        <f t="shared" ref="AI33:AI81" si="41">AJ$25+AJ$26*AH33</f>
        <v>3.2252830188679244E-3</v>
      </c>
      <c r="AJ33" s="52">
        <f t="shared" si="15"/>
        <v>25.5</v>
      </c>
      <c r="AK33" s="53">
        <f t="shared" si="16"/>
        <v>122400</v>
      </c>
      <c r="AL33" s="54">
        <f t="shared" si="17"/>
        <v>34516800</v>
      </c>
      <c r="AN33" s="25">
        <v>2</v>
      </c>
      <c r="AO33" s="51">
        <f>Input!$E11</f>
        <v>230</v>
      </c>
      <c r="AP33" s="74">
        <f t="shared" ref="AP33:AP43" si="42">AJ$25+AJ$26*AO33</f>
        <v>3.0094339622641509E-3</v>
      </c>
      <c r="AQ33" s="52">
        <f t="shared" si="18"/>
        <v>601.88679245283015</v>
      </c>
      <c r="AR33" s="52">
        <f t="shared" si="19"/>
        <v>25.5</v>
      </c>
      <c r="AS33" s="83">
        <f t="shared" si="20"/>
        <v>374.5</v>
      </c>
      <c r="AT33" s="93">
        <f>IF(AND(ISNUMBER(Input!$D11),ISNUMBER(Input!$E11)),AS33*As,0)</f>
        <v>301190.77088496066</v>
      </c>
      <c r="AU33" s="54">
        <f t="shared" ref="AU33:AU43" si="43">AT33*AO33</f>
        <v>69273877.303540945</v>
      </c>
      <c r="AW33" s="25">
        <v>2</v>
      </c>
      <c r="AX33" s="51">
        <f t="shared" si="21"/>
        <v>282</v>
      </c>
      <c r="AY33" s="74">
        <f t="shared" ref="AY33:AY81" si="44">AZ$25+AZ$26*AX33</f>
        <v>3.2066037735849059E-3</v>
      </c>
      <c r="AZ33" s="52">
        <f t="shared" si="22"/>
        <v>25.5</v>
      </c>
      <c r="BA33" s="53">
        <f t="shared" si="23"/>
        <v>122400</v>
      </c>
      <c r="BB33" s="54">
        <f t="shared" si="24"/>
        <v>34516800</v>
      </c>
      <c r="BD33" s="25">
        <v>2</v>
      </c>
      <c r="BE33" s="51">
        <f>Input!$E11</f>
        <v>230</v>
      </c>
      <c r="BF33" s="74">
        <f t="shared" ref="BF33:BF43" si="45">AZ$25+AZ$26*BE33</f>
        <v>2.9367924528301888E-3</v>
      </c>
      <c r="BG33" s="52">
        <f t="shared" si="25"/>
        <v>587.35849056603774</v>
      </c>
      <c r="BH33" s="52">
        <f t="shared" si="26"/>
        <v>25.5</v>
      </c>
      <c r="BI33" s="83">
        <f t="shared" si="27"/>
        <v>374.5</v>
      </c>
      <c r="BJ33" s="93">
        <f>IF(AND(ISNUMBER(Input!$D11),ISNUMBER(Input!$E11)),BI33*As,0)</f>
        <v>301190.77088496066</v>
      </c>
      <c r="BK33" s="54">
        <f t="shared" ref="BK33:BK43" si="46">BJ33*BE33</f>
        <v>69273877.303540945</v>
      </c>
      <c r="BM33" s="25">
        <v>2</v>
      </c>
      <c r="BN33" s="51">
        <f t="shared" si="28"/>
        <v>284.10000000000002</v>
      </c>
      <c r="BO33" s="74">
        <f t="shared" ref="BO33:BO81" si="47">BP$25+BP$26*BN33</f>
        <v>3.2009999999999999E-3</v>
      </c>
      <c r="BP33" s="52">
        <f t="shared" si="29"/>
        <v>25.5</v>
      </c>
      <c r="BQ33" s="53">
        <f t="shared" si="30"/>
        <v>108120</v>
      </c>
      <c r="BR33" s="54">
        <f t="shared" si="31"/>
        <v>30716892.000000004</v>
      </c>
      <c r="BT33" s="25">
        <v>2</v>
      </c>
      <c r="BU33" s="51">
        <f>Input!$E11</f>
        <v>230</v>
      </c>
      <c r="BV33" s="74">
        <f t="shared" ref="BV33:BV43" si="48">BP$25+BP$26*BU33</f>
        <v>2.8641509433962264E-3</v>
      </c>
      <c r="BW33" s="52">
        <f t="shared" si="32"/>
        <v>572.83018867924523</v>
      </c>
      <c r="BX33" s="52">
        <f t="shared" si="33"/>
        <v>25.5</v>
      </c>
      <c r="BY33" s="83">
        <f t="shared" si="34"/>
        <v>374.5</v>
      </c>
      <c r="BZ33" s="93">
        <f>IF(AND(ISNUMBER(Input!$D11),ISNUMBER(Input!$E11)),BY33*As,0)</f>
        <v>301190.77088496066</v>
      </c>
      <c r="CA33" s="54">
        <f t="shared" ref="CA33:CA43" si="49">BZ33*BU33</f>
        <v>69273877.303540945</v>
      </c>
    </row>
    <row r="34" spans="1:79">
      <c r="A34" s="25">
        <v>3</v>
      </c>
      <c r="B34" s="51">
        <f t="shared" si="0"/>
        <v>270</v>
      </c>
      <c r="C34" s="74">
        <f t="shared" si="35"/>
        <v>3.2377358490566035E-3</v>
      </c>
      <c r="D34" s="52">
        <f t="shared" si="1"/>
        <v>25.5</v>
      </c>
      <c r="E34" s="53">
        <f t="shared" si="2"/>
        <v>122400</v>
      </c>
      <c r="F34" s="54">
        <f t="shared" si="3"/>
        <v>33048000</v>
      </c>
      <c r="H34" s="25">
        <v>3</v>
      </c>
      <c r="I34" s="51">
        <f>Input!$E12</f>
        <v>230</v>
      </c>
      <c r="J34" s="74">
        <f t="shared" si="36"/>
        <v>3.154716981132075E-3</v>
      </c>
      <c r="K34" s="52">
        <f t="shared" si="4"/>
        <v>630.94339622641496</v>
      </c>
      <c r="L34" s="52">
        <f t="shared" si="5"/>
        <v>25.5</v>
      </c>
      <c r="M34" s="83">
        <f t="shared" si="6"/>
        <v>374.5</v>
      </c>
      <c r="N34" s="93">
        <f>IF(AND(ISNUMBER(Input!$D12),ISNUMBER(Input!$E12)),M34*As,0)</f>
        <v>301190.77088496066</v>
      </c>
      <c r="O34" s="54">
        <f t="shared" si="37"/>
        <v>69273877.303540945</v>
      </c>
      <c r="Q34" s="25">
        <v>3</v>
      </c>
      <c r="R34" s="51">
        <f t="shared" si="7"/>
        <v>270</v>
      </c>
      <c r="S34" s="74">
        <f t="shared" si="38"/>
        <v>3.2066037735849059E-3</v>
      </c>
      <c r="T34" s="52">
        <f t="shared" si="8"/>
        <v>25.5</v>
      </c>
      <c r="U34" s="53">
        <f t="shared" si="9"/>
        <v>122400</v>
      </c>
      <c r="V34" s="54">
        <f t="shared" si="10"/>
        <v>33048000</v>
      </c>
      <c r="X34" s="25">
        <v>3</v>
      </c>
      <c r="Y34" s="51">
        <f>Input!$E12</f>
        <v>230</v>
      </c>
      <c r="Z34" s="74">
        <f t="shared" si="39"/>
        <v>3.0820754716981134E-3</v>
      </c>
      <c r="AA34" s="52">
        <f t="shared" si="11"/>
        <v>616.41509433962267</v>
      </c>
      <c r="AB34" s="52">
        <f t="shared" si="12"/>
        <v>25.5</v>
      </c>
      <c r="AC34" s="83">
        <f t="shared" si="13"/>
        <v>374.5</v>
      </c>
      <c r="AD34" s="93">
        <f>IF(AND(ISNUMBER(Input!$D12),ISNUMBER(Input!$E12)),AC34*As,0)</f>
        <v>301190.77088496066</v>
      </c>
      <c r="AE34" s="54">
        <f t="shared" si="40"/>
        <v>69273877.303540945</v>
      </c>
      <c r="AG34" s="25">
        <v>3</v>
      </c>
      <c r="AH34" s="51">
        <f t="shared" si="14"/>
        <v>270</v>
      </c>
      <c r="AI34" s="74">
        <f t="shared" si="41"/>
        <v>3.1754716981132079E-3</v>
      </c>
      <c r="AJ34" s="52">
        <f t="shared" si="15"/>
        <v>25.5</v>
      </c>
      <c r="AK34" s="53">
        <f t="shared" si="16"/>
        <v>122400</v>
      </c>
      <c r="AL34" s="54">
        <f t="shared" si="17"/>
        <v>33048000</v>
      </c>
      <c r="AN34" s="25">
        <v>3</v>
      </c>
      <c r="AO34" s="51">
        <f>Input!$E12</f>
        <v>230</v>
      </c>
      <c r="AP34" s="74">
        <f t="shared" si="42"/>
        <v>3.0094339622641509E-3</v>
      </c>
      <c r="AQ34" s="52">
        <f t="shared" si="18"/>
        <v>601.88679245283015</v>
      </c>
      <c r="AR34" s="52">
        <f t="shared" si="19"/>
        <v>25.5</v>
      </c>
      <c r="AS34" s="83">
        <f t="shared" si="20"/>
        <v>374.5</v>
      </c>
      <c r="AT34" s="93">
        <f>IF(AND(ISNUMBER(Input!$D12),ISNUMBER(Input!$E12)),AS34*As,0)</f>
        <v>301190.77088496066</v>
      </c>
      <c r="AU34" s="54">
        <f t="shared" si="43"/>
        <v>69273877.303540945</v>
      </c>
      <c r="AW34" s="25">
        <v>3</v>
      </c>
      <c r="AX34" s="51">
        <f t="shared" si="21"/>
        <v>270</v>
      </c>
      <c r="AY34" s="74">
        <f t="shared" si="44"/>
        <v>3.1443396226415094E-3</v>
      </c>
      <c r="AZ34" s="52">
        <f t="shared" si="22"/>
        <v>25.5</v>
      </c>
      <c r="BA34" s="53">
        <f t="shared" si="23"/>
        <v>122400</v>
      </c>
      <c r="BB34" s="54">
        <f t="shared" si="24"/>
        <v>33048000</v>
      </c>
      <c r="BD34" s="25">
        <v>3</v>
      </c>
      <c r="BE34" s="51">
        <f>Input!$E12</f>
        <v>230</v>
      </c>
      <c r="BF34" s="74">
        <f t="shared" si="45"/>
        <v>2.9367924528301888E-3</v>
      </c>
      <c r="BG34" s="52">
        <f t="shared" si="25"/>
        <v>587.35849056603774</v>
      </c>
      <c r="BH34" s="52">
        <f t="shared" si="26"/>
        <v>25.5</v>
      </c>
      <c r="BI34" s="83">
        <f t="shared" si="27"/>
        <v>374.5</v>
      </c>
      <c r="BJ34" s="93">
        <f>IF(AND(ISNUMBER(Input!$D12),ISNUMBER(Input!$E12)),BI34*As,0)</f>
        <v>301190.77088496066</v>
      </c>
      <c r="BK34" s="54">
        <f t="shared" si="46"/>
        <v>69273877.303540945</v>
      </c>
      <c r="BM34" s="25">
        <v>3</v>
      </c>
      <c r="BN34" s="51">
        <f t="shared" si="28"/>
        <v>273.5</v>
      </c>
      <c r="BO34" s="74">
        <f t="shared" si="47"/>
        <v>3.1349999999999998E-3</v>
      </c>
      <c r="BP34" s="52">
        <f t="shared" si="29"/>
        <v>25.5</v>
      </c>
      <c r="BQ34" s="53">
        <f t="shared" si="30"/>
        <v>108120</v>
      </c>
      <c r="BR34" s="54">
        <f t="shared" si="31"/>
        <v>29570820</v>
      </c>
      <c r="BT34" s="25">
        <v>3</v>
      </c>
      <c r="BU34" s="51">
        <f>Input!$E12</f>
        <v>230</v>
      </c>
      <c r="BV34" s="74">
        <f t="shared" si="48"/>
        <v>2.8641509433962264E-3</v>
      </c>
      <c r="BW34" s="52">
        <f t="shared" si="32"/>
        <v>572.83018867924523</v>
      </c>
      <c r="BX34" s="52">
        <f t="shared" si="33"/>
        <v>25.5</v>
      </c>
      <c r="BY34" s="83">
        <f t="shared" si="34"/>
        <v>374.5</v>
      </c>
      <c r="BZ34" s="93">
        <f>IF(AND(ISNUMBER(Input!$D12),ISNUMBER(Input!$E12)),BY34*As,0)</f>
        <v>301190.77088496066</v>
      </c>
      <c r="CA34" s="54">
        <f t="shared" si="49"/>
        <v>69273877.303540945</v>
      </c>
    </row>
    <row r="35" spans="1:79">
      <c r="A35" s="25">
        <v>4</v>
      </c>
      <c r="B35" s="51">
        <f t="shared" si="0"/>
        <v>258</v>
      </c>
      <c r="C35" s="74">
        <f t="shared" si="35"/>
        <v>3.2128301886792448E-3</v>
      </c>
      <c r="D35" s="52">
        <f t="shared" si="1"/>
        <v>25.5</v>
      </c>
      <c r="E35" s="53">
        <f t="shared" si="2"/>
        <v>122400</v>
      </c>
      <c r="F35" s="54">
        <f t="shared" si="3"/>
        <v>31579200</v>
      </c>
      <c r="H35" s="25">
        <v>4</v>
      </c>
      <c r="I35" s="51">
        <f>Input!$E13</f>
        <v>0</v>
      </c>
      <c r="J35" s="74">
        <f t="shared" si="36"/>
        <v>2.6773584905660374E-3</v>
      </c>
      <c r="K35" s="52">
        <f t="shared" si="4"/>
        <v>535.47169811320748</v>
      </c>
      <c r="L35" s="52">
        <f t="shared" si="5"/>
        <v>25.5</v>
      </c>
      <c r="M35" s="83">
        <f t="shared" si="6"/>
        <v>374.5</v>
      </c>
      <c r="N35" s="93">
        <f>IF(AND(ISNUMBER(Input!$D13),ISNUMBER(Input!$E13)),M35*As,0)</f>
        <v>0</v>
      </c>
      <c r="O35" s="54">
        <f t="shared" si="37"/>
        <v>0</v>
      </c>
      <c r="Q35" s="25">
        <v>4</v>
      </c>
      <c r="R35" s="51">
        <f t="shared" si="7"/>
        <v>258</v>
      </c>
      <c r="S35" s="74">
        <f t="shared" si="38"/>
        <v>3.1692452830188681E-3</v>
      </c>
      <c r="T35" s="52">
        <f t="shared" si="8"/>
        <v>25.5</v>
      </c>
      <c r="U35" s="53">
        <f t="shared" si="9"/>
        <v>122400</v>
      </c>
      <c r="V35" s="54">
        <f t="shared" si="10"/>
        <v>31579200</v>
      </c>
      <c r="X35" s="25">
        <v>4</v>
      </c>
      <c r="Y35" s="51">
        <f>Input!$E13</f>
        <v>0</v>
      </c>
      <c r="Z35" s="74">
        <f t="shared" si="39"/>
        <v>2.3660377358490567E-3</v>
      </c>
      <c r="AA35" s="52">
        <f t="shared" si="11"/>
        <v>473.20754716981133</v>
      </c>
      <c r="AB35" s="52">
        <f t="shared" si="12"/>
        <v>25.5</v>
      </c>
      <c r="AC35" s="83">
        <f t="shared" si="13"/>
        <v>374.5</v>
      </c>
      <c r="AD35" s="93">
        <f>IF(AND(ISNUMBER(Input!$D13),ISNUMBER(Input!$E13)),AC35*As,0)</f>
        <v>0</v>
      </c>
      <c r="AE35" s="54">
        <f t="shared" si="40"/>
        <v>0</v>
      </c>
      <c r="AG35" s="25">
        <v>4</v>
      </c>
      <c r="AH35" s="51">
        <f t="shared" si="14"/>
        <v>258</v>
      </c>
      <c r="AI35" s="74">
        <f t="shared" si="41"/>
        <v>3.1256603773584905E-3</v>
      </c>
      <c r="AJ35" s="52">
        <f t="shared" si="15"/>
        <v>25.5</v>
      </c>
      <c r="AK35" s="53">
        <f t="shared" si="16"/>
        <v>122400</v>
      </c>
      <c r="AL35" s="54">
        <f t="shared" si="17"/>
        <v>31579200</v>
      </c>
      <c r="AN35" s="25">
        <v>4</v>
      </c>
      <c r="AO35" s="51">
        <f>Input!$E13</f>
        <v>0</v>
      </c>
      <c r="AP35" s="74">
        <f t="shared" si="42"/>
        <v>2.0547169811320756E-3</v>
      </c>
      <c r="AQ35" s="52">
        <f t="shared" si="18"/>
        <v>410.94339622641513</v>
      </c>
      <c r="AR35" s="52">
        <f t="shared" si="19"/>
        <v>25.5</v>
      </c>
      <c r="AS35" s="83">
        <f t="shared" si="20"/>
        <v>374.5</v>
      </c>
      <c r="AT35" s="93">
        <f>IF(AND(ISNUMBER(Input!$D13),ISNUMBER(Input!$E13)),AS35*As,0)</f>
        <v>0</v>
      </c>
      <c r="AU35" s="54">
        <f t="shared" si="43"/>
        <v>0</v>
      </c>
      <c r="AW35" s="25">
        <v>4</v>
      </c>
      <c r="AX35" s="51">
        <f t="shared" si="21"/>
        <v>258</v>
      </c>
      <c r="AY35" s="74">
        <f t="shared" si="44"/>
        <v>3.082075471698113E-3</v>
      </c>
      <c r="AZ35" s="52">
        <f t="shared" si="22"/>
        <v>25.5</v>
      </c>
      <c r="BA35" s="53">
        <f t="shared" si="23"/>
        <v>122400</v>
      </c>
      <c r="BB35" s="54">
        <f t="shared" si="24"/>
        <v>31579200</v>
      </c>
      <c r="BD35" s="25">
        <v>4</v>
      </c>
      <c r="BE35" s="51">
        <f>Input!$E13</f>
        <v>0</v>
      </c>
      <c r="BF35" s="74">
        <f t="shared" si="45"/>
        <v>1.7433962264150943E-3</v>
      </c>
      <c r="BG35" s="52">
        <f t="shared" si="25"/>
        <v>348.67924528301887</v>
      </c>
      <c r="BH35" s="52">
        <f t="shared" si="26"/>
        <v>25.08023495906016</v>
      </c>
      <c r="BI35" s="83">
        <f t="shared" si="27"/>
        <v>323.59901032395874</v>
      </c>
      <c r="BJ35" s="93">
        <f>IF(AND(ISNUMBER(Input!$D13),ISNUMBER(Input!$E13)),BI35*As,0)</f>
        <v>0</v>
      </c>
      <c r="BK35" s="54">
        <f t="shared" si="46"/>
        <v>0</v>
      </c>
      <c r="BM35" s="25">
        <v>4</v>
      </c>
      <c r="BN35" s="51">
        <f t="shared" si="28"/>
        <v>262.89999999999998</v>
      </c>
      <c r="BO35" s="74">
        <f t="shared" si="47"/>
        <v>3.0689999999999997E-3</v>
      </c>
      <c r="BP35" s="52">
        <f t="shared" si="29"/>
        <v>25.5</v>
      </c>
      <c r="BQ35" s="53">
        <f t="shared" si="30"/>
        <v>108120</v>
      </c>
      <c r="BR35" s="54">
        <f t="shared" si="31"/>
        <v>28424747.999999996</v>
      </c>
      <c r="BT35" s="25">
        <v>4</v>
      </c>
      <c r="BU35" s="51">
        <f>Input!$E13</f>
        <v>0</v>
      </c>
      <c r="BV35" s="74">
        <f t="shared" si="48"/>
        <v>1.4320754716981132E-3</v>
      </c>
      <c r="BW35" s="52">
        <f t="shared" si="32"/>
        <v>286.41509433962261</v>
      </c>
      <c r="BX35" s="52">
        <f t="shared" si="33"/>
        <v>23.443818529725881</v>
      </c>
      <c r="BY35" s="83">
        <f t="shared" si="34"/>
        <v>262.97127580989672</v>
      </c>
      <c r="BZ35" s="93">
        <f>IF(AND(ISNUMBER(Input!$D13),ISNUMBER(Input!$E13)),BY35*As,0)</f>
        <v>0</v>
      </c>
      <c r="CA35" s="54">
        <f t="shared" si="49"/>
        <v>0</v>
      </c>
    </row>
    <row r="36" spans="1:79">
      <c r="A36" s="25">
        <v>5</v>
      </c>
      <c r="B36" s="51">
        <f t="shared" si="0"/>
        <v>246</v>
      </c>
      <c r="C36" s="74">
        <f t="shared" si="35"/>
        <v>3.1879245283018866E-3</v>
      </c>
      <c r="D36" s="52">
        <f t="shared" si="1"/>
        <v>25.5</v>
      </c>
      <c r="E36" s="53">
        <f t="shared" si="2"/>
        <v>122400</v>
      </c>
      <c r="F36" s="54">
        <f t="shared" si="3"/>
        <v>30110400</v>
      </c>
      <c r="H36" s="25">
        <v>5</v>
      </c>
      <c r="I36" s="51">
        <f>Input!$E14</f>
        <v>-230</v>
      </c>
      <c r="J36" s="74">
        <f t="shared" si="36"/>
        <v>2.1999999999999997E-3</v>
      </c>
      <c r="K36" s="52">
        <f t="shared" si="4"/>
        <v>439.99999999999994</v>
      </c>
      <c r="L36" s="52">
        <f t="shared" si="5"/>
        <v>25.5</v>
      </c>
      <c r="M36" s="83">
        <f t="shared" si="6"/>
        <v>374.5</v>
      </c>
      <c r="N36" s="93">
        <f>IF(AND(ISNUMBER(Input!$D14),ISNUMBER(Input!$E14)),M36*As,0)</f>
        <v>301190.77088496066</v>
      </c>
      <c r="O36" s="54">
        <f t="shared" si="37"/>
        <v>-69273877.303540945</v>
      </c>
      <c r="Q36" s="25">
        <v>5</v>
      </c>
      <c r="R36" s="51">
        <f t="shared" si="7"/>
        <v>246</v>
      </c>
      <c r="S36" s="74">
        <f t="shared" si="38"/>
        <v>3.1318867924528303E-3</v>
      </c>
      <c r="T36" s="52">
        <f t="shared" si="8"/>
        <v>25.5</v>
      </c>
      <c r="U36" s="53">
        <f t="shared" si="9"/>
        <v>122400</v>
      </c>
      <c r="V36" s="54">
        <f t="shared" si="10"/>
        <v>30110400</v>
      </c>
      <c r="X36" s="25">
        <v>5</v>
      </c>
      <c r="Y36" s="51">
        <f>Input!$E14</f>
        <v>-230</v>
      </c>
      <c r="Z36" s="74">
        <f t="shared" si="39"/>
        <v>1.65E-3</v>
      </c>
      <c r="AA36" s="52">
        <f t="shared" si="11"/>
        <v>330</v>
      </c>
      <c r="AB36" s="52">
        <f t="shared" si="12"/>
        <v>24.719062499999996</v>
      </c>
      <c r="AC36" s="83">
        <f t="shared" si="13"/>
        <v>305.28093749999999</v>
      </c>
      <c r="AD36" s="93">
        <f>IF(AND(ISNUMBER(Input!$D14),ISNUMBER(Input!$E14)),AC36*As,0)</f>
        <v>245521.49773593721</v>
      </c>
      <c r="AE36" s="54">
        <f t="shared" si="40"/>
        <v>-56469944.479265556</v>
      </c>
      <c r="AG36" s="25">
        <v>5</v>
      </c>
      <c r="AH36" s="51">
        <f t="shared" si="14"/>
        <v>246</v>
      </c>
      <c r="AI36" s="74">
        <f t="shared" si="41"/>
        <v>3.0758490566037736E-3</v>
      </c>
      <c r="AJ36" s="52">
        <f t="shared" si="15"/>
        <v>25.5</v>
      </c>
      <c r="AK36" s="53">
        <f t="shared" si="16"/>
        <v>122400</v>
      </c>
      <c r="AL36" s="54">
        <f t="shared" si="17"/>
        <v>30110400</v>
      </c>
      <c r="AN36" s="25">
        <v>5</v>
      </c>
      <c r="AO36" s="51">
        <f>Input!$E14</f>
        <v>-230</v>
      </c>
      <c r="AP36" s="74">
        <f t="shared" si="42"/>
        <v>1.1000000000000001E-3</v>
      </c>
      <c r="AQ36" s="52">
        <f t="shared" si="18"/>
        <v>220</v>
      </c>
      <c r="AR36" s="52">
        <f t="shared" si="19"/>
        <v>20.336250000000003</v>
      </c>
      <c r="AS36" s="83">
        <f t="shared" si="20"/>
        <v>199.66374999999999</v>
      </c>
      <c r="AT36" s="93">
        <f>IF(AND(ISNUMBER(Input!$D14),ISNUMBER(Input!$E14)),AS36*As,0)</f>
        <v>160579.11556817641</v>
      </c>
      <c r="AU36" s="54">
        <f t="shared" si="43"/>
        <v>-36933196.580680571</v>
      </c>
      <c r="AW36" s="25">
        <v>5</v>
      </c>
      <c r="AX36" s="51">
        <f t="shared" si="21"/>
        <v>246</v>
      </c>
      <c r="AY36" s="74">
        <f t="shared" si="44"/>
        <v>3.0198113207547169E-3</v>
      </c>
      <c r="AZ36" s="52">
        <f t="shared" si="22"/>
        <v>25.5</v>
      </c>
      <c r="BA36" s="53">
        <f t="shared" si="23"/>
        <v>122400</v>
      </c>
      <c r="BB36" s="54">
        <f t="shared" si="24"/>
        <v>30110400</v>
      </c>
      <c r="BD36" s="25">
        <v>5</v>
      </c>
      <c r="BE36" s="51">
        <f>Input!$E14</f>
        <v>-230</v>
      </c>
      <c r="BF36" s="74">
        <f t="shared" si="45"/>
        <v>5.4999999999999992E-4</v>
      </c>
      <c r="BG36" s="52">
        <f t="shared" si="25"/>
        <v>109.99999999999999</v>
      </c>
      <c r="BH36" s="52">
        <f t="shared" si="26"/>
        <v>12.096562499999997</v>
      </c>
      <c r="BI36" s="83">
        <f t="shared" si="27"/>
        <v>97.903437499999995</v>
      </c>
      <c r="BJ36" s="93">
        <f>IF(AND(ISNUMBER(Input!$D14),ISNUMBER(Input!$E14)),BI36*As,0)</f>
        <v>78738.616322863993</v>
      </c>
      <c r="BK36" s="54">
        <f t="shared" si="46"/>
        <v>-18109881.754258718</v>
      </c>
      <c r="BM36" s="25">
        <v>5</v>
      </c>
      <c r="BN36" s="51">
        <f t="shared" si="28"/>
        <v>252.3</v>
      </c>
      <c r="BO36" s="74">
        <f t="shared" si="47"/>
        <v>3.003E-3</v>
      </c>
      <c r="BP36" s="52">
        <f t="shared" si="29"/>
        <v>25.5</v>
      </c>
      <c r="BQ36" s="53">
        <f t="shared" si="30"/>
        <v>108120</v>
      </c>
      <c r="BR36" s="54">
        <f t="shared" si="31"/>
        <v>27278676</v>
      </c>
      <c r="BT36" s="25">
        <v>5</v>
      </c>
      <c r="BU36" s="51">
        <f>Input!$E14</f>
        <v>-230</v>
      </c>
      <c r="BV36" s="74">
        <f t="shared" si="48"/>
        <v>0</v>
      </c>
      <c r="BW36" s="52">
        <f t="shared" si="32"/>
        <v>0</v>
      </c>
      <c r="BX36" s="52">
        <f t="shared" si="33"/>
        <v>0</v>
      </c>
      <c r="BY36" s="83">
        <f t="shared" si="34"/>
        <v>0</v>
      </c>
      <c r="BZ36" s="93">
        <f>IF(AND(ISNUMBER(Input!$D14),ISNUMBER(Input!$E14)),BY36*As,0)</f>
        <v>0</v>
      </c>
      <c r="CA36" s="54">
        <f t="shared" si="49"/>
        <v>0</v>
      </c>
    </row>
    <row r="37" spans="1:79">
      <c r="A37" s="25">
        <v>6</v>
      </c>
      <c r="B37" s="51">
        <f t="shared" si="0"/>
        <v>234</v>
      </c>
      <c r="C37" s="74">
        <f t="shared" si="35"/>
        <v>3.1630188679245279E-3</v>
      </c>
      <c r="D37" s="52">
        <f t="shared" si="1"/>
        <v>25.5</v>
      </c>
      <c r="E37" s="53">
        <f t="shared" si="2"/>
        <v>122400</v>
      </c>
      <c r="F37" s="54">
        <f t="shared" si="3"/>
        <v>28641600</v>
      </c>
      <c r="H37" s="25">
        <v>6</v>
      </c>
      <c r="I37" s="51">
        <f>Input!$E15</f>
        <v>-230</v>
      </c>
      <c r="J37" s="74">
        <f t="shared" si="36"/>
        <v>2.1999999999999997E-3</v>
      </c>
      <c r="K37" s="52">
        <f t="shared" si="4"/>
        <v>439.99999999999994</v>
      </c>
      <c r="L37" s="52">
        <f t="shared" si="5"/>
        <v>25.5</v>
      </c>
      <c r="M37" s="83">
        <f t="shared" si="6"/>
        <v>374.5</v>
      </c>
      <c r="N37" s="93">
        <f>IF(AND(ISNUMBER(Input!$D15),ISNUMBER(Input!$E15)),M37*As,0)</f>
        <v>301190.77088496066</v>
      </c>
      <c r="O37" s="54">
        <f t="shared" si="37"/>
        <v>-69273877.303540945</v>
      </c>
      <c r="Q37" s="25">
        <v>6</v>
      </c>
      <c r="R37" s="51">
        <f t="shared" si="7"/>
        <v>234</v>
      </c>
      <c r="S37" s="74">
        <f t="shared" si="38"/>
        <v>3.0945283018867925E-3</v>
      </c>
      <c r="T37" s="52">
        <f t="shared" si="8"/>
        <v>25.5</v>
      </c>
      <c r="U37" s="53">
        <f t="shared" si="9"/>
        <v>122400</v>
      </c>
      <c r="V37" s="54">
        <f t="shared" si="10"/>
        <v>28641600</v>
      </c>
      <c r="X37" s="25">
        <v>6</v>
      </c>
      <c r="Y37" s="51">
        <f>Input!$E15</f>
        <v>-230</v>
      </c>
      <c r="Z37" s="74">
        <f t="shared" si="39"/>
        <v>1.65E-3</v>
      </c>
      <c r="AA37" s="52">
        <f t="shared" si="11"/>
        <v>330</v>
      </c>
      <c r="AB37" s="52">
        <f t="shared" si="12"/>
        <v>24.719062499999996</v>
      </c>
      <c r="AC37" s="83">
        <f t="shared" si="13"/>
        <v>305.28093749999999</v>
      </c>
      <c r="AD37" s="93">
        <f>IF(AND(ISNUMBER(Input!$D15),ISNUMBER(Input!$E15)),AC37*As,0)</f>
        <v>245521.49773593721</v>
      </c>
      <c r="AE37" s="54">
        <f t="shared" si="40"/>
        <v>-56469944.479265556</v>
      </c>
      <c r="AG37" s="25">
        <v>6</v>
      </c>
      <c r="AH37" s="51">
        <f t="shared" si="14"/>
        <v>234</v>
      </c>
      <c r="AI37" s="74">
        <f t="shared" si="41"/>
        <v>3.0260377358490567E-3</v>
      </c>
      <c r="AJ37" s="52">
        <f t="shared" si="15"/>
        <v>25.5</v>
      </c>
      <c r="AK37" s="53">
        <f t="shared" si="16"/>
        <v>122400</v>
      </c>
      <c r="AL37" s="54">
        <f t="shared" si="17"/>
        <v>28641600</v>
      </c>
      <c r="AN37" s="25">
        <v>6</v>
      </c>
      <c r="AO37" s="51">
        <f>Input!$E15</f>
        <v>-230</v>
      </c>
      <c r="AP37" s="74">
        <f t="shared" si="42"/>
        <v>1.1000000000000001E-3</v>
      </c>
      <c r="AQ37" s="52">
        <f t="shared" si="18"/>
        <v>220</v>
      </c>
      <c r="AR37" s="52">
        <f t="shared" si="19"/>
        <v>20.336250000000003</v>
      </c>
      <c r="AS37" s="83">
        <f t="shared" si="20"/>
        <v>199.66374999999999</v>
      </c>
      <c r="AT37" s="93">
        <f>IF(AND(ISNUMBER(Input!$D15),ISNUMBER(Input!$E15)),AS37*As,0)</f>
        <v>160579.11556817641</v>
      </c>
      <c r="AU37" s="54">
        <f t="shared" si="43"/>
        <v>-36933196.580680571</v>
      </c>
      <c r="AW37" s="25">
        <v>6</v>
      </c>
      <c r="AX37" s="51">
        <f t="shared" si="21"/>
        <v>234</v>
      </c>
      <c r="AY37" s="74">
        <f t="shared" si="44"/>
        <v>2.9575471698113209E-3</v>
      </c>
      <c r="AZ37" s="52">
        <f t="shared" si="22"/>
        <v>25.5</v>
      </c>
      <c r="BA37" s="53">
        <f t="shared" si="23"/>
        <v>122400</v>
      </c>
      <c r="BB37" s="54">
        <f t="shared" si="24"/>
        <v>28641600</v>
      </c>
      <c r="BD37" s="25">
        <v>6</v>
      </c>
      <c r="BE37" s="51">
        <f>Input!$E15</f>
        <v>-230</v>
      </c>
      <c r="BF37" s="74">
        <f t="shared" si="45"/>
        <v>5.4999999999999992E-4</v>
      </c>
      <c r="BG37" s="52">
        <f t="shared" si="25"/>
        <v>109.99999999999999</v>
      </c>
      <c r="BH37" s="52">
        <f t="shared" si="26"/>
        <v>12.096562499999997</v>
      </c>
      <c r="BI37" s="83">
        <f t="shared" si="27"/>
        <v>97.903437499999995</v>
      </c>
      <c r="BJ37" s="93">
        <f>IF(AND(ISNUMBER(Input!$D15),ISNUMBER(Input!$E15)),BI37*As,0)</f>
        <v>78738.616322863993</v>
      </c>
      <c r="BK37" s="54">
        <f t="shared" si="46"/>
        <v>-18109881.754258718</v>
      </c>
      <c r="BM37" s="25">
        <v>6</v>
      </c>
      <c r="BN37" s="51">
        <f t="shared" si="28"/>
        <v>241.7</v>
      </c>
      <c r="BO37" s="74">
        <f t="shared" si="47"/>
        <v>2.9369999999999995E-3</v>
      </c>
      <c r="BP37" s="52">
        <f t="shared" si="29"/>
        <v>25.5</v>
      </c>
      <c r="BQ37" s="53">
        <f t="shared" si="30"/>
        <v>108120</v>
      </c>
      <c r="BR37" s="54">
        <f t="shared" si="31"/>
        <v>26132604</v>
      </c>
      <c r="BT37" s="25">
        <v>6</v>
      </c>
      <c r="BU37" s="51">
        <f>Input!$E15</f>
        <v>-230</v>
      </c>
      <c r="BV37" s="74">
        <f t="shared" si="48"/>
        <v>0</v>
      </c>
      <c r="BW37" s="52">
        <f t="shared" si="32"/>
        <v>0</v>
      </c>
      <c r="BX37" s="52">
        <f t="shared" si="33"/>
        <v>0</v>
      </c>
      <c r="BY37" s="83">
        <f t="shared" si="34"/>
        <v>0</v>
      </c>
      <c r="BZ37" s="93">
        <f>IF(AND(ISNUMBER(Input!$D15),ISNUMBER(Input!$E15)),BY37*As,0)</f>
        <v>0</v>
      </c>
      <c r="CA37" s="54">
        <f t="shared" si="49"/>
        <v>0</v>
      </c>
    </row>
    <row r="38" spans="1:79">
      <c r="A38" s="25">
        <v>7</v>
      </c>
      <c r="B38" s="51">
        <f t="shared" si="0"/>
        <v>222</v>
      </c>
      <c r="C38" s="74">
        <f t="shared" si="35"/>
        <v>3.1381132075471692E-3</v>
      </c>
      <c r="D38" s="52">
        <f t="shared" si="1"/>
        <v>25.5</v>
      </c>
      <c r="E38" s="53">
        <f t="shared" si="2"/>
        <v>122400</v>
      </c>
      <c r="F38" s="54">
        <f t="shared" si="3"/>
        <v>27172800</v>
      </c>
      <c r="H38" s="25">
        <v>7</v>
      </c>
      <c r="I38" s="51">
        <f>Input!$E16</f>
        <v>-230</v>
      </c>
      <c r="J38" s="74">
        <f t="shared" si="36"/>
        <v>2.1999999999999997E-3</v>
      </c>
      <c r="K38" s="52">
        <f t="shared" si="4"/>
        <v>439.99999999999994</v>
      </c>
      <c r="L38" s="52">
        <f t="shared" si="5"/>
        <v>25.5</v>
      </c>
      <c r="M38" s="83">
        <f t="shared" si="6"/>
        <v>374.5</v>
      </c>
      <c r="N38" s="93">
        <f>IF(AND(ISNUMBER(Input!$D16),ISNUMBER(Input!$E16)),M38*As,0)</f>
        <v>301190.77088496066</v>
      </c>
      <c r="O38" s="54">
        <f t="shared" si="37"/>
        <v>-69273877.303540945</v>
      </c>
      <c r="Q38" s="25">
        <v>7</v>
      </c>
      <c r="R38" s="51">
        <f t="shared" si="7"/>
        <v>222</v>
      </c>
      <c r="S38" s="74">
        <f t="shared" si="38"/>
        <v>3.0571698113207547E-3</v>
      </c>
      <c r="T38" s="52">
        <f t="shared" si="8"/>
        <v>25.5</v>
      </c>
      <c r="U38" s="53">
        <f t="shared" si="9"/>
        <v>122400</v>
      </c>
      <c r="V38" s="54">
        <f t="shared" si="10"/>
        <v>27172800</v>
      </c>
      <c r="X38" s="25">
        <v>7</v>
      </c>
      <c r="Y38" s="51">
        <f>Input!$E16</f>
        <v>-230</v>
      </c>
      <c r="Z38" s="74">
        <f t="shared" si="39"/>
        <v>1.65E-3</v>
      </c>
      <c r="AA38" s="52">
        <f t="shared" si="11"/>
        <v>330</v>
      </c>
      <c r="AB38" s="52">
        <f t="shared" si="12"/>
        <v>24.719062499999996</v>
      </c>
      <c r="AC38" s="83">
        <f t="shared" si="13"/>
        <v>305.28093749999999</v>
      </c>
      <c r="AD38" s="93">
        <f>IF(AND(ISNUMBER(Input!$D16),ISNUMBER(Input!$E16)),AC38*As,0)</f>
        <v>245521.49773593721</v>
      </c>
      <c r="AE38" s="54">
        <f t="shared" si="40"/>
        <v>-56469944.479265556</v>
      </c>
      <c r="AG38" s="25">
        <v>7</v>
      </c>
      <c r="AH38" s="51">
        <f t="shared" si="14"/>
        <v>222</v>
      </c>
      <c r="AI38" s="74">
        <f t="shared" si="41"/>
        <v>2.9762264150943398E-3</v>
      </c>
      <c r="AJ38" s="52">
        <f t="shared" si="15"/>
        <v>25.5</v>
      </c>
      <c r="AK38" s="53">
        <f t="shared" si="16"/>
        <v>122400</v>
      </c>
      <c r="AL38" s="54">
        <f t="shared" si="17"/>
        <v>27172800</v>
      </c>
      <c r="AN38" s="25">
        <v>7</v>
      </c>
      <c r="AO38" s="51">
        <f>Input!$E16</f>
        <v>-230</v>
      </c>
      <c r="AP38" s="74">
        <f t="shared" si="42"/>
        <v>1.1000000000000001E-3</v>
      </c>
      <c r="AQ38" s="52">
        <f t="shared" si="18"/>
        <v>220</v>
      </c>
      <c r="AR38" s="52">
        <f t="shared" si="19"/>
        <v>20.336250000000003</v>
      </c>
      <c r="AS38" s="83">
        <f t="shared" si="20"/>
        <v>199.66374999999999</v>
      </c>
      <c r="AT38" s="93">
        <f>IF(AND(ISNUMBER(Input!$D16),ISNUMBER(Input!$E16)),AS38*As,0)</f>
        <v>160579.11556817641</v>
      </c>
      <c r="AU38" s="54">
        <f t="shared" si="43"/>
        <v>-36933196.580680571</v>
      </c>
      <c r="AW38" s="25">
        <v>7</v>
      </c>
      <c r="AX38" s="51">
        <f t="shared" si="21"/>
        <v>222</v>
      </c>
      <c r="AY38" s="74">
        <f t="shared" si="44"/>
        <v>2.8952830188679248E-3</v>
      </c>
      <c r="AZ38" s="52">
        <f t="shared" si="22"/>
        <v>25.5</v>
      </c>
      <c r="BA38" s="53">
        <f t="shared" si="23"/>
        <v>122400</v>
      </c>
      <c r="BB38" s="54">
        <f t="shared" si="24"/>
        <v>27172800</v>
      </c>
      <c r="BD38" s="25">
        <v>7</v>
      </c>
      <c r="BE38" s="51">
        <f>Input!$E16</f>
        <v>-230</v>
      </c>
      <c r="BF38" s="74">
        <f t="shared" si="45"/>
        <v>5.4999999999999992E-4</v>
      </c>
      <c r="BG38" s="52">
        <f t="shared" si="25"/>
        <v>109.99999999999999</v>
      </c>
      <c r="BH38" s="52">
        <f t="shared" si="26"/>
        <v>12.096562499999997</v>
      </c>
      <c r="BI38" s="83">
        <f t="shared" si="27"/>
        <v>97.903437499999995</v>
      </c>
      <c r="BJ38" s="93">
        <f>IF(AND(ISNUMBER(Input!$D16),ISNUMBER(Input!$E16)),BI38*As,0)</f>
        <v>78738.616322863993</v>
      </c>
      <c r="BK38" s="54">
        <f t="shared" si="46"/>
        <v>-18109881.754258718</v>
      </c>
      <c r="BM38" s="25">
        <v>7</v>
      </c>
      <c r="BN38" s="51">
        <f t="shared" si="28"/>
        <v>231.10000000000002</v>
      </c>
      <c r="BO38" s="74">
        <f t="shared" si="47"/>
        <v>2.8710000000000003E-3</v>
      </c>
      <c r="BP38" s="52">
        <f t="shared" si="29"/>
        <v>25.5</v>
      </c>
      <c r="BQ38" s="53">
        <f t="shared" si="30"/>
        <v>108120</v>
      </c>
      <c r="BR38" s="54">
        <f t="shared" si="31"/>
        <v>24986532.000000004</v>
      </c>
      <c r="BT38" s="25">
        <v>7</v>
      </c>
      <c r="BU38" s="51">
        <f>Input!$E16</f>
        <v>-230</v>
      </c>
      <c r="BV38" s="74">
        <f t="shared" si="48"/>
        <v>0</v>
      </c>
      <c r="BW38" s="52">
        <f t="shared" si="32"/>
        <v>0</v>
      </c>
      <c r="BX38" s="52">
        <f t="shared" si="33"/>
        <v>0</v>
      </c>
      <c r="BY38" s="83">
        <f t="shared" si="34"/>
        <v>0</v>
      </c>
      <c r="BZ38" s="93">
        <f>IF(AND(ISNUMBER(Input!$D16),ISNUMBER(Input!$E16)),BY38*As,0)</f>
        <v>0</v>
      </c>
      <c r="CA38" s="54">
        <f t="shared" si="49"/>
        <v>0</v>
      </c>
    </row>
    <row r="39" spans="1:79">
      <c r="A39" s="25">
        <v>8</v>
      </c>
      <c r="B39" s="51">
        <f t="shared" si="0"/>
        <v>210</v>
      </c>
      <c r="C39" s="74">
        <f t="shared" si="35"/>
        <v>3.113207547169811E-3</v>
      </c>
      <c r="D39" s="52">
        <f t="shared" si="1"/>
        <v>25.5</v>
      </c>
      <c r="E39" s="53">
        <f t="shared" si="2"/>
        <v>122400</v>
      </c>
      <c r="F39" s="54">
        <f t="shared" si="3"/>
        <v>25704000</v>
      </c>
      <c r="H39" s="25">
        <v>8</v>
      </c>
      <c r="I39" s="51">
        <f>Input!$E17</f>
        <v>-230</v>
      </c>
      <c r="J39" s="74">
        <f t="shared" si="36"/>
        <v>2.1999999999999997E-3</v>
      </c>
      <c r="K39" s="52">
        <f t="shared" si="4"/>
        <v>439.99999999999994</v>
      </c>
      <c r="L39" s="52">
        <f t="shared" si="5"/>
        <v>25.5</v>
      </c>
      <c r="M39" s="83">
        <f t="shared" si="6"/>
        <v>374.5</v>
      </c>
      <c r="N39" s="93">
        <f>IF(AND(ISNUMBER(Input!$D17),ISNUMBER(Input!$E17)),M39*As,0)</f>
        <v>301190.77088496066</v>
      </c>
      <c r="O39" s="54">
        <f t="shared" si="37"/>
        <v>-69273877.303540945</v>
      </c>
      <c r="Q39" s="25">
        <v>8</v>
      </c>
      <c r="R39" s="51">
        <f t="shared" si="7"/>
        <v>210</v>
      </c>
      <c r="S39" s="74">
        <f t="shared" si="38"/>
        <v>3.0198113207547169E-3</v>
      </c>
      <c r="T39" s="52">
        <f t="shared" si="8"/>
        <v>25.5</v>
      </c>
      <c r="U39" s="53">
        <f t="shared" si="9"/>
        <v>122400</v>
      </c>
      <c r="V39" s="54">
        <f t="shared" si="10"/>
        <v>25704000</v>
      </c>
      <c r="X39" s="25">
        <v>8</v>
      </c>
      <c r="Y39" s="51">
        <f>Input!$E17</f>
        <v>-230</v>
      </c>
      <c r="Z39" s="74">
        <f t="shared" si="39"/>
        <v>1.65E-3</v>
      </c>
      <c r="AA39" s="52">
        <f t="shared" si="11"/>
        <v>330</v>
      </c>
      <c r="AB39" s="52">
        <f t="shared" si="12"/>
        <v>24.719062499999996</v>
      </c>
      <c r="AC39" s="83">
        <f t="shared" si="13"/>
        <v>305.28093749999999</v>
      </c>
      <c r="AD39" s="93">
        <f>IF(AND(ISNUMBER(Input!$D17),ISNUMBER(Input!$E17)),AC39*As,0)</f>
        <v>245521.49773593721</v>
      </c>
      <c r="AE39" s="54">
        <f t="shared" si="40"/>
        <v>-56469944.479265556</v>
      </c>
      <c r="AG39" s="25">
        <v>8</v>
      </c>
      <c r="AH39" s="51">
        <f t="shared" si="14"/>
        <v>210</v>
      </c>
      <c r="AI39" s="74">
        <f t="shared" si="41"/>
        <v>2.9264150943396228E-3</v>
      </c>
      <c r="AJ39" s="52">
        <f t="shared" si="15"/>
        <v>25.5</v>
      </c>
      <c r="AK39" s="53">
        <f t="shared" si="16"/>
        <v>122400</v>
      </c>
      <c r="AL39" s="54">
        <f t="shared" si="17"/>
        <v>25704000</v>
      </c>
      <c r="AN39" s="25">
        <v>8</v>
      </c>
      <c r="AO39" s="51">
        <f>Input!$E17</f>
        <v>-230</v>
      </c>
      <c r="AP39" s="74">
        <f t="shared" si="42"/>
        <v>1.1000000000000001E-3</v>
      </c>
      <c r="AQ39" s="52">
        <f t="shared" si="18"/>
        <v>220</v>
      </c>
      <c r="AR39" s="52">
        <f t="shared" si="19"/>
        <v>20.336250000000003</v>
      </c>
      <c r="AS39" s="83">
        <f t="shared" si="20"/>
        <v>199.66374999999999</v>
      </c>
      <c r="AT39" s="93">
        <f>IF(AND(ISNUMBER(Input!$D17),ISNUMBER(Input!$E17)),AS39*As,0)</f>
        <v>160579.11556817641</v>
      </c>
      <c r="AU39" s="54">
        <f t="shared" si="43"/>
        <v>-36933196.580680571</v>
      </c>
      <c r="AW39" s="25">
        <v>8</v>
      </c>
      <c r="AX39" s="51">
        <f t="shared" si="21"/>
        <v>210</v>
      </c>
      <c r="AY39" s="74">
        <f t="shared" si="44"/>
        <v>2.8330188679245283E-3</v>
      </c>
      <c r="AZ39" s="52">
        <f t="shared" si="22"/>
        <v>25.5</v>
      </c>
      <c r="BA39" s="53">
        <f t="shared" si="23"/>
        <v>122400</v>
      </c>
      <c r="BB39" s="54">
        <f t="shared" si="24"/>
        <v>25704000</v>
      </c>
      <c r="BD39" s="25">
        <v>8</v>
      </c>
      <c r="BE39" s="51">
        <f>Input!$E17</f>
        <v>-230</v>
      </c>
      <c r="BF39" s="74">
        <f t="shared" si="45"/>
        <v>5.4999999999999992E-4</v>
      </c>
      <c r="BG39" s="52">
        <f t="shared" si="25"/>
        <v>109.99999999999999</v>
      </c>
      <c r="BH39" s="52">
        <f t="shared" si="26"/>
        <v>12.096562499999997</v>
      </c>
      <c r="BI39" s="83">
        <f t="shared" si="27"/>
        <v>97.903437499999995</v>
      </c>
      <c r="BJ39" s="93">
        <f>IF(AND(ISNUMBER(Input!$D17),ISNUMBER(Input!$E17)),BI39*As,0)</f>
        <v>78738.616322863993</v>
      </c>
      <c r="BK39" s="54">
        <f t="shared" si="46"/>
        <v>-18109881.754258718</v>
      </c>
      <c r="BM39" s="25">
        <v>8</v>
      </c>
      <c r="BN39" s="51">
        <f t="shared" si="28"/>
        <v>220.5</v>
      </c>
      <c r="BO39" s="74">
        <f t="shared" si="47"/>
        <v>2.8050000000000002E-3</v>
      </c>
      <c r="BP39" s="52">
        <f t="shared" si="29"/>
        <v>25.5</v>
      </c>
      <c r="BQ39" s="53">
        <f t="shared" si="30"/>
        <v>108120</v>
      </c>
      <c r="BR39" s="54">
        <f t="shared" si="31"/>
        <v>23840460</v>
      </c>
      <c r="BT39" s="25">
        <v>8</v>
      </c>
      <c r="BU39" s="51">
        <f>Input!$E17</f>
        <v>-230</v>
      </c>
      <c r="BV39" s="74">
        <f t="shared" si="48"/>
        <v>0</v>
      </c>
      <c r="BW39" s="52">
        <f t="shared" si="32"/>
        <v>0</v>
      </c>
      <c r="BX39" s="52">
        <f t="shared" si="33"/>
        <v>0</v>
      </c>
      <c r="BY39" s="83">
        <f t="shared" si="34"/>
        <v>0</v>
      </c>
      <c r="BZ39" s="93">
        <f>IF(AND(ISNUMBER(Input!$D17),ISNUMBER(Input!$E17)),BY39*As,0)</f>
        <v>0</v>
      </c>
      <c r="CA39" s="54">
        <f t="shared" si="49"/>
        <v>0</v>
      </c>
    </row>
    <row r="40" spans="1:79">
      <c r="A40" s="25">
        <v>9</v>
      </c>
      <c r="B40" s="51">
        <f t="shared" si="0"/>
        <v>198</v>
      </c>
      <c r="C40" s="74">
        <f t="shared" si="35"/>
        <v>3.0883018867924523E-3</v>
      </c>
      <c r="D40" s="52">
        <f t="shared" si="1"/>
        <v>25.5</v>
      </c>
      <c r="E40" s="53">
        <f t="shared" si="2"/>
        <v>122400</v>
      </c>
      <c r="F40" s="54">
        <f t="shared" si="3"/>
        <v>24235200</v>
      </c>
      <c r="H40" s="25">
        <v>9</v>
      </c>
      <c r="I40" s="51">
        <f>Input!$E18</f>
        <v>130</v>
      </c>
      <c r="J40" s="74">
        <f t="shared" si="36"/>
        <v>2.9471698113207544E-3</v>
      </c>
      <c r="K40" s="52">
        <f t="shared" si="4"/>
        <v>589.43396226415086</v>
      </c>
      <c r="L40" s="52">
        <f t="shared" si="5"/>
        <v>25.5</v>
      </c>
      <c r="M40" s="83">
        <f t="shared" si="6"/>
        <v>374.5</v>
      </c>
      <c r="N40" s="93">
        <f>IF(AND(ISNUMBER(Input!$D18),ISNUMBER(Input!$E18)),M40*As,0)</f>
        <v>301190.77088496066</v>
      </c>
      <c r="O40" s="54">
        <f t="shared" si="37"/>
        <v>39154800.215044886</v>
      </c>
      <c r="Q40" s="25">
        <v>9</v>
      </c>
      <c r="R40" s="51">
        <f t="shared" si="7"/>
        <v>198</v>
      </c>
      <c r="S40" s="74">
        <f t="shared" si="38"/>
        <v>2.9824528301886791E-3</v>
      </c>
      <c r="T40" s="52">
        <f t="shared" si="8"/>
        <v>25.5</v>
      </c>
      <c r="U40" s="53">
        <f t="shared" si="9"/>
        <v>122400</v>
      </c>
      <c r="V40" s="54">
        <f t="shared" si="10"/>
        <v>24235200</v>
      </c>
      <c r="X40" s="25">
        <v>9</v>
      </c>
      <c r="Y40" s="51">
        <f>Input!$E18</f>
        <v>130</v>
      </c>
      <c r="Z40" s="74">
        <f t="shared" si="39"/>
        <v>2.7707547169811323E-3</v>
      </c>
      <c r="AA40" s="52">
        <f t="shared" si="11"/>
        <v>554.15094339622647</v>
      </c>
      <c r="AB40" s="52">
        <f t="shared" si="12"/>
        <v>25.5</v>
      </c>
      <c r="AC40" s="83">
        <f t="shared" si="13"/>
        <v>374.5</v>
      </c>
      <c r="AD40" s="93">
        <f>IF(AND(ISNUMBER(Input!$D18),ISNUMBER(Input!$E18)),AC40*As,0)</f>
        <v>301190.77088496066</v>
      </c>
      <c r="AE40" s="54">
        <f t="shared" si="40"/>
        <v>39154800.215044886</v>
      </c>
      <c r="AG40" s="25">
        <v>9</v>
      </c>
      <c r="AH40" s="51">
        <f t="shared" si="14"/>
        <v>198</v>
      </c>
      <c r="AI40" s="74">
        <f t="shared" si="41"/>
        <v>2.8766037735849059E-3</v>
      </c>
      <c r="AJ40" s="52">
        <f t="shared" si="15"/>
        <v>25.5</v>
      </c>
      <c r="AK40" s="53">
        <f t="shared" si="16"/>
        <v>122400</v>
      </c>
      <c r="AL40" s="54">
        <f t="shared" si="17"/>
        <v>24235200</v>
      </c>
      <c r="AN40" s="25">
        <v>9</v>
      </c>
      <c r="AO40" s="51">
        <f>Input!$E18</f>
        <v>130</v>
      </c>
      <c r="AP40" s="74">
        <f t="shared" si="42"/>
        <v>2.5943396226415097E-3</v>
      </c>
      <c r="AQ40" s="52">
        <f t="shared" si="18"/>
        <v>518.86792452830196</v>
      </c>
      <c r="AR40" s="52">
        <f t="shared" si="19"/>
        <v>25.5</v>
      </c>
      <c r="AS40" s="83">
        <f t="shared" si="20"/>
        <v>374.5</v>
      </c>
      <c r="AT40" s="93">
        <f>IF(AND(ISNUMBER(Input!$D18),ISNUMBER(Input!$E18)),AS40*As,0)</f>
        <v>301190.77088496066</v>
      </c>
      <c r="AU40" s="54">
        <f t="shared" si="43"/>
        <v>39154800.215044886</v>
      </c>
      <c r="AW40" s="25">
        <v>9</v>
      </c>
      <c r="AX40" s="51">
        <f t="shared" si="21"/>
        <v>198</v>
      </c>
      <c r="AY40" s="74">
        <f t="shared" si="44"/>
        <v>2.7707547169811319E-3</v>
      </c>
      <c r="AZ40" s="52">
        <f t="shared" si="22"/>
        <v>25.5</v>
      </c>
      <c r="BA40" s="53">
        <f t="shared" si="23"/>
        <v>122400</v>
      </c>
      <c r="BB40" s="54">
        <f t="shared" si="24"/>
        <v>24235200</v>
      </c>
      <c r="BD40" s="25">
        <v>9</v>
      </c>
      <c r="BE40" s="51">
        <f>Input!$E18</f>
        <v>130</v>
      </c>
      <c r="BF40" s="74">
        <f t="shared" si="45"/>
        <v>2.4179245283018867E-3</v>
      </c>
      <c r="BG40" s="52">
        <f t="shared" si="25"/>
        <v>483.58490566037733</v>
      </c>
      <c r="BH40" s="52">
        <f t="shared" si="26"/>
        <v>25.5</v>
      </c>
      <c r="BI40" s="83">
        <f t="shared" si="27"/>
        <v>374.5</v>
      </c>
      <c r="BJ40" s="93">
        <f>IF(AND(ISNUMBER(Input!$D18),ISNUMBER(Input!$E18)),BI40*As,0)</f>
        <v>301190.77088496066</v>
      </c>
      <c r="BK40" s="54">
        <f t="shared" si="46"/>
        <v>39154800.215044886</v>
      </c>
      <c r="BM40" s="25">
        <v>9</v>
      </c>
      <c r="BN40" s="51">
        <f t="shared" si="28"/>
        <v>209.9</v>
      </c>
      <c r="BO40" s="74">
        <f t="shared" si="47"/>
        <v>2.7390000000000001E-3</v>
      </c>
      <c r="BP40" s="52">
        <f t="shared" si="29"/>
        <v>25.5</v>
      </c>
      <c r="BQ40" s="53">
        <f t="shared" si="30"/>
        <v>108120</v>
      </c>
      <c r="BR40" s="54">
        <f t="shared" si="31"/>
        <v>22694388</v>
      </c>
      <c r="BT40" s="25">
        <v>9</v>
      </c>
      <c r="BU40" s="51">
        <f>Input!$E18</f>
        <v>130</v>
      </c>
      <c r="BV40" s="74">
        <f t="shared" si="48"/>
        <v>2.2415094339622642E-3</v>
      </c>
      <c r="BW40" s="52">
        <f t="shared" si="32"/>
        <v>448.30188679245282</v>
      </c>
      <c r="BX40" s="52">
        <f t="shared" si="33"/>
        <v>25.5</v>
      </c>
      <c r="BY40" s="83">
        <f t="shared" si="34"/>
        <v>374.5</v>
      </c>
      <c r="BZ40" s="93">
        <f>IF(AND(ISNUMBER(Input!$D18),ISNUMBER(Input!$E18)),BY40*As,0)</f>
        <v>301190.77088496066</v>
      </c>
      <c r="CA40" s="54">
        <f t="shared" si="49"/>
        <v>39154800.215044886</v>
      </c>
    </row>
    <row r="41" spans="1:79">
      <c r="A41" s="25">
        <v>10</v>
      </c>
      <c r="B41" s="51">
        <f t="shared" si="0"/>
        <v>186</v>
      </c>
      <c r="C41" s="74">
        <f t="shared" si="35"/>
        <v>3.0633962264150941E-3</v>
      </c>
      <c r="D41" s="52">
        <f t="shared" si="1"/>
        <v>25.5</v>
      </c>
      <c r="E41" s="53">
        <f t="shared" si="2"/>
        <v>122400</v>
      </c>
      <c r="F41" s="54">
        <f t="shared" si="3"/>
        <v>22766400</v>
      </c>
      <c r="H41" s="25">
        <v>10</v>
      </c>
      <c r="I41" s="51">
        <f>Input!$E19</f>
        <v>130</v>
      </c>
      <c r="J41" s="74">
        <f t="shared" si="36"/>
        <v>2.9471698113207544E-3</v>
      </c>
      <c r="K41" s="52">
        <f t="shared" si="4"/>
        <v>589.43396226415086</v>
      </c>
      <c r="L41" s="52">
        <f t="shared" si="5"/>
        <v>25.5</v>
      </c>
      <c r="M41" s="83">
        <f t="shared" si="6"/>
        <v>374.5</v>
      </c>
      <c r="N41" s="93">
        <f>IF(AND(ISNUMBER(Input!$D19),ISNUMBER(Input!$E19)),M41*As,0)</f>
        <v>301190.77088496066</v>
      </c>
      <c r="O41" s="54">
        <f t="shared" si="37"/>
        <v>39154800.215044886</v>
      </c>
      <c r="Q41" s="25">
        <v>10</v>
      </c>
      <c r="R41" s="51">
        <f t="shared" si="7"/>
        <v>186</v>
      </c>
      <c r="S41" s="74">
        <f t="shared" si="38"/>
        <v>2.9450943396226413E-3</v>
      </c>
      <c r="T41" s="52">
        <f t="shared" si="8"/>
        <v>25.5</v>
      </c>
      <c r="U41" s="53">
        <f t="shared" si="9"/>
        <v>122400</v>
      </c>
      <c r="V41" s="54">
        <f t="shared" si="10"/>
        <v>22766400</v>
      </c>
      <c r="X41" s="25">
        <v>10</v>
      </c>
      <c r="Y41" s="51">
        <f>Input!$E19</f>
        <v>130</v>
      </c>
      <c r="Z41" s="74">
        <f t="shared" si="39"/>
        <v>2.7707547169811323E-3</v>
      </c>
      <c r="AA41" s="52">
        <f t="shared" si="11"/>
        <v>554.15094339622647</v>
      </c>
      <c r="AB41" s="52">
        <f t="shared" si="12"/>
        <v>25.5</v>
      </c>
      <c r="AC41" s="83">
        <f t="shared" si="13"/>
        <v>374.5</v>
      </c>
      <c r="AD41" s="93">
        <f>IF(AND(ISNUMBER(Input!$D19),ISNUMBER(Input!$E19)),AC41*As,0)</f>
        <v>301190.77088496066</v>
      </c>
      <c r="AE41" s="54">
        <f t="shared" si="40"/>
        <v>39154800.215044886</v>
      </c>
      <c r="AG41" s="25">
        <v>10</v>
      </c>
      <c r="AH41" s="51">
        <f t="shared" si="14"/>
        <v>186</v>
      </c>
      <c r="AI41" s="74">
        <f t="shared" si="41"/>
        <v>2.826792452830189E-3</v>
      </c>
      <c r="AJ41" s="52">
        <f t="shared" si="15"/>
        <v>25.5</v>
      </c>
      <c r="AK41" s="53">
        <f t="shared" si="16"/>
        <v>122400</v>
      </c>
      <c r="AL41" s="54">
        <f t="shared" si="17"/>
        <v>22766400</v>
      </c>
      <c r="AN41" s="25">
        <v>10</v>
      </c>
      <c r="AO41" s="51">
        <f>Input!$E19</f>
        <v>130</v>
      </c>
      <c r="AP41" s="74">
        <f t="shared" si="42"/>
        <v>2.5943396226415097E-3</v>
      </c>
      <c r="AQ41" s="52">
        <f t="shared" si="18"/>
        <v>518.86792452830196</v>
      </c>
      <c r="AR41" s="52">
        <f t="shared" si="19"/>
        <v>25.5</v>
      </c>
      <c r="AS41" s="83">
        <f t="shared" si="20"/>
        <v>374.5</v>
      </c>
      <c r="AT41" s="93">
        <f>IF(AND(ISNUMBER(Input!$D19),ISNUMBER(Input!$E19)),AS41*As,0)</f>
        <v>301190.77088496066</v>
      </c>
      <c r="AU41" s="54">
        <f t="shared" si="43"/>
        <v>39154800.215044886</v>
      </c>
      <c r="AW41" s="25">
        <v>10</v>
      </c>
      <c r="AX41" s="51">
        <f t="shared" si="21"/>
        <v>186</v>
      </c>
      <c r="AY41" s="74">
        <f t="shared" si="44"/>
        <v>2.7084905660377358E-3</v>
      </c>
      <c r="AZ41" s="52">
        <f t="shared" si="22"/>
        <v>25.5</v>
      </c>
      <c r="BA41" s="53">
        <f t="shared" si="23"/>
        <v>122400</v>
      </c>
      <c r="BB41" s="54">
        <f t="shared" si="24"/>
        <v>22766400</v>
      </c>
      <c r="BD41" s="25">
        <v>10</v>
      </c>
      <c r="BE41" s="51">
        <f>Input!$E19</f>
        <v>130</v>
      </c>
      <c r="BF41" s="74">
        <f t="shared" si="45"/>
        <v>2.4179245283018867E-3</v>
      </c>
      <c r="BG41" s="52">
        <f t="shared" si="25"/>
        <v>483.58490566037733</v>
      </c>
      <c r="BH41" s="52">
        <f t="shared" si="26"/>
        <v>25.5</v>
      </c>
      <c r="BI41" s="83">
        <f t="shared" si="27"/>
        <v>374.5</v>
      </c>
      <c r="BJ41" s="93">
        <f>IF(AND(ISNUMBER(Input!$D19),ISNUMBER(Input!$E19)),BI41*As,0)</f>
        <v>301190.77088496066</v>
      </c>
      <c r="BK41" s="54">
        <f t="shared" si="46"/>
        <v>39154800.215044886</v>
      </c>
      <c r="BM41" s="25">
        <v>10</v>
      </c>
      <c r="BN41" s="51">
        <f t="shared" si="28"/>
        <v>199.3</v>
      </c>
      <c r="BO41" s="74">
        <f t="shared" si="47"/>
        <v>2.673E-3</v>
      </c>
      <c r="BP41" s="52">
        <f t="shared" si="29"/>
        <v>25.5</v>
      </c>
      <c r="BQ41" s="53">
        <f t="shared" si="30"/>
        <v>108120</v>
      </c>
      <c r="BR41" s="54">
        <f t="shared" si="31"/>
        <v>21548316</v>
      </c>
      <c r="BT41" s="25">
        <v>10</v>
      </c>
      <c r="BU41" s="51">
        <f>Input!$E19</f>
        <v>130</v>
      </c>
      <c r="BV41" s="74">
        <f t="shared" si="48"/>
        <v>2.2415094339622642E-3</v>
      </c>
      <c r="BW41" s="52">
        <f t="shared" si="32"/>
        <v>448.30188679245282</v>
      </c>
      <c r="BX41" s="52">
        <f t="shared" si="33"/>
        <v>25.5</v>
      </c>
      <c r="BY41" s="83">
        <f t="shared" si="34"/>
        <v>374.5</v>
      </c>
      <c r="BZ41" s="93">
        <f>IF(AND(ISNUMBER(Input!$D19),ISNUMBER(Input!$E19)),BY41*As,0)</f>
        <v>301190.77088496066</v>
      </c>
      <c r="CA41" s="54">
        <f t="shared" si="49"/>
        <v>39154800.215044886</v>
      </c>
    </row>
    <row r="42" spans="1:79">
      <c r="A42" s="25">
        <v>11</v>
      </c>
      <c r="B42" s="51">
        <f t="shared" si="0"/>
        <v>174</v>
      </c>
      <c r="C42" s="74">
        <f t="shared" si="35"/>
        <v>3.0384905660377354E-3</v>
      </c>
      <c r="D42" s="52">
        <f t="shared" si="1"/>
        <v>25.5</v>
      </c>
      <c r="E42" s="53">
        <f t="shared" si="2"/>
        <v>122400</v>
      </c>
      <c r="F42" s="54">
        <f t="shared" si="3"/>
        <v>21297600</v>
      </c>
      <c r="H42" s="25">
        <v>11</v>
      </c>
      <c r="I42" s="51">
        <f>Input!$E20</f>
        <v>-130</v>
      </c>
      <c r="J42" s="74">
        <f t="shared" si="36"/>
        <v>2.4075471698113203E-3</v>
      </c>
      <c r="K42" s="52">
        <f t="shared" si="4"/>
        <v>481.50943396226404</v>
      </c>
      <c r="L42" s="52">
        <f t="shared" si="5"/>
        <v>25.5</v>
      </c>
      <c r="M42" s="83">
        <f t="shared" si="6"/>
        <v>374.5</v>
      </c>
      <c r="N42" s="93">
        <f>IF(AND(ISNUMBER(Input!$D20),ISNUMBER(Input!$E20)),M42*As,0)</f>
        <v>301190.77088496066</v>
      </c>
      <c r="O42" s="54">
        <f t="shared" si="37"/>
        <v>-39154800.215044886</v>
      </c>
      <c r="Q42" s="25">
        <v>11</v>
      </c>
      <c r="R42" s="51">
        <f t="shared" si="7"/>
        <v>174</v>
      </c>
      <c r="S42" s="74">
        <f t="shared" si="38"/>
        <v>2.9077358490566039E-3</v>
      </c>
      <c r="T42" s="52">
        <f t="shared" si="8"/>
        <v>25.5</v>
      </c>
      <c r="U42" s="53">
        <f t="shared" si="9"/>
        <v>122400</v>
      </c>
      <c r="V42" s="54">
        <f t="shared" si="10"/>
        <v>21297600</v>
      </c>
      <c r="X42" s="25">
        <v>11</v>
      </c>
      <c r="Y42" s="51">
        <f>Input!$E20</f>
        <v>-130</v>
      </c>
      <c r="Z42" s="74">
        <f t="shared" si="39"/>
        <v>1.9613207547169811E-3</v>
      </c>
      <c r="AA42" s="52">
        <f t="shared" si="11"/>
        <v>392.2641509433962</v>
      </c>
      <c r="AB42" s="52">
        <f t="shared" si="12"/>
        <v>25.490462464400139</v>
      </c>
      <c r="AC42" s="83">
        <f t="shared" si="13"/>
        <v>366.77368847899606</v>
      </c>
      <c r="AD42" s="93">
        <f>IF(AND(ISNUMBER(Input!$D20),ISNUMBER(Input!$E20)),AC42*As,0)</f>
        <v>294976.90246544522</v>
      </c>
      <c r="AE42" s="54">
        <f t="shared" si="40"/>
        <v>-38346997.320507877</v>
      </c>
      <c r="AG42" s="25">
        <v>11</v>
      </c>
      <c r="AH42" s="51">
        <f t="shared" si="14"/>
        <v>174</v>
      </c>
      <c r="AI42" s="74">
        <f t="shared" si="41"/>
        <v>2.7769811320754716E-3</v>
      </c>
      <c r="AJ42" s="52">
        <f t="shared" si="15"/>
        <v>25.5</v>
      </c>
      <c r="AK42" s="53">
        <f t="shared" si="16"/>
        <v>122400</v>
      </c>
      <c r="AL42" s="54">
        <f t="shared" si="17"/>
        <v>21297600</v>
      </c>
      <c r="AN42" s="25">
        <v>11</v>
      </c>
      <c r="AO42" s="51">
        <f>Input!$E20</f>
        <v>-130</v>
      </c>
      <c r="AP42" s="74">
        <f t="shared" si="42"/>
        <v>1.5150943396226417E-3</v>
      </c>
      <c r="AQ42" s="52">
        <f t="shared" si="18"/>
        <v>303.01886792452831</v>
      </c>
      <c r="AR42" s="52">
        <f t="shared" si="19"/>
        <v>24.001023940904236</v>
      </c>
      <c r="AS42" s="83">
        <f t="shared" si="20"/>
        <v>279.01784398362406</v>
      </c>
      <c r="AT42" s="93">
        <f>IF(AND(ISNUMBER(Input!$D20),ISNUMBER(Input!$E20)),AS42*As,0)</f>
        <v>224399.4646731306</v>
      </c>
      <c r="AU42" s="54">
        <f t="shared" si="43"/>
        <v>-29171930.407506976</v>
      </c>
      <c r="AW42" s="25">
        <v>11</v>
      </c>
      <c r="AX42" s="51">
        <f t="shared" si="21"/>
        <v>174</v>
      </c>
      <c r="AY42" s="74">
        <f t="shared" si="44"/>
        <v>2.6462264150943398E-3</v>
      </c>
      <c r="AZ42" s="52">
        <f t="shared" si="22"/>
        <v>25.5</v>
      </c>
      <c r="BA42" s="53">
        <f t="shared" si="23"/>
        <v>122400</v>
      </c>
      <c r="BB42" s="54">
        <f t="shared" si="24"/>
        <v>21297600</v>
      </c>
      <c r="BD42" s="25">
        <v>11</v>
      </c>
      <c r="BE42" s="51">
        <f>Input!$E20</f>
        <v>-130</v>
      </c>
      <c r="BF42" s="74">
        <f t="shared" si="45"/>
        <v>1.0688679245283018E-3</v>
      </c>
      <c r="BG42" s="52">
        <f t="shared" si="25"/>
        <v>213.77358490566036</v>
      </c>
      <c r="BH42" s="52">
        <f t="shared" si="26"/>
        <v>19.97283074492702</v>
      </c>
      <c r="BI42" s="83">
        <f t="shared" si="27"/>
        <v>193.80075416073333</v>
      </c>
      <c r="BJ42" s="93">
        <f>IF(AND(ISNUMBER(Input!$D20),ISNUMBER(Input!$E20)),BI42*As,0)</f>
        <v>155863.81453606946</v>
      </c>
      <c r="BK42" s="54">
        <f t="shared" si="46"/>
        <v>-20262295.889689028</v>
      </c>
      <c r="BM42" s="25">
        <v>11</v>
      </c>
      <c r="BN42" s="51">
        <f t="shared" si="28"/>
        <v>188.7</v>
      </c>
      <c r="BO42" s="74">
        <f t="shared" si="47"/>
        <v>2.6069999999999999E-3</v>
      </c>
      <c r="BP42" s="52">
        <f t="shared" si="29"/>
        <v>25.5</v>
      </c>
      <c r="BQ42" s="53">
        <f t="shared" si="30"/>
        <v>108120</v>
      </c>
      <c r="BR42" s="54">
        <f t="shared" si="31"/>
        <v>20402244</v>
      </c>
      <c r="BT42" s="25">
        <v>11</v>
      </c>
      <c r="BU42" s="51">
        <f>Input!$E20</f>
        <v>-130</v>
      </c>
      <c r="BV42" s="74">
        <f t="shared" si="48"/>
        <v>6.226415094339623E-4</v>
      </c>
      <c r="BW42" s="52">
        <f t="shared" si="32"/>
        <v>124.52830188679246</v>
      </c>
      <c r="BX42" s="52">
        <f t="shared" si="33"/>
        <v>13.405882876468494</v>
      </c>
      <c r="BY42" s="83">
        <f t="shared" si="34"/>
        <v>111.12241901032397</v>
      </c>
      <c r="BZ42" s="93">
        <f>IF(AND(ISNUMBER(Input!$D20),ISNUMBER(Input!$E20)),BY42*As,0)</f>
        <v>89369.952054261899</v>
      </c>
      <c r="CA42" s="54">
        <f t="shared" si="49"/>
        <v>-11618093.767054047</v>
      </c>
    </row>
    <row r="43" spans="1:79">
      <c r="A43" s="25">
        <v>12</v>
      </c>
      <c r="B43" s="51">
        <f t="shared" si="0"/>
        <v>162</v>
      </c>
      <c r="C43" s="74">
        <f t="shared" si="35"/>
        <v>3.0135849056603771E-3</v>
      </c>
      <c r="D43" s="52">
        <f t="shared" si="1"/>
        <v>25.5</v>
      </c>
      <c r="E43" s="53">
        <f t="shared" si="2"/>
        <v>122400</v>
      </c>
      <c r="F43" s="54">
        <f t="shared" si="3"/>
        <v>19828800</v>
      </c>
      <c r="H43" s="25">
        <v>12</v>
      </c>
      <c r="I43" s="51">
        <f>Input!$E21</f>
        <v>-130</v>
      </c>
      <c r="J43" s="74">
        <f t="shared" si="36"/>
        <v>2.4075471698113203E-3</v>
      </c>
      <c r="K43" s="52">
        <f t="shared" si="4"/>
        <v>481.50943396226404</v>
      </c>
      <c r="L43" s="52">
        <f t="shared" si="5"/>
        <v>25.5</v>
      </c>
      <c r="M43" s="83">
        <f t="shared" si="6"/>
        <v>374.5</v>
      </c>
      <c r="N43" s="93">
        <f>IF(AND(ISNUMBER(Input!$D21),ISNUMBER(Input!$E21)),M43*As,0)</f>
        <v>301190.77088496066</v>
      </c>
      <c r="O43" s="54">
        <f t="shared" si="37"/>
        <v>-39154800.215044886</v>
      </c>
      <c r="Q43" s="25">
        <v>12</v>
      </c>
      <c r="R43" s="51">
        <f t="shared" si="7"/>
        <v>162</v>
      </c>
      <c r="S43" s="74">
        <f t="shared" si="38"/>
        <v>2.8703773584905661E-3</v>
      </c>
      <c r="T43" s="52">
        <f t="shared" si="8"/>
        <v>25.5</v>
      </c>
      <c r="U43" s="53">
        <f t="shared" si="9"/>
        <v>122400</v>
      </c>
      <c r="V43" s="54">
        <f t="shared" si="10"/>
        <v>19828800</v>
      </c>
      <c r="X43" s="25">
        <v>12</v>
      </c>
      <c r="Y43" s="51">
        <f>Input!$E21</f>
        <v>-130</v>
      </c>
      <c r="Z43" s="74">
        <f t="shared" si="39"/>
        <v>1.9613207547169811E-3</v>
      </c>
      <c r="AA43" s="52">
        <f t="shared" si="11"/>
        <v>392.2641509433962</v>
      </c>
      <c r="AB43" s="52">
        <f t="shared" si="12"/>
        <v>25.490462464400139</v>
      </c>
      <c r="AC43" s="83">
        <f t="shared" si="13"/>
        <v>366.77368847899606</v>
      </c>
      <c r="AD43" s="93">
        <f>IF(AND(ISNUMBER(Input!$D21),ISNUMBER(Input!$E21)),AC43*As,0)</f>
        <v>294976.90246544522</v>
      </c>
      <c r="AE43" s="54">
        <f t="shared" si="40"/>
        <v>-38346997.320507877</v>
      </c>
      <c r="AG43" s="25">
        <v>12</v>
      </c>
      <c r="AH43" s="51">
        <f t="shared" si="14"/>
        <v>162</v>
      </c>
      <c r="AI43" s="74">
        <f t="shared" si="41"/>
        <v>2.7271698113207547E-3</v>
      </c>
      <c r="AJ43" s="52">
        <f t="shared" si="15"/>
        <v>25.5</v>
      </c>
      <c r="AK43" s="53">
        <f t="shared" si="16"/>
        <v>122400</v>
      </c>
      <c r="AL43" s="54">
        <f t="shared" si="17"/>
        <v>19828800</v>
      </c>
      <c r="AN43" s="25">
        <v>12</v>
      </c>
      <c r="AO43" s="51">
        <f>Input!$E21</f>
        <v>-130</v>
      </c>
      <c r="AP43" s="74">
        <f t="shared" si="42"/>
        <v>1.5150943396226417E-3</v>
      </c>
      <c r="AQ43" s="52">
        <f t="shared" si="18"/>
        <v>303.01886792452831</v>
      </c>
      <c r="AR43" s="52">
        <f t="shared" si="19"/>
        <v>24.001023940904236</v>
      </c>
      <c r="AS43" s="83">
        <f t="shared" si="20"/>
        <v>279.01784398362406</v>
      </c>
      <c r="AT43" s="93">
        <f>IF(AND(ISNUMBER(Input!$D21),ISNUMBER(Input!$E21)),AS43*As,0)</f>
        <v>224399.4646731306</v>
      </c>
      <c r="AU43" s="54">
        <f t="shared" si="43"/>
        <v>-29171930.407506976</v>
      </c>
      <c r="AW43" s="25">
        <v>12</v>
      </c>
      <c r="AX43" s="51">
        <f t="shared" si="21"/>
        <v>162</v>
      </c>
      <c r="AY43" s="74">
        <f t="shared" si="44"/>
        <v>2.5839622641509433E-3</v>
      </c>
      <c r="AZ43" s="52">
        <f t="shared" si="22"/>
        <v>25.5</v>
      </c>
      <c r="BA43" s="53">
        <f t="shared" si="23"/>
        <v>122400</v>
      </c>
      <c r="BB43" s="54">
        <f t="shared" si="24"/>
        <v>19828800</v>
      </c>
      <c r="BD43" s="25">
        <v>12</v>
      </c>
      <c r="BE43" s="51">
        <f>Input!$E21</f>
        <v>-130</v>
      </c>
      <c r="BF43" s="74">
        <f t="shared" si="45"/>
        <v>1.0688679245283018E-3</v>
      </c>
      <c r="BG43" s="52">
        <f t="shared" si="25"/>
        <v>213.77358490566036</v>
      </c>
      <c r="BH43" s="52">
        <f t="shared" si="26"/>
        <v>19.97283074492702</v>
      </c>
      <c r="BI43" s="83">
        <f t="shared" si="27"/>
        <v>193.80075416073333</v>
      </c>
      <c r="BJ43" s="93">
        <f>IF(AND(ISNUMBER(Input!$D21),ISNUMBER(Input!$E21)),BI43*As,0)</f>
        <v>155863.81453606946</v>
      </c>
      <c r="BK43" s="54">
        <f t="shared" si="46"/>
        <v>-20262295.889689028</v>
      </c>
      <c r="BM43" s="25">
        <v>12</v>
      </c>
      <c r="BN43" s="51">
        <f t="shared" si="28"/>
        <v>178.10000000000002</v>
      </c>
      <c r="BO43" s="74">
        <f t="shared" si="47"/>
        <v>2.5409999999999999E-3</v>
      </c>
      <c r="BP43" s="52">
        <f t="shared" si="29"/>
        <v>25.5</v>
      </c>
      <c r="BQ43" s="53">
        <f t="shared" si="30"/>
        <v>108120</v>
      </c>
      <c r="BR43" s="54">
        <f t="shared" si="31"/>
        <v>19256172.000000004</v>
      </c>
      <c r="BT43" s="25">
        <v>12</v>
      </c>
      <c r="BU43" s="51">
        <f>Input!$E21</f>
        <v>-130</v>
      </c>
      <c r="BV43" s="74">
        <f t="shared" si="48"/>
        <v>6.226415094339623E-4</v>
      </c>
      <c r="BW43" s="52">
        <f t="shared" si="32"/>
        <v>124.52830188679246</v>
      </c>
      <c r="BX43" s="52">
        <f t="shared" si="33"/>
        <v>13.405882876468494</v>
      </c>
      <c r="BY43" s="83">
        <f t="shared" si="34"/>
        <v>111.12241901032397</v>
      </c>
      <c r="BZ43" s="93">
        <f>IF(AND(ISNUMBER(Input!$D21),ISNUMBER(Input!$E21)),BY43*As,0)</f>
        <v>89369.952054261899</v>
      </c>
      <c r="CA43" s="54">
        <f t="shared" si="49"/>
        <v>-11618093.767054047</v>
      </c>
    </row>
    <row r="44" spans="1:79">
      <c r="A44" s="25">
        <v>13</v>
      </c>
      <c r="B44" s="51">
        <f t="shared" si="0"/>
        <v>150</v>
      </c>
      <c r="C44" s="74">
        <f t="shared" si="35"/>
        <v>2.9886792452830185E-3</v>
      </c>
      <c r="D44" s="52">
        <f t="shared" si="1"/>
        <v>25.5</v>
      </c>
      <c r="E44" s="53">
        <f t="shared" si="2"/>
        <v>122400</v>
      </c>
      <c r="F44" s="54">
        <f t="shared" si="3"/>
        <v>18360000</v>
      </c>
      <c r="Q44" s="25">
        <v>13</v>
      </c>
      <c r="R44" s="51">
        <f t="shared" si="7"/>
        <v>150</v>
      </c>
      <c r="S44" s="74">
        <f t="shared" si="38"/>
        <v>2.8330188679245283E-3</v>
      </c>
      <c r="T44" s="52">
        <f t="shared" si="8"/>
        <v>25.5</v>
      </c>
      <c r="U44" s="53">
        <f t="shared" si="9"/>
        <v>122400</v>
      </c>
      <c r="V44" s="54">
        <f t="shared" si="10"/>
        <v>18360000</v>
      </c>
      <c r="AG44" s="25">
        <v>13</v>
      </c>
      <c r="AH44" s="51">
        <f t="shared" si="14"/>
        <v>150</v>
      </c>
      <c r="AI44" s="74">
        <f t="shared" si="41"/>
        <v>2.6773584905660378E-3</v>
      </c>
      <c r="AJ44" s="52">
        <f t="shared" si="15"/>
        <v>25.5</v>
      </c>
      <c r="AK44" s="53">
        <f t="shared" si="16"/>
        <v>122400</v>
      </c>
      <c r="AL44" s="54">
        <f t="shared" si="17"/>
        <v>18360000</v>
      </c>
      <c r="AW44" s="25">
        <v>13</v>
      </c>
      <c r="AX44" s="51">
        <f t="shared" si="21"/>
        <v>150</v>
      </c>
      <c r="AY44" s="74">
        <f t="shared" si="44"/>
        <v>2.5216981132075472E-3</v>
      </c>
      <c r="AZ44" s="52">
        <f t="shared" si="22"/>
        <v>25.5</v>
      </c>
      <c r="BA44" s="53">
        <f t="shared" si="23"/>
        <v>122400</v>
      </c>
      <c r="BB44" s="54">
        <f t="shared" si="24"/>
        <v>18360000</v>
      </c>
      <c r="BM44" s="25">
        <v>13</v>
      </c>
      <c r="BN44" s="51">
        <f t="shared" si="28"/>
        <v>167.5</v>
      </c>
      <c r="BO44" s="74">
        <f t="shared" si="47"/>
        <v>2.4749999999999998E-3</v>
      </c>
      <c r="BP44" s="52">
        <f t="shared" si="29"/>
        <v>25.5</v>
      </c>
      <c r="BQ44" s="53">
        <f t="shared" si="30"/>
        <v>108120</v>
      </c>
      <c r="BR44" s="54">
        <f t="shared" si="31"/>
        <v>18110100</v>
      </c>
    </row>
    <row r="45" spans="1:79">
      <c r="A45" s="25">
        <v>14</v>
      </c>
      <c r="B45" s="51">
        <f t="shared" si="0"/>
        <v>138</v>
      </c>
      <c r="C45" s="74">
        <f t="shared" si="35"/>
        <v>2.9637735849056598E-3</v>
      </c>
      <c r="D45" s="52">
        <f t="shared" si="1"/>
        <v>25.5</v>
      </c>
      <c r="E45" s="53">
        <f t="shared" si="2"/>
        <v>122400</v>
      </c>
      <c r="F45" s="54">
        <f t="shared" si="3"/>
        <v>16891200</v>
      </c>
      <c r="Q45" s="25">
        <v>14</v>
      </c>
      <c r="R45" s="51">
        <f t="shared" si="7"/>
        <v>138</v>
      </c>
      <c r="S45" s="74">
        <f t="shared" si="38"/>
        <v>2.7956603773584905E-3</v>
      </c>
      <c r="T45" s="52">
        <f t="shared" si="8"/>
        <v>25.5</v>
      </c>
      <c r="U45" s="53">
        <f t="shared" si="9"/>
        <v>122400</v>
      </c>
      <c r="V45" s="54">
        <f t="shared" si="10"/>
        <v>16891200</v>
      </c>
      <c r="AG45" s="25">
        <v>14</v>
      </c>
      <c r="AH45" s="51">
        <f t="shared" si="14"/>
        <v>138</v>
      </c>
      <c r="AI45" s="74">
        <f t="shared" si="41"/>
        <v>2.6275471698113209E-3</v>
      </c>
      <c r="AJ45" s="52">
        <f t="shared" si="15"/>
        <v>25.5</v>
      </c>
      <c r="AK45" s="53">
        <f t="shared" si="16"/>
        <v>122400</v>
      </c>
      <c r="AL45" s="54">
        <f t="shared" si="17"/>
        <v>16891200</v>
      </c>
      <c r="AW45" s="25">
        <v>14</v>
      </c>
      <c r="AX45" s="51">
        <f t="shared" si="21"/>
        <v>138</v>
      </c>
      <c r="AY45" s="74">
        <f t="shared" si="44"/>
        <v>2.4594339622641508E-3</v>
      </c>
      <c r="AZ45" s="52">
        <f t="shared" si="22"/>
        <v>25.5</v>
      </c>
      <c r="BA45" s="53">
        <f t="shared" si="23"/>
        <v>122400</v>
      </c>
      <c r="BB45" s="54">
        <f t="shared" si="24"/>
        <v>16891200</v>
      </c>
      <c r="BM45" s="25">
        <v>14</v>
      </c>
      <c r="BN45" s="51">
        <f t="shared" si="28"/>
        <v>156.9</v>
      </c>
      <c r="BO45" s="74">
        <f t="shared" si="47"/>
        <v>2.4089999999999997E-3</v>
      </c>
      <c r="BP45" s="52">
        <f t="shared" si="29"/>
        <v>25.5</v>
      </c>
      <c r="BQ45" s="53">
        <f t="shared" si="30"/>
        <v>108120</v>
      </c>
      <c r="BR45" s="54">
        <f t="shared" si="31"/>
        <v>16964028</v>
      </c>
    </row>
    <row r="46" spans="1:79">
      <c r="A46" s="25">
        <v>15</v>
      </c>
      <c r="B46" s="51">
        <f t="shared" si="0"/>
        <v>126</v>
      </c>
      <c r="C46" s="74">
        <f t="shared" si="35"/>
        <v>2.9388679245283015E-3</v>
      </c>
      <c r="D46" s="52">
        <f t="shared" si="1"/>
        <v>25.5</v>
      </c>
      <c r="E46" s="53">
        <f t="shared" si="2"/>
        <v>122400</v>
      </c>
      <c r="F46" s="54">
        <f t="shared" si="3"/>
        <v>15422400</v>
      </c>
      <c r="Q46" s="25">
        <v>15</v>
      </c>
      <c r="R46" s="51">
        <f t="shared" si="7"/>
        <v>126</v>
      </c>
      <c r="S46" s="74">
        <f t="shared" si="38"/>
        <v>2.7583018867924527E-3</v>
      </c>
      <c r="T46" s="52">
        <f t="shared" si="8"/>
        <v>25.5</v>
      </c>
      <c r="U46" s="53">
        <f t="shared" si="9"/>
        <v>122400</v>
      </c>
      <c r="V46" s="54">
        <f t="shared" si="10"/>
        <v>15422400</v>
      </c>
      <c r="AG46" s="25">
        <v>15</v>
      </c>
      <c r="AH46" s="51">
        <f t="shared" si="14"/>
        <v>126</v>
      </c>
      <c r="AI46" s="74">
        <f t="shared" si="41"/>
        <v>2.5777358490566039E-3</v>
      </c>
      <c r="AJ46" s="52">
        <f t="shared" si="15"/>
        <v>25.5</v>
      </c>
      <c r="AK46" s="53">
        <f t="shared" si="16"/>
        <v>122400</v>
      </c>
      <c r="AL46" s="54">
        <f t="shared" si="17"/>
        <v>15422400</v>
      </c>
      <c r="AW46" s="25">
        <v>15</v>
      </c>
      <c r="AX46" s="51">
        <f t="shared" si="21"/>
        <v>126</v>
      </c>
      <c r="AY46" s="74">
        <f t="shared" si="44"/>
        <v>2.3971698113207547E-3</v>
      </c>
      <c r="AZ46" s="52">
        <f t="shared" si="22"/>
        <v>25.5</v>
      </c>
      <c r="BA46" s="53">
        <f t="shared" si="23"/>
        <v>122400</v>
      </c>
      <c r="BB46" s="54">
        <f t="shared" si="24"/>
        <v>15422400</v>
      </c>
      <c r="BM46" s="25">
        <v>15</v>
      </c>
      <c r="BN46" s="51">
        <f t="shared" si="28"/>
        <v>146.30000000000001</v>
      </c>
      <c r="BO46" s="74">
        <f t="shared" si="47"/>
        <v>2.343E-3</v>
      </c>
      <c r="BP46" s="52">
        <f t="shared" si="29"/>
        <v>25.5</v>
      </c>
      <c r="BQ46" s="53">
        <f t="shared" si="30"/>
        <v>108120</v>
      </c>
      <c r="BR46" s="54">
        <f t="shared" si="31"/>
        <v>15817956.000000002</v>
      </c>
    </row>
    <row r="47" spans="1:79">
      <c r="A47" s="25">
        <v>16</v>
      </c>
      <c r="B47" s="51">
        <f t="shared" si="0"/>
        <v>114</v>
      </c>
      <c r="C47" s="74">
        <f t="shared" si="35"/>
        <v>2.9139622641509428E-3</v>
      </c>
      <c r="D47" s="52">
        <f t="shared" si="1"/>
        <v>25.5</v>
      </c>
      <c r="E47" s="53">
        <f t="shared" si="2"/>
        <v>122400</v>
      </c>
      <c r="F47" s="54">
        <f t="shared" si="3"/>
        <v>13953600</v>
      </c>
      <c r="Q47" s="25">
        <v>16</v>
      </c>
      <c r="R47" s="51">
        <f t="shared" si="7"/>
        <v>114</v>
      </c>
      <c r="S47" s="74">
        <f t="shared" si="38"/>
        <v>2.7209433962264154E-3</v>
      </c>
      <c r="T47" s="52">
        <f t="shared" si="8"/>
        <v>25.5</v>
      </c>
      <c r="U47" s="53">
        <f t="shared" si="9"/>
        <v>122400</v>
      </c>
      <c r="V47" s="54">
        <f t="shared" si="10"/>
        <v>13953600</v>
      </c>
      <c r="AG47" s="25">
        <v>16</v>
      </c>
      <c r="AH47" s="51">
        <f t="shared" si="14"/>
        <v>114</v>
      </c>
      <c r="AI47" s="74">
        <f t="shared" si="41"/>
        <v>2.527924528301887E-3</v>
      </c>
      <c r="AJ47" s="52">
        <f t="shared" si="15"/>
        <v>25.5</v>
      </c>
      <c r="AK47" s="53">
        <f t="shared" si="16"/>
        <v>122400</v>
      </c>
      <c r="AL47" s="54">
        <f t="shared" si="17"/>
        <v>13953600</v>
      </c>
      <c r="AW47" s="25">
        <v>16</v>
      </c>
      <c r="AX47" s="51">
        <f t="shared" si="21"/>
        <v>114</v>
      </c>
      <c r="AY47" s="74">
        <f t="shared" si="44"/>
        <v>2.3349056603773587E-3</v>
      </c>
      <c r="AZ47" s="52">
        <f t="shared" si="22"/>
        <v>25.5</v>
      </c>
      <c r="BA47" s="53">
        <f t="shared" si="23"/>
        <v>122400</v>
      </c>
      <c r="BB47" s="54">
        <f t="shared" si="24"/>
        <v>13953600</v>
      </c>
      <c r="BM47" s="25">
        <v>16</v>
      </c>
      <c r="BN47" s="51">
        <f t="shared" si="28"/>
        <v>135.70000000000002</v>
      </c>
      <c r="BO47" s="74">
        <f t="shared" si="47"/>
        <v>2.2769999999999999E-3</v>
      </c>
      <c r="BP47" s="52">
        <f t="shared" si="29"/>
        <v>25.5</v>
      </c>
      <c r="BQ47" s="53">
        <f t="shared" si="30"/>
        <v>108120</v>
      </c>
      <c r="BR47" s="54">
        <f t="shared" si="31"/>
        <v>14671884.000000002</v>
      </c>
    </row>
    <row r="48" spans="1:79">
      <c r="A48" s="25">
        <v>17</v>
      </c>
      <c r="B48" s="51">
        <f t="shared" si="0"/>
        <v>102</v>
      </c>
      <c r="C48" s="74">
        <f t="shared" si="35"/>
        <v>2.8890566037735846E-3</v>
      </c>
      <c r="D48" s="52">
        <f t="shared" si="1"/>
        <v>25.5</v>
      </c>
      <c r="E48" s="53">
        <f t="shared" si="2"/>
        <v>122400</v>
      </c>
      <c r="F48" s="54">
        <f t="shared" si="3"/>
        <v>12484800</v>
      </c>
      <c r="Q48" s="25">
        <v>17</v>
      </c>
      <c r="R48" s="51">
        <f t="shared" si="7"/>
        <v>102</v>
      </c>
      <c r="S48" s="74">
        <f t="shared" si="38"/>
        <v>2.6835849056603776E-3</v>
      </c>
      <c r="T48" s="52">
        <f t="shared" si="8"/>
        <v>25.5</v>
      </c>
      <c r="U48" s="53">
        <f t="shared" si="9"/>
        <v>122400</v>
      </c>
      <c r="V48" s="54">
        <f t="shared" si="10"/>
        <v>12484800</v>
      </c>
      <c r="AG48" s="25">
        <v>17</v>
      </c>
      <c r="AH48" s="51">
        <f t="shared" si="14"/>
        <v>102</v>
      </c>
      <c r="AI48" s="74">
        <f t="shared" si="41"/>
        <v>2.4781132075471701E-3</v>
      </c>
      <c r="AJ48" s="52">
        <f t="shared" si="15"/>
        <v>25.5</v>
      </c>
      <c r="AK48" s="53">
        <f t="shared" si="16"/>
        <v>122400</v>
      </c>
      <c r="AL48" s="54">
        <f t="shared" si="17"/>
        <v>12484800</v>
      </c>
      <c r="AW48" s="25">
        <v>17</v>
      </c>
      <c r="AX48" s="51">
        <f t="shared" si="21"/>
        <v>102</v>
      </c>
      <c r="AY48" s="74">
        <f t="shared" si="44"/>
        <v>2.2726415094339622E-3</v>
      </c>
      <c r="AZ48" s="52">
        <f t="shared" si="22"/>
        <v>25.5</v>
      </c>
      <c r="BA48" s="53">
        <f t="shared" si="23"/>
        <v>122400</v>
      </c>
      <c r="BB48" s="54">
        <f t="shared" si="24"/>
        <v>12484800</v>
      </c>
      <c r="BM48" s="25">
        <v>17</v>
      </c>
      <c r="BN48" s="51">
        <f t="shared" si="28"/>
        <v>125.1</v>
      </c>
      <c r="BO48" s="74">
        <f t="shared" si="47"/>
        <v>2.2109999999999999E-3</v>
      </c>
      <c r="BP48" s="52">
        <f t="shared" si="29"/>
        <v>25.5</v>
      </c>
      <c r="BQ48" s="53">
        <f t="shared" si="30"/>
        <v>108120</v>
      </c>
      <c r="BR48" s="54">
        <f t="shared" si="31"/>
        <v>13525812</v>
      </c>
    </row>
    <row r="49" spans="1:70">
      <c r="A49" s="25">
        <v>18</v>
      </c>
      <c r="B49" s="51">
        <f t="shared" si="0"/>
        <v>90</v>
      </c>
      <c r="C49" s="74">
        <f t="shared" si="35"/>
        <v>2.8641509433962259E-3</v>
      </c>
      <c r="D49" s="52">
        <f t="shared" si="1"/>
        <v>25.5</v>
      </c>
      <c r="E49" s="53">
        <f t="shared" si="2"/>
        <v>122400</v>
      </c>
      <c r="F49" s="54">
        <f t="shared" si="3"/>
        <v>11016000</v>
      </c>
      <c r="Q49" s="25">
        <v>18</v>
      </c>
      <c r="R49" s="51">
        <f t="shared" si="7"/>
        <v>90</v>
      </c>
      <c r="S49" s="74">
        <f t="shared" si="38"/>
        <v>2.6462264150943398E-3</v>
      </c>
      <c r="T49" s="52">
        <f t="shared" si="8"/>
        <v>25.5</v>
      </c>
      <c r="U49" s="53">
        <f t="shared" si="9"/>
        <v>122400</v>
      </c>
      <c r="V49" s="54">
        <f t="shared" si="10"/>
        <v>11016000</v>
      </c>
      <c r="AG49" s="25">
        <v>18</v>
      </c>
      <c r="AH49" s="51">
        <f t="shared" si="14"/>
        <v>90</v>
      </c>
      <c r="AI49" s="74">
        <f t="shared" si="41"/>
        <v>2.4283018867924527E-3</v>
      </c>
      <c r="AJ49" s="52">
        <f t="shared" si="15"/>
        <v>25.5</v>
      </c>
      <c r="AK49" s="53">
        <f t="shared" si="16"/>
        <v>122400</v>
      </c>
      <c r="AL49" s="54">
        <f t="shared" si="17"/>
        <v>11016000</v>
      </c>
      <c r="AW49" s="25">
        <v>18</v>
      </c>
      <c r="AX49" s="51">
        <f t="shared" si="21"/>
        <v>90</v>
      </c>
      <c r="AY49" s="74">
        <f t="shared" si="44"/>
        <v>2.2103773584905661E-3</v>
      </c>
      <c r="AZ49" s="52">
        <f t="shared" si="22"/>
        <v>25.5</v>
      </c>
      <c r="BA49" s="53">
        <f t="shared" si="23"/>
        <v>122400</v>
      </c>
      <c r="BB49" s="54">
        <f t="shared" si="24"/>
        <v>11016000</v>
      </c>
      <c r="BM49" s="25">
        <v>18</v>
      </c>
      <c r="BN49" s="51">
        <f t="shared" si="28"/>
        <v>114.5</v>
      </c>
      <c r="BO49" s="74">
        <f t="shared" si="47"/>
        <v>2.1449999999999998E-3</v>
      </c>
      <c r="BP49" s="52">
        <f t="shared" si="29"/>
        <v>25.5</v>
      </c>
      <c r="BQ49" s="53">
        <f t="shared" si="30"/>
        <v>108120</v>
      </c>
      <c r="BR49" s="54">
        <f t="shared" si="31"/>
        <v>12379740</v>
      </c>
    </row>
    <row r="50" spans="1:70">
      <c r="A50" s="25">
        <v>19</v>
      </c>
      <c r="B50" s="51">
        <f t="shared" si="0"/>
        <v>78</v>
      </c>
      <c r="C50" s="74">
        <f t="shared" si="35"/>
        <v>2.8392452830188677E-3</v>
      </c>
      <c r="D50" s="52">
        <f t="shared" si="1"/>
        <v>25.5</v>
      </c>
      <c r="E50" s="53">
        <f t="shared" si="2"/>
        <v>122400</v>
      </c>
      <c r="F50" s="54">
        <f t="shared" si="3"/>
        <v>9547200</v>
      </c>
      <c r="Q50" s="25">
        <v>19</v>
      </c>
      <c r="R50" s="51">
        <f t="shared" si="7"/>
        <v>78</v>
      </c>
      <c r="S50" s="74">
        <f t="shared" si="38"/>
        <v>2.608867924528302E-3</v>
      </c>
      <c r="T50" s="52">
        <f t="shared" si="8"/>
        <v>25.5</v>
      </c>
      <c r="U50" s="53">
        <f t="shared" si="9"/>
        <v>122400</v>
      </c>
      <c r="V50" s="54">
        <f t="shared" si="10"/>
        <v>9547200</v>
      </c>
      <c r="AG50" s="25">
        <v>19</v>
      </c>
      <c r="AH50" s="51">
        <f t="shared" si="14"/>
        <v>78</v>
      </c>
      <c r="AI50" s="74">
        <f t="shared" si="41"/>
        <v>2.3784905660377358E-3</v>
      </c>
      <c r="AJ50" s="52">
        <f t="shared" si="15"/>
        <v>25.5</v>
      </c>
      <c r="AK50" s="53">
        <f t="shared" si="16"/>
        <v>122400</v>
      </c>
      <c r="AL50" s="54">
        <f t="shared" si="17"/>
        <v>9547200</v>
      </c>
      <c r="AW50" s="25">
        <v>19</v>
      </c>
      <c r="AX50" s="51">
        <f t="shared" si="21"/>
        <v>78</v>
      </c>
      <c r="AY50" s="74">
        <f t="shared" si="44"/>
        <v>2.1481132075471697E-3</v>
      </c>
      <c r="AZ50" s="52">
        <f t="shared" si="22"/>
        <v>25.5</v>
      </c>
      <c r="BA50" s="53">
        <f t="shared" si="23"/>
        <v>122400</v>
      </c>
      <c r="BB50" s="54">
        <f t="shared" si="24"/>
        <v>9547200</v>
      </c>
      <c r="BM50" s="25">
        <v>19</v>
      </c>
      <c r="BN50" s="51">
        <f t="shared" si="28"/>
        <v>103.9</v>
      </c>
      <c r="BO50" s="74">
        <f t="shared" si="47"/>
        <v>2.0790000000000001E-3</v>
      </c>
      <c r="BP50" s="52">
        <f t="shared" si="29"/>
        <v>25.5</v>
      </c>
      <c r="BQ50" s="53">
        <f t="shared" si="30"/>
        <v>108120</v>
      </c>
      <c r="BR50" s="54">
        <f t="shared" si="31"/>
        <v>11233668</v>
      </c>
    </row>
    <row r="51" spans="1:70">
      <c r="A51" s="25">
        <v>20</v>
      </c>
      <c r="B51" s="51">
        <f t="shared" si="0"/>
        <v>66</v>
      </c>
      <c r="C51" s="74">
        <f t="shared" si="35"/>
        <v>2.814339622641509E-3</v>
      </c>
      <c r="D51" s="52">
        <f t="shared" si="1"/>
        <v>25.5</v>
      </c>
      <c r="E51" s="53">
        <f t="shared" si="2"/>
        <v>122400</v>
      </c>
      <c r="F51" s="54">
        <f t="shared" si="3"/>
        <v>8078400</v>
      </c>
      <c r="Q51" s="25">
        <v>20</v>
      </c>
      <c r="R51" s="51">
        <f t="shared" si="7"/>
        <v>66</v>
      </c>
      <c r="S51" s="74">
        <f t="shared" si="38"/>
        <v>2.5715094339622642E-3</v>
      </c>
      <c r="T51" s="52">
        <f t="shared" si="8"/>
        <v>25.5</v>
      </c>
      <c r="U51" s="53">
        <f t="shared" si="9"/>
        <v>122400</v>
      </c>
      <c r="V51" s="54">
        <f t="shared" si="10"/>
        <v>8078400</v>
      </c>
      <c r="AG51" s="25">
        <v>20</v>
      </c>
      <c r="AH51" s="51">
        <f t="shared" si="14"/>
        <v>66</v>
      </c>
      <c r="AI51" s="74">
        <f t="shared" si="41"/>
        <v>2.3286792452830189E-3</v>
      </c>
      <c r="AJ51" s="52">
        <f t="shared" si="15"/>
        <v>25.5</v>
      </c>
      <c r="AK51" s="53">
        <f t="shared" si="16"/>
        <v>122400</v>
      </c>
      <c r="AL51" s="54">
        <f t="shared" si="17"/>
        <v>8078400</v>
      </c>
      <c r="AW51" s="25">
        <v>20</v>
      </c>
      <c r="AX51" s="51">
        <f t="shared" si="21"/>
        <v>66</v>
      </c>
      <c r="AY51" s="74">
        <f t="shared" si="44"/>
        <v>2.0858490566037736E-3</v>
      </c>
      <c r="AZ51" s="52">
        <f t="shared" si="22"/>
        <v>25.5</v>
      </c>
      <c r="BA51" s="53">
        <f t="shared" si="23"/>
        <v>122400</v>
      </c>
      <c r="BB51" s="54">
        <f t="shared" si="24"/>
        <v>8078400</v>
      </c>
      <c r="BM51" s="25">
        <v>20</v>
      </c>
      <c r="BN51" s="51">
        <f t="shared" si="28"/>
        <v>93.300000000000011</v>
      </c>
      <c r="BO51" s="74">
        <f t="shared" si="47"/>
        <v>2.013E-3</v>
      </c>
      <c r="BP51" s="52">
        <f t="shared" si="29"/>
        <v>25.5</v>
      </c>
      <c r="BQ51" s="53">
        <f t="shared" si="30"/>
        <v>108120</v>
      </c>
      <c r="BR51" s="54">
        <f t="shared" si="31"/>
        <v>10087596.000000002</v>
      </c>
    </row>
    <row r="52" spans="1:70">
      <c r="A52" s="25">
        <v>21</v>
      </c>
      <c r="B52" s="51">
        <f t="shared" si="0"/>
        <v>54</v>
      </c>
      <c r="C52" s="74">
        <f t="shared" si="35"/>
        <v>2.7894339622641508E-3</v>
      </c>
      <c r="D52" s="52">
        <f t="shared" si="1"/>
        <v>25.5</v>
      </c>
      <c r="E52" s="53">
        <f t="shared" si="2"/>
        <v>122400</v>
      </c>
      <c r="F52" s="54">
        <f t="shared" si="3"/>
        <v>6609600</v>
      </c>
      <c r="Q52" s="25">
        <v>21</v>
      </c>
      <c r="R52" s="51">
        <f t="shared" si="7"/>
        <v>54</v>
      </c>
      <c r="S52" s="74">
        <f t="shared" si="38"/>
        <v>2.5341509433962264E-3</v>
      </c>
      <c r="T52" s="52">
        <f t="shared" si="8"/>
        <v>25.5</v>
      </c>
      <c r="U52" s="53">
        <f t="shared" si="9"/>
        <v>122400</v>
      </c>
      <c r="V52" s="54">
        <f t="shared" si="10"/>
        <v>6609600</v>
      </c>
      <c r="AG52" s="25">
        <v>21</v>
      </c>
      <c r="AH52" s="51">
        <f t="shared" si="14"/>
        <v>54</v>
      </c>
      <c r="AI52" s="74">
        <f t="shared" si="41"/>
        <v>2.278867924528302E-3</v>
      </c>
      <c r="AJ52" s="52">
        <f t="shared" si="15"/>
        <v>25.5</v>
      </c>
      <c r="AK52" s="53">
        <f t="shared" si="16"/>
        <v>122400</v>
      </c>
      <c r="AL52" s="54">
        <f t="shared" si="17"/>
        <v>6609600</v>
      </c>
      <c r="AW52" s="25">
        <v>21</v>
      </c>
      <c r="AX52" s="51">
        <f t="shared" si="21"/>
        <v>54</v>
      </c>
      <c r="AY52" s="74">
        <f t="shared" si="44"/>
        <v>2.0235849056603771E-3</v>
      </c>
      <c r="AZ52" s="52">
        <f t="shared" si="22"/>
        <v>25.5</v>
      </c>
      <c r="BA52" s="53">
        <f t="shared" si="23"/>
        <v>122400</v>
      </c>
      <c r="BB52" s="54">
        <f t="shared" si="24"/>
        <v>6609600</v>
      </c>
      <c r="BM52" s="25">
        <v>21</v>
      </c>
      <c r="BN52" s="51">
        <f t="shared" si="28"/>
        <v>82.700000000000017</v>
      </c>
      <c r="BO52" s="74">
        <f t="shared" si="47"/>
        <v>1.9469999999999999E-3</v>
      </c>
      <c r="BP52" s="52">
        <f t="shared" si="29"/>
        <v>25.482092624999996</v>
      </c>
      <c r="BQ52" s="53">
        <f t="shared" si="30"/>
        <v>108044.07272999999</v>
      </c>
      <c r="BR52" s="54">
        <f t="shared" si="31"/>
        <v>8935244.8147710003</v>
      </c>
    </row>
    <row r="53" spans="1:70">
      <c r="A53" s="25">
        <v>22</v>
      </c>
      <c r="B53" s="51">
        <f t="shared" si="0"/>
        <v>42</v>
      </c>
      <c r="C53" s="74">
        <f t="shared" si="35"/>
        <v>2.7645283018867921E-3</v>
      </c>
      <c r="D53" s="52">
        <f t="shared" si="1"/>
        <v>25.5</v>
      </c>
      <c r="E53" s="53">
        <f t="shared" si="2"/>
        <v>122400</v>
      </c>
      <c r="F53" s="54">
        <f t="shared" si="3"/>
        <v>5140800</v>
      </c>
      <c r="Q53" s="25">
        <v>22</v>
      </c>
      <c r="R53" s="51">
        <f t="shared" si="7"/>
        <v>42</v>
      </c>
      <c r="S53" s="74">
        <f t="shared" si="38"/>
        <v>2.4967924528301886E-3</v>
      </c>
      <c r="T53" s="52">
        <f t="shared" si="8"/>
        <v>25.5</v>
      </c>
      <c r="U53" s="53">
        <f t="shared" si="9"/>
        <v>122400</v>
      </c>
      <c r="V53" s="54">
        <f t="shared" si="10"/>
        <v>5140800</v>
      </c>
      <c r="AG53" s="25">
        <v>22</v>
      </c>
      <c r="AH53" s="51">
        <f t="shared" si="14"/>
        <v>42</v>
      </c>
      <c r="AI53" s="74">
        <f t="shared" si="41"/>
        <v>2.229056603773585E-3</v>
      </c>
      <c r="AJ53" s="52">
        <f t="shared" si="15"/>
        <v>25.5</v>
      </c>
      <c r="AK53" s="53">
        <f t="shared" si="16"/>
        <v>122400</v>
      </c>
      <c r="AL53" s="54">
        <f t="shared" si="17"/>
        <v>5140800</v>
      </c>
      <c r="AW53" s="25">
        <v>22</v>
      </c>
      <c r="AX53" s="51">
        <f t="shared" si="21"/>
        <v>42</v>
      </c>
      <c r="AY53" s="74">
        <f t="shared" si="44"/>
        <v>1.9613207547169811E-3</v>
      </c>
      <c r="AZ53" s="52">
        <f t="shared" si="22"/>
        <v>25.490462464400139</v>
      </c>
      <c r="BA53" s="53">
        <f t="shared" si="23"/>
        <v>122354.21982912067</v>
      </c>
      <c r="BB53" s="54">
        <f t="shared" si="24"/>
        <v>5138877.2328230683</v>
      </c>
      <c r="BM53" s="25">
        <v>22</v>
      </c>
      <c r="BN53" s="51">
        <f t="shared" si="28"/>
        <v>72.099999999999994</v>
      </c>
      <c r="BO53" s="74">
        <f t="shared" si="47"/>
        <v>1.8809999999999999E-3</v>
      </c>
      <c r="BP53" s="52">
        <f t="shared" si="29"/>
        <v>25.409723625000002</v>
      </c>
      <c r="BQ53" s="53">
        <f t="shared" si="30"/>
        <v>107737.22817</v>
      </c>
      <c r="BR53" s="54">
        <f t="shared" si="31"/>
        <v>7767854.1510569993</v>
      </c>
    </row>
    <row r="54" spans="1:70">
      <c r="A54" s="25">
        <v>23</v>
      </c>
      <c r="B54" s="51">
        <f t="shared" si="0"/>
        <v>30</v>
      </c>
      <c r="C54" s="74">
        <f t="shared" si="35"/>
        <v>2.7396226415094334E-3</v>
      </c>
      <c r="D54" s="52">
        <f t="shared" si="1"/>
        <v>25.5</v>
      </c>
      <c r="E54" s="53">
        <f t="shared" si="2"/>
        <v>122400</v>
      </c>
      <c r="F54" s="54">
        <f t="shared" si="3"/>
        <v>3672000</v>
      </c>
      <c r="Q54" s="25">
        <v>23</v>
      </c>
      <c r="R54" s="51">
        <f t="shared" si="7"/>
        <v>30</v>
      </c>
      <c r="S54" s="74">
        <f t="shared" si="38"/>
        <v>2.4594339622641512E-3</v>
      </c>
      <c r="T54" s="52">
        <f t="shared" si="8"/>
        <v>25.5</v>
      </c>
      <c r="U54" s="53">
        <f t="shared" si="9"/>
        <v>122400</v>
      </c>
      <c r="V54" s="54">
        <f t="shared" si="10"/>
        <v>3672000</v>
      </c>
      <c r="AG54" s="25">
        <v>23</v>
      </c>
      <c r="AH54" s="51">
        <f t="shared" si="14"/>
        <v>30</v>
      </c>
      <c r="AI54" s="74">
        <f t="shared" si="41"/>
        <v>2.1792452830188681E-3</v>
      </c>
      <c r="AJ54" s="52">
        <f t="shared" si="15"/>
        <v>25.5</v>
      </c>
      <c r="AK54" s="53">
        <f t="shared" si="16"/>
        <v>122400</v>
      </c>
      <c r="AL54" s="54">
        <f t="shared" si="17"/>
        <v>3672000</v>
      </c>
      <c r="AW54" s="25">
        <v>23</v>
      </c>
      <c r="AX54" s="51">
        <f t="shared" si="21"/>
        <v>30</v>
      </c>
      <c r="AY54" s="74">
        <f t="shared" si="44"/>
        <v>1.8990566037735848E-3</v>
      </c>
      <c r="AZ54" s="52">
        <f t="shared" si="22"/>
        <v>25.435041496084015</v>
      </c>
      <c r="BA54" s="53">
        <f t="shared" si="23"/>
        <v>122088.19918120326</v>
      </c>
      <c r="BB54" s="54">
        <f t="shared" si="24"/>
        <v>3662645.9754360979</v>
      </c>
      <c r="BM54" s="25">
        <v>23</v>
      </c>
      <c r="BN54" s="51">
        <f t="shared" si="28"/>
        <v>61.5</v>
      </c>
      <c r="BO54" s="74">
        <f t="shared" si="47"/>
        <v>1.815E-3</v>
      </c>
      <c r="BP54" s="52">
        <f t="shared" si="29"/>
        <v>25.281815625</v>
      </c>
      <c r="BQ54" s="53">
        <f t="shared" si="30"/>
        <v>107194.89825</v>
      </c>
      <c r="BR54" s="54">
        <f t="shared" si="31"/>
        <v>6592486.2423749994</v>
      </c>
    </row>
    <row r="55" spans="1:70">
      <c r="A55" s="25">
        <v>24</v>
      </c>
      <c r="B55" s="51">
        <f t="shared" si="0"/>
        <v>18</v>
      </c>
      <c r="C55" s="74">
        <f t="shared" si="35"/>
        <v>2.7147169811320752E-3</v>
      </c>
      <c r="D55" s="52">
        <f t="shared" si="1"/>
        <v>25.5</v>
      </c>
      <c r="E55" s="53">
        <f t="shared" si="2"/>
        <v>122400</v>
      </c>
      <c r="F55" s="54">
        <f t="shared" si="3"/>
        <v>2203200</v>
      </c>
      <c r="Q55" s="25">
        <v>24</v>
      </c>
      <c r="R55" s="51">
        <f t="shared" si="7"/>
        <v>18</v>
      </c>
      <c r="S55" s="74">
        <f t="shared" si="38"/>
        <v>2.4220754716981134E-3</v>
      </c>
      <c r="T55" s="52">
        <f t="shared" si="8"/>
        <v>25.5</v>
      </c>
      <c r="U55" s="53">
        <f t="shared" si="9"/>
        <v>122400</v>
      </c>
      <c r="V55" s="54">
        <f t="shared" si="10"/>
        <v>2203200</v>
      </c>
      <c r="AG55" s="25">
        <v>24</v>
      </c>
      <c r="AH55" s="51">
        <f t="shared" si="14"/>
        <v>18</v>
      </c>
      <c r="AI55" s="74">
        <f t="shared" si="41"/>
        <v>2.1294339622641512E-3</v>
      </c>
      <c r="AJ55" s="52">
        <f t="shared" si="15"/>
        <v>25.5</v>
      </c>
      <c r="AK55" s="53">
        <f t="shared" si="16"/>
        <v>122400</v>
      </c>
      <c r="AL55" s="54">
        <f t="shared" si="17"/>
        <v>2203200</v>
      </c>
      <c r="AW55" s="25">
        <v>24</v>
      </c>
      <c r="AX55" s="51">
        <f t="shared" si="21"/>
        <v>18</v>
      </c>
      <c r="AY55" s="74">
        <f t="shared" si="44"/>
        <v>1.8367924528301886E-3</v>
      </c>
      <c r="AZ55" s="52">
        <f t="shared" si="22"/>
        <v>25.330191015485937</v>
      </c>
      <c r="BA55" s="53">
        <f t="shared" si="23"/>
        <v>121584.9168743325</v>
      </c>
      <c r="BB55" s="54">
        <f t="shared" si="24"/>
        <v>2188528.5037379852</v>
      </c>
      <c r="BM55" s="25">
        <v>24</v>
      </c>
      <c r="BN55" s="51">
        <f t="shared" si="28"/>
        <v>50.900000000000006</v>
      </c>
      <c r="BO55" s="74">
        <f t="shared" si="47"/>
        <v>1.7490000000000001E-3</v>
      </c>
      <c r="BP55" s="52">
        <f t="shared" si="29"/>
        <v>25.098368625000003</v>
      </c>
      <c r="BQ55" s="53">
        <f t="shared" si="30"/>
        <v>106417.08297000002</v>
      </c>
      <c r="BR55" s="54">
        <f t="shared" si="31"/>
        <v>5416629.5231730016</v>
      </c>
    </row>
    <row r="56" spans="1:70">
      <c r="A56" s="25">
        <v>25</v>
      </c>
      <c r="B56" s="51">
        <f t="shared" si="0"/>
        <v>6</v>
      </c>
      <c r="C56" s="74">
        <f t="shared" si="35"/>
        <v>2.6898113207547165E-3</v>
      </c>
      <c r="D56" s="52">
        <f t="shared" si="1"/>
        <v>25.5</v>
      </c>
      <c r="E56" s="53">
        <f t="shared" si="2"/>
        <v>122400</v>
      </c>
      <c r="F56" s="54">
        <f t="shared" si="3"/>
        <v>734400</v>
      </c>
      <c r="Q56" s="25">
        <v>25</v>
      </c>
      <c r="R56" s="51">
        <f t="shared" si="7"/>
        <v>6</v>
      </c>
      <c r="S56" s="74">
        <f t="shared" si="38"/>
        <v>2.3847169811320756E-3</v>
      </c>
      <c r="T56" s="52">
        <f t="shared" si="8"/>
        <v>25.5</v>
      </c>
      <c r="U56" s="53">
        <f t="shared" si="9"/>
        <v>122400</v>
      </c>
      <c r="V56" s="54">
        <f t="shared" si="10"/>
        <v>734400</v>
      </c>
      <c r="AG56" s="25">
        <v>25</v>
      </c>
      <c r="AH56" s="51">
        <f t="shared" si="14"/>
        <v>6</v>
      </c>
      <c r="AI56" s="74">
        <f t="shared" si="41"/>
        <v>2.0796226415094343E-3</v>
      </c>
      <c r="AJ56" s="52">
        <f t="shared" si="15"/>
        <v>25.5</v>
      </c>
      <c r="AK56" s="53">
        <f t="shared" si="16"/>
        <v>122400</v>
      </c>
      <c r="AL56" s="54">
        <f t="shared" si="17"/>
        <v>734400</v>
      </c>
      <c r="AW56" s="25">
        <v>25</v>
      </c>
      <c r="AX56" s="51">
        <f t="shared" si="21"/>
        <v>6</v>
      </c>
      <c r="AY56" s="74">
        <f t="shared" si="44"/>
        <v>1.7745283018867923E-3</v>
      </c>
      <c r="AZ56" s="52">
        <f t="shared" si="22"/>
        <v>25.175911022605909</v>
      </c>
      <c r="BA56" s="53">
        <f t="shared" si="23"/>
        <v>120844.37290850836</v>
      </c>
      <c r="BB56" s="54">
        <f t="shared" si="24"/>
        <v>725066.2374510502</v>
      </c>
      <c r="BM56" s="25">
        <v>25</v>
      </c>
      <c r="BN56" s="51">
        <f t="shared" si="28"/>
        <v>40.300000000000011</v>
      </c>
      <c r="BO56" s="74">
        <f t="shared" si="47"/>
        <v>1.683E-3</v>
      </c>
      <c r="BP56" s="52">
        <f t="shared" si="29"/>
        <v>24.859382625000002</v>
      </c>
      <c r="BQ56" s="53">
        <f t="shared" si="30"/>
        <v>105403.78233</v>
      </c>
      <c r="BR56" s="54">
        <f t="shared" si="31"/>
        <v>4247772.4278990012</v>
      </c>
    </row>
    <row r="57" spans="1:70">
      <c r="A57" s="25">
        <v>26</v>
      </c>
      <c r="B57" s="51">
        <f t="shared" si="0"/>
        <v>-6</v>
      </c>
      <c r="C57" s="74">
        <f t="shared" si="35"/>
        <v>2.6649056603773582E-3</v>
      </c>
      <c r="D57" s="52">
        <f t="shared" si="1"/>
        <v>25.5</v>
      </c>
      <c r="E57" s="53">
        <f t="shared" si="2"/>
        <v>122400</v>
      </c>
      <c r="F57" s="54">
        <f t="shared" si="3"/>
        <v>-734400</v>
      </c>
      <c r="Q57" s="25">
        <v>26</v>
      </c>
      <c r="R57" s="51">
        <f t="shared" si="7"/>
        <v>-6</v>
      </c>
      <c r="S57" s="74">
        <f t="shared" si="38"/>
        <v>2.3473584905660378E-3</v>
      </c>
      <c r="T57" s="52">
        <f t="shared" si="8"/>
        <v>25.5</v>
      </c>
      <c r="U57" s="53">
        <f t="shared" si="9"/>
        <v>122400</v>
      </c>
      <c r="V57" s="54">
        <f t="shared" si="10"/>
        <v>-734400</v>
      </c>
      <c r="AG57" s="25">
        <v>26</v>
      </c>
      <c r="AH57" s="51">
        <f t="shared" si="14"/>
        <v>-6</v>
      </c>
      <c r="AI57" s="74">
        <f t="shared" si="41"/>
        <v>2.0298113207547169E-3</v>
      </c>
      <c r="AJ57" s="52">
        <f t="shared" si="15"/>
        <v>25.5</v>
      </c>
      <c r="AK57" s="53">
        <f t="shared" si="16"/>
        <v>122400</v>
      </c>
      <c r="AL57" s="54">
        <f t="shared" si="17"/>
        <v>-734400</v>
      </c>
      <c r="AW57" s="25">
        <v>26</v>
      </c>
      <c r="AX57" s="51">
        <f t="shared" si="21"/>
        <v>-6</v>
      </c>
      <c r="AY57" s="74">
        <f t="shared" si="44"/>
        <v>1.7122641509433963E-3</v>
      </c>
      <c r="AZ57" s="52">
        <f t="shared" si="22"/>
        <v>24.972201517443928</v>
      </c>
      <c r="BA57" s="53">
        <f t="shared" si="23"/>
        <v>119866.56728373085</v>
      </c>
      <c r="BB57" s="54">
        <f t="shared" si="24"/>
        <v>-719199.40370238514</v>
      </c>
      <c r="BM57" s="25">
        <v>26</v>
      </c>
      <c r="BN57" s="51">
        <f t="shared" si="28"/>
        <v>29.699999999999989</v>
      </c>
      <c r="BO57" s="74">
        <f t="shared" si="47"/>
        <v>1.6169999999999999E-3</v>
      </c>
      <c r="BP57" s="52">
        <f t="shared" si="29"/>
        <v>24.564857624999998</v>
      </c>
      <c r="BQ57" s="53">
        <f t="shared" si="30"/>
        <v>104154.99632999999</v>
      </c>
      <c r="BR57" s="54">
        <f t="shared" si="31"/>
        <v>3093403.3910009987</v>
      </c>
    </row>
    <row r="58" spans="1:70">
      <c r="A58" s="25">
        <v>27</v>
      </c>
      <c r="B58" s="51">
        <f t="shared" si="0"/>
        <v>-18</v>
      </c>
      <c r="C58" s="74">
        <f t="shared" si="35"/>
        <v>2.6399999999999996E-3</v>
      </c>
      <c r="D58" s="52">
        <f t="shared" si="1"/>
        <v>25.5</v>
      </c>
      <c r="E58" s="53">
        <f t="shared" si="2"/>
        <v>122400</v>
      </c>
      <c r="F58" s="54">
        <f t="shared" si="3"/>
        <v>-2203200</v>
      </c>
      <c r="Q58" s="25">
        <v>27</v>
      </c>
      <c r="R58" s="51">
        <f t="shared" si="7"/>
        <v>-18</v>
      </c>
      <c r="S58" s="74">
        <f t="shared" si="38"/>
        <v>2.31E-3</v>
      </c>
      <c r="T58" s="52">
        <f t="shared" si="8"/>
        <v>25.5</v>
      </c>
      <c r="U58" s="53">
        <f t="shared" si="9"/>
        <v>122400</v>
      </c>
      <c r="V58" s="54">
        <f t="shared" si="10"/>
        <v>-2203200</v>
      </c>
      <c r="AG58" s="25">
        <v>27</v>
      </c>
      <c r="AH58" s="51">
        <f t="shared" si="14"/>
        <v>-18</v>
      </c>
      <c r="AI58" s="74">
        <f t="shared" si="41"/>
        <v>1.98E-3</v>
      </c>
      <c r="AJ58" s="52">
        <f t="shared" si="15"/>
        <v>25.497450000000001</v>
      </c>
      <c r="AK58" s="53">
        <f t="shared" si="16"/>
        <v>122387.76000000001</v>
      </c>
      <c r="AL58" s="54">
        <f t="shared" si="17"/>
        <v>-2202979.6800000002</v>
      </c>
      <c r="AW58" s="25">
        <v>27</v>
      </c>
      <c r="AX58" s="51">
        <f t="shared" si="21"/>
        <v>-18</v>
      </c>
      <c r="AY58" s="74">
        <f t="shared" si="44"/>
        <v>1.65E-3</v>
      </c>
      <c r="AZ58" s="52">
        <f t="shared" si="22"/>
        <v>24.719062499999996</v>
      </c>
      <c r="BA58" s="53">
        <f t="shared" si="23"/>
        <v>118651.49999999999</v>
      </c>
      <c r="BB58" s="54">
        <f t="shared" si="24"/>
        <v>-2135726.9999999995</v>
      </c>
      <c r="BM58" s="25">
        <v>27</v>
      </c>
      <c r="BN58" s="51">
        <f t="shared" si="28"/>
        <v>19.100000000000023</v>
      </c>
      <c r="BO58" s="74">
        <f t="shared" si="47"/>
        <v>1.5510000000000001E-3</v>
      </c>
      <c r="BP58" s="52">
        <f t="shared" si="29"/>
        <v>24.214793625000002</v>
      </c>
      <c r="BQ58" s="53">
        <f t="shared" si="30"/>
        <v>102670.72497000001</v>
      </c>
      <c r="BR58" s="54">
        <f t="shared" si="31"/>
        <v>1961010.8469270025</v>
      </c>
    </row>
    <row r="59" spans="1:70">
      <c r="A59" s="25">
        <v>28</v>
      </c>
      <c r="B59" s="51">
        <f t="shared" si="0"/>
        <v>-30</v>
      </c>
      <c r="C59" s="74">
        <f t="shared" si="35"/>
        <v>2.6150943396226413E-3</v>
      </c>
      <c r="D59" s="52">
        <f t="shared" si="1"/>
        <v>25.5</v>
      </c>
      <c r="E59" s="53">
        <f t="shared" si="2"/>
        <v>122400</v>
      </c>
      <c r="F59" s="54">
        <f t="shared" si="3"/>
        <v>-3672000</v>
      </c>
      <c r="Q59" s="25">
        <v>28</v>
      </c>
      <c r="R59" s="51">
        <f t="shared" si="7"/>
        <v>-30</v>
      </c>
      <c r="S59" s="74">
        <f t="shared" si="38"/>
        <v>2.2726415094339622E-3</v>
      </c>
      <c r="T59" s="52">
        <f t="shared" si="8"/>
        <v>25.5</v>
      </c>
      <c r="U59" s="53">
        <f t="shared" si="9"/>
        <v>122400</v>
      </c>
      <c r="V59" s="54">
        <f t="shared" si="10"/>
        <v>-3672000</v>
      </c>
      <c r="AG59" s="25">
        <v>28</v>
      </c>
      <c r="AH59" s="51">
        <f t="shared" si="14"/>
        <v>-30</v>
      </c>
      <c r="AI59" s="74">
        <f t="shared" si="41"/>
        <v>1.9301886792452831E-3</v>
      </c>
      <c r="AJ59" s="52">
        <f t="shared" si="15"/>
        <v>25.468930669277324</v>
      </c>
      <c r="AK59" s="53">
        <f t="shared" si="16"/>
        <v>122250.86721253116</v>
      </c>
      <c r="AL59" s="54">
        <f t="shared" si="17"/>
        <v>-3667526.0163759347</v>
      </c>
      <c r="AW59" s="25">
        <v>28</v>
      </c>
      <c r="AX59" s="51">
        <f t="shared" si="21"/>
        <v>-30</v>
      </c>
      <c r="AY59" s="74">
        <f t="shared" si="44"/>
        <v>1.5877358490566037E-3</v>
      </c>
      <c r="AZ59" s="52">
        <f t="shared" si="22"/>
        <v>24.416493970274118</v>
      </c>
      <c r="BA59" s="53">
        <f t="shared" si="23"/>
        <v>117199.17105731576</v>
      </c>
      <c r="BB59" s="54">
        <f t="shared" si="24"/>
        <v>-3515975.1317194728</v>
      </c>
      <c r="BM59" s="25">
        <v>28</v>
      </c>
      <c r="BN59" s="51">
        <f t="shared" si="28"/>
        <v>8.5</v>
      </c>
      <c r="BO59" s="74">
        <f t="shared" si="47"/>
        <v>1.485E-3</v>
      </c>
      <c r="BP59" s="52">
        <f t="shared" si="29"/>
        <v>23.809190624999999</v>
      </c>
      <c r="BQ59" s="53">
        <f t="shared" si="30"/>
        <v>100950.96824999999</v>
      </c>
      <c r="BR59" s="54">
        <f t="shared" si="31"/>
        <v>858083.23012499989</v>
      </c>
    </row>
    <row r="60" spans="1:70">
      <c r="A60" s="25">
        <v>29</v>
      </c>
      <c r="B60" s="51">
        <f t="shared" si="0"/>
        <v>-42</v>
      </c>
      <c r="C60" s="74">
        <f t="shared" si="35"/>
        <v>2.5901886792452826E-3</v>
      </c>
      <c r="D60" s="52">
        <f t="shared" si="1"/>
        <v>25.5</v>
      </c>
      <c r="E60" s="53">
        <f t="shared" si="2"/>
        <v>122400</v>
      </c>
      <c r="F60" s="54">
        <f t="shared" si="3"/>
        <v>-5140800</v>
      </c>
      <c r="Q60" s="25">
        <v>29</v>
      </c>
      <c r="R60" s="51">
        <f t="shared" si="7"/>
        <v>-42</v>
      </c>
      <c r="S60" s="74">
        <f t="shared" si="38"/>
        <v>2.2352830188679248E-3</v>
      </c>
      <c r="T60" s="52">
        <f t="shared" si="8"/>
        <v>25.5</v>
      </c>
      <c r="U60" s="53">
        <f t="shared" si="9"/>
        <v>122400</v>
      </c>
      <c r="V60" s="54">
        <f t="shared" si="10"/>
        <v>-5140800</v>
      </c>
      <c r="AG60" s="25">
        <v>29</v>
      </c>
      <c r="AH60" s="51">
        <f t="shared" si="14"/>
        <v>-42</v>
      </c>
      <c r="AI60" s="74">
        <f t="shared" si="41"/>
        <v>1.8803773584905661E-3</v>
      </c>
      <c r="AJ60" s="52">
        <f t="shared" si="15"/>
        <v>25.408776450694194</v>
      </c>
      <c r="AK60" s="53">
        <f t="shared" si="16"/>
        <v>121962.12696333214</v>
      </c>
      <c r="AL60" s="54">
        <f t="shared" si="17"/>
        <v>-5122409.3324599499</v>
      </c>
      <c r="AW60" s="25">
        <v>29</v>
      </c>
      <c r="AX60" s="51">
        <f t="shared" si="21"/>
        <v>-42</v>
      </c>
      <c r="AY60" s="74">
        <f t="shared" si="44"/>
        <v>1.5254716981132075E-3</v>
      </c>
      <c r="AZ60" s="52">
        <f t="shared" si="22"/>
        <v>24.064495928266286</v>
      </c>
      <c r="BA60" s="53">
        <f t="shared" si="23"/>
        <v>115509.58045567817</v>
      </c>
      <c r="BB60" s="54">
        <f t="shared" si="24"/>
        <v>-4851402.3791384827</v>
      </c>
      <c r="BM60" s="25">
        <v>29</v>
      </c>
      <c r="BN60" s="51">
        <f t="shared" si="28"/>
        <v>-2.0999999999999659</v>
      </c>
      <c r="BO60" s="74">
        <f t="shared" si="47"/>
        <v>1.4190000000000001E-3</v>
      </c>
      <c r="BP60" s="52">
        <f t="shared" si="29"/>
        <v>23.348048625000001</v>
      </c>
      <c r="BQ60" s="53">
        <f t="shared" si="30"/>
        <v>98995.726170000009</v>
      </c>
      <c r="BR60" s="54">
        <f t="shared" si="31"/>
        <v>-207891.02495699664</v>
      </c>
    </row>
    <row r="61" spans="1:70">
      <c r="A61" s="25">
        <v>30</v>
      </c>
      <c r="B61" s="51">
        <f t="shared" si="0"/>
        <v>-54</v>
      </c>
      <c r="C61" s="74">
        <f t="shared" si="35"/>
        <v>2.5652830188679239E-3</v>
      </c>
      <c r="D61" s="52">
        <f t="shared" si="1"/>
        <v>25.5</v>
      </c>
      <c r="E61" s="53">
        <f t="shared" si="2"/>
        <v>122400</v>
      </c>
      <c r="F61" s="54">
        <f t="shared" si="3"/>
        <v>-6609600</v>
      </c>
      <c r="Q61" s="25">
        <v>30</v>
      </c>
      <c r="R61" s="51">
        <f t="shared" si="7"/>
        <v>-54</v>
      </c>
      <c r="S61" s="74">
        <f t="shared" si="38"/>
        <v>2.197924528301887E-3</v>
      </c>
      <c r="T61" s="52">
        <f t="shared" si="8"/>
        <v>25.5</v>
      </c>
      <c r="U61" s="53">
        <f t="shared" si="9"/>
        <v>122400</v>
      </c>
      <c r="V61" s="54">
        <f t="shared" si="10"/>
        <v>-6609600</v>
      </c>
      <c r="AG61" s="25">
        <v>30</v>
      </c>
      <c r="AH61" s="51">
        <f t="shared" si="14"/>
        <v>-54</v>
      </c>
      <c r="AI61" s="74">
        <f t="shared" si="41"/>
        <v>1.8305660377358492E-3</v>
      </c>
      <c r="AJ61" s="52">
        <f t="shared" si="15"/>
        <v>25.31698734425062</v>
      </c>
      <c r="AK61" s="53">
        <f t="shared" si="16"/>
        <v>121521.53925240297</v>
      </c>
      <c r="AL61" s="54">
        <f t="shared" si="17"/>
        <v>-6562163.1196297603</v>
      </c>
      <c r="AW61" s="25">
        <v>30</v>
      </c>
      <c r="AX61" s="51">
        <f t="shared" si="21"/>
        <v>-54</v>
      </c>
      <c r="AY61" s="74">
        <f t="shared" si="44"/>
        <v>1.4632075471698112E-3</v>
      </c>
      <c r="AZ61" s="52">
        <f t="shared" si="22"/>
        <v>23.663068373976504</v>
      </c>
      <c r="BA61" s="53">
        <f t="shared" si="23"/>
        <v>113582.72819508721</v>
      </c>
      <c r="BB61" s="54">
        <f t="shared" si="24"/>
        <v>-6133467.3225347092</v>
      </c>
      <c r="BM61" s="25">
        <v>30</v>
      </c>
      <c r="BN61" s="51">
        <f t="shared" si="28"/>
        <v>-12.699999999999989</v>
      </c>
      <c r="BO61" s="74">
        <f t="shared" si="47"/>
        <v>1.353E-3</v>
      </c>
      <c r="BP61" s="52">
        <f t="shared" si="29"/>
        <v>22.831367624999999</v>
      </c>
      <c r="BQ61" s="53">
        <f t="shared" si="30"/>
        <v>96804.998729999992</v>
      </c>
      <c r="BR61" s="54">
        <f t="shared" si="31"/>
        <v>-1229423.4838709987</v>
      </c>
    </row>
    <row r="62" spans="1:70">
      <c r="A62" s="25">
        <v>31</v>
      </c>
      <c r="B62" s="51">
        <f t="shared" si="0"/>
        <v>-66</v>
      </c>
      <c r="C62" s="74">
        <f t="shared" si="35"/>
        <v>2.5403773584905657E-3</v>
      </c>
      <c r="D62" s="52">
        <f t="shared" si="1"/>
        <v>25.5</v>
      </c>
      <c r="E62" s="53">
        <f t="shared" si="2"/>
        <v>122400</v>
      </c>
      <c r="F62" s="54">
        <f t="shared" si="3"/>
        <v>-8078400</v>
      </c>
      <c r="Q62" s="25">
        <v>31</v>
      </c>
      <c r="R62" s="51">
        <f t="shared" si="7"/>
        <v>-66</v>
      </c>
      <c r="S62" s="74">
        <f t="shared" si="38"/>
        <v>2.1605660377358492E-3</v>
      </c>
      <c r="T62" s="52">
        <f t="shared" si="8"/>
        <v>25.5</v>
      </c>
      <c r="U62" s="53">
        <f t="shared" si="9"/>
        <v>122400</v>
      </c>
      <c r="V62" s="54">
        <f t="shared" si="10"/>
        <v>-8078400</v>
      </c>
      <c r="AG62" s="25">
        <v>31</v>
      </c>
      <c r="AH62" s="51">
        <f t="shared" si="14"/>
        <v>-66</v>
      </c>
      <c r="AI62" s="74">
        <f t="shared" si="41"/>
        <v>1.7807547169811323E-3</v>
      </c>
      <c r="AJ62" s="52">
        <f t="shared" si="15"/>
        <v>25.193563349946601</v>
      </c>
      <c r="AK62" s="53">
        <f t="shared" si="16"/>
        <v>120929.10407974369</v>
      </c>
      <c r="AL62" s="54">
        <f t="shared" si="17"/>
        <v>-7981320.8692630837</v>
      </c>
      <c r="AW62" s="25">
        <v>31</v>
      </c>
      <c r="AX62" s="51">
        <f t="shared" si="21"/>
        <v>-66</v>
      </c>
      <c r="AY62" s="74">
        <f t="shared" si="44"/>
        <v>1.4009433962264149E-3</v>
      </c>
      <c r="AZ62" s="52">
        <f t="shared" si="22"/>
        <v>23.212211307404768</v>
      </c>
      <c r="BA62" s="53">
        <f t="shared" si="23"/>
        <v>111418.61427554289</v>
      </c>
      <c r="BB62" s="54">
        <f t="shared" si="24"/>
        <v>-7353628.5421858309</v>
      </c>
      <c r="BM62" s="25">
        <v>31</v>
      </c>
      <c r="BN62" s="51">
        <f t="shared" si="28"/>
        <v>-23.300000000000011</v>
      </c>
      <c r="BO62" s="74">
        <f t="shared" si="47"/>
        <v>1.2869999999999999E-3</v>
      </c>
      <c r="BP62" s="52">
        <f t="shared" si="29"/>
        <v>22.259147624999997</v>
      </c>
      <c r="BQ62" s="53">
        <f t="shared" si="30"/>
        <v>94378.785929999984</v>
      </c>
      <c r="BR62" s="54">
        <f t="shared" si="31"/>
        <v>-2199025.7121690009</v>
      </c>
    </row>
    <row r="63" spans="1:70">
      <c r="A63" s="25">
        <v>32</v>
      </c>
      <c r="B63" s="51">
        <f t="shared" si="0"/>
        <v>-78</v>
      </c>
      <c r="C63" s="74">
        <f t="shared" si="35"/>
        <v>2.515471698113207E-3</v>
      </c>
      <c r="D63" s="52">
        <f t="shared" si="1"/>
        <v>25.5</v>
      </c>
      <c r="E63" s="53">
        <f t="shared" si="2"/>
        <v>122400</v>
      </c>
      <c r="F63" s="54">
        <f t="shared" si="3"/>
        <v>-9547200</v>
      </c>
      <c r="Q63" s="25">
        <v>32</v>
      </c>
      <c r="R63" s="51">
        <f t="shared" si="7"/>
        <v>-78</v>
      </c>
      <c r="S63" s="74">
        <f t="shared" si="38"/>
        <v>2.1232075471698114E-3</v>
      </c>
      <c r="T63" s="52">
        <f t="shared" si="8"/>
        <v>25.5</v>
      </c>
      <c r="U63" s="53">
        <f t="shared" si="9"/>
        <v>122400</v>
      </c>
      <c r="V63" s="54">
        <f t="shared" si="10"/>
        <v>-9547200</v>
      </c>
      <c r="AG63" s="25">
        <v>32</v>
      </c>
      <c r="AH63" s="51">
        <f t="shared" si="14"/>
        <v>-78</v>
      </c>
      <c r="AI63" s="74">
        <f t="shared" si="41"/>
        <v>1.7309433962264152E-3</v>
      </c>
      <c r="AJ63" s="52">
        <f t="shared" si="15"/>
        <v>25.038504467782129</v>
      </c>
      <c r="AK63" s="53">
        <f t="shared" si="16"/>
        <v>120184.82144535422</v>
      </c>
      <c r="AL63" s="54">
        <f t="shared" si="17"/>
        <v>-9374416.0727376286</v>
      </c>
      <c r="AW63" s="25">
        <v>32</v>
      </c>
      <c r="AX63" s="51">
        <f t="shared" si="21"/>
        <v>-78</v>
      </c>
      <c r="AY63" s="74">
        <f t="shared" si="44"/>
        <v>1.3386792452830189E-3</v>
      </c>
      <c r="AZ63" s="52">
        <f t="shared" si="22"/>
        <v>22.711924728551086</v>
      </c>
      <c r="BA63" s="53">
        <f t="shared" si="23"/>
        <v>109017.23869704521</v>
      </c>
      <c r="BB63" s="54">
        <f t="shared" si="24"/>
        <v>-8503344.6183695253</v>
      </c>
      <c r="BM63" s="25">
        <v>32</v>
      </c>
      <c r="BN63" s="51">
        <f t="shared" si="28"/>
        <v>-33.899999999999977</v>
      </c>
      <c r="BO63" s="74">
        <f t="shared" si="47"/>
        <v>1.2210000000000001E-3</v>
      </c>
      <c r="BP63" s="52">
        <f t="shared" si="29"/>
        <v>21.631388625</v>
      </c>
      <c r="BQ63" s="53">
        <f t="shared" si="30"/>
        <v>91717.087769999998</v>
      </c>
      <c r="BR63" s="54">
        <f t="shared" si="31"/>
        <v>-3109209.2754029981</v>
      </c>
    </row>
    <row r="64" spans="1:70">
      <c r="A64" s="25">
        <v>33</v>
      </c>
      <c r="B64" s="51">
        <f t="shared" ref="B64:B81" si="50">h/2-($A64-0.5)*G$24</f>
        <v>-90</v>
      </c>
      <c r="C64" s="74">
        <f t="shared" si="35"/>
        <v>2.4905660377358488E-3</v>
      </c>
      <c r="D64" s="52">
        <f t="shared" ref="D64:D81" si="51">+IF(C64&gt;=0,IF(C64&lt;=eco,1-(1-C64/eco)^n,1),0)*0.85*fck</f>
        <v>25.5</v>
      </c>
      <c r="E64" s="53">
        <f t="shared" ref="E64:E81" si="52">+D64*G$26</f>
        <v>122400</v>
      </c>
      <c r="F64" s="54">
        <f t="shared" ref="F64:F81" si="53">+E64*B64</f>
        <v>-11016000</v>
      </c>
      <c r="Q64" s="25">
        <v>33</v>
      </c>
      <c r="R64" s="51">
        <f t="shared" ref="R64:R81" si="54">h/2-($Q64-0.5)*W$24</f>
        <v>-90</v>
      </c>
      <c r="S64" s="74">
        <f t="shared" si="38"/>
        <v>2.0858490566037736E-3</v>
      </c>
      <c r="T64" s="52">
        <f t="shared" si="8"/>
        <v>25.5</v>
      </c>
      <c r="U64" s="53">
        <f t="shared" ref="U64:U81" si="55">+T64*W$26</f>
        <v>122400</v>
      </c>
      <c r="V64" s="54">
        <f t="shared" ref="V64:V81" si="56">+U64*R64</f>
        <v>-11016000</v>
      </c>
      <c r="AG64" s="25">
        <v>33</v>
      </c>
      <c r="AH64" s="51">
        <f t="shared" ref="AH64:AH81" si="57">h/2-($AG64-0.5)*AM$24</f>
        <v>-90</v>
      </c>
      <c r="AI64" s="74">
        <f t="shared" si="41"/>
        <v>1.6811320754716982E-3</v>
      </c>
      <c r="AJ64" s="52">
        <f t="shared" si="15"/>
        <v>24.851810697757209</v>
      </c>
      <c r="AK64" s="53">
        <f t="shared" ref="AK64:AK81" si="58">+AJ64*AM$26</f>
        <v>119288.69134923461</v>
      </c>
      <c r="AL64" s="54">
        <f t="shared" ref="AL64:AL81" si="59">+AK64*AH64</f>
        <v>-10735982.221431114</v>
      </c>
      <c r="AW64" s="25">
        <v>33</v>
      </c>
      <c r="AX64" s="51">
        <f t="shared" ref="AX64:AX81" si="60">h/2-($AW64-0.5)*BC$24</f>
        <v>-90</v>
      </c>
      <c r="AY64" s="74">
        <f t="shared" si="44"/>
        <v>1.2764150943396226E-3</v>
      </c>
      <c r="AZ64" s="52">
        <f t="shared" si="22"/>
        <v>22.16220863741545</v>
      </c>
      <c r="BA64" s="53">
        <f t="shared" ref="BA64:BA81" si="61">+AZ64*BC$26</f>
        <v>106378.60145959415</v>
      </c>
      <c r="BB64" s="54">
        <f t="shared" ref="BB64:BB81" si="62">+BA64*AX64</f>
        <v>-9574074.1313634738</v>
      </c>
      <c r="BM64" s="25">
        <v>33</v>
      </c>
      <c r="BN64" s="51">
        <f t="shared" ref="BN64:BN81" si="63">h/2-($BM64-0.5)*BS$24</f>
        <v>-44.5</v>
      </c>
      <c r="BO64" s="74">
        <f t="shared" si="47"/>
        <v>1.155E-3</v>
      </c>
      <c r="BP64" s="52">
        <f t="shared" si="29"/>
        <v>20.948090624999999</v>
      </c>
      <c r="BQ64" s="53">
        <f t="shared" ref="BQ64:BQ81" si="64">+BP64*BS$26</f>
        <v>88819.904249999992</v>
      </c>
      <c r="BR64" s="54">
        <f t="shared" ref="BR64:BR81" si="65">+BQ64*BN64</f>
        <v>-3952485.7391249998</v>
      </c>
    </row>
    <row r="65" spans="1:70">
      <c r="A65" s="25">
        <v>34</v>
      </c>
      <c r="B65" s="51">
        <f t="shared" si="50"/>
        <v>-102</v>
      </c>
      <c r="C65" s="74">
        <f t="shared" si="35"/>
        <v>2.4656603773584901E-3</v>
      </c>
      <c r="D65" s="52">
        <f t="shared" si="51"/>
        <v>25.5</v>
      </c>
      <c r="E65" s="53">
        <f t="shared" si="52"/>
        <v>122400</v>
      </c>
      <c r="F65" s="54">
        <f t="shared" si="53"/>
        <v>-12484800</v>
      </c>
      <c r="Q65" s="25">
        <v>34</v>
      </c>
      <c r="R65" s="51">
        <f t="shared" si="54"/>
        <v>-102</v>
      </c>
      <c r="S65" s="74">
        <f t="shared" si="38"/>
        <v>2.0484905660377358E-3</v>
      </c>
      <c r="T65" s="52">
        <f t="shared" si="8"/>
        <v>25.5</v>
      </c>
      <c r="U65" s="53">
        <f t="shared" si="55"/>
        <v>122400</v>
      </c>
      <c r="V65" s="54">
        <f t="shared" si="56"/>
        <v>-12484800</v>
      </c>
      <c r="AG65" s="25">
        <v>34</v>
      </c>
      <c r="AH65" s="51">
        <f t="shared" si="57"/>
        <v>-102</v>
      </c>
      <c r="AI65" s="74">
        <f t="shared" si="41"/>
        <v>1.6313207547169813E-3</v>
      </c>
      <c r="AJ65" s="52">
        <f t="shared" si="15"/>
        <v>24.63348203987184</v>
      </c>
      <c r="AK65" s="53">
        <f t="shared" si="58"/>
        <v>118240.71379138483</v>
      </c>
      <c r="AL65" s="54">
        <f t="shared" si="59"/>
        <v>-12060552.806721251</v>
      </c>
      <c r="AW65" s="25">
        <v>34</v>
      </c>
      <c r="AX65" s="51">
        <f t="shared" si="60"/>
        <v>-102</v>
      </c>
      <c r="AY65" s="74">
        <f t="shared" si="44"/>
        <v>1.2141509433962264E-3</v>
      </c>
      <c r="AZ65" s="52">
        <f t="shared" si="22"/>
        <v>21.56306303399786</v>
      </c>
      <c r="BA65" s="53">
        <f t="shared" si="61"/>
        <v>103502.70256318973</v>
      </c>
      <c r="BB65" s="54">
        <f t="shared" si="62"/>
        <v>-10557275.661445351</v>
      </c>
      <c r="BM65" s="25">
        <v>34</v>
      </c>
      <c r="BN65" s="51">
        <f t="shared" si="63"/>
        <v>-55.099999999999966</v>
      </c>
      <c r="BO65" s="74">
        <f t="shared" si="47"/>
        <v>1.0890000000000001E-3</v>
      </c>
      <c r="BP65" s="52">
        <f t="shared" si="29"/>
        <v>20.209253625000002</v>
      </c>
      <c r="BQ65" s="53">
        <f t="shared" si="64"/>
        <v>85687.235370000009</v>
      </c>
      <c r="BR65" s="54">
        <f t="shared" si="65"/>
        <v>-4721366.6688869977</v>
      </c>
    </row>
    <row r="66" spans="1:70">
      <c r="A66" s="25">
        <v>35</v>
      </c>
      <c r="B66" s="51">
        <f t="shared" si="50"/>
        <v>-114</v>
      </c>
      <c r="C66" s="74">
        <f t="shared" si="35"/>
        <v>2.4407547169811319E-3</v>
      </c>
      <c r="D66" s="52">
        <f t="shared" si="51"/>
        <v>25.5</v>
      </c>
      <c r="E66" s="53">
        <f t="shared" si="52"/>
        <v>122400</v>
      </c>
      <c r="F66" s="54">
        <f t="shared" si="53"/>
        <v>-13953600</v>
      </c>
      <c r="Q66" s="25">
        <v>35</v>
      </c>
      <c r="R66" s="51">
        <f t="shared" si="54"/>
        <v>-114</v>
      </c>
      <c r="S66" s="74">
        <f t="shared" si="38"/>
        <v>2.011132075471698E-3</v>
      </c>
      <c r="T66" s="52">
        <f t="shared" si="8"/>
        <v>25.5</v>
      </c>
      <c r="U66" s="53">
        <f t="shared" si="55"/>
        <v>122400</v>
      </c>
      <c r="V66" s="54">
        <f t="shared" si="56"/>
        <v>-13953600</v>
      </c>
      <c r="AG66" s="25">
        <v>35</v>
      </c>
      <c r="AH66" s="51">
        <f t="shared" si="57"/>
        <v>-114</v>
      </c>
      <c r="AI66" s="74">
        <f t="shared" si="41"/>
        <v>1.5815094339622642E-3</v>
      </c>
      <c r="AJ66" s="52">
        <f t="shared" si="15"/>
        <v>24.383518494126022</v>
      </c>
      <c r="AK66" s="53">
        <f t="shared" si="58"/>
        <v>117040.88877180491</v>
      </c>
      <c r="AL66" s="54">
        <f t="shared" si="59"/>
        <v>-13342661.31998576</v>
      </c>
      <c r="AW66" s="25">
        <v>35</v>
      </c>
      <c r="AX66" s="51">
        <f t="shared" si="60"/>
        <v>-114</v>
      </c>
      <c r="AY66" s="74">
        <f t="shared" si="44"/>
        <v>1.1518867924528301E-3</v>
      </c>
      <c r="AZ66" s="52">
        <f t="shared" si="22"/>
        <v>20.914487918298324</v>
      </c>
      <c r="BA66" s="53">
        <f t="shared" si="61"/>
        <v>100389.54200783196</v>
      </c>
      <c r="BB66" s="54">
        <f t="shared" si="62"/>
        <v>-11444407.788892843</v>
      </c>
      <c r="BM66" s="25">
        <v>35</v>
      </c>
      <c r="BN66" s="51">
        <f t="shared" si="63"/>
        <v>-65.699999999999989</v>
      </c>
      <c r="BO66" s="74">
        <f t="shared" si="47"/>
        <v>1.023E-3</v>
      </c>
      <c r="BP66" s="52">
        <f t="shared" si="29"/>
        <v>19.414877624999999</v>
      </c>
      <c r="BQ66" s="53">
        <f t="shared" si="64"/>
        <v>82319.081129999991</v>
      </c>
      <c r="BR66" s="54">
        <f t="shared" si="65"/>
        <v>-5408363.6302409982</v>
      </c>
    </row>
    <row r="67" spans="1:70">
      <c r="A67" s="25">
        <v>36</v>
      </c>
      <c r="B67" s="51">
        <f t="shared" si="50"/>
        <v>-126</v>
      </c>
      <c r="C67" s="74">
        <f t="shared" si="35"/>
        <v>2.4158490566037732E-3</v>
      </c>
      <c r="D67" s="52">
        <f t="shared" si="51"/>
        <v>25.5</v>
      </c>
      <c r="E67" s="53">
        <f t="shared" si="52"/>
        <v>122400</v>
      </c>
      <c r="F67" s="54">
        <f t="shared" si="53"/>
        <v>-15422400</v>
      </c>
      <c r="Q67" s="25">
        <v>36</v>
      </c>
      <c r="R67" s="51">
        <f t="shared" si="54"/>
        <v>-126</v>
      </c>
      <c r="S67" s="74">
        <f t="shared" si="38"/>
        <v>1.9737735849056606E-3</v>
      </c>
      <c r="T67" s="52">
        <f t="shared" si="8"/>
        <v>25.495615116589533</v>
      </c>
      <c r="U67" s="53">
        <f t="shared" si="55"/>
        <v>122378.95255962976</v>
      </c>
      <c r="V67" s="54">
        <f t="shared" si="56"/>
        <v>-15419748.02251335</v>
      </c>
      <c r="AG67" s="25">
        <v>36</v>
      </c>
      <c r="AH67" s="51">
        <f t="shared" si="57"/>
        <v>-126</v>
      </c>
      <c r="AI67" s="74">
        <f t="shared" si="41"/>
        <v>1.5316981132075472E-3</v>
      </c>
      <c r="AJ67" s="52">
        <f t="shared" si="15"/>
        <v>24.10192006051976</v>
      </c>
      <c r="AK67" s="53">
        <f t="shared" si="58"/>
        <v>115689.21629049485</v>
      </c>
      <c r="AL67" s="54">
        <f t="shared" si="59"/>
        <v>-14576841.252602352</v>
      </c>
      <c r="AW67" s="25">
        <v>36</v>
      </c>
      <c r="AX67" s="51">
        <f t="shared" si="60"/>
        <v>-126</v>
      </c>
      <c r="AY67" s="74">
        <f t="shared" si="44"/>
        <v>1.0896226415094338E-3</v>
      </c>
      <c r="AZ67" s="52">
        <f t="shared" si="22"/>
        <v>20.216483290316837</v>
      </c>
      <c r="BA67" s="53">
        <f t="shared" si="61"/>
        <v>97039.119793520818</v>
      </c>
      <c r="BB67" s="54">
        <f t="shared" si="62"/>
        <v>-12226929.093983622</v>
      </c>
      <c r="BM67" s="25">
        <v>36</v>
      </c>
      <c r="BN67" s="51">
        <f t="shared" si="63"/>
        <v>-76.300000000000011</v>
      </c>
      <c r="BO67" s="74">
        <f t="shared" si="47"/>
        <v>9.5699999999999995E-4</v>
      </c>
      <c r="BP67" s="52">
        <f t="shared" si="29"/>
        <v>18.564962625</v>
      </c>
      <c r="BQ67" s="53">
        <f t="shared" si="64"/>
        <v>78715.441529999996</v>
      </c>
      <c r="BR67" s="54">
        <f t="shared" si="65"/>
        <v>-6005988.1887390008</v>
      </c>
    </row>
    <row r="68" spans="1:70">
      <c r="A68" s="25">
        <v>37</v>
      </c>
      <c r="B68" s="51">
        <f t="shared" si="50"/>
        <v>-138</v>
      </c>
      <c r="C68" s="74">
        <f t="shared" si="35"/>
        <v>2.3909433962264149E-3</v>
      </c>
      <c r="D68" s="52">
        <f t="shared" si="51"/>
        <v>25.5</v>
      </c>
      <c r="E68" s="53">
        <f t="shared" si="52"/>
        <v>122400</v>
      </c>
      <c r="F68" s="54">
        <f t="shared" si="53"/>
        <v>-16891200</v>
      </c>
      <c r="Q68" s="25">
        <v>37</v>
      </c>
      <c r="R68" s="51">
        <f t="shared" si="54"/>
        <v>-138</v>
      </c>
      <c r="S68" s="74">
        <f t="shared" si="38"/>
        <v>1.9364150943396228E-3</v>
      </c>
      <c r="T68" s="52">
        <f t="shared" si="8"/>
        <v>25.474225618547525</v>
      </c>
      <c r="U68" s="53">
        <f t="shared" si="55"/>
        <v>122276.28296902812</v>
      </c>
      <c r="V68" s="54">
        <f t="shared" si="56"/>
        <v>-16874127.049725879</v>
      </c>
      <c r="AG68" s="25">
        <v>37</v>
      </c>
      <c r="AH68" s="51">
        <f t="shared" si="57"/>
        <v>-138</v>
      </c>
      <c r="AI68" s="74">
        <f t="shared" si="41"/>
        <v>1.4818867924528303E-3</v>
      </c>
      <c r="AJ68" s="52">
        <f t="shared" si="15"/>
        <v>23.788686739053045</v>
      </c>
      <c r="AK68" s="53">
        <f t="shared" si="58"/>
        <v>114185.69634745462</v>
      </c>
      <c r="AL68" s="54">
        <f t="shared" si="59"/>
        <v>-15757626.095948737</v>
      </c>
      <c r="AW68" s="25">
        <v>37</v>
      </c>
      <c r="AX68" s="51">
        <f t="shared" si="60"/>
        <v>-138</v>
      </c>
      <c r="AY68" s="74">
        <f t="shared" si="44"/>
        <v>1.0273584905660378E-3</v>
      </c>
      <c r="AZ68" s="52">
        <f t="shared" si="22"/>
        <v>19.469049150053397</v>
      </c>
      <c r="BA68" s="53">
        <f t="shared" si="61"/>
        <v>93451.435920256306</v>
      </c>
      <c r="BB68" s="54">
        <f t="shared" si="62"/>
        <v>-12896298.156995371</v>
      </c>
      <c r="BM68" s="25">
        <v>37</v>
      </c>
      <c r="BN68" s="51">
        <f t="shared" si="63"/>
        <v>-86.899999999999977</v>
      </c>
      <c r="BO68" s="74">
        <f t="shared" si="47"/>
        <v>8.9100000000000019E-4</v>
      </c>
      <c r="BP68" s="52">
        <f t="shared" si="29"/>
        <v>17.659508625000001</v>
      </c>
      <c r="BQ68" s="53">
        <f t="shared" si="64"/>
        <v>74876.31657000001</v>
      </c>
      <c r="BR68" s="54">
        <f t="shared" si="65"/>
        <v>-6506751.9099329989</v>
      </c>
    </row>
    <row r="69" spans="1:70">
      <c r="A69" s="25">
        <v>38</v>
      </c>
      <c r="B69" s="51">
        <f t="shared" si="50"/>
        <v>-150</v>
      </c>
      <c r="C69" s="74">
        <f t="shared" si="35"/>
        <v>2.3660377358490563E-3</v>
      </c>
      <c r="D69" s="52">
        <f t="shared" si="51"/>
        <v>25.5</v>
      </c>
      <c r="E69" s="53">
        <f t="shared" si="52"/>
        <v>122400</v>
      </c>
      <c r="F69" s="54">
        <f t="shared" si="53"/>
        <v>-18360000</v>
      </c>
      <c r="Q69" s="25">
        <v>38</v>
      </c>
      <c r="R69" s="51">
        <f t="shared" si="54"/>
        <v>-150</v>
      </c>
      <c r="S69" s="74">
        <f t="shared" si="38"/>
        <v>1.899056603773585E-3</v>
      </c>
      <c r="T69" s="52">
        <f t="shared" si="8"/>
        <v>25.435041496084015</v>
      </c>
      <c r="U69" s="53">
        <f t="shared" si="55"/>
        <v>122088.19918120326</v>
      </c>
      <c r="V69" s="54">
        <f t="shared" si="56"/>
        <v>-18313229.877180491</v>
      </c>
      <c r="AG69" s="25">
        <v>38</v>
      </c>
      <c r="AH69" s="51">
        <f t="shared" si="57"/>
        <v>-150</v>
      </c>
      <c r="AI69" s="74">
        <f t="shared" si="41"/>
        <v>1.4320754716981134E-3</v>
      </c>
      <c r="AJ69" s="52">
        <f t="shared" si="15"/>
        <v>23.443818529725881</v>
      </c>
      <c r="AK69" s="53">
        <f t="shared" si="58"/>
        <v>112530.32894268422</v>
      </c>
      <c r="AL69" s="54">
        <f t="shared" si="59"/>
        <v>-16879549.341402635</v>
      </c>
      <c r="AW69" s="25">
        <v>38</v>
      </c>
      <c r="AX69" s="51">
        <f t="shared" si="60"/>
        <v>-150</v>
      </c>
      <c r="AY69" s="74">
        <f t="shared" si="44"/>
        <v>9.6509433962264142E-4</v>
      </c>
      <c r="AZ69" s="52">
        <f t="shared" si="22"/>
        <v>18.672185497508007</v>
      </c>
      <c r="BA69" s="53">
        <f t="shared" si="61"/>
        <v>89626.490388038437</v>
      </c>
      <c r="BB69" s="54">
        <f t="shared" si="62"/>
        <v>-13443973.558205765</v>
      </c>
      <c r="BM69" s="25">
        <v>38</v>
      </c>
      <c r="BN69" s="51">
        <f t="shared" si="63"/>
        <v>-97.5</v>
      </c>
      <c r="BO69" s="74">
        <f t="shared" si="47"/>
        <v>8.25E-4</v>
      </c>
      <c r="BP69" s="52">
        <f t="shared" si="29"/>
        <v>16.698515624999995</v>
      </c>
      <c r="BQ69" s="53">
        <f t="shared" si="64"/>
        <v>70801.706249999974</v>
      </c>
      <c r="BR69" s="54">
        <f t="shared" si="65"/>
        <v>-6903166.3593749972</v>
      </c>
    </row>
    <row r="70" spans="1:70">
      <c r="A70" s="25">
        <v>39</v>
      </c>
      <c r="B70" s="51">
        <f t="shared" si="50"/>
        <v>-162</v>
      </c>
      <c r="C70" s="74">
        <f t="shared" si="35"/>
        <v>2.3411320754716976E-3</v>
      </c>
      <c r="D70" s="52">
        <f t="shared" si="51"/>
        <v>25.5</v>
      </c>
      <c r="E70" s="53">
        <f t="shared" si="52"/>
        <v>122400</v>
      </c>
      <c r="F70" s="54">
        <f t="shared" si="53"/>
        <v>-19828800</v>
      </c>
      <c r="Q70" s="25">
        <v>39</v>
      </c>
      <c r="R70" s="51">
        <f t="shared" si="54"/>
        <v>-162</v>
      </c>
      <c r="S70" s="74">
        <f t="shared" si="38"/>
        <v>1.8616981132075472E-3</v>
      </c>
      <c r="T70" s="52">
        <f t="shared" si="8"/>
        <v>25.378062749199003</v>
      </c>
      <c r="U70" s="53">
        <f t="shared" si="55"/>
        <v>121814.70119615522</v>
      </c>
      <c r="V70" s="54">
        <f t="shared" si="56"/>
        <v>-19733981.593777146</v>
      </c>
      <c r="AG70" s="25">
        <v>39</v>
      </c>
      <c r="AH70" s="51">
        <f t="shared" si="57"/>
        <v>-162</v>
      </c>
      <c r="AI70" s="74">
        <f t="shared" si="41"/>
        <v>1.3822641509433965E-3</v>
      </c>
      <c r="AJ70" s="52">
        <f t="shared" si="15"/>
        <v>23.067315432538269</v>
      </c>
      <c r="AK70" s="53">
        <f t="shared" si="58"/>
        <v>110723.11407618369</v>
      </c>
      <c r="AL70" s="54">
        <f t="shared" si="59"/>
        <v>-17937144.480341759</v>
      </c>
      <c r="AW70" s="25">
        <v>39</v>
      </c>
      <c r="AX70" s="51">
        <f t="shared" si="60"/>
        <v>-162</v>
      </c>
      <c r="AY70" s="74">
        <f t="shared" si="44"/>
        <v>9.0283018867924516E-4</v>
      </c>
      <c r="AZ70" s="52">
        <f t="shared" si="22"/>
        <v>17.825892332680667</v>
      </c>
      <c r="BA70" s="53">
        <f t="shared" si="61"/>
        <v>85564.283196867196</v>
      </c>
      <c r="BB70" s="54">
        <f t="shared" si="62"/>
        <v>-13861413.877892485</v>
      </c>
      <c r="BM70" s="25">
        <v>39</v>
      </c>
      <c r="BN70" s="51">
        <f t="shared" si="63"/>
        <v>-108.09999999999997</v>
      </c>
      <c r="BO70" s="74">
        <f t="shared" si="47"/>
        <v>7.5900000000000023E-4</v>
      </c>
      <c r="BP70" s="52">
        <f t="shared" si="29"/>
        <v>15.681983625000006</v>
      </c>
      <c r="BQ70" s="53">
        <f t="shared" si="64"/>
        <v>66491.610570000033</v>
      </c>
      <c r="BR70" s="54">
        <f t="shared" si="65"/>
        <v>-7187743.1026170012</v>
      </c>
    </row>
    <row r="71" spans="1:70">
      <c r="A71" s="25">
        <v>40</v>
      </c>
      <c r="B71" s="51">
        <f t="shared" si="50"/>
        <v>-174</v>
      </c>
      <c r="C71" s="74">
        <f t="shared" si="35"/>
        <v>2.3162264150943393E-3</v>
      </c>
      <c r="D71" s="52">
        <f t="shared" si="51"/>
        <v>25.5</v>
      </c>
      <c r="E71" s="53">
        <f t="shared" si="52"/>
        <v>122400</v>
      </c>
      <c r="F71" s="54">
        <f t="shared" si="53"/>
        <v>-21297600</v>
      </c>
      <c r="Q71" s="25">
        <v>40</v>
      </c>
      <c r="R71" s="51">
        <f t="shared" si="54"/>
        <v>-174</v>
      </c>
      <c r="S71" s="74">
        <f t="shared" si="38"/>
        <v>1.8243396226415094E-3</v>
      </c>
      <c r="T71" s="52">
        <f t="shared" si="8"/>
        <v>25.30328937789249</v>
      </c>
      <c r="U71" s="53">
        <f t="shared" si="55"/>
        <v>121455.78901388396</v>
      </c>
      <c r="V71" s="54">
        <f t="shared" si="56"/>
        <v>-21133307.288415808</v>
      </c>
      <c r="AG71" s="25">
        <v>40</v>
      </c>
      <c r="AH71" s="51">
        <f t="shared" si="57"/>
        <v>-174</v>
      </c>
      <c r="AI71" s="74">
        <f t="shared" si="41"/>
        <v>1.3324528301886793E-3</v>
      </c>
      <c r="AJ71" s="52">
        <f t="shared" si="15"/>
        <v>22.659177447490212</v>
      </c>
      <c r="AK71" s="53">
        <f t="shared" si="58"/>
        <v>108764.05174795301</v>
      </c>
      <c r="AL71" s="54">
        <f t="shared" si="59"/>
        <v>-18924945.004143823</v>
      </c>
      <c r="AW71" s="25">
        <v>40</v>
      </c>
      <c r="AX71" s="51">
        <f t="shared" si="60"/>
        <v>-174</v>
      </c>
      <c r="AY71" s="74">
        <f t="shared" si="44"/>
        <v>8.4056603773584901E-4</v>
      </c>
      <c r="AZ71" s="52">
        <f t="shared" si="22"/>
        <v>16.93016965557138</v>
      </c>
      <c r="BA71" s="53">
        <f t="shared" si="61"/>
        <v>81264.814346742627</v>
      </c>
      <c r="BB71" s="54">
        <f t="shared" si="62"/>
        <v>-14140077.696333217</v>
      </c>
      <c r="BM71" s="25">
        <v>40</v>
      </c>
      <c r="BN71" s="51">
        <f t="shared" si="63"/>
        <v>-118.69999999999999</v>
      </c>
      <c r="BO71" s="74">
        <f t="shared" si="47"/>
        <v>6.9300000000000004E-4</v>
      </c>
      <c r="BP71" s="52">
        <f t="shared" si="29"/>
        <v>14.609912625</v>
      </c>
      <c r="BQ71" s="53">
        <f t="shared" si="64"/>
        <v>61946.02953</v>
      </c>
      <c r="BR71" s="54">
        <f t="shared" si="65"/>
        <v>-7352993.7052109996</v>
      </c>
    </row>
    <row r="72" spans="1:70">
      <c r="A72" s="25">
        <v>41</v>
      </c>
      <c r="B72" s="51">
        <f t="shared" si="50"/>
        <v>-186</v>
      </c>
      <c r="C72" s="74">
        <f t="shared" si="35"/>
        <v>2.2913207547169807E-3</v>
      </c>
      <c r="D72" s="52">
        <f t="shared" si="51"/>
        <v>25.5</v>
      </c>
      <c r="E72" s="53">
        <f t="shared" si="52"/>
        <v>122400</v>
      </c>
      <c r="F72" s="54">
        <f t="shared" si="53"/>
        <v>-22766400</v>
      </c>
      <c r="Q72" s="25">
        <v>41</v>
      </c>
      <c r="R72" s="51">
        <f t="shared" si="54"/>
        <v>-186</v>
      </c>
      <c r="S72" s="74">
        <f t="shared" si="38"/>
        <v>1.7869811320754719E-3</v>
      </c>
      <c r="T72" s="52">
        <f t="shared" si="8"/>
        <v>25.210721382164472</v>
      </c>
      <c r="U72" s="53">
        <f t="shared" si="55"/>
        <v>121011.46263438946</v>
      </c>
      <c r="V72" s="54">
        <f t="shared" si="56"/>
        <v>-22508132.049996439</v>
      </c>
      <c r="AG72" s="25">
        <v>41</v>
      </c>
      <c r="AH72" s="51">
        <f t="shared" si="57"/>
        <v>-186</v>
      </c>
      <c r="AI72" s="74">
        <f t="shared" si="41"/>
        <v>1.2826415094339624E-3</v>
      </c>
      <c r="AJ72" s="52">
        <f t="shared" si="15"/>
        <v>22.219404574581702</v>
      </c>
      <c r="AK72" s="53">
        <f t="shared" si="58"/>
        <v>106653.14195799216</v>
      </c>
      <c r="AL72" s="54">
        <f t="shared" si="59"/>
        <v>-19837484.404186543</v>
      </c>
      <c r="AW72" s="25">
        <v>41</v>
      </c>
      <c r="AX72" s="51">
        <f t="shared" si="60"/>
        <v>-186</v>
      </c>
      <c r="AY72" s="74">
        <f t="shared" si="44"/>
        <v>7.7830188679245274E-4</v>
      </c>
      <c r="AZ72" s="52">
        <f t="shared" si="22"/>
        <v>15.985017466180134</v>
      </c>
      <c r="BA72" s="53">
        <f t="shared" si="61"/>
        <v>76728.083837664642</v>
      </c>
      <c r="BB72" s="54">
        <f t="shared" si="62"/>
        <v>-14271423.593805624</v>
      </c>
      <c r="BM72" s="25">
        <v>41</v>
      </c>
      <c r="BN72" s="51">
        <f t="shared" si="63"/>
        <v>-129.30000000000001</v>
      </c>
      <c r="BO72" s="74">
        <f t="shared" si="47"/>
        <v>6.2699999999999995E-4</v>
      </c>
      <c r="BP72" s="52">
        <f t="shared" si="29"/>
        <v>13.482302624999997</v>
      </c>
      <c r="BQ72" s="53">
        <f t="shared" si="64"/>
        <v>57164.963129999989</v>
      </c>
      <c r="BR72" s="54">
        <f t="shared" si="65"/>
        <v>-7391429.732708999</v>
      </c>
    </row>
    <row r="73" spans="1:70">
      <c r="A73" s="25">
        <v>42</v>
      </c>
      <c r="B73" s="51">
        <f t="shared" si="50"/>
        <v>-198</v>
      </c>
      <c r="C73" s="74">
        <f t="shared" si="35"/>
        <v>2.2664150943396224E-3</v>
      </c>
      <c r="D73" s="52">
        <f t="shared" si="51"/>
        <v>25.5</v>
      </c>
      <c r="E73" s="53">
        <f t="shared" si="52"/>
        <v>122400</v>
      </c>
      <c r="F73" s="54">
        <f t="shared" si="53"/>
        <v>-24235200</v>
      </c>
      <c r="Q73" s="25">
        <v>42</v>
      </c>
      <c r="R73" s="51">
        <f t="shared" si="54"/>
        <v>-198</v>
      </c>
      <c r="S73" s="74">
        <f t="shared" si="38"/>
        <v>1.7496226415094341E-3</v>
      </c>
      <c r="T73" s="52">
        <f t="shared" si="8"/>
        <v>25.100358762014952</v>
      </c>
      <c r="U73" s="53">
        <f t="shared" si="55"/>
        <v>120481.72205767177</v>
      </c>
      <c r="V73" s="54">
        <f t="shared" si="56"/>
        <v>-23855380.96741901</v>
      </c>
      <c r="AG73" s="25">
        <v>42</v>
      </c>
      <c r="AH73" s="51">
        <f t="shared" si="57"/>
        <v>-198</v>
      </c>
      <c r="AI73" s="74">
        <f t="shared" si="41"/>
        <v>1.2328301886792453E-3</v>
      </c>
      <c r="AJ73" s="52">
        <f t="shared" si="15"/>
        <v>21.747996813812744</v>
      </c>
      <c r="AK73" s="53">
        <f t="shared" si="58"/>
        <v>104390.38470630118</v>
      </c>
      <c r="AL73" s="54">
        <f t="shared" si="59"/>
        <v>-20669296.171847634</v>
      </c>
      <c r="AW73" s="25">
        <v>42</v>
      </c>
      <c r="AX73" s="51">
        <f t="shared" si="60"/>
        <v>-198</v>
      </c>
      <c r="AY73" s="74">
        <f t="shared" si="44"/>
        <v>7.1603773584905648E-4</v>
      </c>
      <c r="AZ73" s="52">
        <f t="shared" si="22"/>
        <v>14.990435764506937</v>
      </c>
      <c r="BA73" s="53">
        <f t="shared" si="61"/>
        <v>71954.091669633301</v>
      </c>
      <c r="BB73" s="54">
        <f t="shared" si="62"/>
        <v>-14246910.150587393</v>
      </c>
      <c r="BM73" s="25">
        <v>42</v>
      </c>
      <c r="BN73" s="51">
        <f t="shared" si="63"/>
        <v>-139.89999999999998</v>
      </c>
      <c r="BO73" s="74">
        <f t="shared" si="47"/>
        <v>5.6100000000000019E-4</v>
      </c>
      <c r="BP73" s="52">
        <f t="shared" si="29"/>
        <v>12.299153625000004</v>
      </c>
      <c r="BQ73" s="53">
        <f t="shared" si="64"/>
        <v>52148.411370000016</v>
      </c>
      <c r="BR73" s="54">
        <f t="shared" si="65"/>
        <v>-7295562.7506630011</v>
      </c>
    </row>
    <row r="74" spans="1:70">
      <c r="A74" s="25">
        <v>43</v>
      </c>
      <c r="B74" s="51">
        <f t="shared" si="50"/>
        <v>-210</v>
      </c>
      <c r="C74" s="74">
        <f t="shared" si="35"/>
        <v>2.2415094339622637E-3</v>
      </c>
      <c r="D74" s="52">
        <f t="shared" si="51"/>
        <v>25.5</v>
      </c>
      <c r="E74" s="53">
        <f t="shared" si="52"/>
        <v>122400</v>
      </c>
      <c r="F74" s="54">
        <f t="shared" si="53"/>
        <v>-25704000</v>
      </c>
      <c r="Q74" s="25">
        <v>43</v>
      </c>
      <c r="R74" s="51">
        <f t="shared" si="54"/>
        <v>-210</v>
      </c>
      <c r="S74" s="74">
        <f t="shared" si="38"/>
        <v>1.7122641509433965E-3</v>
      </c>
      <c r="T74" s="52">
        <f t="shared" si="8"/>
        <v>24.972201517443928</v>
      </c>
      <c r="U74" s="53">
        <f t="shared" si="55"/>
        <v>119866.56728373085</v>
      </c>
      <c r="V74" s="54">
        <f t="shared" si="56"/>
        <v>-25171979.129583478</v>
      </c>
      <c r="AG74" s="25">
        <v>43</v>
      </c>
      <c r="AH74" s="51">
        <f t="shared" si="57"/>
        <v>-210</v>
      </c>
      <c r="AI74" s="74">
        <f t="shared" si="41"/>
        <v>1.1830188679245283E-3</v>
      </c>
      <c r="AJ74" s="52">
        <f t="shared" si="15"/>
        <v>21.244954165183341</v>
      </c>
      <c r="AK74" s="53">
        <f t="shared" si="58"/>
        <v>101975.77999288004</v>
      </c>
      <c r="AL74" s="54">
        <f t="shared" si="59"/>
        <v>-21414913.798504807</v>
      </c>
      <c r="AW74" s="25">
        <v>43</v>
      </c>
      <c r="AX74" s="51">
        <f t="shared" si="60"/>
        <v>-210</v>
      </c>
      <c r="AY74" s="74">
        <f t="shared" si="44"/>
        <v>6.5377358490566022E-4</v>
      </c>
      <c r="AZ74" s="52">
        <f t="shared" si="22"/>
        <v>13.946424550551791</v>
      </c>
      <c r="BA74" s="53">
        <f t="shared" si="61"/>
        <v>66942.837842648602</v>
      </c>
      <c r="BB74" s="54">
        <f t="shared" si="62"/>
        <v>-14057995.946956206</v>
      </c>
      <c r="BM74" s="25">
        <v>43</v>
      </c>
      <c r="BN74" s="51">
        <f t="shared" si="63"/>
        <v>-150.5</v>
      </c>
      <c r="BO74" s="74">
        <f t="shared" si="47"/>
        <v>4.95E-4</v>
      </c>
      <c r="BP74" s="52">
        <f t="shared" si="29"/>
        <v>11.060465625000003</v>
      </c>
      <c r="BQ74" s="53">
        <f t="shared" si="64"/>
        <v>46896.374250000008</v>
      </c>
      <c r="BR74" s="54">
        <f t="shared" si="65"/>
        <v>-7057904.3246250013</v>
      </c>
    </row>
    <row r="75" spans="1:70">
      <c r="A75" s="25">
        <v>44</v>
      </c>
      <c r="B75" s="51">
        <f t="shared" si="50"/>
        <v>-222</v>
      </c>
      <c r="C75" s="74">
        <f t="shared" si="35"/>
        <v>2.2166037735849055E-3</v>
      </c>
      <c r="D75" s="52">
        <f t="shared" si="51"/>
        <v>25.5</v>
      </c>
      <c r="E75" s="53">
        <f t="shared" si="52"/>
        <v>122400</v>
      </c>
      <c r="F75" s="54">
        <f t="shared" si="53"/>
        <v>-27172800</v>
      </c>
      <c r="Q75" s="25">
        <v>44</v>
      </c>
      <c r="R75" s="51">
        <f t="shared" si="54"/>
        <v>-222</v>
      </c>
      <c r="S75" s="74">
        <f t="shared" si="38"/>
        <v>1.6749056603773587E-3</v>
      </c>
      <c r="T75" s="52">
        <f t="shared" si="8"/>
        <v>24.826249648451405</v>
      </c>
      <c r="U75" s="53">
        <f t="shared" si="55"/>
        <v>119165.99831256675</v>
      </c>
      <c r="V75" s="54">
        <f t="shared" si="56"/>
        <v>-26454851.625389818</v>
      </c>
      <c r="AG75" s="25">
        <v>44</v>
      </c>
      <c r="AH75" s="51">
        <f t="shared" si="57"/>
        <v>-222</v>
      </c>
      <c r="AI75" s="74">
        <f t="shared" si="41"/>
        <v>1.1332075471698114E-3</v>
      </c>
      <c r="AJ75" s="52">
        <f t="shared" si="15"/>
        <v>20.710276628693485</v>
      </c>
      <c r="AK75" s="53">
        <f t="shared" si="58"/>
        <v>99409.327817728728</v>
      </c>
      <c r="AL75" s="54">
        <f t="shared" si="59"/>
        <v>-22068870.775535777</v>
      </c>
      <c r="AW75" s="25">
        <v>44</v>
      </c>
      <c r="AX75" s="51">
        <f t="shared" si="60"/>
        <v>-222</v>
      </c>
      <c r="AY75" s="74">
        <f t="shared" si="44"/>
        <v>5.9150943396226396E-4</v>
      </c>
      <c r="AZ75" s="52">
        <f t="shared" si="22"/>
        <v>12.852983824314698</v>
      </c>
      <c r="BA75" s="53">
        <f t="shared" si="61"/>
        <v>61694.322356710552</v>
      </c>
      <c r="BB75" s="54">
        <f t="shared" si="62"/>
        <v>-13696139.563189743</v>
      </c>
      <c r="BM75" s="25">
        <v>44</v>
      </c>
      <c r="BN75" s="51">
        <f t="shared" si="63"/>
        <v>-161.09999999999997</v>
      </c>
      <c r="BO75" s="74">
        <f t="shared" si="47"/>
        <v>4.2900000000000034E-4</v>
      </c>
      <c r="BP75" s="52">
        <f t="shared" si="29"/>
        <v>9.7662386250000068</v>
      </c>
      <c r="BQ75" s="53">
        <f t="shared" si="64"/>
        <v>41408.85177000003</v>
      </c>
      <c r="BR75" s="54">
        <f t="shared" si="65"/>
        <v>-6670966.0201470032</v>
      </c>
    </row>
    <row r="76" spans="1:70">
      <c r="A76" s="25">
        <v>45</v>
      </c>
      <c r="B76" s="51">
        <f t="shared" si="50"/>
        <v>-234</v>
      </c>
      <c r="C76" s="74">
        <f t="shared" si="35"/>
        <v>2.1916981132075468E-3</v>
      </c>
      <c r="D76" s="52">
        <f t="shared" si="51"/>
        <v>25.5</v>
      </c>
      <c r="E76" s="53">
        <f t="shared" si="52"/>
        <v>122400</v>
      </c>
      <c r="F76" s="54">
        <f t="shared" si="53"/>
        <v>-28641600</v>
      </c>
      <c r="Q76" s="25">
        <v>45</v>
      </c>
      <c r="R76" s="51">
        <f t="shared" si="54"/>
        <v>-234</v>
      </c>
      <c r="S76" s="74">
        <f t="shared" si="38"/>
        <v>1.6375471698113209E-3</v>
      </c>
      <c r="T76" s="52">
        <f t="shared" si="8"/>
        <v>24.662503155037381</v>
      </c>
      <c r="U76" s="53">
        <f t="shared" si="55"/>
        <v>118380.01514417943</v>
      </c>
      <c r="V76" s="54">
        <f t="shared" si="56"/>
        <v>-27700923.543737985</v>
      </c>
      <c r="AG76" s="25">
        <v>45</v>
      </c>
      <c r="AH76" s="51">
        <f t="shared" si="57"/>
        <v>-234</v>
      </c>
      <c r="AI76" s="74">
        <f t="shared" si="41"/>
        <v>1.0833962264150945E-3</v>
      </c>
      <c r="AJ76" s="52">
        <f t="shared" si="15"/>
        <v>20.143964204343185</v>
      </c>
      <c r="AK76" s="53">
        <f t="shared" si="58"/>
        <v>96691.028180847279</v>
      </c>
      <c r="AL76" s="54">
        <f t="shared" si="59"/>
        <v>-22625700.594318263</v>
      </c>
      <c r="AW76" s="25">
        <v>45</v>
      </c>
      <c r="AX76" s="51">
        <f t="shared" si="60"/>
        <v>-234</v>
      </c>
      <c r="AY76" s="74">
        <f t="shared" si="44"/>
        <v>5.2924528301886791E-4</v>
      </c>
      <c r="AZ76" s="52">
        <f t="shared" si="22"/>
        <v>11.710113585795657</v>
      </c>
      <c r="BA76" s="53">
        <f t="shared" si="61"/>
        <v>56208.545211819153</v>
      </c>
      <c r="BB76" s="54">
        <f t="shared" si="62"/>
        <v>-13152799.579565682</v>
      </c>
      <c r="BM76" s="25">
        <v>45</v>
      </c>
      <c r="BN76" s="51">
        <f t="shared" si="63"/>
        <v>-171.7</v>
      </c>
      <c r="BO76" s="74">
        <f t="shared" si="47"/>
        <v>3.6300000000000004E-4</v>
      </c>
      <c r="BP76" s="52">
        <f t="shared" si="29"/>
        <v>8.4164726250000008</v>
      </c>
      <c r="BQ76" s="53">
        <f t="shared" si="64"/>
        <v>35685.843930000003</v>
      </c>
      <c r="BR76" s="54">
        <f t="shared" si="65"/>
        <v>-6127259.4027810004</v>
      </c>
    </row>
    <row r="77" spans="1:70">
      <c r="A77" s="25">
        <v>46</v>
      </c>
      <c r="B77" s="51">
        <f t="shared" si="50"/>
        <v>-246</v>
      </c>
      <c r="C77" s="74">
        <f t="shared" si="35"/>
        <v>2.1667924528301881E-3</v>
      </c>
      <c r="D77" s="52">
        <f t="shared" si="51"/>
        <v>25.5</v>
      </c>
      <c r="E77" s="53">
        <f t="shared" si="52"/>
        <v>122400</v>
      </c>
      <c r="F77" s="54">
        <f t="shared" si="53"/>
        <v>-30110400</v>
      </c>
      <c r="Q77" s="25">
        <v>46</v>
      </c>
      <c r="R77" s="51">
        <f t="shared" si="54"/>
        <v>-246</v>
      </c>
      <c r="S77" s="74">
        <f t="shared" si="38"/>
        <v>1.6001886792452831E-3</v>
      </c>
      <c r="T77" s="52">
        <f t="shared" si="8"/>
        <v>24.480962037201849</v>
      </c>
      <c r="U77" s="53">
        <f t="shared" si="55"/>
        <v>117508.61777856888</v>
      </c>
      <c r="V77" s="54">
        <f t="shared" si="56"/>
        <v>-28907119.973527946</v>
      </c>
      <c r="AG77" s="25">
        <v>46</v>
      </c>
      <c r="AH77" s="51">
        <f t="shared" si="57"/>
        <v>-246</v>
      </c>
      <c r="AI77" s="74">
        <f t="shared" si="41"/>
        <v>1.0335849056603776E-3</v>
      </c>
      <c r="AJ77" s="52">
        <f t="shared" si="15"/>
        <v>19.546016892132435</v>
      </c>
      <c r="AK77" s="53">
        <f t="shared" si="58"/>
        <v>93820.88108223569</v>
      </c>
      <c r="AL77" s="54">
        <f t="shared" si="59"/>
        <v>-23079936.74622998</v>
      </c>
      <c r="AW77" s="25">
        <v>46</v>
      </c>
      <c r="AX77" s="51">
        <f t="shared" si="60"/>
        <v>-246</v>
      </c>
      <c r="AY77" s="74">
        <f t="shared" si="44"/>
        <v>4.6698113207547165E-4</v>
      </c>
      <c r="AZ77" s="52">
        <f t="shared" si="22"/>
        <v>10.517813834994655</v>
      </c>
      <c r="BA77" s="53">
        <f t="shared" si="61"/>
        <v>50485.506407974346</v>
      </c>
      <c r="BB77" s="54">
        <f t="shared" si="62"/>
        <v>-12419434.57636169</v>
      </c>
      <c r="BM77" s="25">
        <v>46</v>
      </c>
      <c r="BN77" s="51">
        <f t="shared" si="63"/>
        <v>-182.3</v>
      </c>
      <c r="BO77" s="74">
        <f t="shared" si="47"/>
        <v>2.9699999999999996E-4</v>
      </c>
      <c r="BP77" s="52">
        <f t="shared" si="29"/>
        <v>7.0111676249999988</v>
      </c>
      <c r="BQ77" s="53">
        <f t="shared" si="64"/>
        <v>29727.350729999995</v>
      </c>
      <c r="BR77" s="54">
        <f t="shared" si="65"/>
        <v>-5419296.0380789991</v>
      </c>
    </row>
    <row r="78" spans="1:70">
      <c r="A78" s="25">
        <v>47</v>
      </c>
      <c r="B78" s="51">
        <f t="shared" si="50"/>
        <v>-258</v>
      </c>
      <c r="C78" s="74">
        <f t="shared" si="35"/>
        <v>2.1418867924528299E-3</v>
      </c>
      <c r="D78" s="52">
        <f t="shared" si="51"/>
        <v>25.5</v>
      </c>
      <c r="E78" s="53">
        <f t="shared" si="52"/>
        <v>122400</v>
      </c>
      <c r="F78" s="54">
        <f t="shared" si="53"/>
        <v>-31579200</v>
      </c>
      <c r="Q78" s="25">
        <v>47</v>
      </c>
      <c r="R78" s="51">
        <f t="shared" si="54"/>
        <v>-258</v>
      </c>
      <c r="S78" s="74">
        <f t="shared" si="38"/>
        <v>1.5628301886792453E-3</v>
      </c>
      <c r="T78" s="52">
        <f t="shared" si="8"/>
        <v>24.281626294944818</v>
      </c>
      <c r="U78" s="53">
        <f t="shared" si="55"/>
        <v>116551.80621573512</v>
      </c>
      <c r="V78" s="54">
        <f t="shared" si="56"/>
        <v>-30070366.003659662</v>
      </c>
      <c r="AG78" s="25">
        <v>47</v>
      </c>
      <c r="AH78" s="51">
        <f t="shared" si="57"/>
        <v>-258</v>
      </c>
      <c r="AI78" s="74">
        <f t="shared" si="41"/>
        <v>9.8377358490566043E-4</v>
      </c>
      <c r="AJ78" s="52">
        <f t="shared" si="15"/>
        <v>18.91643469206123</v>
      </c>
      <c r="AK78" s="53">
        <f t="shared" si="58"/>
        <v>90798.886521893903</v>
      </c>
      <c r="AL78" s="54">
        <f t="shared" si="59"/>
        <v>-23426112.722648628</v>
      </c>
      <c r="AW78" s="25">
        <v>47</v>
      </c>
      <c r="AX78" s="51">
        <f t="shared" si="60"/>
        <v>-258</v>
      </c>
      <c r="AY78" s="74">
        <f t="shared" si="44"/>
        <v>4.0471698113207538E-4</v>
      </c>
      <c r="AZ78" s="52">
        <f t="shared" si="22"/>
        <v>9.2760845719117118</v>
      </c>
      <c r="BA78" s="53">
        <f t="shared" si="61"/>
        <v>44525.205945176218</v>
      </c>
      <c r="BB78" s="54">
        <f t="shared" si="62"/>
        <v>-11487503.133855464</v>
      </c>
      <c r="BM78" s="25">
        <v>47</v>
      </c>
      <c r="BN78" s="51">
        <f t="shared" si="63"/>
        <v>-192.89999999999998</v>
      </c>
      <c r="BO78" s="74">
        <f t="shared" si="47"/>
        <v>2.3100000000000009E-4</v>
      </c>
      <c r="BP78" s="52">
        <f t="shared" si="29"/>
        <v>5.5503236250000008</v>
      </c>
      <c r="BQ78" s="53">
        <f t="shared" si="64"/>
        <v>23533.372170000002</v>
      </c>
      <c r="BR78" s="54">
        <f t="shared" si="65"/>
        <v>-4539587.4915929995</v>
      </c>
    </row>
    <row r="79" spans="1:70">
      <c r="A79" s="25">
        <v>48</v>
      </c>
      <c r="B79" s="51">
        <f t="shared" si="50"/>
        <v>-270</v>
      </c>
      <c r="C79" s="74">
        <f t="shared" si="35"/>
        <v>2.1169811320754712E-3</v>
      </c>
      <c r="D79" s="52">
        <f t="shared" si="51"/>
        <v>25.5</v>
      </c>
      <c r="E79" s="53">
        <f t="shared" si="52"/>
        <v>122400</v>
      </c>
      <c r="F79" s="54">
        <f t="shared" si="53"/>
        <v>-33048000</v>
      </c>
      <c r="Q79" s="25">
        <v>48</v>
      </c>
      <c r="R79" s="51">
        <f t="shared" si="54"/>
        <v>-270</v>
      </c>
      <c r="S79" s="74">
        <f t="shared" si="38"/>
        <v>1.5254716981132077E-3</v>
      </c>
      <c r="T79" s="52">
        <f t="shared" si="8"/>
        <v>24.064495928266286</v>
      </c>
      <c r="U79" s="53">
        <f t="shared" si="55"/>
        <v>115509.58045567817</v>
      </c>
      <c r="V79" s="54">
        <f t="shared" si="56"/>
        <v>-31187586.723033104</v>
      </c>
      <c r="AG79" s="25">
        <v>48</v>
      </c>
      <c r="AH79" s="51">
        <f t="shared" si="57"/>
        <v>-270</v>
      </c>
      <c r="AI79" s="74">
        <f t="shared" si="41"/>
        <v>9.3396226415094351E-4</v>
      </c>
      <c r="AJ79" s="52">
        <f t="shared" si="15"/>
        <v>18.255217604129587</v>
      </c>
      <c r="AK79" s="53">
        <f t="shared" si="58"/>
        <v>87625.044499822019</v>
      </c>
      <c r="AL79" s="54">
        <f t="shared" si="59"/>
        <v>-23658762.014951944</v>
      </c>
      <c r="AW79" s="25">
        <v>48</v>
      </c>
      <c r="AX79" s="51">
        <f t="shared" si="60"/>
        <v>-270</v>
      </c>
      <c r="AY79" s="74">
        <f t="shared" si="44"/>
        <v>3.4245283018867912E-4</v>
      </c>
      <c r="AZ79" s="52">
        <f t="shared" si="22"/>
        <v>7.9849257965468112</v>
      </c>
      <c r="BA79" s="53">
        <f t="shared" si="61"/>
        <v>38327.643823424696</v>
      </c>
      <c r="BB79" s="54">
        <f t="shared" si="62"/>
        <v>-10348463.832324669</v>
      </c>
      <c r="BM79" s="25">
        <v>48</v>
      </c>
      <c r="BN79" s="51">
        <f t="shared" si="63"/>
        <v>-203.5</v>
      </c>
      <c r="BO79" s="74">
        <f t="shared" si="47"/>
        <v>1.65E-4</v>
      </c>
      <c r="BP79" s="52">
        <f t="shared" si="29"/>
        <v>4.0339406250000005</v>
      </c>
      <c r="BQ79" s="53">
        <f t="shared" si="64"/>
        <v>17103.90825</v>
      </c>
      <c r="BR79" s="54">
        <f t="shared" si="65"/>
        <v>-3480645.3288750001</v>
      </c>
    </row>
    <row r="80" spans="1:70">
      <c r="A80" s="25">
        <v>49</v>
      </c>
      <c r="B80" s="51">
        <f t="shared" si="50"/>
        <v>-282</v>
      </c>
      <c r="C80" s="74">
        <f t="shared" si="35"/>
        <v>2.092075471698113E-3</v>
      </c>
      <c r="D80" s="52">
        <f t="shared" si="51"/>
        <v>25.5</v>
      </c>
      <c r="E80" s="53">
        <f t="shared" si="52"/>
        <v>122400</v>
      </c>
      <c r="F80" s="54">
        <f t="shared" si="53"/>
        <v>-34516800</v>
      </c>
      <c r="Q80" s="25">
        <v>49</v>
      </c>
      <c r="R80" s="51">
        <f t="shared" si="54"/>
        <v>-282</v>
      </c>
      <c r="S80" s="74">
        <f t="shared" si="38"/>
        <v>1.4881132075471701E-3</v>
      </c>
      <c r="T80" s="52">
        <f t="shared" si="8"/>
        <v>23.829570937166256</v>
      </c>
      <c r="U80" s="53">
        <f t="shared" si="55"/>
        <v>114381.94049839803</v>
      </c>
      <c r="V80" s="54">
        <f t="shared" si="56"/>
        <v>-32255707.220548246</v>
      </c>
      <c r="AG80" s="25">
        <v>49</v>
      </c>
      <c r="AH80" s="51">
        <f t="shared" si="57"/>
        <v>-282</v>
      </c>
      <c r="AI80" s="74">
        <f t="shared" si="41"/>
        <v>8.8415094339622659E-4</v>
      </c>
      <c r="AJ80" s="52">
        <f t="shared" si="15"/>
        <v>17.562365628337488</v>
      </c>
      <c r="AK80" s="53">
        <f t="shared" si="58"/>
        <v>84299.355016019952</v>
      </c>
      <c r="AL80" s="54">
        <f t="shared" si="59"/>
        <v>-23772418.114517625</v>
      </c>
      <c r="AW80" s="25">
        <v>49</v>
      </c>
      <c r="AX80" s="51">
        <f t="shared" si="60"/>
        <v>-282</v>
      </c>
      <c r="AY80" s="74">
        <f t="shared" si="44"/>
        <v>2.8018867924528286E-4</v>
      </c>
      <c r="AZ80" s="52">
        <f t="shared" si="22"/>
        <v>6.6443375088999579</v>
      </c>
      <c r="BA80" s="53">
        <f t="shared" si="61"/>
        <v>31892.820042719799</v>
      </c>
      <c r="BB80" s="54">
        <f t="shared" si="62"/>
        <v>-8993775.2520469837</v>
      </c>
      <c r="BM80" s="25">
        <v>49</v>
      </c>
      <c r="BN80" s="51">
        <f t="shared" si="63"/>
        <v>-214.10000000000002</v>
      </c>
      <c r="BO80" s="74">
        <f t="shared" si="47"/>
        <v>9.8999999999999913E-5</v>
      </c>
      <c r="BP80" s="52">
        <f t="shared" si="29"/>
        <v>2.4620186249999998</v>
      </c>
      <c r="BQ80" s="53">
        <f t="shared" si="64"/>
        <v>10438.95897</v>
      </c>
      <c r="BR80" s="54">
        <f t="shared" si="65"/>
        <v>-2234981.1154770004</v>
      </c>
    </row>
    <row r="81" spans="1:70">
      <c r="A81" s="25">
        <v>50</v>
      </c>
      <c r="B81" s="51">
        <f t="shared" si="50"/>
        <v>-294</v>
      </c>
      <c r="C81" s="74">
        <f t="shared" si="35"/>
        <v>2.0671698113207543E-3</v>
      </c>
      <c r="D81" s="52">
        <f t="shared" si="51"/>
        <v>25.5</v>
      </c>
      <c r="E81" s="53">
        <f t="shared" si="52"/>
        <v>122400</v>
      </c>
      <c r="F81" s="54">
        <f t="shared" si="53"/>
        <v>-35985600</v>
      </c>
      <c r="Q81" s="25">
        <v>50</v>
      </c>
      <c r="R81" s="51">
        <f t="shared" si="54"/>
        <v>-294</v>
      </c>
      <c r="S81" s="74">
        <f t="shared" si="38"/>
        <v>1.4507547169811323E-3</v>
      </c>
      <c r="T81" s="52">
        <f t="shared" si="8"/>
        <v>23.576851321644714</v>
      </c>
      <c r="U81" s="53">
        <f t="shared" si="55"/>
        <v>113168.88634389463</v>
      </c>
      <c r="V81" s="54">
        <f t="shared" si="56"/>
        <v>-33271652.585105021</v>
      </c>
      <c r="AG81" s="25">
        <v>50</v>
      </c>
      <c r="AH81" s="51">
        <f t="shared" si="57"/>
        <v>-294</v>
      </c>
      <c r="AI81" s="74">
        <f t="shared" si="41"/>
        <v>8.3433962264150945E-4</v>
      </c>
      <c r="AJ81" s="52">
        <f t="shared" si="15"/>
        <v>16.837878764684937</v>
      </c>
      <c r="AK81" s="53">
        <f t="shared" si="58"/>
        <v>80821.818070487701</v>
      </c>
      <c r="AL81" s="54">
        <f t="shared" si="59"/>
        <v>-23761614.512723383</v>
      </c>
      <c r="AW81" s="25">
        <v>50</v>
      </c>
      <c r="AX81" s="51">
        <f t="shared" si="60"/>
        <v>-294</v>
      </c>
      <c r="AY81" s="74">
        <f t="shared" si="44"/>
        <v>2.1792452830188659E-4</v>
      </c>
      <c r="AZ81" s="52">
        <f t="shared" si="22"/>
        <v>5.2543197089711624</v>
      </c>
      <c r="BA81" s="53">
        <f t="shared" si="61"/>
        <v>25220.734603061581</v>
      </c>
      <c r="BB81" s="54">
        <f t="shared" si="62"/>
        <v>-7414895.973300105</v>
      </c>
      <c r="BM81" s="25">
        <v>50</v>
      </c>
      <c r="BN81" s="51">
        <f t="shared" si="63"/>
        <v>-224.69999999999993</v>
      </c>
      <c r="BO81" s="74">
        <f t="shared" si="47"/>
        <v>3.3000000000000477E-5</v>
      </c>
      <c r="BP81" s="52">
        <f t="shared" si="29"/>
        <v>0.83455762500000985</v>
      </c>
      <c r="BQ81" s="53">
        <f t="shared" si="64"/>
        <v>3538.5243300000416</v>
      </c>
      <c r="BR81" s="54">
        <f t="shared" si="65"/>
        <v>-795106.41695100907</v>
      </c>
    </row>
  </sheetData>
  <conditionalFormatting sqref="C32:C81">
    <cfRule type="dataBar" priority="19">
      <dataBar>
        <cfvo type="num" val="0"/>
        <cfvo type="num" val="$C$32"/>
        <color theme="9" tint="0.59999389629810485"/>
      </dataBar>
      <extLst>
        <ext xmlns:x14="http://schemas.microsoft.com/office/spreadsheetml/2009/9/main" uri="{B025F937-C7B1-47D3-B67F-A62EFF666E3E}">
          <x14:id>{7DA94FCA-8A14-49C1-85CE-95BB17AF3C1D}</x14:id>
        </ext>
      </extLst>
    </cfRule>
  </conditionalFormatting>
  <conditionalFormatting sqref="D32:D81">
    <cfRule type="dataBar" priority="20">
      <dataBar>
        <cfvo type="num" val="0"/>
        <cfvo type="num" val="$D$32"/>
        <color theme="9" tint="0.59999389629810485"/>
      </dataBar>
      <extLst>
        <ext xmlns:x14="http://schemas.microsoft.com/office/spreadsheetml/2009/9/main" uri="{B025F937-C7B1-47D3-B67F-A62EFF666E3E}">
          <x14:id>{E7C4464D-CFB2-4876-AFD9-0FAC8312E40D}</x14:id>
        </ext>
      </extLst>
    </cfRule>
  </conditionalFormatting>
  <conditionalFormatting sqref="S32:S81">
    <cfRule type="dataBar" priority="7">
      <dataBar>
        <cfvo type="num" val="0"/>
        <cfvo type="num" val="$C$32"/>
        <color theme="9" tint="0.59999389629810485"/>
      </dataBar>
      <extLst>
        <ext xmlns:x14="http://schemas.microsoft.com/office/spreadsheetml/2009/9/main" uri="{B025F937-C7B1-47D3-B67F-A62EFF666E3E}">
          <x14:id>{31F8C0C8-65BB-4B2F-A68C-5ADFABD4A73A}</x14:id>
        </ext>
      </extLst>
    </cfRule>
  </conditionalFormatting>
  <conditionalFormatting sqref="T32:T81">
    <cfRule type="dataBar" priority="8">
      <dataBar>
        <cfvo type="num" val="0"/>
        <cfvo type="num" val="$D$32"/>
        <color theme="9" tint="0.59999389629810485"/>
      </dataBar>
      <extLst>
        <ext xmlns:x14="http://schemas.microsoft.com/office/spreadsheetml/2009/9/main" uri="{B025F937-C7B1-47D3-B67F-A62EFF666E3E}">
          <x14:id>{67DF59B8-D8A3-48E7-98A7-5430B12D7627}</x14:id>
        </ext>
      </extLst>
    </cfRule>
  </conditionalFormatting>
  <conditionalFormatting sqref="AI32:AI81">
    <cfRule type="dataBar" priority="5">
      <dataBar>
        <cfvo type="num" val="0"/>
        <cfvo type="num" val="$C$32"/>
        <color theme="9" tint="0.59999389629810485"/>
      </dataBar>
      <extLst>
        <ext xmlns:x14="http://schemas.microsoft.com/office/spreadsheetml/2009/9/main" uri="{B025F937-C7B1-47D3-B67F-A62EFF666E3E}">
          <x14:id>{1D9C9A07-587E-4676-8AE1-A6FA172BCD3F}</x14:id>
        </ext>
      </extLst>
    </cfRule>
  </conditionalFormatting>
  <conditionalFormatting sqref="AJ32:AJ81">
    <cfRule type="dataBar" priority="6">
      <dataBar>
        <cfvo type="num" val="0"/>
        <cfvo type="num" val="$D$32"/>
        <color theme="9" tint="0.59999389629810485"/>
      </dataBar>
      <extLst>
        <ext xmlns:x14="http://schemas.microsoft.com/office/spreadsheetml/2009/9/main" uri="{B025F937-C7B1-47D3-B67F-A62EFF666E3E}">
          <x14:id>{9EC4C9F2-7BD3-4E68-8B90-DD2AF47729C9}</x14:id>
        </ext>
      </extLst>
    </cfRule>
  </conditionalFormatting>
  <conditionalFormatting sqref="AY32:AY81">
    <cfRule type="dataBar" priority="3">
      <dataBar>
        <cfvo type="num" val="0"/>
        <cfvo type="num" val="$C$32"/>
        <color theme="9" tint="0.59999389629810485"/>
      </dataBar>
      <extLst>
        <ext xmlns:x14="http://schemas.microsoft.com/office/spreadsheetml/2009/9/main" uri="{B025F937-C7B1-47D3-B67F-A62EFF666E3E}">
          <x14:id>{3335955E-FEB8-4944-BF40-399110065723}</x14:id>
        </ext>
      </extLst>
    </cfRule>
  </conditionalFormatting>
  <conditionalFormatting sqref="AZ32:AZ81">
    <cfRule type="dataBar" priority="4">
      <dataBar>
        <cfvo type="num" val="0"/>
        <cfvo type="num" val="$D$32"/>
        <color theme="9" tint="0.59999389629810485"/>
      </dataBar>
      <extLst>
        <ext xmlns:x14="http://schemas.microsoft.com/office/spreadsheetml/2009/9/main" uri="{B025F937-C7B1-47D3-B67F-A62EFF666E3E}">
          <x14:id>{B208E389-1675-43B3-94F6-1F33BDA253D5}</x14:id>
        </ext>
      </extLst>
    </cfRule>
  </conditionalFormatting>
  <conditionalFormatting sqref="BO32:BO81">
    <cfRule type="dataBar" priority="1">
      <dataBar>
        <cfvo type="num" val="0"/>
        <cfvo type="num" val="$C$32"/>
        <color theme="9" tint="0.59999389629810485"/>
      </dataBar>
      <extLst>
        <ext xmlns:x14="http://schemas.microsoft.com/office/spreadsheetml/2009/9/main" uri="{B025F937-C7B1-47D3-B67F-A62EFF666E3E}">
          <x14:id>{D2A36648-1E59-4995-B8C8-A265BF7F912F}</x14:id>
        </ext>
      </extLst>
    </cfRule>
  </conditionalFormatting>
  <conditionalFormatting sqref="BP32:BP81">
    <cfRule type="dataBar" priority="2">
      <dataBar>
        <cfvo type="num" val="0"/>
        <cfvo type="num" val="$D$32"/>
        <color theme="9" tint="0.59999389629810485"/>
      </dataBar>
      <extLst>
        <ext xmlns:x14="http://schemas.microsoft.com/office/spreadsheetml/2009/9/main" uri="{B025F937-C7B1-47D3-B67F-A62EFF666E3E}">
          <x14:id>{AFDEAB53-B439-4CE2-B5D5-626A9714E53B}</x14:id>
        </ext>
      </extLst>
    </cfRule>
  </conditionalFormatting>
  <pageMargins left="0.59055118110236227" right="0.59055118110236227" top="0.78740157480314965" bottom="0.78740157480314965" header="0.31496062992125984" footer="0.31496062992125984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A94FCA-8A14-49C1-85CE-95BB17AF3C1D}">
            <x14:dataBar minLength="0" maxLength="100" border="1" gradient="0" direction="leftToRight">
              <x14:cfvo type="num">
                <xm:f>0</xm:f>
              </x14:cfvo>
              <x14:cfvo type="num">
                <xm:f>$C$32</xm:f>
              </x14:cfvo>
              <x14:borderColor theme="9" tint="0.59999389629810485"/>
              <x14:negativeFillColor rgb="FFFF0000"/>
              <x14:axisColor rgb="FF000000"/>
            </x14:dataBar>
          </x14:cfRule>
          <xm:sqref>C32:C81</xm:sqref>
        </x14:conditionalFormatting>
        <x14:conditionalFormatting xmlns:xm="http://schemas.microsoft.com/office/excel/2006/main">
          <x14:cfRule type="dataBar" id="{E7C4464D-CFB2-4876-AFD9-0FAC8312E40D}">
            <x14:dataBar minLength="0" maxLength="100" border="1" gradient="0" direction="leftToRight">
              <x14:cfvo type="num">
                <xm:f>0</xm:f>
              </x14:cfvo>
              <x14:cfvo type="num">
                <xm:f>$D$32</xm:f>
              </x14:cfvo>
              <x14:borderColor theme="9" tint="0.59999389629810485"/>
              <x14:negativeFillColor rgb="FFFF0000"/>
              <x14:axisColor rgb="FF000000"/>
            </x14:dataBar>
          </x14:cfRule>
          <xm:sqref>D32:D81</xm:sqref>
        </x14:conditionalFormatting>
        <x14:conditionalFormatting xmlns:xm="http://schemas.microsoft.com/office/excel/2006/main">
          <x14:cfRule type="dataBar" id="{31F8C0C8-65BB-4B2F-A68C-5ADFABD4A73A}">
            <x14:dataBar minLength="0" maxLength="100" border="1" gradient="0" direction="leftToRight">
              <x14:cfvo type="num">
                <xm:f>0</xm:f>
              </x14:cfvo>
              <x14:cfvo type="num">
                <xm:f>$C$32</xm:f>
              </x14:cfvo>
              <x14:borderColor theme="9" tint="0.59999389629810485"/>
              <x14:negativeFillColor rgb="FFFF0000"/>
              <x14:axisColor rgb="FF000000"/>
            </x14:dataBar>
          </x14:cfRule>
          <xm:sqref>S32:S81</xm:sqref>
        </x14:conditionalFormatting>
        <x14:conditionalFormatting xmlns:xm="http://schemas.microsoft.com/office/excel/2006/main">
          <x14:cfRule type="dataBar" id="{67DF59B8-D8A3-48E7-98A7-5430B12D7627}">
            <x14:dataBar minLength="0" maxLength="100" border="1" gradient="0" direction="leftToRight">
              <x14:cfvo type="num">
                <xm:f>0</xm:f>
              </x14:cfvo>
              <x14:cfvo type="num">
                <xm:f>$D$32</xm:f>
              </x14:cfvo>
              <x14:borderColor theme="9" tint="0.59999389629810485"/>
              <x14:negativeFillColor rgb="FFFF0000"/>
              <x14:axisColor rgb="FF000000"/>
            </x14:dataBar>
          </x14:cfRule>
          <xm:sqref>T32:T81</xm:sqref>
        </x14:conditionalFormatting>
        <x14:conditionalFormatting xmlns:xm="http://schemas.microsoft.com/office/excel/2006/main">
          <x14:cfRule type="dataBar" id="{1D9C9A07-587E-4676-8AE1-A6FA172BCD3F}">
            <x14:dataBar minLength="0" maxLength="100" border="1" gradient="0" direction="leftToRight">
              <x14:cfvo type="num">
                <xm:f>0</xm:f>
              </x14:cfvo>
              <x14:cfvo type="num">
                <xm:f>$C$32</xm:f>
              </x14:cfvo>
              <x14:borderColor theme="9" tint="0.59999389629810485"/>
              <x14:negativeFillColor rgb="FFFF0000"/>
              <x14:axisColor rgb="FF000000"/>
            </x14:dataBar>
          </x14:cfRule>
          <xm:sqref>AI32:AI81</xm:sqref>
        </x14:conditionalFormatting>
        <x14:conditionalFormatting xmlns:xm="http://schemas.microsoft.com/office/excel/2006/main">
          <x14:cfRule type="dataBar" id="{9EC4C9F2-7BD3-4E68-8B90-DD2AF47729C9}">
            <x14:dataBar minLength="0" maxLength="100" border="1" gradient="0" direction="leftToRight">
              <x14:cfvo type="num">
                <xm:f>0</xm:f>
              </x14:cfvo>
              <x14:cfvo type="num">
                <xm:f>$D$32</xm:f>
              </x14:cfvo>
              <x14:borderColor theme="9" tint="0.59999389629810485"/>
              <x14:negativeFillColor rgb="FFFF0000"/>
              <x14:axisColor rgb="FF000000"/>
            </x14:dataBar>
          </x14:cfRule>
          <xm:sqref>AJ32:AJ81</xm:sqref>
        </x14:conditionalFormatting>
        <x14:conditionalFormatting xmlns:xm="http://schemas.microsoft.com/office/excel/2006/main">
          <x14:cfRule type="dataBar" id="{3335955E-FEB8-4944-BF40-399110065723}">
            <x14:dataBar minLength="0" maxLength="100" border="1" gradient="0" direction="leftToRight">
              <x14:cfvo type="num">
                <xm:f>0</xm:f>
              </x14:cfvo>
              <x14:cfvo type="num">
                <xm:f>$C$32</xm:f>
              </x14:cfvo>
              <x14:borderColor theme="9" tint="0.59999389629810485"/>
              <x14:negativeFillColor rgb="FFFF0000"/>
              <x14:axisColor rgb="FF000000"/>
            </x14:dataBar>
          </x14:cfRule>
          <xm:sqref>AY32:AY81</xm:sqref>
        </x14:conditionalFormatting>
        <x14:conditionalFormatting xmlns:xm="http://schemas.microsoft.com/office/excel/2006/main">
          <x14:cfRule type="dataBar" id="{B208E389-1675-43B3-94F6-1F33BDA253D5}">
            <x14:dataBar minLength="0" maxLength="100" border="1" gradient="0" direction="leftToRight">
              <x14:cfvo type="num">
                <xm:f>0</xm:f>
              </x14:cfvo>
              <x14:cfvo type="num">
                <xm:f>$D$32</xm:f>
              </x14:cfvo>
              <x14:borderColor theme="9" tint="0.59999389629810485"/>
              <x14:negativeFillColor rgb="FFFF0000"/>
              <x14:axisColor rgb="FF000000"/>
            </x14:dataBar>
          </x14:cfRule>
          <xm:sqref>AZ32:AZ81</xm:sqref>
        </x14:conditionalFormatting>
        <x14:conditionalFormatting xmlns:xm="http://schemas.microsoft.com/office/excel/2006/main">
          <x14:cfRule type="dataBar" id="{D2A36648-1E59-4995-B8C8-A265BF7F912F}">
            <x14:dataBar minLength="0" maxLength="100" border="1" gradient="0" direction="leftToRight">
              <x14:cfvo type="num">
                <xm:f>0</xm:f>
              </x14:cfvo>
              <x14:cfvo type="num">
                <xm:f>$C$32</xm:f>
              </x14:cfvo>
              <x14:borderColor theme="9" tint="0.59999389629810485"/>
              <x14:negativeFillColor rgb="FFFF0000"/>
              <x14:axisColor rgb="FF000000"/>
            </x14:dataBar>
          </x14:cfRule>
          <xm:sqref>BO32:BO81</xm:sqref>
        </x14:conditionalFormatting>
        <x14:conditionalFormatting xmlns:xm="http://schemas.microsoft.com/office/excel/2006/main">
          <x14:cfRule type="dataBar" id="{AFDEAB53-B439-4CE2-B5D5-626A9714E53B}">
            <x14:dataBar minLength="0" maxLength="100" border="1" gradient="0" direction="leftToRight">
              <x14:cfvo type="num">
                <xm:f>0</xm:f>
              </x14:cfvo>
              <x14:cfvo type="num">
                <xm:f>$D$32</xm:f>
              </x14:cfvo>
              <x14:borderColor theme="9" tint="0.59999389629810485"/>
              <x14:negativeFillColor rgb="FFFF0000"/>
              <x14:axisColor rgb="FF000000"/>
            </x14:dataBar>
          </x14:cfRule>
          <xm:sqref>BP32:BP81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9D9D-B6B3-478A-9C19-CEAE0731A7C4}">
  <dimension ref="A1:CA81"/>
  <sheetViews>
    <sheetView topLeftCell="AZ1" zoomScaleNormal="100" workbookViewId="0">
      <selection activeCell="BX23" sqref="BX23:BY24"/>
    </sheetView>
  </sheetViews>
  <sheetFormatPr defaultRowHeight="15"/>
  <cols>
    <col min="1" max="4" width="9.7109375" customWidth="1"/>
    <col min="5" max="5" width="12" customWidth="1"/>
    <col min="6" max="8" width="9.7109375" customWidth="1"/>
    <col min="9" max="9" width="11.85546875" customWidth="1"/>
    <col min="15" max="15" width="12.5703125" customWidth="1"/>
    <col min="16" max="17" width="10.28515625" customWidth="1"/>
    <col min="21" max="21" width="11" customWidth="1"/>
    <col min="30" max="30" width="9.7109375" customWidth="1"/>
    <col min="31" max="31" width="11.140625" customWidth="1"/>
    <col min="53" max="53" width="11.28515625" customWidth="1"/>
    <col min="69" max="70" width="10.28515625" customWidth="1"/>
  </cols>
  <sheetData>
    <row r="1" spans="1:20" ht="18.75">
      <c r="A1" s="100" t="s">
        <v>165</v>
      </c>
    </row>
    <row r="2" spans="1:20" ht="15.75" thickBot="1">
      <c r="A2" t="s">
        <v>84</v>
      </c>
      <c r="H2" s="27" t="s">
        <v>89</v>
      </c>
      <c r="I2" s="28"/>
      <c r="J2" s="29"/>
    </row>
    <row r="3" spans="1:20" ht="15.75" thickTop="1">
      <c r="H3" s="30">
        <v>1</v>
      </c>
      <c r="I3">
        <f>-b/2</f>
        <v>-200</v>
      </c>
      <c r="J3" s="31">
        <f>+h/2-R22</f>
        <v>-160.26315789473688</v>
      </c>
      <c r="N3" s="181"/>
      <c r="O3" s="182"/>
      <c r="P3" s="182"/>
      <c r="Q3" s="183" t="s">
        <v>198</v>
      </c>
      <c r="R3" s="183"/>
      <c r="S3" s="183" t="s">
        <v>199</v>
      </c>
      <c r="T3" s="184"/>
    </row>
    <row r="4" spans="1:20">
      <c r="H4" s="32">
        <v>2</v>
      </c>
      <c r="I4" s="33">
        <f>+b/2</f>
        <v>200</v>
      </c>
      <c r="J4" s="34">
        <f>+J3</f>
        <v>-160.26315789473688</v>
      </c>
      <c r="N4" s="185" t="s">
        <v>145</v>
      </c>
      <c r="O4" s="186" t="s">
        <v>196</v>
      </c>
      <c r="P4" s="186" t="s">
        <v>197</v>
      </c>
      <c r="Q4" s="186" t="s">
        <v>15</v>
      </c>
      <c r="R4" s="186" t="s">
        <v>37</v>
      </c>
      <c r="S4" s="186" t="s">
        <v>15</v>
      </c>
      <c r="T4" s="187" t="s">
        <v>37</v>
      </c>
    </row>
    <row r="5" spans="1:20">
      <c r="N5" s="190">
        <f>+'P-M chart'!D20</f>
        <v>0</v>
      </c>
      <c r="O5" s="177">
        <f>+D25</f>
        <v>1.4320754716981132E-3</v>
      </c>
      <c r="P5" s="178">
        <f>+D26</f>
        <v>6.2264150943396222E-6</v>
      </c>
      <c r="Q5" s="53">
        <f>+L23</f>
        <v>4314.1742367000006</v>
      </c>
      <c r="R5" s="53">
        <f>+M23</f>
        <v>1684.6937585333271</v>
      </c>
      <c r="S5" s="83">
        <f>+L24</f>
        <v>352.5809372048999</v>
      </c>
      <c r="T5" s="120">
        <f>+M24</f>
        <v>262.89504480660452</v>
      </c>
    </row>
    <row r="6" spans="1:20">
      <c r="N6" s="193">
        <f>+'P-M chart'!D21</f>
        <v>0.25</v>
      </c>
      <c r="O6" s="177">
        <f>+T25</f>
        <v>1.149056603773585E-3</v>
      </c>
      <c r="P6" s="178">
        <f>+T26</f>
        <v>7.1698113207547164E-6</v>
      </c>
      <c r="Q6" s="53">
        <f>+AB23</f>
        <v>3746.519731871052</v>
      </c>
      <c r="R6" s="53">
        <f>+AC23</f>
        <v>1245.6403374305719</v>
      </c>
      <c r="S6" s="83">
        <f>+AB24</f>
        <v>413.78965743267719</v>
      </c>
      <c r="T6" s="120">
        <f>+AC24</f>
        <v>352.14189832272206</v>
      </c>
    </row>
    <row r="7" spans="1:20">
      <c r="N7" s="193">
        <f>+'P-M chart'!D22</f>
        <v>0.5</v>
      </c>
      <c r="O7" s="177">
        <f>+AJ25</f>
        <v>8.6603773584905655E-4</v>
      </c>
      <c r="P7" s="178">
        <f>+AJ26</f>
        <v>8.1132075471698107E-6</v>
      </c>
      <c r="Q7" s="53">
        <f>+AR23</f>
        <v>3310.8779025837202</v>
      </c>
      <c r="R7" s="53">
        <f>+AS23</f>
        <v>776.42899685169402</v>
      </c>
      <c r="S7" s="83">
        <f>+AR24</f>
        <v>438.65002166005195</v>
      </c>
      <c r="T7" s="125">
        <f>+AS24</f>
        <v>438.69780870105313</v>
      </c>
    </row>
    <row r="8" spans="1:20">
      <c r="N8" s="193">
        <f>+'P-M chart'!D23</f>
        <v>0.75</v>
      </c>
      <c r="O8" s="177">
        <f>+AZ25</f>
        <v>5.8301886792452785E-4</v>
      </c>
      <c r="P8" s="178">
        <f>+AZ26</f>
        <v>9.0566037735849066E-6</v>
      </c>
      <c r="Q8" s="53">
        <f>+BH23</f>
        <v>2965.9947877312502</v>
      </c>
      <c r="R8" s="53">
        <f>+BI23</f>
        <v>273.16047529367734</v>
      </c>
      <c r="S8" s="83">
        <f>+BH24</f>
        <v>444.71159495055826</v>
      </c>
      <c r="T8" s="125">
        <f>+BI24</f>
        <v>523.01472154454427</v>
      </c>
    </row>
    <row r="9" spans="1:20" ht="15.75" thickBot="1">
      <c r="N9" s="194">
        <f>+'P-M chart'!D24</f>
        <v>1</v>
      </c>
      <c r="O9" s="179">
        <f>+BP25</f>
        <v>3.0000000000000003E-4</v>
      </c>
      <c r="P9" s="180">
        <f>+BP26</f>
        <v>9.9999999999999991E-6</v>
      </c>
      <c r="Q9" s="96">
        <f>+BX23</f>
        <v>2686.1839587000009</v>
      </c>
      <c r="R9" s="96">
        <f>+BY23</f>
        <v>-229.58055395679816</v>
      </c>
      <c r="S9" s="95">
        <f>+BX24</f>
        <v>440.78573851290008</v>
      </c>
      <c r="T9" s="127">
        <f>+BY24</f>
        <v>607.40020838801559</v>
      </c>
    </row>
    <row r="10" spans="1:20" ht="15.75" thickTop="1"/>
    <row r="13" spans="1:20">
      <c r="G13" s="50"/>
    </row>
    <row r="15" spans="1:20">
      <c r="C15" s="49"/>
      <c r="D15" s="36"/>
    </row>
    <row r="16" spans="1:20">
      <c r="G16" s="50"/>
    </row>
    <row r="17" spans="1:79">
      <c r="G17" s="50"/>
    </row>
    <row r="18" spans="1:79">
      <c r="G18" s="50"/>
    </row>
    <row r="19" spans="1:79">
      <c r="A19" t="s">
        <v>201</v>
      </c>
      <c r="C19">
        <f>+MIN(Input!$E$10:$E$23)</f>
        <v>-230</v>
      </c>
      <c r="G19" s="50"/>
    </row>
    <row r="20" spans="1:79" ht="15.75">
      <c r="A20" s="122" t="s">
        <v>130</v>
      </c>
      <c r="B20" s="123"/>
      <c r="C20" s="1"/>
      <c r="D20" s="1"/>
      <c r="E20" s="1"/>
      <c r="F20" s="1"/>
      <c r="G20" s="124"/>
      <c r="H20" s="124"/>
      <c r="I20" s="124"/>
      <c r="J20" s="124"/>
      <c r="K20" s="124"/>
      <c r="L20" s="124"/>
      <c r="M20" s="124"/>
      <c r="N20" s="124"/>
      <c r="O20" s="124"/>
      <c r="Q20" s="122" t="s">
        <v>129</v>
      </c>
      <c r="R20" s="123"/>
      <c r="S20" s="1"/>
      <c r="T20" s="1"/>
      <c r="U20" s="1"/>
      <c r="V20" s="1"/>
      <c r="W20" s="124"/>
      <c r="X20" s="124"/>
      <c r="Y20" s="124"/>
      <c r="Z20" s="124"/>
      <c r="AA20" s="124"/>
      <c r="AB20" s="124"/>
      <c r="AC20" s="124"/>
      <c r="AD20" s="124"/>
      <c r="AE20" s="124"/>
      <c r="AG20" s="122" t="s">
        <v>200</v>
      </c>
      <c r="AH20" s="123"/>
      <c r="AI20" s="1"/>
      <c r="AJ20" s="1"/>
      <c r="AK20" s="1"/>
      <c r="AL20" s="1"/>
      <c r="AM20" s="124"/>
      <c r="AN20" s="124"/>
      <c r="AO20" s="124"/>
      <c r="AP20" s="124"/>
      <c r="AQ20" s="124"/>
      <c r="AR20" s="124"/>
      <c r="AS20" s="124"/>
      <c r="AT20" s="124"/>
      <c r="AU20" s="124"/>
      <c r="AW20" s="122" t="s">
        <v>202</v>
      </c>
      <c r="AX20" s="123"/>
      <c r="AY20" s="1"/>
      <c r="AZ20" s="1"/>
      <c r="BA20" s="1"/>
      <c r="BB20" s="1"/>
      <c r="BC20" s="124"/>
      <c r="BD20" s="124"/>
      <c r="BE20" s="124"/>
      <c r="BF20" s="124"/>
      <c r="BG20" s="124"/>
      <c r="BH20" s="124"/>
      <c r="BI20" s="124"/>
      <c r="BJ20" s="124"/>
      <c r="BK20" s="124"/>
      <c r="BM20" s="122" t="s">
        <v>203</v>
      </c>
      <c r="BN20" s="123"/>
      <c r="BO20" s="1"/>
      <c r="BP20" s="1"/>
      <c r="BQ20" s="1"/>
      <c r="BR20" s="1"/>
      <c r="BS20" s="124"/>
      <c r="BT20" s="124"/>
      <c r="BU20" s="124"/>
      <c r="BV20" s="124"/>
      <c r="BW20" s="124"/>
      <c r="BX20" s="124"/>
      <c r="BY20" s="124"/>
      <c r="BZ20" s="124"/>
      <c r="CA20" s="124"/>
    </row>
    <row r="21" spans="1:79" ht="15.75" thickBot="1">
      <c r="A21" t="s">
        <v>125</v>
      </c>
      <c r="B21" s="121">
        <f>+h/2-MIN(Input!$E$10:$E$23)</f>
        <v>530</v>
      </c>
      <c r="C21" t="s">
        <v>13</v>
      </c>
      <c r="F21" s="111" t="s">
        <v>191</v>
      </c>
      <c r="K21" s="111" t="s">
        <v>192</v>
      </c>
      <c r="Q21" t="s">
        <v>125</v>
      </c>
      <c r="R21" s="121">
        <f>+h/2-MIN(Input!$E$10:$E$23)</f>
        <v>530</v>
      </c>
      <c r="S21" t="s">
        <v>13</v>
      </c>
      <c r="V21" s="111" t="s">
        <v>191</v>
      </c>
      <c r="AA21" s="111" t="s">
        <v>192</v>
      </c>
      <c r="AG21" t="s">
        <v>125</v>
      </c>
      <c r="AH21" s="121">
        <f>+h/2-MIN(Input!$E$10:$E$23)</f>
        <v>530</v>
      </c>
      <c r="AI21" t="s">
        <v>13</v>
      </c>
      <c r="AL21" s="111" t="s">
        <v>191</v>
      </c>
      <c r="AQ21" s="111" t="s">
        <v>192</v>
      </c>
      <c r="AW21" t="s">
        <v>125</v>
      </c>
      <c r="AX21" s="121">
        <f>+h/2-MIN(Input!$E$10:$E$23)</f>
        <v>530</v>
      </c>
      <c r="AY21" t="s">
        <v>13</v>
      </c>
      <c r="BB21" s="111" t="s">
        <v>191</v>
      </c>
      <c r="BG21" s="111" t="s">
        <v>192</v>
      </c>
      <c r="BM21" t="s">
        <v>125</v>
      </c>
      <c r="BN21" s="121">
        <f>+h/2-MIN(Input!$E$10:$E$23)</f>
        <v>530</v>
      </c>
      <c r="BO21" t="s">
        <v>13</v>
      </c>
      <c r="BR21" s="111" t="s">
        <v>191</v>
      </c>
      <c r="BW21" s="111" t="s">
        <v>192</v>
      </c>
    </row>
    <row r="22" spans="1:79" ht="15.75" thickTop="1">
      <c r="A22" s="49" t="s">
        <v>40</v>
      </c>
      <c r="B22" s="175">
        <f>ecu/(ecu+N5*fy/Es)*(h/2-$C$19)</f>
        <v>530</v>
      </c>
      <c r="C22" t="s">
        <v>13</v>
      </c>
      <c r="F22" s="11" t="s">
        <v>126</v>
      </c>
      <c r="G22" s="12">
        <f>+MIN(B22,h)</f>
        <v>530</v>
      </c>
      <c r="H22" s="13" t="s">
        <v>13</v>
      </c>
      <c r="K22" s="22"/>
      <c r="L22" s="23" t="s">
        <v>15</v>
      </c>
      <c r="M22" s="23" t="s">
        <v>37</v>
      </c>
      <c r="N22" s="23" t="s">
        <v>81</v>
      </c>
      <c r="O22" s="24" t="s">
        <v>45</v>
      </c>
      <c r="Q22" s="49" t="s">
        <v>40</v>
      </c>
      <c r="R22" s="188">
        <f>ecu/(ecu+N6*fy/Es)*(h/2-$C$19)</f>
        <v>460.26315789473688</v>
      </c>
      <c r="S22" t="s">
        <v>13</v>
      </c>
      <c r="V22" s="11" t="s">
        <v>126</v>
      </c>
      <c r="W22" s="12">
        <f>+MIN(R22,h)</f>
        <v>460.26315789473688</v>
      </c>
      <c r="X22" s="13" t="s">
        <v>13</v>
      </c>
      <c r="AA22" s="22"/>
      <c r="AB22" s="23" t="s">
        <v>15</v>
      </c>
      <c r="AC22" s="23" t="s">
        <v>37</v>
      </c>
      <c r="AD22" s="23" t="s">
        <v>81</v>
      </c>
      <c r="AE22" s="24" t="s">
        <v>45</v>
      </c>
      <c r="AG22" s="49" t="s">
        <v>40</v>
      </c>
      <c r="AH22" s="189">
        <f>ecu/(ecu+N7*fy/Es)*(h/2-$C$19)</f>
        <v>406.74418604651163</v>
      </c>
      <c r="AI22" t="s">
        <v>13</v>
      </c>
      <c r="AL22" s="11" t="s">
        <v>126</v>
      </c>
      <c r="AM22" s="12">
        <f>+MIN(AH22,h)</f>
        <v>406.74418604651163</v>
      </c>
      <c r="AN22" s="13" t="s">
        <v>13</v>
      </c>
      <c r="AQ22" s="22"/>
      <c r="AR22" s="23" t="s">
        <v>15</v>
      </c>
      <c r="AS22" s="23" t="s">
        <v>37</v>
      </c>
      <c r="AT22" s="23" t="s">
        <v>81</v>
      </c>
      <c r="AU22" s="24" t="s">
        <v>45</v>
      </c>
      <c r="AW22" s="49" t="s">
        <v>40</v>
      </c>
      <c r="AX22" s="189">
        <f>ecu/(ecu+N8*fy/Es)*(h/2-$C$19)</f>
        <v>364.37499999999994</v>
      </c>
      <c r="AY22" t="s">
        <v>13</v>
      </c>
      <c r="BB22" s="11" t="s">
        <v>126</v>
      </c>
      <c r="BC22" s="12">
        <f>+MIN(AX22,h)</f>
        <v>364.37499999999994</v>
      </c>
      <c r="BD22" s="13" t="s">
        <v>13</v>
      </c>
      <c r="BG22" s="22"/>
      <c r="BH22" s="23" t="s">
        <v>15</v>
      </c>
      <c r="BI22" s="23" t="s">
        <v>37</v>
      </c>
      <c r="BJ22" s="23" t="s">
        <v>81</v>
      </c>
      <c r="BK22" s="24" t="s">
        <v>45</v>
      </c>
      <c r="BM22" s="49" t="s">
        <v>40</v>
      </c>
      <c r="BN22" s="175">
        <f>ecu/(ecu+N9*fy/Es)*(h/2-$C$19)</f>
        <v>330</v>
      </c>
      <c r="BO22" t="s">
        <v>13</v>
      </c>
      <c r="BR22" s="11" t="s">
        <v>126</v>
      </c>
      <c r="BS22" s="12">
        <f>+MIN(BN22,h)</f>
        <v>330</v>
      </c>
      <c r="BT22" s="13" t="s">
        <v>13</v>
      </c>
      <c r="BW22" s="22"/>
      <c r="BX22" s="23" t="s">
        <v>15</v>
      </c>
      <c r="BY22" s="23" t="s">
        <v>37</v>
      </c>
      <c r="BZ22" s="23" t="s">
        <v>81</v>
      </c>
      <c r="CA22" s="24" t="s">
        <v>45</v>
      </c>
    </row>
    <row r="23" spans="1:79">
      <c r="A23" s="111" t="s">
        <v>177</v>
      </c>
      <c r="F23" s="69" t="s">
        <v>1</v>
      </c>
      <c r="G23" s="175">
        <v>50</v>
      </c>
      <c r="H23" s="15" t="s">
        <v>39</v>
      </c>
      <c r="K23" s="25" t="s">
        <v>18</v>
      </c>
      <c r="L23" s="53">
        <f>+E31/10^3</f>
        <v>4314.1742367000006</v>
      </c>
      <c r="M23" s="53">
        <f>+N31/10^3</f>
        <v>1684.6937585333271</v>
      </c>
      <c r="N23" s="98">
        <f>+L23+M23</f>
        <v>5998.8679952333277</v>
      </c>
      <c r="O23" s="54" t="s">
        <v>67</v>
      </c>
      <c r="Q23" s="111" t="s">
        <v>177</v>
      </c>
      <c r="V23" s="69" t="s">
        <v>1</v>
      </c>
      <c r="W23" s="175">
        <v>50</v>
      </c>
      <c r="X23" s="15" t="s">
        <v>39</v>
      </c>
      <c r="AA23" s="25" t="s">
        <v>18</v>
      </c>
      <c r="AB23" s="53">
        <f>+U31/10^3</f>
        <v>3746.519731871052</v>
      </c>
      <c r="AC23" s="53">
        <f>+AD31/10^3</f>
        <v>1245.6403374305719</v>
      </c>
      <c r="AD23" s="98">
        <f>+AB23+AC23</f>
        <v>4992.1600693016244</v>
      </c>
      <c r="AE23" s="54" t="s">
        <v>67</v>
      </c>
      <c r="AG23" s="111" t="s">
        <v>177</v>
      </c>
      <c r="AL23" s="69" t="s">
        <v>1</v>
      </c>
      <c r="AM23" s="175">
        <v>50</v>
      </c>
      <c r="AN23" s="15" t="s">
        <v>39</v>
      </c>
      <c r="AQ23" s="25" t="s">
        <v>18</v>
      </c>
      <c r="AR23" s="53">
        <f>+AK31/10^3</f>
        <v>3310.8779025837202</v>
      </c>
      <c r="AS23" s="53">
        <f>+AT31/10^3</f>
        <v>776.42899685169402</v>
      </c>
      <c r="AT23" s="98">
        <f>+AR23+AS23</f>
        <v>4087.3068994354144</v>
      </c>
      <c r="AU23" s="54" t="s">
        <v>67</v>
      </c>
      <c r="AW23" s="111" t="s">
        <v>177</v>
      </c>
      <c r="BB23" s="69" t="s">
        <v>1</v>
      </c>
      <c r="BC23" s="175">
        <v>50</v>
      </c>
      <c r="BD23" s="15" t="s">
        <v>39</v>
      </c>
      <c r="BG23" s="25" t="s">
        <v>18</v>
      </c>
      <c r="BH23" s="53">
        <f>+BA31/10^3</f>
        <v>2965.9947877312502</v>
      </c>
      <c r="BI23" s="53">
        <f>+BJ31/10^3</f>
        <v>273.16047529367734</v>
      </c>
      <c r="BJ23" s="98">
        <f>+BH23+BI23</f>
        <v>3239.1552630249275</v>
      </c>
      <c r="BK23" s="54" t="s">
        <v>67</v>
      </c>
      <c r="BM23" s="111" t="s">
        <v>177</v>
      </c>
      <c r="BR23" s="69" t="s">
        <v>1</v>
      </c>
      <c r="BS23" s="175">
        <v>50</v>
      </c>
      <c r="BT23" s="15" t="s">
        <v>39</v>
      </c>
      <c r="BW23" s="25" t="s">
        <v>18</v>
      </c>
      <c r="BX23" s="53">
        <f>+BQ31/10^3</f>
        <v>2686.1839587000009</v>
      </c>
      <c r="BY23" s="53">
        <f>+BZ31/10^3</f>
        <v>-229.58055395679816</v>
      </c>
      <c r="BZ23" s="98">
        <f>+BX23+BY23</f>
        <v>2456.6034047432026</v>
      </c>
      <c r="CA23" s="54" t="s">
        <v>67</v>
      </c>
    </row>
    <row r="24" spans="1:79" ht="15.75" thickBot="1">
      <c r="A24" s="111" t="s">
        <v>181</v>
      </c>
      <c r="F24" s="69" t="s">
        <v>41</v>
      </c>
      <c r="G24" s="66">
        <f>G22/G$23</f>
        <v>10.6</v>
      </c>
      <c r="H24" s="15" t="s">
        <v>13</v>
      </c>
      <c r="K24" s="26" t="s">
        <v>20</v>
      </c>
      <c r="L24" s="95">
        <f>+F31/10^6</f>
        <v>352.5809372048999</v>
      </c>
      <c r="M24" s="96">
        <f>+O31/10^6</f>
        <v>262.89504480660452</v>
      </c>
      <c r="N24" s="99">
        <f>+L24+M24</f>
        <v>615.47598201150436</v>
      </c>
      <c r="O24" s="97" t="s">
        <v>68</v>
      </c>
      <c r="Q24" s="111" t="s">
        <v>181</v>
      </c>
      <c r="V24" s="69" t="s">
        <v>41</v>
      </c>
      <c r="W24" s="66">
        <f>W22/W$23</f>
        <v>9.2052631578947377</v>
      </c>
      <c r="X24" s="15" t="s">
        <v>13</v>
      </c>
      <c r="AA24" s="26" t="s">
        <v>20</v>
      </c>
      <c r="AB24" s="95">
        <f>+V31/10^6</f>
        <v>413.78965743267719</v>
      </c>
      <c r="AC24" s="96">
        <f>+AE31/10^6</f>
        <v>352.14189832272206</v>
      </c>
      <c r="AD24" s="99">
        <f>+AB24+AC24</f>
        <v>765.93155575539924</v>
      </c>
      <c r="AE24" s="97" t="s">
        <v>68</v>
      </c>
      <c r="AG24" s="111" t="s">
        <v>181</v>
      </c>
      <c r="AL24" s="69" t="s">
        <v>41</v>
      </c>
      <c r="AM24" s="66">
        <f>AM22/AM$23</f>
        <v>8.1348837209302332</v>
      </c>
      <c r="AN24" s="15" t="s">
        <v>13</v>
      </c>
      <c r="AQ24" s="26" t="s">
        <v>20</v>
      </c>
      <c r="AR24" s="95">
        <f>+AL31/10^6</f>
        <v>438.65002166005195</v>
      </c>
      <c r="AS24" s="96">
        <f>+AU31/10^6</f>
        <v>438.69780870105313</v>
      </c>
      <c r="AT24" s="99">
        <f>+AR24+AS24</f>
        <v>877.34783036110503</v>
      </c>
      <c r="AU24" s="97" t="s">
        <v>68</v>
      </c>
      <c r="AW24" s="111" t="s">
        <v>181</v>
      </c>
      <c r="BB24" s="69" t="s">
        <v>41</v>
      </c>
      <c r="BC24" s="66">
        <f>BC22/BC$23</f>
        <v>7.2874999999999988</v>
      </c>
      <c r="BD24" s="15" t="s">
        <v>13</v>
      </c>
      <c r="BG24" s="26" t="s">
        <v>20</v>
      </c>
      <c r="BH24" s="95">
        <f>+BB31/10^6</f>
        <v>444.71159495055826</v>
      </c>
      <c r="BI24" s="96">
        <f>+BK31/10^6</f>
        <v>523.01472154454427</v>
      </c>
      <c r="BJ24" s="99">
        <f>+BH24+BI24</f>
        <v>967.72631649510254</v>
      </c>
      <c r="BK24" s="97" t="s">
        <v>68</v>
      </c>
      <c r="BM24" s="111" t="s">
        <v>181</v>
      </c>
      <c r="BR24" s="69" t="s">
        <v>41</v>
      </c>
      <c r="BS24" s="66">
        <f>BS22/BS$23</f>
        <v>6.6</v>
      </c>
      <c r="BT24" s="15" t="s">
        <v>13</v>
      </c>
      <c r="BW24" s="26" t="s">
        <v>20</v>
      </c>
      <c r="BX24" s="95">
        <f>+BR31/10^6</f>
        <v>440.78573851290008</v>
      </c>
      <c r="BY24" s="96">
        <f>+CA31/10^6</f>
        <v>607.40020838801559</v>
      </c>
      <c r="BZ24" s="99">
        <f>+BX24+BY24</f>
        <v>1048.1859469009157</v>
      </c>
      <c r="CA24" s="97" t="s">
        <v>68</v>
      </c>
    </row>
    <row r="25" spans="1:79" ht="15.75" thickTop="1">
      <c r="A25" t="s">
        <v>188</v>
      </c>
      <c r="C25" s="171" t="s">
        <v>189</v>
      </c>
      <c r="D25" s="172">
        <f>+ecu*(B22-h/2)/B22</f>
        <v>1.4320754716981132E-3</v>
      </c>
      <c r="F25" s="69" t="s">
        <v>42</v>
      </c>
      <c r="G25" s="66">
        <f>+b</f>
        <v>400</v>
      </c>
      <c r="H25" s="15" t="s">
        <v>13</v>
      </c>
      <c r="Q25" t="s">
        <v>188</v>
      </c>
      <c r="S25" s="171" t="s">
        <v>189</v>
      </c>
      <c r="T25" s="172">
        <f>+ecu*(R22-h/2)/R22</f>
        <v>1.149056603773585E-3</v>
      </c>
      <c r="V25" s="69" t="s">
        <v>42</v>
      </c>
      <c r="W25" s="66">
        <f>+b</f>
        <v>400</v>
      </c>
      <c r="X25" s="15" t="s">
        <v>13</v>
      </c>
      <c r="AG25" t="s">
        <v>188</v>
      </c>
      <c r="AI25" s="171" t="s">
        <v>189</v>
      </c>
      <c r="AJ25" s="172">
        <f>+ecu*(AH22-h/2)/AH22</f>
        <v>8.6603773584905655E-4</v>
      </c>
      <c r="AL25" s="69" t="s">
        <v>42</v>
      </c>
      <c r="AM25" s="66">
        <f>+b</f>
        <v>400</v>
      </c>
      <c r="AN25" s="15" t="s">
        <v>13</v>
      </c>
      <c r="AW25" t="s">
        <v>188</v>
      </c>
      <c r="AY25" s="171" t="s">
        <v>189</v>
      </c>
      <c r="AZ25" s="172">
        <f>+ecu*(AX22-h/2)/AX22</f>
        <v>5.8301886792452785E-4</v>
      </c>
      <c r="BB25" s="69" t="s">
        <v>42</v>
      </c>
      <c r="BC25" s="66">
        <f>+b</f>
        <v>400</v>
      </c>
      <c r="BD25" s="15" t="s">
        <v>13</v>
      </c>
      <c r="BM25" t="s">
        <v>188</v>
      </c>
      <c r="BO25" s="171" t="s">
        <v>189</v>
      </c>
      <c r="BP25" s="172">
        <f>+ecu*(BN22-h/2)/BN22</f>
        <v>3.0000000000000003E-4</v>
      </c>
      <c r="BR25" s="69" t="s">
        <v>42</v>
      </c>
      <c r="BS25" s="66">
        <f>+b</f>
        <v>400</v>
      </c>
      <c r="BT25" s="15" t="s">
        <v>13</v>
      </c>
    </row>
    <row r="26" spans="1:79" ht="15.75" thickBot="1">
      <c r="A26" t="s">
        <v>190</v>
      </c>
      <c r="C26" s="173" t="s">
        <v>185</v>
      </c>
      <c r="D26" s="174">
        <f>+ecu/B22</f>
        <v>6.2264150943396222E-6</v>
      </c>
      <c r="F26" s="70" t="s">
        <v>43</v>
      </c>
      <c r="G26" s="71">
        <f>+G24*G25</f>
        <v>4240</v>
      </c>
      <c r="H26" s="18" t="s">
        <v>10</v>
      </c>
      <c r="Q26" t="s">
        <v>190</v>
      </c>
      <c r="S26" s="173" t="s">
        <v>185</v>
      </c>
      <c r="T26" s="174">
        <f>+ecu/R22</f>
        <v>7.1698113207547164E-6</v>
      </c>
      <c r="V26" s="70" t="s">
        <v>43</v>
      </c>
      <c r="W26" s="71">
        <f>+W24*W25</f>
        <v>3682.105263157895</v>
      </c>
      <c r="X26" s="18" t="s">
        <v>10</v>
      </c>
      <c r="AG26" t="s">
        <v>190</v>
      </c>
      <c r="AI26" s="173" t="s">
        <v>185</v>
      </c>
      <c r="AJ26" s="174">
        <f>+ecu/AH22</f>
        <v>8.1132075471698107E-6</v>
      </c>
      <c r="AL26" s="70" t="s">
        <v>43</v>
      </c>
      <c r="AM26" s="71">
        <f>+AM24*AM25</f>
        <v>3253.9534883720935</v>
      </c>
      <c r="AN26" s="18" t="s">
        <v>10</v>
      </c>
      <c r="AW26" t="s">
        <v>190</v>
      </c>
      <c r="AY26" s="173" t="s">
        <v>185</v>
      </c>
      <c r="AZ26" s="174">
        <f>+ecu/AX22</f>
        <v>9.0566037735849066E-6</v>
      </c>
      <c r="BB26" s="70" t="s">
        <v>43</v>
      </c>
      <c r="BC26" s="71">
        <f>+BC24*BC25</f>
        <v>2914.9999999999995</v>
      </c>
      <c r="BD26" s="18" t="s">
        <v>10</v>
      </c>
      <c r="BM26" t="s">
        <v>190</v>
      </c>
      <c r="BO26" s="173" t="s">
        <v>185</v>
      </c>
      <c r="BP26" s="174">
        <f>+ecu/BN22</f>
        <v>9.9999999999999991E-6</v>
      </c>
      <c r="BR26" s="70" t="s">
        <v>43</v>
      </c>
      <c r="BS26" s="71">
        <f>+BS24*BS25</f>
        <v>2640</v>
      </c>
      <c r="BT26" s="18" t="s">
        <v>10</v>
      </c>
    </row>
    <row r="27" spans="1:79" ht="15.75" thickTop="1">
      <c r="F27" s="49"/>
      <c r="G27" s="90"/>
      <c r="V27" s="49"/>
      <c r="W27" s="90"/>
      <c r="AL27" s="49"/>
      <c r="AM27" s="90"/>
      <c r="BB27" s="49"/>
      <c r="BC27" s="90"/>
      <c r="BR27" s="49"/>
      <c r="BS27" s="90"/>
    </row>
    <row r="28" spans="1:79" ht="16.5" thickBot="1">
      <c r="A28" s="94" t="s">
        <v>80</v>
      </c>
      <c r="I28" s="94" t="s">
        <v>79</v>
      </c>
      <c r="Q28" s="94" t="s">
        <v>80</v>
      </c>
      <c r="Y28" s="94" t="s">
        <v>79</v>
      </c>
      <c r="AG28" s="94" t="s">
        <v>80</v>
      </c>
      <c r="AO28" s="94" t="s">
        <v>79</v>
      </c>
      <c r="AW28" s="94" t="s">
        <v>80</v>
      </c>
      <c r="BE28" s="94" t="s">
        <v>79</v>
      </c>
      <c r="BM28" s="94" t="s">
        <v>80</v>
      </c>
      <c r="BU28" s="94" t="s">
        <v>79</v>
      </c>
    </row>
    <row r="29" spans="1:79" s="58" customFormat="1" ht="21" customHeight="1" thickTop="1">
      <c r="A29" s="55" t="s">
        <v>2</v>
      </c>
      <c r="B29" s="56" t="s">
        <v>3</v>
      </c>
      <c r="C29" s="56" t="s">
        <v>46</v>
      </c>
      <c r="D29" s="56" t="s">
        <v>47</v>
      </c>
      <c r="E29" s="56" t="s">
        <v>65</v>
      </c>
      <c r="F29" s="57" t="s">
        <v>66</v>
      </c>
      <c r="H29" s="55" t="s">
        <v>2</v>
      </c>
      <c r="I29" s="56" t="s">
        <v>16</v>
      </c>
      <c r="J29" s="56" t="s">
        <v>59</v>
      </c>
      <c r="K29" s="56" t="s">
        <v>58</v>
      </c>
      <c r="L29" s="56" t="s">
        <v>47</v>
      </c>
      <c r="M29" s="56" t="s">
        <v>60</v>
      </c>
      <c r="N29" s="84" t="s">
        <v>61</v>
      </c>
      <c r="O29" s="57" t="s">
        <v>63</v>
      </c>
      <c r="P29"/>
      <c r="Q29" s="55" t="s">
        <v>2</v>
      </c>
      <c r="R29" s="56" t="s">
        <v>3</v>
      </c>
      <c r="S29" s="56" t="s">
        <v>46</v>
      </c>
      <c r="T29" s="56" t="s">
        <v>47</v>
      </c>
      <c r="U29" s="56" t="s">
        <v>65</v>
      </c>
      <c r="V29" s="57" t="s">
        <v>66</v>
      </c>
      <c r="X29" s="55" t="s">
        <v>2</v>
      </c>
      <c r="Y29" s="56" t="s">
        <v>16</v>
      </c>
      <c r="Z29" s="56" t="s">
        <v>59</v>
      </c>
      <c r="AA29" s="56" t="s">
        <v>58</v>
      </c>
      <c r="AB29" s="56" t="s">
        <v>47</v>
      </c>
      <c r="AC29" s="56" t="s">
        <v>60</v>
      </c>
      <c r="AD29" s="84" t="s">
        <v>61</v>
      </c>
      <c r="AE29" s="57" t="s">
        <v>63</v>
      </c>
      <c r="AG29" s="55" t="s">
        <v>2</v>
      </c>
      <c r="AH29" s="56" t="s">
        <v>3</v>
      </c>
      <c r="AI29" s="56" t="s">
        <v>46</v>
      </c>
      <c r="AJ29" s="56" t="s">
        <v>47</v>
      </c>
      <c r="AK29" s="56" t="s">
        <v>65</v>
      </c>
      <c r="AL29" s="57" t="s">
        <v>66</v>
      </c>
      <c r="AN29" s="55" t="s">
        <v>2</v>
      </c>
      <c r="AO29" s="56" t="s">
        <v>16</v>
      </c>
      <c r="AP29" s="56" t="s">
        <v>59</v>
      </c>
      <c r="AQ29" s="56" t="s">
        <v>58</v>
      </c>
      <c r="AR29" s="56" t="s">
        <v>47</v>
      </c>
      <c r="AS29" s="56" t="s">
        <v>60</v>
      </c>
      <c r="AT29" s="84" t="s">
        <v>61</v>
      </c>
      <c r="AU29" s="57" t="s">
        <v>63</v>
      </c>
      <c r="AW29" s="55" t="s">
        <v>2</v>
      </c>
      <c r="AX29" s="56" t="s">
        <v>3</v>
      </c>
      <c r="AY29" s="56" t="s">
        <v>46</v>
      </c>
      <c r="AZ29" s="56" t="s">
        <v>47</v>
      </c>
      <c r="BA29" s="56" t="s">
        <v>65</v>
      </c>
      <c r="BB29" s="57" t="s">
        <v>66</v>
      </c>
      <c r="BD29" s="55" t="s">
        <v>2</v>
      </c>
      <c r="BE29" s="56" t="s">
        <v>16</v>
      </c>
      <c r="BF29" s="56" t="s">
        <v>59</v>
      </c>
      <c r="BG29" s="56" t="s">
        <v>58</v>
      </c>
      <c r="BH29" s="56" t="s">
        <v>47</v>
      </c>
      <c r="BI29" s="56" t="s">
        <v>60</v>
      </c>
      <c r="BJ29" s="84" t="s">
        <v>61</v>
      </c>
      <c r="BK29" s="57" t="s">
        <v>63</v>
      </c>
      <c r="BM29" s="55" t="s">
        <v>2</v>
      </c>
      <c r="BN29" s="56" t="s">
        <v>3</v>
      </c>
      <c r="BO29" s="56" t="s">
        <v>46</v>
      </c>
      <c r="BP29" s="56" t="s">
        <v>47</v>
      </c>
      <c r="BQ29" s="56" t="s">
        <v>65</v>
      </c>
      <c r="BR29" s="57" t="s">
        <v>66</v>
      </c>
      <c r="BT29" s="55" t="s">
        <v>2</v>
      </c>
      <c r="BU29" s="56" t="s">
        <v>16</v>
      </c>
      <c r="BV29" s="56" t="s">
        <v>59</v>
      </c>
      <c r="BW29" s="56" t="s">
        <v>58</v>
      </c>
      <c r="BX29" s="56" t="s">
        <v>47</v>
      </c>
      <c r="BY29" s="56" t="s">
        <v>60</v>
      </c>
      <c r="BZ29" s="84" t="s">
        <v>61</v>
      </c>
      <c r="CA29" s="57" t="s">
        <v>63</v>
      </c>
    </row>
    <row r="30" spans="1:79">
      <c r="A30" s="59" t="s">
        <v>45</v>
      </c>
      <c r="B30" s="60" t="s">
        <v>13</v>
      </c>
      <c r="C30" s="60"/>
      <c r="D30" s="60" t="s">
        <v>11</v>
      </c>
      <c r="E30" s="60" t="s">
        <v>12</v>
      </c>
      <c r="F30" s="61" t="s">
        <v>14</v>
      </c>
      <c r="H30" s="59" t="s">
        <v>45</v>
      </c>
      <c r="I30" s="60" t="s">
        <v>13</v>
      </c>
      <c r="J30" s="60"/>
      <c r="K30" s="60" t="s">
        <v>11</v>
      </c>
      <c r="L30" s="60" t="s">
        <v>11</v>
      </c>
      <c r="M30" s="60" t="s">
        <v>11</v>
      </c>
      <c r="N30" s="85" t="s">
        <v>14</v>
      </c>
      <c r="O30" s="61" t="s">
        <v>14</v>
      </c>
      <c r="Q30" s="59" t="s">
        <v>45</v>
      </c>
      <c r="R30" s="60" t="s">
        <v>13</v>
      </c>
      <c r="S30" s="60"/>
      <c r="T30" s="60" t="s">
        <v>11</v>
      </c>
      <c r="U30" s="60" t="s">
        <v>12</v>
      </c>
      <c r="V30" s="61" t="s">
        <v>14</v>
      </c>
      <c r="X30" s="59" t="s">
        <v>45</v>
      </c>
      <c r="Y30" s="60" t="s">
        <v>13</v>
      </c>
      <c r="Z30" s="60"/>
      <c r="AA30" s="60" t="s">
        <v>11</v>
      </c>
      <c r="AB30" s="60" t="s">
        <v>11</v>
      </c>
      <c r="AC30" s="60" t="s">
        <v>11</v>
      </c>
      <c r="AD30" s="85" t="s">
        <v>14</v>
      </c>
      <c r="AE30" s="61" t="s">
        <v>14</v>
      </c>
      <c r="AG30" s="59" t="s">
        <v>45</v>
      </c>
      <c r="AH30" s="60" t="s">
        <v>13</v>
      </c>
      <c r="AI30" s="60"/>
      <c r="AJ30" s="60" t="s">
        <v>11</v>
      </c>
      <c r="AK30" s="60" t="s">
        <v>12</v>
      </c>
      <c r="AL30" s="61" t="s">
        <v>14</v>
      </c>
      <c r="AN30" s="59" t="s">
        <v>45</v>
      </c>
      <c r="AO30" s="60" t="s">
        <v>13</v>
      </c>
      <c r="AP30" s="60"/>
      <c r="AQ30" s="60" t="s">
        <v>11</v>
      </c>
      <c r="AR30" s="60" t="s">
        <v>11</v>
      </c>
      <c r="AS30" s="60" t="s">
        <v>11</v>
      </c>
      <c r="AT30" s="85" t="s">
        <v>14</v>
      </c>
      <c r="AU30" s="61" t="s">
        <v>14</v>
      </c>
      <c r="AW30" s="59" t="s">
        <v>45</v>
      </c>
      <c r="AX30" s="60" t="s">
        <v>13</v>
      </c>
      <c r="AY30" s="60"/>
      <c r="AZ30" s="60" t="s">
        <v>11</v>
      </c>
      <c r="BA30" s="60" t="s">
        <v>12</v>
      </c>
      <c r="BB30" s="61" t="s">
        <v>14</v>
      </c>
      <c r="BD30" s="59" t="s">
        <v>45</v>
      </c>
      <c r="BE30" s="60" t="s">
        <v>13</v>
      </c>
      <c r="BF30" s="60"/>
      <c r="BG30" s="60" t="s">
        <v>11</v>
      </c>
      <c r="BH30" s="60" t="s">
        <v>11</v>
      </c>
      <c r="BI30" s="60" t="s">
        <v>11</v>
      </c>
      <c r="BJ30" s="85" t="s">
        <v>14</v>
      </c>
      <c r="BK30" s="61" t="s">
        <v>14</v>
      </c>
      <c r="BM30" s="59" t="s">
        <v>45</v>
      </c>
      <c r="BN30" s="60" t="s">
        <v>13</v>
      </c>
      <c r="BO30" s="60"/>
      <c r="BP30" s="60" t="s">
        <v>11</v>
      </c>
      <c r="BQ30" s="60" t="s">
        <v>12</v>
      </c>
      <c r="BR30" s="61" t="s">
        <v>14</v>
      </c>
      <c r="BT30" s="59" t="s">
        <v>45</v>
      </c>
      <c r="BU30" s="60" t="s">
        <v>13</v>
      </c>
      <c r="BV30" s="60"/>
      <c r="BW30" s="60" t="s">
        <v>11</v>
      </c>
      <c r="BX30" s="60" t="s">
        <v>11</v>
      </c>
      <c r="BY30" s="60" t="s">
        <v>11</v>
      </c>
      <c r="BZ30" s="85" t="s">
        <v>14</v>
      </c>
      <c r="CA30" s="61" t="s">
        <v>14</v>
      </c>
    </row>
    <row r="31" spans="1:79" ht="20.25" customHeight="1">
      <c r="A31" s="62" t="s">
        <v>44</v>
      </c>
      <c r="B31" s="63"/>
      <c r="C31" s="63"/>
      <c r="D31" s="63"/>
      <c r="E31" s="64">
        <f>+SUM(E32:E81)</f>
        <v>4314174.2367000002</v>
      </c>
      <c r="F31" s="65">
        <f>+SUM(F32:F81)</f>
        <v>352580937.20489991</v>
      </c>
      <c r="H31" s="62" t="s">
        <v>44</v>
      </c>
      <c r="I31" s="63"/>
      <c r="J31" s="63"/>
      <c r="K31" s="63"/>
      <c r="L31" s="64"/>
      <c r="M31" s="63"/>
      <c r="N31" s="86">
        <f>+SUM(N32:N43)</f>
        <v>1684693.7585333271</v>
      </c>
      <c r="O31" s="65">
        <f>+SUM(O32:O43)</f>
        <v>262895044.80660453</v>
      </c>
      <c r="Q31" s="62" t="s">
        <v>44</v>
      </c>
      <c r="R31" s="63"/>
      <c r="S31" s="63"/>
      <c r="T31" s="63"/>
      <c r="U31" s="64">
        <f>+SUM(U32:U81)</f>
        <v>3746519.7318710522</v>
      </c>
      <c r="V31" s="65">
        <f>+SUM(V32:V81)</f>
        <v>413789657.43267721</v>
      </c>
      <c r="X31" s="62" t="s">
        <v>44</v>
      </c>
      <c r="Y31" s="63"/>
      <c r="Z31" s="63"/>
      <c r="AA31" s="63"/>
      <c r="AB31" s="64"/>
      <c r="AC31" s="63"/>
      <c r="AD31" s="86">
        <f>+SUM(AD32:AD43)</f>
        <v>1245640.3374305719</v>
      </c>
      <c r="AE31" s="65">
        <f>+SUM(AE32:AE43)</f>
        <v>352141898.32272208</v>
      </c>
      <c r="AG31" s="62" t="s">
        <v>44</v>
      </c>
      <c r="AH31" s="63"/>
      <c r="AI31" s="63"/>
      <c r="AJ31" s="63"/>
      <c r="AK31" s="64">
        <f>+SUM(AK32:AK81)</f>
        <v>3310877.9025837202</v>
      </c>
      <c r="AL31" s="65">
        <f>+SUM(AL32:AL81)</f>
        <v>438650021.66005194</v>
      </c>
      <c r="AN31" s="62" t="s">
        <v>44</v>
      </c>
      <c r="AO31" s="63"/>
      <c r="AP31" s="63"/>
      <c r="AQ31" s="63"/>
      <c r="AR31" s="64"/>
      <c r="AS31" s="63"/>
      <c r="AT31" s="86">
        <f>+SUM(AT32:AT43)</f>
        <v>776428.99685169407</v>
      </c>
      <c r="AU31" s="65">
        <f>+SUM(AU32:AU43)</f>
        <v>438697808.70105314</v>
      </c>
      <c r="AW31" s="62" t="s">
        <v>44</v>
      </c>
      <c r="AX31" s="63"/>
      <c r="AY31" s="63"/>
      <c r="AZ31" s="63"/>
      <c r="BA31" s="64">
        <f>+SUM(BA32:BA81)</f>
        <v>2965994.7877312503</v>
      </c>
      <c r="BB31" s="65">
        <f>+SUM(BB32:BB81)</f>
        <v>444711594.95055825</v>
      </c>
      <c r="BD31" s="62" t="s">
        <v>44</v>
      </c>
      <c r="BE31" s="63"/>
      <c r="BF31" s="63"/>
      <c r="BG31" s="63"/>
      <c r="BH31" s="64"/>
      <c r="BI31" s="63"/>
      <c r="BJ31" s="86">
        <f>+SUM(BJ32:BJ43)</f>
        <v>273160.47529367736</v>
      </c>
      <c r="BK31" s="65">
        <f>+SUM(BK32:BK43)</f>
        <v>523014721.54454428</v>
      </c>
      <c r="BM31" s="62" t="s">
        <v>44</v>
      </c>
      <c r="BN31" s="63"/>
      <c r="BO31" s="63"/>
      <c r="BP31" s="63"/>
      <c r="BQ31" s="64">
        <f>+SUM(BQ32:BQ81)</f>
        <v>2686183.9587000008</v>
      </c>
      <c r="BR31" s="65">
        <f>+SUM(BR32:BR81)</f>
        <v>440785738.51290005</v>
      </c>
      <c r="BT31" s="62" t="s">
        <v>44</v>
      </c>
      <c r="BU31" s="63"/>
      <c r="BV31" s="63"/>
      <c r="BW31" s="63"/>
      <c r="BX31" s="64"/>
      <c r="BY31" s="63"/>
      <c r="BZ31" s="86">
        <f>+SUM(BZ32:BZ43)</f>
        <v>-229580.55395679816</v>
      </c>
      <c r="CA31" s="65">
        <f>+SUM(CA32:CA43)</f>
        <v>607400208.38801563</v>
      </c>
    </row>
    <row r="32" spans="1:79">
      <c r="A32" s="25">
        <v>1</v>
      </c>
      <c r="B32" s="51">
        <f t="shared" ref="B32:B63" si="0">h/2-($A32-0.5)*G$24</f>
        <v>294.7</v>
      </c>
      <c r="C32" s="74">
        <f>D$25+D$26*B32</f>
        <v>3.2669999999999999E-3</v>
      </c>
      <c r="D32" s="52">
        <f t="shared" ref="D32:D81" si="1">+IF(C32&gt;=0,IF(C32&lt;=eco,1-(1-C32/eco)^n,1),0)*0.85*fck</f>
        <v>25.5</v>
      </c>
      <c r="E32" s="53">
        <f t="shared" ref="E32:E63" si="2">+D32*G$26</f>
        <v>108120</v>
      </c>
      <c r="F32" s="54">
        <f t="shared" ref="F32:F63" si="3">+E32*B32</f>
        <v>31862964</v>
      </c>
      <c r="H32" s="25">
        <v>1</v>
      </c>
      <c r="I32" s="51">
        <f>Input!$E10</f>
        <v>230</v>
      </c>
      <c r="J32" s="74">
        <f>D$25+D$26*I32</f>
        <v>2.8641509433962264E-3</v>
      </c>
      <c r="K32" s="52">
        <f t="shared" ref="K32:K43" si="4">J32*Es</f>
        <v>572.83018867924523</v>
      </c>
      <c r="L32" s="52">
        <f t="shared" ref="L32:L43" si="5">+IF(K32&gt;=0,IF(J32&lt;=eco,1-(1-J32/eco)^n,1),0)*0.85*fck</f>
        <v>25.5</v>
      </c>
      <c r="M32" s="83">
        <f t="shared" ref="M32:M43" si="6">MAX(MIN(K32,fy),-fy)-IF(K32&gt;=0,L32,0)</f>
        <v>374.5</v>
      </c>
      <c r="N32" s="93">
        <f>IF(AND(ISNUMBER(Input!$D10),ISNUMBER(Input!$E10)),M32*As,0)</f>
        <v>301190.77088496066</v>
      </c>
      <c r="O32" s="54">
        <f>N32*I32</f>
        <v>69273877.303540945</v>
      </c>
      <c r="Q32" s="25">
        <v>1</v>
      </c>
      <c r="R32" s="51">
        <f t="shared" ref="R32:R63" si="7">h/2-($Q32-0.5)*W$24</f>
        <v>295.39736842105265</v>
      </c>
      <c r="S32" s="74">
        <f>T$25+T$26*R32</f>
        <v>3.2669999999999999E-3</v>
      </c>
      <c r="T32" s="52">
        <f t="shared" ref="T32:T81" si="8">+IF(S32&gt;=0,IF(S32&lt;=eco,1-(1-S32/eco)^n,1),0)*0.85*fck</f>
        <v>25.5</v>
      </c>
      <c r="U32" s="53">
        <f t="shared" ref="U32:U63" si="9">+T32*W$26</f>
        <v>93893.68421052632</v>
      </c>
      <c r="V32" s="54">
        <f t="shared" ref="V32:V63" si="10">+U32*R32</f>
        <v>27735947.227146816</v>
      </c>
      <c r="X32" s="25">
        <v>1</v>
      </c>
      <c r="Y32" s="51">
        <f>Input!$E10</f>
        <v>230</v>
      </c>
      <c r="Z32" s="74">
        <f>T$25+T$26*Y32</f>
        <v>2.7981132075471701E-3</v>
      </c>
      <c r="AA32" s="52">
        <f t="shared" ref="AA32:AA43" si="11">Z32*Es</f>
        <v>559.62264150943406</v>
      </c>
      <c r="AB32" s="52">
        <f t="shared" ref="AB32:AB43" si="12">+IF(AA32&gt;=0,IF(Z32&lt;=eco,1-(1-Z32/eco)^n,1),0)*0.85*fck</f>
        <v>25.5</v>
      </c>
      <c r="AC32" s="83">
        <f t="shared" ref="AC32:AC43" si="13">MAX(MIN(AA32,fy),-fy)-IF(AA32&gt;=0,AB32,0)</f>
        <v>374.5</v>
      </c>
      <c r="AD32" s="93">
        <f>IF(AND(ISNUMBER(Input!$D10),ISNUMBER(Input!$E10)),AC32*As,0)</f>
        <v>301190.77088496066</v>
      </c>
      <c r="AE32" s="54">
        <f>AD32*Y32</f>
        <v>69273877.303540945</v>
      </c>
      <c r="AG32" s="25">
        <v>1</v>
      </c>
      <c r="AH32" s="51">
        <f t="shared" ref="AH32:AH63" si="14">h/2-($AG32-0.5)*AM$24</f>
        <v>295.93255813953488</v>
      </c>
      <c r="AI32" s="74">
        <f>AJ$25+AJ$26*AH32</f>
        <v>3.2669999999999999E-3</v>
      </c>
      <c r="AJ32" s="52">
        <f t="shared" ref="AJ32:AJ81" si="15">+IF(AI32&gt;=0,IF(AI32&lt;=eco,1-(1-AI32/eco)^n,1),0)*0.85*fck</f>
        <v>25.5</v>
      </c>
      <c r="AK32" s="53">
        <f t="shared" ref="AK32:AK63" si="16">+AJ32*AM$26</f>
        <v>82975.813953488381</v>
      </c>
      <c r="AL32" s="54">
        <f t="shared" ref="AL32:AL63" si="17">+AK32*AH32</f>
        <v>24555244.88696593</v>
      </c>
      <c r="AN32" s="25">
        <v>1</v>
      </c>
      <c r="AO32" s="51">
        <f>Input!$E10</f>
        <v>230</v>
      </c>
      <c r="AP32" s="74">
        <f>AJ$25+AJ$26*AO32</f>
        <v>2.7320754716981129E-3</v>
      </c>
      <c r="AQ32" s="52">
        <f t="shared" ref="AQ32:AQ43" si="18">AP32*Es</f>
        <v>546.41509433962256</v>
      </c>
      <c r="AR32" s="52">
        <f t="shared" ref="AR32:AR43" si="19">+IF(AQ32&gt;=0,IF(AP32&lt;=eco,1-(1-AP32/eco)^n,1),0)*0.85*fck</f>
        <v>25.5</v>
      </c>
      <c r="AS32" s="83">
        <f t="shared" ref="AS32:AS43" si="20">MAX(MIN(AQ32,fy),-fy)-IF(AQ32&gt;=0,AR32,0)</f>
        <v>374.5</v>
      </c>
      <c r="AT32" s="93">
        <f>IF(AND(ISNUMBER(Input!$D10),ISNUMBER(Input!$E10)),AS32*As,0)</f>
        <v>301190.77088496066</v>
      </c>
      <c r="AU32" s="54">
        <f>AT32*AO32</f>
        <v>69273877.303540945</v>
      </c>
      <c r="AW32" s="25">
        <v>1</v>
      </c>
      <c r="AX32" s="51">
        <f t="shared" ref="AX32:AX63" si="21">h/2-($AW32-0.5)*BC$24</f>
        <v>296.35624999999999</v>
      </c>
      <c r="AY32" s="74">
        <f>AZ$25+AZ$26*AX32</f>
        <v>3.2669999999999999E-3</v>
      </c>
      <c r="AZ32" s="52">
        <f t="shared" ref="AZ32:AZ81" si="22">+IF(AY32&gt;=0,IF(AY32&lt;=eco,1-(1-AY32/eco)^n,1),0)*0.85*fck</f>
        <v>25.5</v>
      </c>
      <c r="BA32" s="53">
        <f t="shared" ref="BA32:BA63" si="23">+AZ32*BC$26</f>
        <v>74332.499999999985</v>
      </c>
      <c r="BB32" s="54">
        <f t="shared" ref="BB32:BB63" si="24">+BA32*AX32</f>
        <v>22028900.953124996</v>
      </c>
      <c r="BD32" s="25">
        <v>1</v>
      </c>
      <c r="BE32" s="51">
        <f>Input!$E10</f>
        <v>230</v>
      </c>
      <c r="BF32" s="74">
        <f>AZ$25+AZ$26*BE32</f>
        <v>2.6660377358490566E-3</v>
      </c>
      <c r="BG32" s="52">
        <f t="shared" ref="BG32:BG43" si="25">BF32*Es</f>
        <v>533.20754716981128</v>
      </c>
      <c r="BH32" s="52">
        <f t="shared" ref="BH32:BH43" si="26">+IF(BG32&gt;=0,IF(BF32&lt;=eco,1-(1-BF32/eco)^n,1),0)*0.85*fck</f>
        <v>25.5</v>
      </c>
      <c r="BI32" s="83">
        <f t="shared" ref="BI32:BI43" si="27">MAX(MIN(BG32,fy),-fy)-IF(BG32&gt;=0,BH32,0)</f>
        <v>374.5</v>
      </c>
      <c r="BJ32" s="93">
        <f>IF(AND(ISNUMBER(Input!$D10),ISNUMBER(Input!$E10)),BI32*As,0)</f>
        <v>301190.77088496066</v>
      </c>
      <c r="BK32" s="54">
        <f>BJ32*BE32</f>
        <v>69273877.303540945</v>
      </c>
      <c r="BM32" s="25">
        <v>1</v>
      </c>
      <c r="BN32" s="51">
        <f t="shared" ref="BN32:BN63" si="28">h/2-($BM32-0.5)*BS$24</f>
        <v>296.7</v>
      </c>
      <c r="BO32" s="74">
        <f>BP$25+BP$26*BN32</f>
        <v>3.2669999999999995E-3</v>
      </c>
      <c r="BP32" s="52">
        <f t="shared" ref="BP32:BP81" si="29">+IF(BO32&gt;=0,IF(BO32&lt;=eco,1-(1-BO32/eco)^n,1),0)*0.85*fck</f>
        <v>25.5</v>
      </c>
      <c r="BQ32" s="53">
        <f t="shared" ref="BQ32:BQ63" si="30">+BP32*BS$26</f>
        <v>67320</v>
      </c>
      <c r="BR32" s="54">
        <f t="shared" ref="BR32:BR63" si="31">+BQ32*BN32</f>
        <v>19973844</v>
      </c>
      <c r="BT32" s="25">
        <v>1</v>
      </c>
      <c r="BU32" s="51">
        <f>Input!$E10</f>
        <v>230</v>
      </c>
      <c r="BV32" s="74">
        <f>BP$25+BP$26*BU32</f>
        <v>2.5999999999999999E-3</v>
      </c>
      <c r="BW32" s="52">
        <f t="shared" ref="BW32:BW43" si="32">BV32*Es</f>
        <v>520</v>
      </c>
      <c r="BX32" s="52">
        <f t="shared" ref="BX32:BX43" si="33">+IF(BW32&gt;=0,IF(BV32&lt;=eco,1-(1-BV32/eco)^n,1),0)*0.85*fck</f>
        <v>25.5</v>
      </c>
      <c r="BY32" s="83">
        <f t="shared" ref="BY32:BY43" si="34">MAX(MIN(BW32,fy),-fy)-IF(BW32&gt;=0,BX32,0)</f>
        <v>374.5</v>
      </c>
      <c r="BZ32" s="93">
        <f>IF(AND(ISNUMBER(Input!$D10),ISNUMBER(Input!$E10)),BY32*As,0)</f>
        <v>301190.77088496066</v>
      </c>
      <c r="CA32" s="54">
        <f>BZ32*BU32</f>
        <v>69273877.303540945</v>
      </c>
    </row>
    <row r="33" spans="1:79">
      <c r="A33" s="25">
        <v>2</v>
      </c>
      <c r="B33" s="51">
        <f t="shared" si="0"/>
        <v>284.10000000000002</v>
      </c>
      <c r="C33" s="74">
        <f t="shared" ref="C33:C81" si="35">D$25+D$26*B33</f>
        <v>3.2009999999999999E-3</v>
      </c>
      <c r="D33" s="52">
        <f t="shared" si="1"/>
        <v>25.5</v>
      </c>
      <c r="E33" s="53">
        <f t="shared" si="2"/>
        <v>108120</v>
      </c>
      <c r="F33" s="54">
        <f t="shared" si="3"/>
        <v>30716892.000000004</v>
      </c>
      <c r="H33" s="25">
        <v>2</v>
      </c>
      <c r="I33" s="51">
        <f>Input!$E11</f>
        <v>230</v>
      </c>
      <c r="J33" s="74">
        <f t="shared" ref="J33:J43" si="36">D$25+D$26*I33</f>
        <v>2.8641509433962264E-3</v>
      </c>
      <c r="K33" s="52">
        <f t="shared" si="4"/>
        <v>572.83018867924523</v>
      </c>
      <c r="L33" s="52">
        <f t="shared" si="5"/>
        <v>25.5</v>
      </c>
      <c r="M33" s="83">
        <f t="shared" si="6"/>
        <v>374.5</v>
      </c>
      <c r="N33" s="93">
        <f>IF(AND(ISNUMBER(Input!$D11),ISNUMBER(Input!$E11)),M33*As,0)</f>
        <v>301190.77088496066</v>
      </c>
      <c r="O33" s="54">
        <f t="shared" ref="O33:O43" si="37">N33*I33</f>
        <v>69273877.303540945</v>
      </c>
      <c r="Q33" s="25">
        <v>2</v>
      </c>
      <c r="R33" s="51">
        <f t="shared" si="7"/>
        <v>286.19210526315788</v>
      </c>
      <c r="S33" s="74">
        <f t="shared" ref="S33:S81" si="38">T$25+T$26*R33</f>
        <v>3.2009999999999999E-3</v>
      </c>
      <c r="T33" s="52">
        <f t="shared" si="8"/>
        <v>25.5</v>
      </c>
      <c r="U33" s="53">
        <f t="shared" si="9"/>
        <v>93893.68421052632</v>
      </c>
      <c r="V33" s="54">
        <f t="shared" si="10"/>
        <v>26871631.155124653</v>
      </c>
      <c r="X33" s="25">
        <v>2</v>
      </c>
      <c r="Y33" s="51">
        <f>Input!$E11</f>
        <v>230</v>
      </c>
      <c r="Z33" s="74">
        <f t="shared" ref="Z33:Z43" si="39">T$25+T$26*Y33</f>
        <v>2.7981132075471701E-3</v>
      </c>
      <c r="AA33" s="52">
        <f t="shared" si="11"/>
        <v>559.62264150943406</v>
      </c>
      <c r="AB33" s="52">
        <f t="shared" si="12"/>
        <v>25.5</v>
      </c>
      <c r="AC33" s="83">
        <f t="shared" si="13"/>
        <v>374.5</v>
      </c>
      <c r="AD33" s="93">
        <f>IF(AND(ISNUMBER(Input!$D11),ISNUMBER(Input!$E11)),AC33*As,0)</f>
        <v>301190.77088496066</v>
      </c>
      <c r="AE33" s="54">
        <f t="shared" ref="AE33:AE43" si="40">AD33*Y33</f>
        <v>69273877.303540945</v>
      </c>
      <c r="AG33" s="25">
        <v>2</v>
      </c>
      <c r="AH33" s="51">
        <f t="shared" si="14"/>
        <v>287.79767441860463</v>
      </c>
      <c r="AI33" s="74">
        <f t="shared" ref="AI33:AI81" si="41">AJ$25+AJ$26*AH33</f>
        <v>3.2009999999999999E-3</v>
      </c>
      <c r="AJ33" s="52">
        <f t="shared" si="15"/>
        <v>25.5</v>
      </c>
      <c r="AK33" s="53">
        <f t="shared" si="16"/>
        <v>82975.813953488381</v>
      </c>
      <c r="AL33" s="54">
        <f t="shared" si="17"/>
        <v>23880246.288804758</v>
      </c>
      <c r="AN33" s="25">
        <v>2</v>
      </c>
      <c r="AO33" s="51">
        <f>Input!$E11</f>
        <v>230</v>
      </c>
      <c r="AP33" s="74">
        <f t="shared" ref="AP33:AP43" si="42">AJ$25+AJ$26*AO33</f>
        <v>2.7320754716981129E-3</v>
      </c>
      <c r="AQ33" s="52">
        <f t="shared" si="18"/>
        <v>546.41509433962256</v>
      </c>
      <c r="AR33" s="52">
        <f t="shared" si="19"/>
        <v>25.5</v>
      </c>
      <c r="AS33" s="83">
        <f t="shared" si="20"/>
        <v>374.5</v>
      </c>
      <c r="AT33" s="93">
        <f>IF(AND(ISNUMBER(Input!$D11),ISNUMBER(Input!$E11)),AS33*As,0)</f>
        <v>301190.77088496066</v>
      </c>
      <c r="AU33" s="54">
        <f t="shared" ref="AU33:AU43" si="43">AT33*AO33</f>
        <v>69273877.303540945</v>
      </c>
      <c r="AW33" s="25">
        <v>2</v>
      </c>
      <c r="AX33" s="51">
        <f t="shared" si="21"/>
        <v>289.06875000000002</v>
      </c>
      <c r="AY33" s="74">
        <f t="shared" ref="AY33:AY81" si="44">AZ$25+AZ$26*AX33</f>
        <v>3.2009999999999999E-3</v>
      </c>
      <c r="AZ33" s="52">
        <f t="shared" si="22"/>
        <v>25.5</v>
      </c>
      <c r="BA33" s="53">
        <f t="shared" si="23"/>
        <v>74332.499999999985</v>
      </c>
      <c r="BB33" s="54">
        <f t="shared" si="24"/>
        <v>21487202.859374996</v>
      </c>
      <c r="BD33" s="25">
        <v>2</v>
      </c>
      <c r="BE33" s="51">
        <f>Input!$E11</f>
        <v>230</v>
      </c>
      <c r="BF33" s="74">
        <f t="shared" ref="BF33:BF43" si="45">AZ$25+AZ$26*BE33</f>
        <v>2.6660377358490566E-3</v>
      </c>
      <c r="BG33" s="52">
        <f t="shared" si="25"/>
        <v>533.20754716981128</v>
      </c>
      <c r="BH33" s="52">
        <f t="shared" si="26"/>
        <v>25.5</v>
      </c>
      <c r="BI33" s="83">
        <f t="shared" si="27"/>
        <v>374.5</v>
      </c>
      <c r="BJ33" s="93">
        <f>IF(AND(ISNUMBER(Input!$D11),ISNUMBER(Input!$E11)),BI33*As,0)</f>
        <v>301190.77088496066</v>
      </c>
      <c r="BK33" s="54">
        <f t="shared" ref="BK33:BK43" si="46">BJ33*BE33</f>
        <v>69273877.303540945</v>
      </c>
      <c r="BM33" s="25">
        <v>2</v>
      </c>
      <c r="BN33" s="51">
        <f t="shared" si="28"/>
        <v>290.10000000000002</v>
      </c>
      <c r="BO33" s="74">
        <f t="shared" ref="BO33:BO81" si="47">BP$25+BP$26*BN33</f>
        <v>3.2009999999999999E-3</v>
      </c>
      <c r="BP33" s="52">
        <f t="shared" si="29"/>
        <v>25.5</v>
      </c>
      <c r="BQ33" s="53">
        <f t="shared" si="30"/>
        <v>67320</v>
      </c>
      <c r="BR33" s="54">
        <f t="shared" si="31"/>
        <v>19529532</v>
      </c>
      <c r="BT33" s="25">
        <v>2</v>
      </c>
      <c r="BU33" s="51">
        <f>Input!$E11</f>
        <v>230</v>
      </c>
      <c r="BV33" s="74">
        <f t="shared" ref="BV33:BV43" si="48">BP$25+BP$26*BU33</f>
        <v>2.5999999999999999E-3</v>
      </c>
      <c r="BW33" s="52">
        <f t="shared" si="32"/>
        <v>520</v>
      </c>
      <c r="BX33" s="52">
        <f t="shared" si="33"/>
        <v>25.5</v>
      </c>
      <c r="BY33" s="83">
        <f t="shared" si="34"/>
        <v>374.5</v>
      </c>
      <c r="BZ33" s="93">
        <f>IF(AND(ISNUMBER(Input!$D11),ISNUMBER(Input!$E11)),BY33*As,0)</f>
        <v>301190.77088496066</v>
      </c>
      <c r="CA33" s="54">
        <f t="shared" ref="CA33:CA43" si="49">BZ33*BU33</f>
        <v>69273877.303540945</v>
      </c>
    </row>
    <row r="34" spans="1:79">
      <c r="A34" s="25">
        <v>3</v>
      </c>
      <c r="B34" s="51">
        <f t="shared" si="0"/>
        <v>273.5</v>
      </c>
      <c r="C34" s="74">
        <f t="shared" si="35"/>
        <v>3.1349999999999998E-3</v>
      </c>
      <c r="D34" s="52">
        <f t="shared" si="1"/>
        <v>25.5</v>
      </c>
      <c r="E34" s="53">
        <f t="shared" si="2"/>
        <v>108120</v>
      </c>
      <c r="F34" s="54">
        <f t="shared" si="3"/>
        <v>29570820</v>
      </c>
      <c r="H34" s="25">
        <v>3</v>
      </c>
      <c r="I34" s="51">
        <f>Input!$E12</f>
        <v>230</v>
      </c>
      <c r="J34" s="74">
        <f t="shared" si="36"/>
        <v>2.8641509433962264E-3</v>
      </c>
      <c r="K34" s="52">
        <f t="shared" si="4"/>
        <v>572.83018867924523</v>
      </c>
      <c r="L34" s="52">
        <f t="shared" si="5"/>
        <v>25.5</v>
      </c>
      <c r="M34" s="83">
        <f t="shared" si="6"/>
        <v>374.5</v>
      </c>
      <c r="N34" s="93">
        <f>IF(AND(ISNUMBER(Input!$D12),ISNUMBER(Input!$E12)),M34*As,0)</f>
        <v>301190.77088496066</v>
      </c>
      <c r="O34" s="54">
        <f t="shared" si="37"/>
        <v>69273877.303540945</v>
      </c>
      <c r="Q34" s="25">
        <v>3</v>
      </c>
      <c r="R34" s="51">
        <f t="shared" si="7"/>
        <v>276.98684210526318</v>
      </c>
      <c r="S34" s="74">
        <f t="shared" si="38"/>
        <v>3.1349999999999998E-3</v>
      </c>
      <c r="T34" s="52">
        <f t="shared" si="8"/>
        <v>25.5</v>
      </c>
      <c r="U34" s="53">
        <f t="shared" si="9"/>
        <v>93893.68421052632</v>
      </c>
      <c r="V34" s="54">
        <f t="shared" si="10"/>
        <v>26007315.083102494</v>
      </c>
      <c r="X34" s="25">
        <v>3</v>
      </c>
      <c r="Y34" s="51">
        <f>Input!$E12</f>
        <v>230</v>
      </c>
      <c r="Z34" s="74">
        <f t="shared" si="39"/>
        <v>2.7981132075471701E-3</v>
      </c>
      <c r="AA34" s="52">
        <f t="shared" si="11"/>
        <v>559.62264150943406</v>
      </c>
      <c r="AB34" s="52">
        <f t="shared" si="12"/>
        <v>25.5</v>
      </c>
      <c r="AC34" s="83">
        <f t="shared" si="13"/>
        <v>374.5</v>
      </c>
      <c r="AD34" s="93">
        <f>IF(AND(ISNUMBER(Input!$D12),ISNUMBER(Input!$E12)),AC34*As,0)</f>
        <v>301190.77088496066</v>
      </c>
      <c r="AE34" s="54">
        <f t="shared" si="40"/>
        <v>69273877.303540945</v>
      </c>
      <c r="AG34" s="25">
        <v>3</v>
      </c>
      <c r="AH34" s="51">
        <f t="shared" si="14"/>
        <v>279.66279069767444</v>
      </c>
      <c r="AI34" s="74">
        <f t="shared" si="41"/>
        <v>3.1350000000000002E-3</v>
      </c>
      <c r="AJ34" s="52">
        <f t="shared" si="15"/>
        <v>25.5</v>
      </c>
      <c r="AK34" s="53">
        <f t="shared" si="16"/>
        <v>82975.813953488381</v>
      </c>
      <c r="AL34" s="54">
        <f t="shared" si="17"/>
        <v>23205247.690643594</v>
      </c>
      <c r="AN34" s="25">
        <v>3</v>
      </c>
      <c r="AO34" s="51">
        <f>Input!$E12</f>
        <v>230</v>
      </c>
      <c r="AP34" s="74">
        <f t="shared" si="42"/>
        <v>2.7320754716981129E-3</v>
      </c>
      <c r="AQ34" s="52">
        <f t="shared" si="18"/>
        <v>546.41509433962256</v>
      </c>
      <c r="AR34" s="52">
        <f t="shared" si="19"/>
        <v>25.5</v>
      </c>
      <c r="AS34" s="83">
        <f t="shared" si="20"/>
        <v>374.5</v>
      </c>
      <c r="AT34" s="93">
        <f>IF(AND(ISNUMBER(Input!$D12),ISNUMBER(Input!$E12)),AS34*As,0)</f>
        <v>301190.77088496066</v>
      </c>
      <c r="AU34" s="54">
        <f t="shared" si="43"/>
        <v>69273877.303540945</v>
      </c>
      <c r="AW34" s="25">
        <v>3</v>
      </c>
      <c r="AX34" s="51">
        <f t="shared" si="21"/>
        <v>281.78125</v>
      </c>
      <c r="AY34" s="74">
        <f t="shared" si="44"/>
        <v>3.1349999999999998E-3</v>
      </c>
      <c r="AZ34" s="52">
        <f t="shared" si="22"/>
        <v>25.5</v>
      </c>
      <c r="BA34" s="53">
        <f t="shared" si="23"/>
        <v>74332.499999999985</v>
      </c>
      <c r="BB34" s="54">
        <f t="shared" si="24"/>
        <v>20945504.765624996</v>
      </c>
      <c r="BD34" s="25">
        <v>3</v>
      </c>
      <c r="BE34" s="51">
        <f>Input!$E12</f>
        <v>230</v>
      </c>
      <c r="BF34" s="74">
        <f t="shared" si="45"/>
        <v>2.6660377358490566E-3</v>
      </c>
      <c r="BG34" s="52">
        <f t="shared" si="25"/>
        <v>533.20754716981128</v>
      </c>
      <c r="BH34" s="52">
        <f t="shared" si="26"/>
        <v>25.5</v>
      </c>
      <c r="BI34" s="83">
        <f t="shared" si="27"/>
        <v>374.5</v>
      </c>
      <c r="BJ34" s="93">
        <f>IF(AND(ISNUMBER(Input!$D12),ISNUMBER(Input!$E12)),BI34*As,0)</f>
        <v>301190.77088496066</v>
      </c>
      <c r="BK34" s="54">
        <f t="shared" si="46"/>
        <v>69273877.303540945</v>
      </c>
      <c r="BM34" s="25">
        <v>3</v>
      </c>
      <c r="BN34" s="51">
        <f t="shared" si="28"/>
        <v>283.5</v>
      </c>
      <c r="BO34" s="74">
        <f t="shared" si="47"/>
        <v>3.1349999999999998E-3</v>
      </c>
      <c r="BP34" s="52">
        <f t="shared" si="29"/>
        <v>25.5</v>
      </c>
      <c r="BQ34" s="53">
        <f t="shared" si="30"/>
        <v>67320</v>
      </c>
      <c r="BR34" s="54">
        <f t="shared" si="31"/>
        <v>19085220</v>
      </c>
      <c r="BT34" s="25">
        <v>3</v>
      </c>
      <c r="BU34" s="51">
        <f>Input!$E12</f>
        <v>230</v>
      </c>
      <c r="BV34" s="74">
        <f t="shared" si="48"/>
        <v>2.5999999999999999E-3</v>
      </c>
      <c r="BW34" s="52">
        <f t="shared" si="32"/>
        <v>520</v>
      </c>
      <c r="BX34" s="52">
        <f t="shared" si="33"/>
        <v>25.5</v>
      </c>
      <c r="BY34" s="83">
        <f t="shared" si="34"/>
        <v>374.5</v>
      </c>
      <c r="BZ34" s="93">
        <f>IF(AND(ISNUMBER(Input!$D12),ISNUMBER(Input!$E12)),BY34*As,0)</f>
        <v>301190.77088496066</v>
      </c>
      <c r="CA34" s="54">
        <f t="shared" si="49"/>
        <v>69273877.303540945</v>
      </c>
    </row>
    <row r="35" spans="1:79">
      <c r="A35" s="25">
        <v>4</v>
      </c>
      <c r="B35" s="51">
        <f t="shared" si="0"/>
        <v>262.89999999999998</v>
      </c>
      <c r="C35" s="74">
        <f t="shared" si="35"/>
        <v>3.0689999999999997E-3</v>
      </c>
      <c r="D35" s="52">
        <f t="shared" si="1"/>
        <v>25.5</v>
      </c>
      <c r="E35" s="53">
        <f t="shared" si="2"/>
        <v>108120</v>
      </c>
      <c r="F35" s="54">
        <f t="shared" si="3"/>
        <v>28424747.999999996</v>
      </c>
      <c r="H35" s="25">
        <v>4</v>
      </c>
      <c r="I35" s="51">
        <f>Input!$E13</f>
        <v>0</v>
      </c>
      <c r="J35" s="74">
        <f t="shared" si="36"/>
        <v>1.4320754716981132E-3</v>
      </c>
      <c r="K35" s="52">
        <f t="shared" si="4"/>
        <v>286.41509433962261</v>
      </c>
      <c r="L35" s="52">
        <f t="shared" si="5"/>
        <v>23.443818529725881</v>
      </c>
      <c r="M35" s="83">
        <f t="shared" si="6"/>
        <v>262.97127580989672</v>
      </c>
      <c r="N35" s="93">
        <f>IF(AND(ISNUMBER(Input!$D13),ISNUMBER(Input!$E13)),M35*As,0)</f>
        <v>0</v>
      </c>
      <c r="O35" s="54">
        <f t="shared" si="37"/>
        <v>0</v>
      </c>
      <c r="Q35" s="25">
        <v>4</v>
      </c>
      <c r="R35" s="51">
        <f t="shared" si="7"/>
        <v>267.78157894736842</v>
      </c>
      <c r="S35" s="74">
        <f t="shared" si="38"/>
        <v>3.0689999999999997E-3</v>
      </c>
      <c r="T35" s="52">
        <f t="shared" si="8"/>
        <v>25.5</v>
      </c>
      <c r="U35" s="53">
        <f t="shared" si="9"/>
        <v>93893.68421052632</v>
      </c>
      <c r="V35" s="54">
        <f t="shared" si="10"/>
        <v>25142999.011080332</v>
      </c>
      <c r="X35" s="25">
        <v>4</v>
      </c>
      <c r="Y35" s="51">
        <f>Input!$E13</f>
        <v>0</v>
      </c>
      <c r="Z35" s="74">
        <f t="shared" si="39"/>
        <v>1.149056603773585E-3</v>
      </c>
      <c r="AA35" s="52">
        <f t="shared" si="11"/>
        <v>229.811320754717</v>
      </c>
      <c r="AB35" s="52">
        <f t="shared" si="12"/>
        <v>20.883832769668921</v>
      </c>
      <c r="AC35" s="83">
        <f t="shared" si="13"/>
        <v>208.92748798504809</v>
      </c>
      <c r="AD35" s="93">
        <f>IF(AND(ISNUMBER(Input!$D13),ISNUMBER(Input!$E13)),AC35*As,0)</f>
        <v>0</v>
      </c>
      <c r="AE35" s="54">
        <f t="shared" si="40"/>
        <v>0</v>
      </c>
      <c r="AG35" s="25">
        <v>4</v>
      </c>
      <c r="AH35" s="51">
        <f t="shared" si="14"/>
        <v>271.52790697674419</v>
      </c>
      <c r="AI35" s="74">
        <f t="shared" si="41"/>
        <v>3.0690000000000001E-3</v>
      </c>
      <c r="AJ35" s="52">
        <f t="shared" si="15"/>
        <v>25.5</v>
      </c>
      <c r="AK35" s="53">
        <f t="shared" si="16"/>
        <v>82975.813953488381</v>
      </c>
      <c r="AL35" s="54">
        <f t="shared" si="17"/>
        <v>22530249.092482425</v>
      </c>
      <c r="AN35" s="25">
        <v>4</v>
      </c>
      <c r="AO35" s="51">
        <f>Input!$E13</f>
        <v>0</v>
      </c>
      <c r="AP35" s="74">
        <f t="shared" si="42"/>
        <v>8.6603773584905655E-4</v>
      </c>
      <c r="AQ35" s="52">
        <f t="shared" si="18"/>
        <v>173.20754716981131</v>
      </c>
      <c r="AR35" s="52">
        <f t="shared" si="19"/>
        <v>17.30257609469562</v>
      </c>
      <c r="AS35" s="83">
        <f t="shared" si="20"/>
        <v>155.9049710751157</v>
      </c>
      <c r="AT35" s="93">
        <f>IF(AND(ISNUMBER(Input!$D13),ISNUMBER(Input!$E13)),AS35*As,0)</f>
        <v>0</v>
      </c>
      <c r="AU35" s="54">
        <f t="shared" si="43"/>
        <v>0</v>
      </c>
      <c r="AW35" s="25">
        <v>4</v>
      </c>
      <c r="AX35" s="51">
        <f t="shared" si="21"/>
        <v>274.49374999999998</v>
      </c>
      <c r="AY35" s="74">
        <f t="shared" si="44"/>
        <v>3.0689999999999997E-3</v>
      </c>
      <c r="AZ35" s="52">
        <f t="shared" si="22"/>
        <v>25.5</v>
      </c>
      <c r="BA35" s="53">
        <f t="shared" si="23"/>
        <v>74332.499999999985</v>
      </c>
      <c r="BB35" s="54">
        <f t="shared" si="24"/>
        <v>20403806.671874993</v>
      </c>
      <c r="BD35" s="25">
        <v>4</v>
      </c>
      <c r="BE35" s="51">
        <f>Input!$E13</f>
        <v>0</v>
      </c>
      <c r="BF35" s="74">
        <f t="shared" si="45"/>
        <v>5.8301886792452785E-4</v>
      </c>
      <c r="BG35" s="52">
        <f t="shared" si="25"/>
        <v>116.60377358490557</v>
      </c>
      <c r="BH35" s="52">
        <f t="shared" si="26"/>
        <v>12.700048504805972</v>
      </c>
      <c r="BI35" s="83">
        <f t="shared" si="27"/>
        <v>103.90372508009959</v>
      </c>
      <c r="BJ35" s="93">
        <f>IF(AND(ISNUMBER(Input!$D13),ISNUMBER(Input!$E13)),BI35*As,0)</f>
        <v>0</v>
      </c>
      <c r="BK35" s="54">
        <f t="shared" si="46"/>
        <v>0</v>
      </c>
      <c r="BM35" s="25">
        <v>4</v>
      </c>
      <c r="BN35" s="51">
        <f t="shared" si="28"/>
        <v>276.89999999999998</v>
      </c>
      <c r="BO35" s="74">
        <f t="shared" si="47"/>
        <v>3.0689999999999992E-3</v>
      </c>
      <c r="BP35" s="52">
        <f t="shared" si="29"/>
        <v>25.5</v>
      </c>
      <c r="BQ35" s="53">
        <f t="shared" si="30"/>
        <v>67320</v>
      </c>
      <c r="BR35" s="54">
        <f t="shared" si="31"/>
        <v>18640908</v>
      </c>
      <c r="BT35" s="25">
        <v>4</v>
      </c>
      <c r="BU35" s="51">
        <f>Input!$E13</f>
        <v>0</v>
      </c>
      <c r="BV35" s="74">
        <f t="shared" si="48"/>
        <v>3.0000000000000003E-4</v>
      </c>
      <c r="BW35" s="52">
        <f t="shared" si="32"/>
        <v>60.000000000000007</v>
      </c>
      <c r="BX35" s="52">
        <f t="shared" si="33"/>
        <v>7.0762500000000017</v>
      </c>
      <c r="BY35" s="83">
        <f t="shared" si="34"/>
        <v>52.923750000000005</v>
      </c>
      <c r="BZ35" s="93">
        <f>IF(AND(ISNUMBER(Input!$D13),ISNUMBER(Input!$E13)),BY35*As,0)</f>
        <v>0</v>
      </c>
      <c r="CA35" s="54">
        <f t="shared" si="49"/>
        <v>0</v>
      </c>
    </row>
    <row r="36" spans="1:79">
      <c r="A36" s="25">
        <v>5</v>
      </c>
      <c r="B36" s="51">
        <f t="shared" si="0"/>
        <v>252.3</v>
      </c>
      <c r="C36" s="74">
        <f t="shared" si="35"/>
        <v>3.003E-3</v>
      </c>
      <c r="D36" s="52">
        <f t="shared" si="1"/>
        <v>25.5</v>
      </c>
      <c r="E36" s="53">
        <f t="shared" si="2"/>
        <v>108120</v>
      </c>
      <c r="F36" s="54">
        <f t="shared" si="3"/>
        <v>27278676</v>
      </c>
      <c r="H36" s="25">
        <v>5</v>
      </c>
      <c r="I36" s="51">
        <f>Input!$E14</f>
        <v>-230</v>
      </c>
      <c r="J36" s="74">
        <f t="shared" si="36"/>
        <v>0</v>
      </c>
      <c r="K36" s="52">
        <f t="shared" si="4"/>
        <v>0</v>
      </c>
      <c r="L36" s="52">
        <f t="shared" si="5"/>
        <v>0</v>
      </c>
      <c r="M36" s="83">
        <f t="shared" si="6"/>
        <v>0</v>
      </c>
      <c r="N36" s="93">
        <f>IF(AND(ISNUMBER(Input!$D14),ISNUMBER(Input!$E14)),M36*As,0)</f>
        <v>0</v>
      </c>
      <c r="O36" s="54">
        <f t="shared" si="37"/>
        <v>0</v>
      </c>
      <c r="Q36" s="25">
        <v>5</v>
      </c>
      <c r="R36" s="51">
        <f t="shared" si="7"/>
        <v>258.57631578947371</v>
      </c>
      <c r="S36" s="74">
        <f t="shared" si="38"/>
        <v>3.0030000000000005E-3</v>
      </c>
      <c r="T36" s="52">
        <f t="shared" si="8"/>
        <v>25.5</v>
      </c>
      <c r="U36" s="53">
        <f t="shared" si="9"/>
        <v>93893.68421052632</v>
      </c>
      <c r="V36" s="54">
        <f t="shared" si="10"/>
        <v>24278682.939058177</v>
      </c>
      <c r="X36" s="25">
        <v>5</v>
      </c>
      <c r="Y36" s="51">
        <f>Input!$E14</f>
        <v>-230</v>
      </c>
      <c r="Z36" s="74">
        <f t="shared" si="39"/>
        <v>-4.9999999999999979E-4</v>
      </c>
      <c r="AA36" s="52">
        <f t="shared" si="11"/>
        <v>-99.999999999999957</v>
      </c>
      <c r="AB36" s="52">
        <f t="shared" si="12"/>
        <v>0</v>
      </c>
      <c r="AC36" s="83">
        <f t="shared" si="13"/>
        <v>-99.999999999999957</v>
      </c>
      <c r="AD36" s="93">
        <f>IF(AND(ISNUMBER(Input!$D14),ISNUMBER(Input!$E14)),AC36*As,0)</f>
        <v>-80424.771931898664</v>
      </c>
      <c r="AE36" s="54">
        <f t="shared" si="40"/>
        <v>18497697.544336691</v>
      </c>
      <c r="AG36" s="25">
        <v>5</v>
      </c>
      <c r="AH36" s="51">
        <f t="shared" si="14"/>
        <v>263.39302325581394</v>
      </c>
      <c r="AI36" s="74">
        <f t="shared" si="41"/>
        <v>3.0029999999999996E-3</v>
      </c>
      <c r="AJ36" s="52">
        <f t="shared" si="15"/>
        <v>25.5</v>
      </c>
      <c r="AK36" s="53">
        <f t="shared" si="16"/>
        <v>82975.813953488381</v>
      </c>
      <c r="AL36" s="54">
        <f t="shared" si="17"/>
        <v>21855250.494321257</v>
      </c>
      <c r="AN36" s="25">
        <v>5</v>
      </c>
      <c r="AO36" s="51">
        <f>Input!$E14</f>
        <v>-230</v>
      </c>
      <c r="AP36" s="74">
        <f t="shared" si="42"/>
        <v>-1E-3</v>
      </c>
      <c r="AQ36" s="52">
        <f t="shared" si="18"/>
        <v>-200</v>
      </c>
      <c r="AR36" s="52">
        <f t="shared" si="19"/>
        <v>0</v>
      </c>
      <c r="AS36" s="83">
        <f t="shared" si="20"/>
        <v>-200</v>
      </c>
      <c r="AT36" s="93">
        <f>IF(AND(ISNUMBER(Input!$D14),ISNUMBER(Input!$E14)),AS36*As,0)</f>
        <v>-160849.54386379741</v>
      </c>
      <c r="AU36" s="54">
        <f t="shared" si="43"/>
        <v>36995395.088673405</v>
      </c>
      <c r="AW36" s="25">
        <v>5</v>
      </c>
      <c r="AX36" s="51">
        <f t="shared" si="21"/>
        <v>267.20625000000001</v>
      </c>
      <c r="AY36" s="74">
        <f t="shared" si="44"/>
        <v>3.0029999999999996E-3</v>
      </c>
      <c r="AZ36" s="52">
        <f t="shared" si="22"/>
        <v>25.5</v>
      </c>
      <c r="BA36" s="53">
        <f t="shared" si="23"/>
        <v>74332.499999999985</v>
      </c>
      <c r="BB36" s="54">
        <f t="shared" si="24"/>
        <v>19862108.578124996</v>
      </c>
      <c r="BD36" s="25">
        <v>5</v>
      </c>
      <c r="BE36" s="51">
        <f>Input!$E14</f>
        <v>-230</v>
      </c>
      <c r="BF36" s="74">
        <f t="shared" si="45"/>
        <v>-1.5000000000000007E-3</v>
      </c>
      <c r="BG36" s="52">
        <f t="shared" si="25"/>
        <v>-300.00000000000011</v>
      </c>
      <c r="BH36" s="52">
        <f t="shared" si="26"/>
        <v>0</v>
      </c>
      <c r="BI36" s="83">
        <f t="shared" si="27"/>
        <v>-300.00000000000011</v>
      </c>
      <c r="BJ36" s="93">
        <f>IF(AND(ISNUMBER(Input!$D14),ISNUMBER(Input!$E14)),BI36*As,0)</f>
        <v>-241274.31579569619</v>
      </c>
      <c r="BK36" s="54">
        <f t="shared" si="46"/>
        <v>55493092.633010127</v>
      </c>
      <c r="BM36" s="25">
        <v>5</v>
      </c>
      <c r="BN36" s="51">
        <f t="shared" si="28"/>
        <v>270.3</v>
      </c>
      <c r="BO36" s="74">
        <f t="shared" si="47"/>
        <v>3.0029999999999996E-3</v>
      </c>
      <c r="BP36" s="52">
        <f t="shared" si="29"/>
        <v>25.5</v>
      </c>
      <c r="BQ36" s="53">
        <f t="shared" si="30"/>
        <v>67320</v>
      </c>
      <c r="BR36" s="54">
        <f t="shared" si="31"/>
        <v>18196596</v>
      </c>
      <c r="BT36" s="25">
        <v>5</v>
      </c>
      <c r="BU36" s="51">
        <f>Input!$E14</f>
        <v>-230</v>
      </c>
      <c r="BV36" s="74">
        <f t="shared" si="48"/>
        <v>-2E-3</v>
      </c>
      <c r="BW36" s="52">
        <f t="shared" si="32"/>
        <v>-400</v>
      </c>
      <c r="BX36" s="52">
        <f t="shared" si="33"/>
        <v>0</v>
      </c>
      <c r="BY36" s="83">
        <f t="shared" si="34"/>
        <v>-400</v>
      </c>
      <c r="BZ36" s="93">
        <f>IF(AND(ISNUMBER(Input!$D14),ISNUMBER(Input!$E14)),BY36*As,0)</f>
        <v>-321699.08772759483</v>
      </c>
      <c r="CA36" s="54">
        <f t="shared" si="49"/>
        <v>73990790.177346811</v>
      </c>
    </row>
    <row r="37" spans="1:79">
      <c r="A37" s="25">
        <v>6</v>
      </c>
      <c r="B37" s="51">
        <f t="shared" si="0"/>
        <v>241.7</v>
      </c>
      <c r="C37" s="74">
        <f t="shared" si="35"/>
        <v>2.9369999999999995E-3</v>
      </c>
      <c r="D37" s="52">
        <f t="shared" si="1"/>
        <v>25.5</v>
      </c>
      <c r="E37" s="53">
        <f t="shared" si="2"/>
        <v>108120</v>
      </c>
      <c r="F37" s="54">
        <f t="shared" si="3"/>
        <v>26132604</v>
      </c>
      <c r="H37" s="25">
        <v>6</v>
      </c>
      <c r="I37" s="51">
        <f>Input!$E15</f>
        <v>-230</v>
      </c>
      <c r="J37" s="74">
        <f t="shared" si="36"/>
        <v>0</v>
      </c>
      <c r="K37" s="52">
        <f t="shared" si="4"/>
        <v>0</v>
      </c>
      <c r="L37" s="52">
        <f t="shared" si="5"/>
        <v>0</v>
      </c>
      <c r="M37" s="83">
        <f t="shared" si="6"/>
        <v>0</v>
      </c>
      <c r="N37" s="93">
        <f>IF(AND(ISNUMBER(Input!$D15),ISNUMBER(Input!$E15)),M37*As,0)</f>
        <v>0</v>
      </c>
      <c r="O37" s="54">
        <f t="shared" si="37"/>
        <v>0</v>
      </c>
      <c r="Q37" s="25">
        <v>6</v>
      </c>
      <c r="R37" s="51">
        <f t="shared" si="7"/>
        <v>249.37105263157895</v>
      </c>
      <c r="S37" s="74">
        <f t="shared" si="38"/>
        <v>2.9369999999999999E-3</v>
      </c>
      <c r="T37" s="52">
        <f t="shared" si="8"/>
        <v>25.5</v>
      </c>
      <c r="U37" s="53">
        <f t="shared" si="9"/>
        <v>93893.68421052632</v>
      </c>
      <c r="V37" s="54">
        <f t="shared" si="10"/>
        <v>23414366.867036011</v>
      </c>
      <c r="X37" s="25">
        <v>6</v>
      </c>
      <c r="Y37" s="51">
        <f>Input!$E15</f>
        <v>-230</v>
      </c>
      <c r="Z37" s="74">
        <f t="shared" si="39"/>
        <v>-4.9999999999999979E-4</v>
      </c>
      <c r="AA37" s="52">
        <f t="shared" si="11"/>
        <v>-99.999999999999957</v>
      </c>
      <c r="AB37" s="52">
        <f t="shared" si="12"/>
        <v>0</v>
      </c>
      <c r="AC37" s="83">
        <f t="shared" si="13"/>
        <v>-99.999999999999957</v>
      </c>
      <c r="AD37" s="93">
        <f>IF(AND(ISNUMBER(Input!$D15),ISNUMBER(Input!$E15)),AC37*As,0)</f>
        <v>-80424.771931898664</v>
      </c>
      <c r="AE37" s="54">
        <f t="shared" si="40"/>
        <v>18497697.544336691</v>
      </c>
      <c r="AG37" s="25">
        <v>6</v>
      </c>
      <c r="AH37" s="51">
        <f t="shared" si="14"/>
        <v>255.25813953488372</v>
      </c>
      <c r="AI37" s="74">
        <f t="shared" si="41"/>
        <v>2.9369999999999999E-3</v>
      </c>
      <c r="AJ37" s="52">
        <f t="shared" si="15"/>
        <v>25.5</v>
      </c>
      <c r="AK37" s="53">
        <f t="shared" si="16"/>
        <v>82975.813953488381</v>
      </c>
      <c r="AL37" s="54">
        <f t="shared" si="17"/>
        <v>21180251.896160088</v>
      </c>
      <c r="AN37" s="25">
        <v>6</v>
      </c>
      <c r="AO37" s="51">
        <f>Input!$E15</f>
        <v>-230</v>
      </c>
      <c r="AP37" s="74">
        <f t="shared" si="42"/>
        <v>-1E-3</v>
      </c>
      <c r="AQ37" s="52">
        <f t="shared" si="18"/>
        <v>-200</v>
      </c>
      <c r="AR37" s="52">
        <f t="shared" si="19"/>
        <v>0</v>
      </c>
      <c r="AS37" s="83">
        <f t="shared" si="20"/>
        <v>-200</v>
      </c>
      <c r="AT37" s="93">
        <f>IF(AND(ISNUMBER(Input!$D15),ISNUMBER(Input!$E15)),AS37*As,0)</f>
        <v>-160849.54386379741</v>
      </c>
      <c r="AU37" s="54">
        <f t="shared" si="43"/>
        <v>36995395.088673405</v>
      </c>
      <c r="AW37" s="25">
        <v>6</v>
      </c>
      <c r="AX37" s="51">
        <f t="shared" si="21"/>
        <v>259.91874999999999</v>
      </c>
      <c r="AY37" s="74">
        <f t="shared" si="44"/>
        <v>2.9369999999999995E-3</v>
      </c>
      <c r="AZ37" s="52">
        <f t="shared" si="22"/>
        <v>25.5</v>
      </c>
      <c r="BA37" s="53">
        <f t="shared" si="23"/>
        <v>74332.499999999985</v>
      </c>
      <c r="BB37" s="54">
        <f t="shared" si="24"/>
        <v>19320410.484374996</v>
      </c>
      <c r="BD37" s="25">
        <v>6</v>
      </c>
      <c r="BE37" s="51">
        <f>Input!$E15</f>
        <v>-230</v>
      </c>
      <c r="BF37" s="74">
        <f t="shared" si="45"/>
        <v>-1.5000000000000007E-3</v>
      </c>
      <c r="BG37" s="52">
        <f t="shared" si="25"/>
        <v>-300.00000000000011</v>
      </c>
      <c r="BH37" s="52">
        <f t="shared" si="26"/>
        <v>0</v>
      </c>
      <c r="BI37" s="83">
        <f t="shared" si="27"/>
        <v>-300.00000000000011</v>
      </c>
      <c r="BJ37" s="93">
        <f>IF(AND(ISNUMBER(Input!$D15),ISNUMBER(Input!$E15)),BI37*As,0)</f>
        <v>-241274.31579569619</v>
      </c>
      <c r="BK37" s="54">
        <f t="shared" si="46"/>
        <v>55493092.633010127</v>
      </c>
      <c r="BM37" s="25">
        <v>6</v>
      </c>
      <c r="BN37" s="51">
        <f t="shared" si="28"/>
        <v>263.7</v>
      </c>
      <c r="BO37" s="74">
        <f t="shared" si="47"/>
        <v>2.9369999999999995E-3</v>
      </c>
      <c r="BP37" s="52">
        <f t="shared" si="29"/>
        <v>25.5</v>
      </c>
      <c r="BQ37" s="53">
        <f t="shared" si="30"/>
        <v>67320</v>
      </c>
      <c r="BR37" s="54">
        <f t="shared" si="31"/>
        <v>17752284</v>
      </c>
      <c r="BT37" s="25">
        <v>6</v>
      </c>
      <c r="BU37" s="51">
        <f>Input!$E15</f>
        <v>-230</v>
      </c>
      <c r="BV37" s="74">
        <f t="shared" si="48"/>
        <v>-2E-3</v>
      </c>
      <c r="BW37" s="52">
        <f t="shared" si="32"/>
        <v>-400</v>
      </c>
      <c r="BX37" s="52">
        <f t="shared" si="33"/>
        <v>0</v>
      </c>
      <c r="BY37" s="83">
        <f t="shared" si="34"/>
        <v>-400</v>
      </c>
      <c r="BZ37" s="93">
        <f>IF(AND(ISNUMBER(Input!$D15),ISNUMBER(Input!$E15)),BY37*As,0)</f>
        <v>-321699.08772759483</v>
      </c>
      <c r="CA37" s="54">
        <f t="shared" si="49"/>
        <v>73990790.177346811</v>
      </c>
    </row>
    <row r="38" spans="1:79">
      <c r="A38" s="25">
        <v>7</v>
      </c>
      <c r="B38" s="51">
        <f t="shared" si="0"/>
        <v>231.10000000000002</v>
      </c>
      <c r="C38" s="74">
        <f t="shared" si="35"/>
        <v>2.8710000000000003E-3</v>
      </c>
      <c r="D38" s="52">
        <f t="shared" si="1"/>
        <v>25.5</v>
      </c>
      <c r="E38" s="53">
        <f t="shared" si="2"/>
        <v>108120</v>
      </c>
      <c r="F38" s="54">
        <f t="shared" si="3"/>
        <v>24986532.000000004</v>
      </c>
      <c r="H38" s="25">
        <v>7</v>
      </c>
      <c r="I38" s="51">
        <f>Input!$E16</f>
        <v>-230</v>
      </c>
      <c r="J38" s="74">
        <f t="shared" si="36"/>
        <v>0</v>
      </c>
      <c r="K38" s="52">
        <f t="shared" si="4"/>
        <v>0</v>
      </c>
      <c r="L38" s="52">
        <f t="shared" si="5"/>
        <v>0</v>
      </c>
      <c r="M38" s="83">
        <f t="shared" si="6"/>
        <v>0</v>
      </c>
      <c r="N38" s="93">
        <f>IF(AND(ISNUMBER(Input!$D16),ISNUMBER(Input!$E16)),M38*As,0)</f>
        <v>0</v>
      </c>
      <c r="O38" s="54">
        <f t="shared" si="37"/>
        <v>0</v>
      </c>
      <c r="Q38" s="25">
        <v>7</v>
      </c>
      <c r="R38" s="51">
        <f t="shared" si="7"/>
        <v>240.16578947368421</v>
      </c>
      <c r="S38" s="74">
        <f t="shared" si="38"/>
        <v>2.8710000000000003E-3</v>
      </c>
      <c r="T38" s="52">
        <f t="shared" si="8"/>
        <v>25.5</v>
      </c>
      <c r="U38" s="53">
        <f t="shared" si="9"/>
        <v>93893.68421052632</v>
      </c>
      <c r="V38" s="54">
        <f t="shared" si="10"/>
        <v>22550050.795013852</v>
      </c>
      <c r="X38" s="25">
        <v>7</v>
      </c>
      <c r="Y38" s="51">
        <f>Input!$E16</f>
        <v>-230</v>
      </c>
      <c r="Z38" s="74">
        <f t="shared" si="39"/>
        <v>-4.9999999999999979E-4</v>
      </c>
      <c r="AA38" s="52">
        <f t="shared" si="11"/>
        <v>-99.999999999999957</v>
      </c>
      <c r="AB38" s="52">
        <f t="shared" si="12"/>
        <v>0</v>
      </c>
      <c r="AC38" s="83">
        <f t="shared" si="13"/>
        <v>-99.999999999999957</v>
      </c>
      <c r="AD38" s="93">
        <f>IF(AND(ISNUMBER(Input!$D16),ISNUMBER(Input!$E16)),AC38*As,0)</f>
        <v>-80424.771931898664</v>
      </c>
      <c r="AE38" s="54">
        <f t="shared" si="40"/>
        <v>18497697.544336691</v>
      </c>
      <c r="AG38" s="25">
        <v>7</v>
      </c>
      <c r="AH38" s="51">
        <f t="shared" si="14"/>
        <v>247.12325581395348</v>
      </c>
      <c r="AI38" s="74">
        <f t="shared" si="41"/>
        <v>2.8709999999999999E-3</v>
      </c>
      <c r="AJ38" s="52">
        <f t="shared" si="15"/>
        <v>25.5</v>
      </c>
      <c r="AK38" s="53">
        <f t="shared" si="16"/>
        <v>82975.813953488381</v>
      </c>
      <c r="AL38" s="54">
        <f t="shared" si="17"/>
        <v>20505253.29799892</v>
      </c>
      <c r="AN38" s="25">
        <v>7</v>
      </c>
      <c r="AO38" s="51">
        <f>Input!$E16</f>
        <v>-230</v>
      </c>
      <c r="AP38" s="74">
        <f t="shared" si="42"/>
        <v>-1E-3</v>
      </c>
      <c r="AQ38" s="52">
        <f t="shared" si="18"/>
        <v>-200</v>
      </c>
      <c r="AR38" s="52">
        <f t="shared" si="19"/>
        <v>0</v>
      </c>
      <c r="AS38" s="83">
        <f t="shared" si="20"/>
        <v>-200</v>
      </c>
      <c r="AT38" s="93">
        <f>IF(AND(ISNUMBER(Input!$D16),ISNUMBER(Input!$E16)),AS38*As,0)</f>
        <v>-160849.54386379741</v>
      </c>
      <c r="AU38" s="54">
        <f t="shared" si="43"/>
        <v>36995395.088673405</v>
      </c>
      <c r="AW38" s="25">
        <v>7</v>
      </c>
      <c r="AX38" s="51">
        <f t="shared" si="21"/>
        <v>252.63125000000002</v>
      </c>
      <c r="AY38" s="74">
        <f t="shared" si="44"/>
        <v>2.8710000000000003E-3</v>
      </c>
      <c r="AZ38" s="52">
        <f t="shared" si="22"/>
        <v>25.5</v>
      </c>
      <c r="BA38" s="53">
        <f t="shared" si="23"/>
        <v>74332.499999999985</v>
      </c>
      <c r="BB38" s="54">
        <f t="shared" si="24"/>
        <v>18778712.390624996</v>
      </c>
      <c r="BD38" s="25">
        <v>7</v>
      </c>
      <c r="BE38" s="51">
        <f>Input!$E16</f>
        <v>-230</v>
      </c>
      <c r="BF38" s="74">
        <f t="shared" si="45"/>
        <v>-1.5000000000000007E-3</v>
      </c>
      <c r="BG38" s="52">
        <f t="shared" si="25"/>
        <v>-300.00000000000011</v>
      </c>
      <c r="BH38" s="52">
        <f t="shared" si="26"/>
        <v>0</v>
      </c>
      <c r="BI38" s="83">
        <f t="shared" si="27"/>
        <v>-300.00000000000011</v>
      </c>
      <c r="BJ38" s="93">
        <f>IF(AND(ISNUMBER(Input!$D16),ISNUMBER(Input!$E16)),BI38*As,0)</f>
        <v>-241274.31579569619</v>
      </c>
      <c r="BK38" s="54">
        <f t="shared" si="46"/>
        <v>55493092.633010127</v>
      </c>
      <c r="BM38" s="25">
        <v>7</v>
      </c>
      <c r="BN38" s="51">
        <f t="shared" si="28"/>
        <v>257.10000000000002</v>
      </c>
      <c r="BO38" s="74">
        <f t="shared" si="47"/>
        <v>2.8709999999999999E-3</v>
      </c>
      <c r="BP38" s="52">
        <f t="shared" si="29"/>
        <v>25.5</v>
      </c>
      <c r="BQ38" s="53">
        <f t="shared" si="30"/>
        <v>67320</v>
      </c>
      <c r="BR38" s="54">
        <f t="shared" si="31"/>
        <v>17307972</v>
      </c>
      <c r="BT38" s="25">
        <v>7</v>
      </c>
      <c r="BU38" s="51">
        <f>Input!$E16</f>
        <v>-230</v>
      </c>
      <c r="BV38" s="74">
        <f t="shared" si="48"/>
        <v>-2E-3</v>
      </c>
      <c r="BW38" s="52">
        <f t="shared" si="32"/>
        <v>-400</v>
      </c>
      <c r="BX38" s="52">
        <f t="shared" si="33"/>
        <v>0</v>
      </c>
      <c r="BY38" s="83">
        <f t="shared" si="34"/>
        <v>-400</v>
      </c>
      <c r="BZ38" s="93">
        <f>IF(AND(ISNUMBER(Input!$D16),ISNUMBER(Input!$E16)),BY38*As,0)</f>
        <v>-321699.08772759483</v>
      </c>
      <c r="CA38" s="54">
        <f t="shared" si="49"/>
        <v>73990790.177346811</v>
      </c>
    </row>
    <row r="39" spans="1:79">
      <c r="A39" s="25">
        <v>8</v>
      </c>
      <c r="B39" s="51">
        <f t="shared" si="0"/>
        <v>220.5</v>
      </c>
      <c r="C39" s="74">
        <f t="shared" si="35"/>
        <v>2.8050000000000002E-3</v>
      </c>
      <c r="D39" s="52">
        <f t="shared" si="1"/>
        <v>25.5</v>
      </c>
      <c r="E39" s="53">
        <f t="shared" si="2"/>
        <v>108120</v>
      </c>
      <c r="F39" s="54">
        <f t="shared" si="3"/>
        <v>23840460</v>
      </c>
      <c r="H39" s="25">
        <v>8</v>
      </c>
      <c r="I39" s="51">
        <f>Input!$E17</f>
        <v>-230</v>
      </c>
      <c r="J39" s="74">
        <f t="shared" si="36"/>
        <v>0</v>
      </c>
      <c r="K39" s="52">
        <f t="shared" si="4"/>
        <v>0</v>
      </c>
      <c r="L39" s="52">
        <f t="shared" si="5"/>
        <v>0</v>
      </c>
      <c r="M39" s="83">
        <f t="shared" si="6"/>
        <v>0</v>
      </c>
      <c r="N39" s="93">
        <f>IF(AND(ISNUMBER(Input!$D17),ISNUMBER(Input!$E17)),M39*As,0)</f>
        <v>0</v>
      </c>
      <c r="O39" s="54">
        <f t="shared" si="37"/>
        <v>0</v>
      </c>
      <c r="Q39" s="25">
        <v>8</v>
      </c>
      <c r="R39" s="51">
        <f t="shared" si="7"/>
        <v>230.96052631578948</v>
      </c>
      <c r="S39" s="74">
        <f t="shared" si="38"/>
        <v>2.8050000000000002E-3</v>
      </c>
      <c r="T39" s="52">
        <f t="shared" si="8"/>
        <v>25.5</v>
      </c>
      <c r="U39" s="53">
        <f t="shared" si="9"/>
        <v>93893.68421052632</v>
      </c>
      <c r="V39" s="54">
        <f t="shared" si="10"/>
        <v>21685734.72299169</v>
      </c>
      <c r="X39" s="25">
        <v>8</v>
      </c>
      <c r="Y39" s="51">
        <f>Input!$E17</f>
        <v>-230</v>
      </c>
      <c r="Z39" s="74">
        <f t="shared" si="39"/>
        <v>-4.9999999999999979E-4</v>
      </c>
      <c r="AA39" s="52">
        <f t="shared" si="11"/>
        <v>-99.999999999999957</v>
      </c>
      <c r="AB39" s="52">
        <f t="shared" si="12"/>
        <v>0</v>
      </c>
      <c r="AC39" s="83">
        <f t="shared" si="13"/>
        <v>-99.999999999999957</v>
      </c>
      <c r="AD39" s="93">
        <f>IF(AND(ISNUMBER(Input!$D17),ISNUMBER(Input!$E17)),AC39*As,0)</f>
        <v>-80424.771931898664</v>
      </c>
      <c r="AE39" s="54">
        <f t="shared" si="40"/>
        <v>18497697.544336691</v>
      </c>
      <c r="AG39" s="25">
        <v>8</v>
      </c>
      <c r="AH39" s="51">
        <f t="shared" si="14"/>
        <v>238.98837209302326</v>
      </c>
      <c r="AI39" s="74">
        <f t="shared" si="41"/>
        <v>2.8049999999999998E-3</v>
      </c>
      <c r="AJ39" s="52">
        <f t="shared" si="15"/>
        <v>25.5</v>
      </c>
      <c r="AK39" s="53">
        <f t="shared" si="16"/>
        <v>82975.813953488381</v>
      </c>
      <c r="AL39" s="54">
        <f t="shared" si="17"/>
        <v>19830254.699837752</v>
      </c>
      <c r="AN39" s="25">
        <v>8</v>
      </c>
      <c r="AO39" s="51">
        <f>Input!$E17</f>
        <v>-230</v>
      </c>
      <c r="AP39" s="74">
        <f t="shared" si="42"/>
        <v>-1E-3</v>
      </c>
      <c r="AQ39" s="52">
        <f t="shared" si="18"/>
        <v>-200</v>
      </c>
      <c r="AR39" s="52">
        <f t="shared" si="19"/>
        <v>0</v>
      </c>
      <c r="AS39" s="83">
        <f t="shared" si="20"/>
        <v>-200</v>
      </c>
      <c r="AT39" s="93">
        <f>IF(AND(ISNUMBER(Input!$D17),ISNUMBER(Input!$E17)),AS39*As,0)</f>
        <v>-160849.54386379741</v>
      </c>
      <c r="AU39" s="54">
        <f t="shared" si="43"/>
        <v>36995395.088673405</v>
      </c>
      <c r="AW39" s="25">
        <v>8</v>
      </c>
      <c r="AX39" s="51">
        <f t="shared" si="21"/>
        <v>245.34375</v>
      </c>
      <c r="AY39" s="74">
        <f t="shared" si="44"/>
        <v>2.8050000000000002E-3</v>
      </c>
      <c r="AZ39" s="52">
        <f t="shared" si="22"/>
        <v>25.5</v>
      </c>
      <c r="BA39" s="53">
        <f t="shared" si="23"/>
        <v>74332.499999999985</v>
      </c>
      <c r="BB39" s="54">
        <f t="shared" si="24"/>
        <v>18237014.296874996</v>
      </c>
      <c r="BD39" s="25">
        <v>8</v>
      </c>
      <c r="BE39" s="51">
        <f>Input!$E17</f>
        <v>-230</v>
      </c>
      <c r="BF39" s="74">
        <f t="shared" si="45"/>
        <v>-1.5000000000000007E-3</v>
      </c>
      <c r="BG39" s="52">
        <f t="shared" si="25"/>
        <v>-300.00000000000011</v>
      </c>
      <c r="BH39" s="52">
        <f t="shared" si="26"/>
        <v>0</v>
      </c>
      <c r="BI39" s="83">
        <f t="shared" si="27"/>
        <v>-300.00000000000011</v>
      </c>
      <c r="BJ39" s="93">
        <f>IF(AND(ISNUMBER(Input!$D17),ISNUMBER(Input!$E17)),BI39*As,0)</f>
        <v>-241274.31579569619</v>
      </c>
      <c r="BK39" s="54">
        <f t="shared" si="46"/>
        <v>55493092.633010127</v>
      </c>
      <c r="BM39" s="25">
        <v>8</v>
      </c>
      <c r="BN39" s="51">
        <f t="shared" si="28"/>
        <v>250.5</v>
      </c>
      <c r="BO39" s="74">
        <f t="shared" si="47"/>
        <v>2.8049999999999998E-3</v>
      </c>
      <c r="BP39" s="52">
        <f t="shared" si="29"/>
        <v>25.5</v>
      </c>
      <c r="BQ39" s="53">
        <f t="shared" si="30"/>
        <v>67320</v>
      </c>
      <c r="BR39" s="54">
        <f t="shared" si="31"/>
        <v>16863660</v>
      </c>
      <c r="BT39" s="25">
        <v>8</v>
      </c>
      <c r="BU39" s="51">
        <f>Input!$E17</f>
        <v>-230</v>
      </c>
      <c r="BV39" s="74">
        <f t="shared" si="48"/>
        <v>-2E-3</v>
      </c>
      <c r="BW39" s="52">
        <f t="shared" si="32"/>
        <v>-400</v>
      </c>
      <c r="BX39" s="52">
        <f t="shared" si="33"/>
        <v>0</v>
      </c>
      <c r="BY39" s="83">
        <f t="shared" si="34"/>
        <v>-400</v>
      </c>
      <c r="BZ39" s="93">
        <f>IF(AND(ISNUMBER(Input!$D17),ISNUMBER(Input!$E17)),BY39*As,0)</f>
        <v>-321699.08772759483</v>
      </c>
      <c r="CA39" s="54">
        <f t="shared" si="49"/>
        <v>73990790.177346811</v>
      </c>
    </row>
    <row r="40" spans="1:79">
      <c r="A40" s="25">
        <v>9</v>
      </c>
      <c r="B40" s="51">
        <f t="shared" si="0"/>
        <v>209.9</v>
      </c>
      <c r="C40" s="74">
        <f t="shared" si="35"/>
        <v>2.7390000000000001E-3</v>
      </c>
      <c r="D40" s="52">
        <f t="shared" si="1"/>
        <v>25.5</v>
      </c>
      <c r="E40" s="53">
        <f t="shared" si="2"/>
        <v>108120</v>
      </c>
      <c r="F40" s="54">
        <f t="shared" si="3"/>
        <v>22694388</v>
      </c>
      <c r="H40" s="25">
        <v>9</v>
      </c>
      <c r="I40" s="51">
        <f>Input!$E18</f>
        <v>130</v>
      </c>
      <c r="J40" s="74">
        <f t="shared" si="36"/>
        <v>2.2415094339622642E-3</v>
      </c>
      <c r="K40" s="52">
        <f t="shared" si="4"/>
        <v>448.30188679245282</v>
      </c>
      <c r="L40" s="52">
        <f t="shared" si="5"/>
        <v>25.5</v>
      </c>
      <c r="M40" s="83">
        <f t="shared" si="6"/>
        <v>374.5</v>
      </c>
      <c r="N40" s="93">
        <f>IF(AND(ISNUMBER(Input!$D18),ISNUMBER(Input!$E18)),M40*As,0)</f>
        <v>301190.77088496066</v>
      </c>
      <c r="O40" s="54">
        <f t="shared" si="37"/>
        <v>39154800.215044886</v>
      </c>
      <c r="Q40" s="25">
        <v>9</v>
      </c>
      <c r="R40" s="51">
        <f t="shared" si="7"/>
        <v>221.75526315789472</v>
      </c>
      <c r="S40" s="74">
        <f t="shared" si="38"/>
        <v>2.7390000000000001E-3</v>
      </c>
      <c r="T40" s="52">
        <f t="shared" si="8"/>
        <v>25.5</v>
      </c>
      <c r="U40" s="53">
        <f t="shared" si="9"/>
        <v>93893.68421052632</v>
      </c>
      <c r="V40" s="54">
        <f t="shared" si="10"/>
        <v>20821418.650969528</v>
      </c>
      <c r="X40" s="25">
        <v>9</v>
      </c>
      <c r="Y40" s="51">
        <f>Input!$E18</f>
        <v>130</v>
      </c>
      <c r="Z40" s="74">
        <f t="shared" si="39"/>
        <v>2.0811320754716982E-3</v>
      </c>
      <c r="AA40" s="52">
        <f t="shared" si="11"/>
        <v>416.22641509433964</v>
      </c>
      <c r="AB40" s="52">
        <f t="shared" si="12"/>
        <v>25.5</v>
      </c>
      <c r="AC40" s="83">
        <f t="shared" si="13"/>
        <v>374.5</v>
      </c>
      <c r="AD40" s="93">
        <f>IF(AND(ISNUMBER(Input!$D18),ISNUMBER(Input!$E18)),AC40*As,0)</f>
        <v>301190.77088496066</v>
      </c>
      <c r="AE40" s="54">
        <f t="shared" si="40"/>
        <v>39154800.215044886</v>
      </c>
      <c r="AG40" s="25">
        <v>9</v>
      </c>
      <c r="AH40" s="51">
        <f t="shared" si="14"/>
        <v>230.85348837209301</v>
      </c>
      <c r="AI40" s="74">
        <f t="shared" si="41"/>
        <v>2.7389999999999997E-3</v>
      </c>
      <c r="AJ40" s="52">
        <f t="shared" si="15"/>
        <v>25.5</v>
      </c>
      <c r="AK40" s="53">
        <f t="shared" si="16"/>
        <v>82975.813953488381</v>
      </c>
      <c r="AL40" s="54">
        <f t="shared" si="17"/>
        <v>19155256.101676583</v>
      </c>
      <c r="AN40" s="25">
        <v>9</v>
      </c>
      <c r="AO40" s="51">
        <f>Input!$E18</f>
        <v>130</v>
      </c>
      <c r="AP40" s="74">
        <f t="shared" si="42"/>
        <v>1.9207547169811318E-3</v>
      </c>
      <c r="AQ40" s="52">
        <f t="shared" si="18"/>
        <v>384.15094339622635</v>
      </c>
      <c r="AR40" s="52">
        <f t="shared" si="19"/>
        <v>25.459966180135279</v>
      </c>
      <c r="AS40" s="83">
        <f t="shared" si="20"/>
        <v>358.69097721609108</v>
      </c>
      <c r="AT40" s="93">
        <f>IF(AND(ISNUMBER(Input!$D18),ISNUMBER(Input!$E18)),AS40*As,0)</f>
        <v>288476.40036634001</v>
      </c>
      <c r="AU40" s="54">
        <f t="shared" si="43"/>
        <v>37501932.047624201</v>
      </c>
      <c r="AW40" s="25">
        <v>9</v>
      </c>
      <c r="AX40" s="51">
        <f t="shared" si="21"/>
        <v>238.05625000000001</v>
      </c>
      <c r="AY40" s="74">
        <f t="shared" si="44"/>
        <v>2.7390000000000001E-3</v>
      </c>
      <c r="AZ40" s="52">
        <f t="shared" si="22"/>
        <v>25.5</v>
      </c>
      <c r="BA40" s="53">
        <f t="shared" si="23"/>
        <v>74332.499999999985</v>
      </c>
      <c r="BB40" s="54">
        <f t="shared" si="24"/>
        <v>17695316.203124996</v>
      </c>
      <c r="BD40" s="25">
        <v>9</v>
      </c>
      <c r="BE40" s="51">
        <f>Input!$E18</f>
        <v>130</v>
      </c>
      <c r="BF40" s="74">
        <f t="shared" si="45"/>
        <v>1.7603773584905656E-3</v>
      </c>
      <c r="BG40" s="52">
        <f t="shared" si="25"/>
        <v>352.07547169811312</v>
      </c>
      <c r="BH40" s="52">
        <f t="shared" si="26"/>
        <v>25.13395380918476</v>
      </c>
      <c r="BI40" s="83">
        <f t="shared" si="27"/>
        <v>326.94151788892839</v>
      </c>
      <c r="BJ40" s="93">
        <f>IF(AND(ISNUMBER(Input!$D18),ISNUMBER(Input!$E18)),BI40*As,0)</f>
        <v>262941.97011285846</v>
      </c>
      <c r="BK40" s="54">
        <f t="shared" si="46"/>
        <v>34182456.114671603</v>
      </c>
      <c r="BM40" s="25">
        <v>9</v>
      </c>
      <c r="BN40" s="51">
        <f t="shared" si="28"/>
        <v>243.9</v>
      </c>
      <c r="BO40" s="74">
        <f t="shared" si="47"/>
        <v>2.7389999999999997E-3</v>
      </c>
      <c r="BP40" s="52">
        <f t="shared" si="29"/>
        <v>25.5</v>
      </c>
      <c r="BQ40" s="53">
        <f t="shared" si="30"/>
        <v>67320</v>
      </c>
      <c r="BR40" s="54">
        <f t="shared" si="31"/>
        <v>16419348</v>
      </c>
      <c r="BT40" s="25">
        <v>9</v>
      </c>
      <c r="BU40" s="51">
        <f>Input!$E18</f>
        <v>130</v>
      </c>
      <c r="BV40" s="74">
        <f t="shared" si="48"/>
        <v>1.5999999999999999E-3</v>
      </c>
      <c r="BW40" s="52">
        <f t="shared" si="32"/>
        <v>320</v>
      </c>
      <c r="BX40" s="52">
        <f t="shared" si="33"/>
        <v>24.479999999999997</v>
      </c>
      <c r="BY40" s="83">
        <f t="shared" si="34"/>
        <v>295.52</v>
      </c>
      <c r="BZ40" s="93">
        <f>IF(AND(ISNUMBER(Input!$D18),ISNUMBER(Input!$E18)),BY40*As,0)</f>
        <v>237671.28601314704</v>
      </c>
      <c r="CA40" s="54">
        <f t="shared" si="49"/>
        <v>30897267.181709114</v>
      </c>
    </row>
    <row r="41" spans="1:79">
      <c r="A41" s="25">
        <v>10</v>
      </c>
      <c r="B41" s="51">
        <f t="shared" si="0"/>
        <v>199.3</v>
      </c>
      <c r="C41" s="74">
        <f t="shared" si="35"/>
        <v>2.673E-3</v>
      </c>
      <c r="D41" s="52">
        <f t="shared" si="1"/>
        <v>25.5</v>
      </c>
      <c r="E41" s="53">
        <f t="shared" si="2"/>
        <v>108120</v>
      </c>
      <c r="F41" s="54">
        <f t="shared" si="3"/>
        <v>21548316</v>
      </c>
      <c r="H41" s="25">
        <v>10</v>
      </c>
      <c r="I41" s="51">
        <f>Input!$E19</f>
        <v>130</v>
      </c>
      <c r="J41" s="74">
        <f t="shared" si="36"/>
        <v>2.2415094339622642E-3</v>
      </c>
      <c r="K41" s="52">
        <f t="shared" si="4"/>
        <v>448.30188679245282</v>
      </c>
      <c r="L41" s="52">
        <f t="shared" si="5"/>
        <v>25.5</v>
      </c>
      <c r="M41" s="83">
        <f t="shared" si="6"/>
        <v>374.5</v>
      </c>
      <c r="N41" s="93">
        <f>IF(AND(ISNUMBER(Input!$D19),ISNUMBER(Input!$E19)),M41*As,0)</f>
        <v>301190.77088496066</v>
      </c>
      <c r="O41" s="54">
        <f t="shared" si="37"/>
        <v>39154800.215044886</v>
      </c>
      <c r="Q41" s="25">
        <v>10</v>
      </c>
      <c r="R41" s="51">
        <f t="shared" si="7"/>
        <v>212.55</v>
      </c>
      <c r="S41" s="74">
        <f t="shared" si="38"/>
        <v>2.673E-3</v>
      </c>
      <c r="T41" s="52">
        <f t="shared" si="8"/>
        <v>25.5</v>
      </c>
      <c r="U41" s="53">
        <f t="shared" si="9"/>
        <v>93893.68421052632</v>
      </c>
      <c r="V41" s="54">
        <f t="shared" si="10"/>
        <v>19957102.578947369</v>
      </c>
      <c r="X41" s="25">
        <v>10</v>
      </c>
      <c r="Y41" s="51">
        <f>Input!$E19</f>
        <v>130</v>
      </c>
      <c r="Z41" s="74">
        <f t="shared" si="39"/>
        <v>2.0811320754716982E-3</v>
      </c>
      <c r="AA41" s="52">
        <f t="shared" si="11"/>
        <v>416.22641509433964</v>
      </c>
      <c r="AB41" s="52">
        <f t="shared" si="12"/>
        <v>25.5</v>
      </c>
      <c r="AC41" s="83">
        <f t="shared" si="13"/>
        <v>374.5</v>
      </c>
      <c r="AD41" s="93">
        <f>IF(AND(ISNUMBER(Input!$D19),ISNUMBER(Input!$E19)),AC41*As,0)</f>
        <v>301190.77088496066</v>
      </c>
      <c r="AE41" s="54">
        <f t="shared" si="40"/>
        <v>39154800.215044886</v>
      </c>
      <c r="AG41" s="25">
        <v>10</v>
      </c>
      <c r="AH41" s="51">
        <f t="shared" si="14"/>
        <v>222.71860465116279</v>
      </c>
      <c r="AI41" s="74">
        <f t="shared" si="41"/>
        <v>2.673E-3</v>
      </c>
      <c r="AJ41" s="52">
        <f t="shared" si="15"/>
        <v>25.5</v>
      </c>
      <c r="AK41" s="53">
        <f t="shared" si="16"/>
        <v>82975.813953488381</v>
      </c>
      <c r="AL41" s="54">
        <f t="shared" si="17"/>
        <v>18480257.503515415</v>
      </c>
      <c r="AN41" s="25">
        <v>10</v>
      </c>
      <c r="AO41" s="51">
        <f>Input!$E19</f>
        <v>130</v>
      </c>
      <c r="AP41" s="74">
        <f t="shared" si="42"/>
        <v>1.9207547169811318E-3</v>
      </c>
      <c r="AQ41" s="52">
        <f t="shared" si="18"/>
        <v>384.15094339622635</v>
      </c>
      <c r="AR41" s="52">
        <f t="shared" si="19"/>
        <v>25.459966180135279</v>
      </c>
      <c r="AS41" s="83">
        <f t="shared" si="20"/>
        <v>358.69097721609108</v>
      </c>
      <c r="AT41" s="93">
        <f>IF(AND(ISNUMBER(Input!$D19),ISNUMBER(Input!$E19)),AS41*As,0)</f>
        <v>288476.40036634001</v>
      </c>
      <c r="AU41" s="54">
        <f t="shared" si="43"/>
        <v>37501932.047624201</v>
      </c>
      <c r="AW41" s="25">
        <v>10</v>
      </c>
      <c r="AX41" s="51">
        <f t="shared" si="21"/>
        <v>230.76875000000001</v>
      </c>
      <c r="AY41" s="74">
        <f t="shared" si="44"/>
        <v>2.673E-3</v>
      </c>
      <c r="AZ41" s="52">
        <f t="shared" si="22"/>
        <v>25.5</v>
      </c>
      <c r="BA41" s="53">
        <f t="shared" si="23"/>
        <v>74332.499999999985</v>
      </c>
      <c r="BB41" s="54">
        <f t="shared" si="24"/>
        <v>17153618.109374996</v>
      </c>
      <c r="BD41" s="25">
        <v>10</v>
      </c>
      <c r="BE41" s="51">
        <f>Input!$E19</f>
        <v>130</v>
      </c>
      <c r="BF41" s="74">
        <f t="shared" si="45"/>
        <v>1.7603773584905656E-3</v>
      </c>
      <c r="BG41" s="52">
        <f t="shared" si="25"/>
        <v>352.07547169811312</v>
      </c>
      <c r="BH41" s="52">
        <f t="shared" si="26"/>
        <v>25.13395380918476</v>
      </c>
      <c r="BI41" s="83">
        <f t="shared" si="27"/>
        <v>326.94151788892839</v>
      </c>
      <c r="BJ41" s="93">
        <f>IF(AND(ISNUMBER(Input!$D19),ISNUMBER(Input!$E19)),BI41*As,0)</f>
        <v>262941.97011285846</v>
      </c>
      <c r="BK41" s="54">
        <f t="shared" si="46"/>
        <v>34182456.114671603</v>
      </c>
      <c r="BM41" s="25">
        <v>10</v>
      </c>
      <c r="BN41" s="51">
        <f t="shared" si="28"/>
        <v>237.3</v>
      </c>
      <c r="BO41" s="74">
        <f t="shared" si="47"/>
        <v>2.673E-3</v>
      </c>
      <c r="BP41" s="52">
        <f t="shared" si="29"/>
        <v>25.5</v>
      </c>
      <c r="BQ41" s="53">
        <f t="shared" si="30"/>
        <v>67320</v>
      </c>
      <c r="BR41" s="54">
        <f t="shared" si="31"/>
        <v>15975036</v>
      </c>
      <c r="BT41" s="25">
        <v>10</v>
      </c>
      <c r="BU41" s="51">
        <f>Input!$E19</f>
        <v>130</v>
      </c>
      <c r="BV41" s="74">
        <f t="shared" si="48"/>
        <v>1.5999999999999999E-3</v>
      </c>
      <c r="BW41" s="52">
        <f t="shared" si="32"/>
        <v>320</v>
      </c>
      <c r="BX41" s="52">
        <f t="shared" si="33"/>
        <v>24.479999999999997</v>
      </c>
      <c r="BY41" s="83">
        <f t="shared" si="34"/>
        <v>295.52</v>
      </c>
      <c r="BZ41" s="93">
        <f>IF(AND(ISNUMBER(Input!$D19),ISNUMBER(Input!$E19)),BY41*As,0)</f>
        <v>237671.28601314704</v>
      </c>
      <c r="CA41" s="54">
        <f t="shared" si="49"/>
        <v>30897267.181709114</v>
      </c>
    </row>
    <row r="42" spans="1:79">
      <c r="A42" s="25">
        <v>11</v>
      </c>
      <c r="B42" s="51">
        <f t="shared" si="0"/>
        <v>188.7</v>
      </c>
      <c r="C42" s="74">
        <f t="shared" si="35"/>
        <v>2.6069999999999999E-3</v>
      </c>
      <c r="D42" s="52">
        <f t="shared" si="1"/>
        <v>25.5</v>
      </c>
      <c r="E42" s="53">
        <f t="shared" si="2"/>
        <v>108120</v>
      </c>
      <c r="F42" s="54">
        <f t="shared" si="3"/>
        <v>20402244</v>
      </c>
      <c r="H42" s="25">
        <v>11</v>
      </c>
      <c r="I42" s="51">
        <f>Input!$E20</f>
        <v>-130</v>
      </c>
      <c r="J42" s="74">
        <f t="shared" si="36"/>
        <v>6.226415094339623E-4</v>
      </c>
      <c r="K42" s="52">
        <f t="shared" si="4"/>
        <v>124.52830188679246</v>
      </c>
      <c r="L42" s="52">
        <f t="shared" si="5"/>
        <v>13.405882876468494</v>
      </c>
      <c r="M42" s="83">
        <f t="shared" si="6"/>
        <v>111.12241901032397</v>
      </c>
      <c r="N42" s="93">
        <f>IF(AND(ISNUMBER(Input!$D20),ISNUMBER(Input!$E20)),M42*As,0)</f>
        <v>89369.952054261899</v>
      </c>
      <c r="O42" s="54">
        <f t="shared" si="37"/>
        <v>-11618093.767054047</v>
      </c>
      <c r="Q42" s="25">
        <v>11</v>
      </c>
      <c r="R42" s="51">
        <f t="shared" si="7"/>
        <v>203.34473684210525</v>
      </c>
      <c r="S42" s="74">
        <f t="shared" si="38"/>
        <v>2.6069999999999999E-3</v>
      </c>
      <c r="T42" s="52">
        <f t="shared" si="8"/>
        <v>25.5</v>
      </c>
      <c r="U42" s="53">
        <f t="shared" si="9"/>
        <v>93893.68421052632</v>
      </c>
      <c r="V42" s="54">
        <f t="shared" si="10"/>
        <v>19092786.506925207</v>
      </c>
      <c r="X42" s="25">
        <v>11</v>
      </c>
      <c r="Y42" s="51">
        <f>Input!$E20</f>
        <v>-130</v>
      </c>
      <c r="Z42" s="74">
        <f t="shared" si="39"/>
        <v>2.1698113207547186E-4</v>
      </c>
      <c r="AA42" s="52">
        <f t="shared" si="11"/>
        <v>43.396226415094368</v>
      </c>
      <c r="AB42" s="52">
        <f t="shared" si="12"/>
        <v>5.2328786934852287</v>
      </c>
      <c r="AC42" s="83">
        <f t="shared" si="13"/>
        <v>38.163347721609142</v>
      </c>
      <c r="AD42" s="93">
        <f>IF(AND(ISNUMBER(Input!$D20),ISNUMBER(Input!$E20)),AC42*As,0)</f>
        <v>30692.785366681612</v>
      </c>
      <c r="AE42" s="54">
        <f t="shared" si="40"/>
        <v>-3990062.0976686096</v>
      </c>
      <c r="AG42" s="25">
        <v>11</v>
      </c>
      <c r="AH42" s="51">
        <f t="shared" si="14"/>
        <v>214.58372093023254</v>
      </c>
      <c r="AI42" s="74">
        <f t="shared" si="41"/>
        <v>2.6069999999999995E-3</v>
      </c>
      <c r="AJ42" s="52">
        <f t="shared" si="15"/>
        <v>25.5</v>
      </c>
      <c r="AK42" s="53">
        <f t="shared" si="16"/>
        <v>82975.813953488381</v>
      </c>
      <c r="AL42" s="54">
        <f t="shared" si="17"/>
        <v>17805258.905354246</v>
      </c>
      <c r="AN42" s="25">
        <v>11</v>
      </c>
      <c r="AO42" s="51">
        <f>Input!$E20</f>
        <v>-130</v>
      </c>
      <c r="AP42" s="74">
        <f t="shared" si="42"/>
        <v>-1.886792452830188E-4</v>
      </c>
      <c r="AQ42" s="52">
        <f t="shared" si="18"/>
        <v>-37.735849056603762</v>
      </c>
      <c r="AR42" s="52">
        <f t="shared" si="19"/>
        <v>0</v>
      </c>
      <c r="AS42" s="83">
        <f t="shared" si="20"/>
        <v>-37.735849056603762</v>
      </c>
      <c r="AT42" s="93">
        <f>IF(AND(ISNUMBER(Input!$D20),ISNUMBER(Input!$E20)),AS42*As,0)</f>
        <v>-30348.970540339124</v>
      </c>
      <c r="AU42" s="54">
        <f t="shared" si="43"/>
        <v>3945366.1702440861</v>
      </c>
      <c r="AW42" s="25">
        <v>11</v>
      </c>
      <c r="AX42" s="51">
        <f t="shared" si="21"/>
        <v>223.48125000000002</v>
      </c>
      <c r="AY42" s="74">
        <f t="shared" si="44"/>
        <v>2.6069999999999999E-3</v>
      </c>
      <c r="AZ42" s="52">
        <f t="shared" si="22"/>
        <v>25.5</v>
      </c>
      <c r="BA42" s="53">
        <f t="shared" si="23"/>
        <v>74332.499999999985</v>
      </c>
      <c r="BB42" s="54">
        <f t="shared" si="24"/>
        <v>16611920.015624998</v>
      </c>
      <c r="BD42" s="25">
        <v>11</v>
      </c>
      <c r="BE42" s="51">
        <f>Input!$E20</f>
        <v>-130</v>
      </c>
      <c r="BF42" s="74">
        <f t="shared" si="45"/>
        <v>-5.943396226415099E-4</v>
      </c>
      <c r="BG42" s="52">
        <f t="shared" si="25"/>
        <v>-118.86792452830198</v>
      </c>
      <c r="BH42" s="52">
        <f t="shared" si="26"/>
        <v>0</v>
      </c>
      <c r="BI42" s="83">
        <f t="shared" si="27"/>
        <v>-118.86792452830198</v>
      </c>
      <c r="BJ42" s="93">
        <f>IF(AND(ISNUMBER(Input!$D20),ISNUMBER(Input!$E20)),BI42*As,0)</f>
        <v>-95599.257202068344</v>
      </c>
      <c r="BK42" s="54">
        <f t="shared" si="46"/>
        <v>12427903.436268885</v>
      </c>
      <c r="BM42" s="25">
        <v>11</v>
      </c>
      <c r="BN42" s="51">
        <f t="shared" si="28"/>
        <v>230.7</v>
      </c>
      <c r="BO42" s="74">
        <f t="shared" si="47"/>
        <v>2.6069999999999995E-3</v>
      </c>
      <c r="BP42" s="52">
        <f t="shared" si="29"/>
        <v>25.5</v>
      </c>
      <c r="BQ42" s="53">
        <f t="shared" si="30"/>
        <v>67320</v>
      </c>
      <c r="BR42" s="54">
        <f t="shared" si="31"/>
        <v>15530724</v>
      </c>
      <c r="BT42" s="25">
        <v>11</v>
      </c>
      <c r="BU42" s="51">
        <f>Input!$E20</f>
        <v>-130</v>
      </c>
      <c r="BV42" s="74">
        <f t="shared" si="48"/>
        <v>-1E-3</v>
      </c>
      <c r="BW42" s="52">
        <f t="shared" si="32"/>
        <v>-200</v>
      </c>
      <c r="BX42" s="52">
        <f t="shared" si="33"/>
        <v>0</v>
      </c>
      <c r="BY42" s="83">
        <f t="shared" si="34"/>
        <v>-200</v>
      </c>
      <c r="BZ42" s="93">
        <f>IF(AND(ISNUMBER(Input!$D20),ISNUMBER(Input!$E20)),BY42*As,0)</f>
        <v>-160849.54386379741</v>
      </c>
      <c r="CA42" s="54">
        <f t="shared" si="49"/>
        <v>20910440.702293664</v>
      </c>
    </row>
    <row r="43" spans="1:79">
      <c r="A43" s="25">
        <v>12</v>
      </c>
      <c r="B43" s="51">
        <f t="shared" si="0"/>
        <v>178.10000000000002</v>
      </c>
      <c r="C43" s="74">
        <f t="shared" si="35"/>
        <v>2.5409999999999999E-3</v>
      </c>
      <c r="D43" s="52">
        <f t="shared" si="1"/>
        <v>25.5</v>
      </c>
      <c r="E43" s="53">
        <f t="shared" si="2"/>
        <v>108120</v>
      </c>
      <c r="F43" s="54">
        <f t="shared" si="3"/>
        <v>19256172.000000004</v>
      </c>
      <c r="H43" s="25">
        <v>12</v>
      </c>
      <c r="I43" s="51">
        <f>Input!$E21</f>
        <v>-130</v>
      </c>
      <c r="J43" s="74">
        <f t="shared" si="36"/>
        <v>6.226415094339623E-4</v>
      </c>
      <c r="K43" s="52">
        <f t="shared" si="4"/>
        <v>124.52830188679246</v>
      </c>
      <c r="L43" s="52">
        <f t="shared" si="5"/>
        <v>13.405882876468494</v>
      </c>
      <c r="M43" s="83">
        <f t="shared" si="6"/>
        <v>111.12241901032397</v>
      </c>
      <c r="N43" s="93">
        <f>IF(AND(ISNUMBER(Input!$D21),ISNUMBER(Input!$E21)),M43*As,0)</f>
        <v>89369.952054261899</v>
      </c>
      <c r="O43" s="54">
        <f t="shared" si="37"/>
        <v>-11618093.767054047</v>
      </c>
      <c r="Q43" s="25">
        <v>12</v>
      </c>
      <c r="R43" s="51">
        <f t="shared" si="7"/>
        <v>194.13947368421051</v>
      </c>
      <c r="S43" s="74">
        <f t="shared" si="38"/>
        <v>2.5409999999999999E-3</v>
      </c>
      <c r="T43" s="52">
        <f t="shared" si="8"/>
        <v>25.5</v>
      </c>
      <c r="U43" s="53">
        <f t="shared" si="9"/>
        <v>93893.68421052632</v>
      </c>
      <c r="V43" s="54">
        <f t="shared" si="10"/>
        <v>18228470.434903048</v>
      </c>
      <c r="X43" s="25">
        <v>12</v>
      </c>
      <c r="Y43" s="51">
        <f>Input!$E21</f>
        <v>-130</v>
      </c>
      <c r="Z43" s="74">
        <f t="shared" si="39"/>
        <v>2.1698113207547186E-4</v>
      </c>
      <c r="AA43" s="52">
        <f t="shared" si="11"/>
        <v>43.396226415094368</v>
      </c>
      <c r="AB43" s="52">
        <f t="shared" si="12"/>
        <v>5.2328786934852287</v>
      </c>
      <c r="AC43" s="83">
        <f t="shared" si="13"/>
        <v>38.163347721609142</v>
      </c>
      <c r="AD43" s="93">
        <f>IF(AND(ISNUMBER(Input!$D21),ISNUMBER(Input!$E21)),AC43*As,0)</f>
        <v>30692.785366681612</v>
      </c>
      <c r="AE43" s="54">
        <f t="shared" si="40"/>
        <v>-3990062.0976686096</v>
      </c>
      <c r="AG43" s="25">
        <v>12</v>
      </c>
      <c r="AH43" s="51">
        <f t="shared" si="14"/>
        <v>206.44883720930233</v>
      </c>
      <c r="AI43" s="74">
        <f t="shared" si="41"/>
        <v>2.5409999999999999E-3</v>
      </c>
      <c r="AJ43" s="52">
        <f t="shared" si="15"/>
        <v>25.5</v>
      </c>
      <c r="AK43" s="53">
        <f t="shared" si="16"/>
        <v>82975.813953488381</v>
      </c>
      <c r="AL43" s="54">
        <f t="shared" si="17"/>
        <v>17130260.307193078</v>
      </c>
      <c r="AN43" s="25">
        <v>12</v>
      </c>
      <c r="AO43" s="51">
        <f>Input!$E21</f>
        <v>-130</v>
      </c>
      <c r="AP43" s="74">
        <f t="shared" si="42"/>
        <v>-1.886792452830188E-4</v>
      </c>
      <c r="AQ43" s="52">
        <f t="shared" si="18"/>
        <v>-37.735849056603762</v>
      </c>
      <c r="AR43" s="52">
        <f t="shared" si="19"/>
        <v>0</v>
      </c>
      <c r="AS43" s="83">
        <f t="shared" si="20"/>
        <v>-37.735849056603762</v>
      </c>
      <c r="AT43" s="93">
        <f>IF(AND(ISNUMBER(Input!$D21),ISNUMBER(Input!$E21)),AS43*As,0)</f>
        <v>-30348.970540339124</v>
      </c>
      <c r="AU43" s="54">
        <f t="shared" si="43"/>
        <v>3945366.1702440861</v>
      </c>
      <c r="AW43" s="25">
        <v>12</v>
      </c>
      <c r="AX43" s="51">
        <f t="shared" si="21"/>
        <v>216.19375000000002</v>
      </c>
      <c r="AY43" s="74">
        <f t="shared" si="44"/>
        <v>2.5409999999999999E-3</v>
      </c>
      <c r="AZ43" s="52">
        <f t="shared" si="22"/>
        <v>25.5</v>
      </c>
      <c r="BA43" s="53">
        <f t="shared" si="23"/>
        <v>74332.499999999985</v>
      </c>
      <c r="BB43" s="54">
        <f t="shared" si="24"/>
        <v>16070221.921874998</v>
      </c>
      <c r="BD43" s="25">
        <v>12</v>
      </c>
      <c r="BE43" s="51">
        <f>Input!$E21</f>
        <v>-130</v>
      </c>
      <c r="BF43" s="74">
        <f t="shared" si="45"/>
        <v>-5.943396226415099E-4</v>
      </c>
      <c r="BG43" s="52">
        <f t="shared" si="25"/>
        <v>-118.86792452830198</v>
      </c>
      <c r="BH43" s="52">
        <f t="shared" si="26"/>
        <v>0</v>
      </c>
      <c r="BI43" s="83">
        <f t="shared" si="27"/>
        <v>-118.86792452830198</v>
      </c>
      <c r="BJ43" s="93">
        <f>IF(AND(ISNUMBER(Input!$D21),ISNUMBER(Input!$E21)),BI43*As,0)</f>
        <v>-95599.257202068344</v>
      </c>
      <c r="BK43" s="54">
        <f t="shared" si="46"/>
        <v>12427903.436268885</v>
      </c>
      <c r="BM43" s="25">
        <v>12</v>
      </c>
      <c r="BN43" s="51">
        <f t="shared" si="28"/>
        <v>224.10000000000002</v>
      </c>
      <c r="BO43" s="74">
        <f t="shared" si="47"/>
        <v>2.5409999999999999E-3</v>
      </c>
      <c r="BP43" s="52">
        <f t="shared" si="29"/>
        <v>25.5</v>
      </c>
      <c r="BQ43" s="53">
        <f t="shared" si="30"/>
        <v>67320</v>
      </c>
      <c r="BR43" s="54">
        <f t="shared" si="31"/>
        <v>15086412.000000002</v>
      </c>
      <c r="BT43" s="25">
        <v>12</v>
      </c>
      <c r="BU43" s="51">
        <f>Input!$E21</f>
        <v>-130</v>
      </c>
      <c r="BV43" s="74">
        <f t="shared" si="48"/>
        <v>-1E-3</v>
      </c>
      <c r="BW43" s="52">
        <f t="shared" si="32"/>
        <v>-200</v>
      </c>
      <c r="BX43" s="52">
        <f t="shared" si="33"/>
        <v>0</v>
      </c>
      <c r="BY43" s="83">
        <f t="shared" si="34"/>
        <v>-200</v>
      </c>
      <c r="BZ43" s="93">
        <f>IF(AND(ISNUMBER(Input!$D21),ISNUMBER(Input!$E21)),BY43*As,0)</f>
        <v>-160849.54386379741</v>
      </c>
      <c r="CA43" s="54">
        <f t="shared" si="49"/>
        <v>20910440.702293664</v>
      </c>
    </row>
    <row r="44" spans="1:79">
      <c r="A44" s="25">
        <v>13</v>
      </c>
      <c r="B44" s="51">
        <f t="shared" si="0"/>
        <v>167.5</v>
      </c>
      <c r="C44" s="74">
        <f t="shared" si="35"/>
        <v>2.4749999999999998E-3</v>
      </c>
      <c r="D44" s="52">
        <f t="shared" si="1"/>
        <v>25.5</v>
      </c>
      <c r="E44" s="53">
        <f t="shared" si="2"/>
        <v>108120</v>
      </c>
      <c r="F44" s="54">
        <f t="shared" si="3"/>
        <v>18110100</v>
      </c>
      <c r="Q44" s="25">
        <v>13</v>
      </c>
      <c r="R44" s="51">
        <f t="shared" si="7"/>
        <v>184.93421052631578</v>
      </c>
      <c r="S44" s="74">
        <f t="shared" si="38"/>
        <v>2.4749999999999998E-3</v>
      </c>
      <c r="T44" s="52">
        <f t="shared" si="8"/>
        <v>25.5</v>
      </c>
      <c r="U44" s="53">
        <f t="shared" si="9"/>
        <v>93893.68421052632</v>
      </c>
      <c r="V44" s="54">
        <f t="shared" si="10"/>
        <v>17364154.362880886</v>
      </c>
      <c r="AG44" s="25">
        <v>13</v>
      </c>
      <c r="AH44" s="51">
        <f t="shared" si="14"/>
        <v>198.31395348837208</v>
      </c>
      <c r="AI44" s="74">
        <f t="shared" si="41"/>
        <v>2.4749999999999998E-3</v>
      </c>
      <c r="AJ44" s="52">
        <f t="shared" si="15"/>
        <v>25.5</v>
      </c>
      <c r="AK44" s="53">
        <f t="shared" si="16"/>
        <v>82975.813953488381</v>
      </c>
      <c r="AL44" s="54">
        <f t="shared" si="17"/>
        <v>16455261.70903191</v>
      </c>
      <c r="AW44" s="25">
        <v>13</v>
      </c>
      <c r="AX44" s="51">
        <f t="shared" si="21"/>
        <v>208.90625</v>
      </c>
      <c r="AY44" s="74">
        <f t="shared" si="44"/>
        <v>2.4749999999999998E-3</v>
      </c>
      <c r="AZ44" s="52">
        <f t="shared" si="22"/>
        <v>25.5</v>
      </c>
      <c r="BA44" s="53">
        <f t="shared" si="23"/>
        <v>74332.499999999985</v>
      </c>
      <c r="BB44" s="54">
        <f t="shared" si="24"/>
        <v>15528523.828124996</v>
      </c>
      <c r="BM44" s="25">
        <v>13</v>
      </c>
      <c r="BN44" s="51">
        <f t="shared" si="28"/>
        <v>217.5</v>
      </c>
      <c r="BO44" s="74">
        <f t="shared" si="47"/>
        <v>2.4749999999999998E-3</v>
      </c>
      <c r="BP44" s="52">
        <f t="shared" si="29"/>
        <v>25.5</v>
      </c>
      <c r="BQ44" s="53">
        <f t="shared" si="30"/>
        <v>67320</v>
      </c>
      <c r="BR44" s="54">
        <f t="shared" si="31"/>
        <v>14642100</v>
      </c>
    </row>
    <row r="45" spans="1:79">
      <c r="A45" s="25">
        <v>14</v>
      </c>
      <c r="B45" s="51">
        <f t="shared" si="0"/>
        <v>156.9</v>
      </c>
      <c r="C45" s="74">
        <f t="shared" si="35"/>
        <v>2.4089999999999997E-3</v>
      </c>
      <c r="D45" s="52">
        <f t="shared" si="1"/>
        <v>25.5</v>
      </c>
      <c r="E45" s="53">
        <f t="shared" si="2"/>
        <v>108120</v>
      </c>
      <c r="F45" s="54">
        <f t="shared" si="3"/>
        <v>16964028</v>
      </c>
      <c r="Q45" s="25">
        <v>14</v>
      </c>
      <c r="R45" s="51">
        <f t="shared" si="7"/>
        <v>175.72894736842105</v>
      </c>
      <c r="S45" s="74">
        <f t="shared" si="38"/>
        <v>2.4089999999999997E-3</v>
      </c>
      <c r="T45" s="52">
        <f t="shared" si="8"/>
        <v>25.5</v>
      </c>
      <c r="U45" s="53">
        <f t="shared" si="9"/>
        <v>93893.68421052632</v>
      </c>
      <c r="V45" s="54">
        <f t="shared" si="10"/>
        <v>16499838.290858725</v>
      </c>
      <c r="AG45" s="25">
        <v>14</v>
      </c>
      <c r="AH45" s="51">
        <f t="shared" si="14"/>
        <v>190.17906976744186</v>
      </c>
      <c r="AI45" s="74">
        <f t="shared" si="41"/>
        <v>2.4089999999999997E-3</v>
      </c>
      <c r="AJ45" s="52">
        <f t="shared" si="15"/>
        <v>25.5</v>
      </c>
      <c r="AK45" s="53">
        <f t="shared" si="16"/>
        <v>82975.813953488381</v>
      </c>
      <c r="AL45" s="54">
        <f t="shared" si="17"/>
        <v>15780263.110870743</v>
      </c>
      <c r="AW45" s="25">
        <v>14</v>
      </c>
      <c r="AX45" s="51">
        <f t="shared" si="21"/>
        <v>201.61875000000003</v>
      </c>
      <c r="AY45" s="74">
        <f t="shared" si="44"/>
        <v>2.4090000000000001E-3</v>
      </c>
      <c r="AZ45" s="52">
        <f t="shared" si="22"/>
        <v>25.5</v>
      </c>
      <c r="BA45" s="53">
        <f t="shared" si="23"/>
        <v>74332.499999999985</v>
      </c>
      <c r="BB45" s="54">
        <f t="shared" si="24"/>
        <v>14986825.734375</v>
      </c>
      <c r="BM45" s="25">
        <v>14</v>
      </c>
      <c r="BN45" s="51">
        <f t="shared" si="28"/>
        <v>210.9</v>
      </c>
      <c r="BO45" s="74">
        <f t="shared" si="47"/>
        <v>2.4089999999999997E-3</v>
      </c>
      <c r="BP45" s="52">
        <f t="shared" si="29"/>
        <v>25.5</v>
      </c>
      <c r="BQ45" s="53">
        <f t="shared" si="30"/>
        <v>67320</v>
      </c>
      <c r="BR45" s="54">
        <f t="shared" si="31"/>
        <v>14197788</v>
      </c>
    </row>
    <row r="46" spans="1:79">
      <c r="A46" s="25">
        <v>15</v>
      </c>
      <c r="B46" s="51">
        <f t="shared" si="0"/>
        <v>146.30000000000001</v>
      </c>
      <c r="C46" s="74">
        <f t="shared" si="35"/>
        <v>2.343E-3</v>
      </c>
      <c r="D46" s="52">
        <f t="shared" si="1"/>
        <v>25.5</v>
      </c>
      <c r="E46" s="53">
        <f t="shared" si="2"/>
        <v>108120</v>
      </c>
      <c r="F46" s="54">
        <f t="shared" si="3"/>
        <v>15817956.000000002</v>
      </c>
      <c r="Q46" s="25">
        <v>15</v>
      </c>
      <c r="R46" s="51">
        <f t="shared" si="7"/>
        <v>166.52368421052631</v>
      </c>
      <c r="S46" s="74">
        <f t="shared" si="38"/>
        <v>2.343E-3</v>
      </c>
      <c r="T46" s="52">
        <f t="shared" si="8"/>
        <v>25.5</v>
      </c>
      <c r="U46" s="53">
        <f t="shared" si="9"/>
        <v>93893.68421052632</v>
      </c>
      <c r="V46" s="54">
        <f t="shared" si="10"/>
        <v>15635522.218836566</v>
      </c>
      <c r="AG46" s="25">
        <v>15</v>
      </c>
      <c r="AH46" s="51">
        <f t="shared" si="14"/>
        <v>182.04418604651161</v>
      </c>
      <c r="AI46" s="74">
        <f t="shared" si="41"/>
        <v>2.3429999999999996E-3</v>
      </c>
      <c r="AJ46" s="52">
        <f t="shared" si="15"/>
        <v>25.5</v>
      </c>
      <c r="AK46" s="53">
        <f t="shared" si="16"/>
        <v>82975.813953488381</v>
      </c>
      <c r="AL46" s="54">
        <f t="shared" si="17"/>
        <v>15105264.512709573</v>
      </c>
      <c r="AW46" s="25">
        <v>15</v>
      </c>
      <c r="AX46" s="51">
        <f t="shared" si="21"/>
        <v>194.33125000000001</v>
      </c>
      <c r="AY46" s="74">
        <f t="shared" si="44"/>
        <v>2.3429999999999996E-3</v>
      </c>
      <c r="AZ46" s="52">
        <f t="shared" si="22"/>
        <v>25.5</v>
      </c>
      <c r="BA46" s="53">
        <f t="shared" si="23"/>
        <v>74332.499999999985</v>
      </c>
      <c r="BB46" s="54">
        <f t="shared" si="24"/>
        <v>14445127.640624998</v>
      </c>
      <c r="BM46" s="25">
        <v>15</v>
      </c>
      <c r="BN46" s="51">
        <f t="shared" si="28"/>
        <v>204.3</v>
      </c>
      <c r="BO46" s="74">
        <f t="shared" si="47"/>
        <v>2.343E-3</v>
      </c>
      <c r="BP46" s="52">
        <f t="shared" si="29"/>
        <v>25.5</v>
      </c>
      <c r="BQ46" s="53">
        <f t="shared" si="30"/>
        <v>67320</v>
      </c>
      <c r="BR46" s="54">
        <f t="shared" si="31"/>
        <v>13753476</v>
      </c>
    </row>
    <row r="47" spans="1:79">
      <c r="A47" s="25">
        <v>16</v>
      </c>
      <c r="B47" s="51">
        <f t="shared" si="0"/>
        <v>135.70000000000002</v>
      </c>
      <c r="C47" s="74">
        <f t="shared" si="35"/>
        <v>2.2769999999999999E-3</v>
      </c>
      <c r="D47" s="52">
        <f t="shared" si="1"/>
        <v>25.5</v>
      </c>
      <c r="E47" s="53">
        <f t="shared" si="2"/>
        <v>108120</v>
      </c>
      <c r="F47" s="54">
        <f t="shared" si="3"/>
        <v>14671884.000000002</v>
      </c>
      <c r="Q47" s="25">
        <v>16</v>
      </c>
      <c r="R47" s="51">
        <f t="shared" si="7"/>
        <v>157.31842105263158</v>
      </c>
      <c r="S47" s="74">
        <f t="shared" si="38"/>
        <v>2.2769999999999999E-3</v>
      </c>
      <c r="T47" s="52">
        <f t="shared" si="8"/>
        <v>25.5</v>
      </c>
      <c r="U47" s="53">
        <f t="shared" si="9"/>
        <v>93893.68421052632</v>
      </c>
      <c r="V47" s="54">
        <f t="shared" si="10"/>
        <v>14771206.146814406</v>
      </c>
      <c r="AG47" s="25">
        <v>16</v>
      </c>
      <c r="AH47" s="51">
        <f t="shared" si="14"/>
        <v>173.90930232558139</v>
      </c>
      <c r="AI47" s="74">
        <f t="shared" si="41"/>
        <v>2.2769999999999999E-3</v>
      </c>
      <c r="AJ47" s="52">
        <f t="shared" si="15"/>
        <v>25.5</v>
      </c>
      <c r="AK47" s="53">
        <f t="shared" si="16"/>
        <v>82975.813953488381</v>
      </c>
      <c r="AL47" s="54">
        <f t="shared" si="17"/>
        <v>14430265.914548406</v>
      </c>
      <c r="AW47" s="25">
        <v>16</v>
      </c>
      <c r="AX47" s="51">
        <f t="shared" si="21"/>
        <v>187.04375000000002</v>
      </c>
      <c r="AY47" s="74">
        <f t="shared" si="44"/>
        <v>2.2769999999999999E-3</v>
      </c>
      <c r="AZ47" s="52">
        <f t="shared" si="22"/>
        <v>25.5</v>
      </c>
      <c r="BA47" s="53">
        <f t="shared" si="23"/>
        <v>74332.499999999985</v>
      </c>
      <c r="BB47" s="54">
        <f t="shared" si="24"/>
        <v>13903429.546874998</v>
      </c>
      <c r="BM47" s="25">
        <v>16</v>
      </c>
      <c r="BN47" s="51">
        <f t="shared" si="28"/>
        <v>197.7</v>
      </c>
      <c r="BO47" s="74">
        <f t="shared" si="47"/>
        <v>2.2769999999999995E-3</v>
      </c>
      <c r="BP47" s="52">
        <f t="shared" si="29"/>
        <v>25.5</v>
      </c>
      <c r="BQ47" s="53">
        <f t="shared" si="30"/>
        <v>67320</v>
      </c>
      <c r="BR47" s="54">
        <f t="shared" si="31"/>
        <v>13309164</v>
      </c>
    </row>
    <row r="48" spans="1:79">
      <c r="A48" s="25">
        <v>17</v>
      </c>
      <c r="B48" s="51">
        <f t="shared" si="0"/>
        <v>125.1</v>
      </c>
      <c r="C48" s="74">
        <f t="shared" si="35"/>
        <v>2.2109999999999999E-3</v>
      </c>
      <c r="D48" s="52">
        <f t="shared" si="1"/>
        <v>25.5</v>
      </c>
      <c r="E48" s="53">
        <f t="shared" si="2"/>
        <v>108120</v>
      </c>
      <c r="F48" s="54">
        <f t="shared" si="3"/>
        <v>13525812</v>
      </c>
      <c r="Q48" s="25">
        <v>17</v>
      </c>
      <c r="R48" s="51">
        <f t="shared" si="7"/>
        <v>148.11315789473682</v>
      </c>
      <c r="S48" s="74">
        <f t="shared" si="38"/>
        <v>2.2109999999999999E-3</v>
      </c>
      <c r="T48" s="52">
        <f t="shared" si="8"/>
        <v>25.5</v>
      </c>
      <c r="U48" s="53">
        <f t="shared" si="9"/>
        <v>93893.68421052632</v>
      </c>
      <c r="V48" s="54">
        <f t="shared" si="10"/>
        <v>13906890.074792242</v>
      </c>
      <c r="AG48" s="25">
        <v>17</v>
      </c>
      <c r="AH48" s="51">
        <f t="shared" si="14"/>
        <v>165.77441860465115</v>
      </c>
      <c r="AI48" s="74">
        <f t="shared" si="41"/>
        <v>2.2109999999999999E-3</v>
      </c>
      <c r="AJ48" s="52">
        <f t="shared" si="15"/>
        <v>25.5</v>
      </c>
      <c r="AK48" s="53">
        <f t="shared" si="16"/>
        <v>82975.813953488381</v>
      </c>
      <c r="AL48" s="54">
        <f t="shared" si="17"/>
        <v>13755267.316387236</v>
      </c>
      <c r="AW48" s="25">
        <v>17</v>
      </c>
      <c r="AX48" s="51">
        <f t="shared" si="21"/>
        <v>179.75625000000002</v>
      </c>
      <c r="AY48" s="74">
        <f t="shared" si="44"/>
        <v>2.2109999999999999E-3</v>
      </c>
      <c r="AZ48" s="52">
        <f t="shared" si="22"/>
        <v>25.5</v>
      </c>
      <c r="BA48" s="53">
        <f t="shared" si="23"/>
        <v>74332.499999999985</v>
      </c>
      <c r="BB48" s="54">
        <f t="shared" si="24"/>
        <v>13361731.453125</v>
      </c>
      <c r="BM48" s="25">
        <v>17</v>
      </c>
      <c r="BN48" s="51">
        <f t="shared" si="28"/>
        <v>191.10000000000002</v>
      </c>
      <c r="BO48" s="74">
        <f t="shared" si="47"/>
        <v>2.2110000000000003E-3</v>
      </c>
      <c r="BP48" s="52">
        <f t="shared" si="29"/>
        <v>25.5</v>
      </c>
      <c r="BQ48" s="53">
        <f t="shared" si="30"/>
        <v>67320</v>
      </c>
      <c r="BR48" s="54">
        <f t="shared" si="31"/>
        <v>12864852.000000002</v>
      </c>
    </row>
    <row r="49" spans="1:70">
      <c r="A49" s="25">
        <v>18</v>
      </c>
      <c r="B49" s="51">
        <f t="shared" si="0"/>
        <v>114.5</v>
      </c>
      <c r="C49" s="74">
        <f t="shared" si="35"/>
        <v>2.1449999999999998E-3</v>
      </c>
      <c r="D49" s="52">
        <f t="shared" si="1"/>
        <v>25.5</v>
      </c>
      <c r="E49" s="53">
        <f t="shared" si="2"/>
        <v>108120</v>
      </c>
      <c r="F49" s="54">
        <f t="shared" si="3"/>
        <v>12379740</v>
      </c>
      <c r="Q49" s="25">
        <v>18</v>
      </c>
      <c r="R49" s="51">
        <f t="shared" si="7"/>
        <v>138.90789473684208</v>
      </c>
      <c r="S49" s="74">
        <f t="shared" si="38"/>
        <v>2.1449999999999998E-3</v>
      </c>
      <c r="T49" s="52">
        <f t="shared" si="8"/>
        <v>25.5</v>
      </c>
      <c r="U49" s="53">
        <f t="shared" si="9"/>
        <v>93893.68421052632</v>
      </c>
      <c r="V49" s="54">
        <f t="shared" si="10"/>
        <v>13042574.002770081</v>
      </c>
      <c r="AG49" s="25">
        <v>18</v>
      </c>
      <c r="AH49" s="51">
        <f t="shared" si="14"/>
        <v>157.63953488372093</v>
      </c>
      <c r="AI49" s="74">
        <f t="shared" si="41"/>
        <v>2.1449999999999998E-3</v>
      </c>
      <c r="AJ49" s="52">
        <f t="shared" si="15"/>
        <v>25.5</v>
      </c>
      <c r="AK49" s="53">
        <f t="shared" si="16"/>
        <v>82975.813953488381</v>
      </c>
      <c r="AL49" s="54">
        <f t="shared" si="17"/>
        <v>13080268.71822607</v>
      </c>
      <c r="AW49" s="25">
        <v>18</v>
      </c>
      <c r="AX49" s="51">
        <f t="shared" si="21"/>
        <v>172.46875000000003</v>
      </c>
      <c r="AY49" s="74">
        <f t="shared" si="44"/>
        <v>2.1450000000000002E-3</v>
      </c>
      <c r="AZ49" s="52">
        <f t="shared" si="22"/>
        <v>25.5</v>
      </c>
      <c r="BA49" s="53">
        <f t="shared" si="23"/>
        <v>74332.499999999985</v>
      </c>
      <c r="BB49" s="54">
        <f t="shared" si="24"/>
        <v>12820033.359375</v>
      </c>
      <c r="BM49" s="25">
        <v>18</v>
      </c>
      <c r="BN49" s="51">
        <f t="shared" si="28"/>
        <v>184.5</v>
      </c>
      <c r="BO49" s="74">
        <f t="shared" si="47"/>
        <v>2.1449999999999998E-3</v>
      </c>
      <c r="BP49" s="52">
        <f t="shared" si="29"/>
        <v>25.5</v>
      </c>
      <c r="BQ49" s="53">
        <f t="shared" si="30"/>
        <v>67320</v>
      </c>
      <c r="BR49" s="54">
        <f t="shared" si="31"/>
        <v>12420540</v>
      </c>
    </row>
    <row r="50" spans="1:70">
      <c r="A50" s="25">
        <v>19</v>
      </c>
      <c r="B50" s="51">
        <f t="shared" si="0"/>
        <v>103.9</v>
      </c>
      <c r="C50" s="74">
        <f t="shared" si="35"/>
        <v>2.0790000000000001E-3</v>
      </c>
      <c r="D50" s="52">
        <f t="shared" si="1"/>
        <v>25.5</v>
      </c>
      <c r="E50" s="53">
        <f t="shared" si="2"/>
        <v>108120</v>
      </c>
      <c r="F50" s="54">
        <f t="shared" si="3"/>
        <v>11233668</v>
      </c>
      <c r="Q50" s="25">
        <v>19</v>
      </c>
      <c r="R50" s="51">
        <f t="shared" si="7"/>
        <v>129.70263157894735</v>
      </c>
      <c r="S50" s="74">
        <f t="shared" si="38"/>
        <v>2.0790000000000001E-3</v>
      </c>
      <c r="T50" s="52">
        <f t="shared" si="8"/>
        <v>25.5</v>
      </c>
      <c r="U50" s="53">
        <f t="shared" si="9"/>
        <v>93893.68421052632</v>
      </c>
      <c r="V50" s="54">
        <f t="shared" si="10"/>
        <v>12178257.930747921</v>
      </c>
      <c r="AG50" s="25">
        <v>19</v>
      </c>
      <c r="AH50" s="51">
        <f t="shared" si="14"/>
        <v>149.50465116279068</v>
      </c>
      <c r="AI50" s="74">
        <f t="shared" si="41"/>
        <v>2.0789999999999997E-3</v>
      </c>
      <c r="AJ50" s="52">
        <f t="shared" si="15"/>
        <v>25.5</v>
      </c>
      <c r="AK50" s="53">
        <f t="shared" si="16"/>
        <v>82975.813953488381</v>
      </c>
      <c r="AL50" s="54">
        <f t="shared" si="17"/>
        <v>12405270.120064899</v>
      </c>
      <c r="AW50" s="25">
        <v>19</v>
      </c>
      <c r="AX50" s="51">
        <f t="shared" si="21"/>
        <v>165.18125000000003</v>
      </c>
      <c r="AY50" s="74">
        <f t="shared" si="44"/>
        <v>2.0790000000000001E-3</v>
      </c>
      <c r="AZ50" s="52">
        <f t="shared" si="22"/>
        <v>25.5</v>
      </c>
      <c r="BA50" s="53">
        <f t="shared" si="23"/>
        <v>74332.499999999985</v>
      </c>
      <c r="BB50" s="54">
        <f t="shared" si="24"/>
        <v>12278335.265625</v>
      </c>
      <c r="BM50" s="25">
        <v>19</v>
      </c>
      <c r="BN50" s="51">
        <f t="shared" si="28"/>
        <v>177.9</v>
      </c>
      <c r="BO50" s="74">
        <f t="shared" si="47"/>
        <v>2.0790000000000001E-3</v>
      </c>
      <c r="BP50" s="52">
        <f t="shared" si="29"/>
        <v>25.5</v>
      </c>
      <c r="BQ50" s="53">
        <f t="shared" si="30"/>
        <v>67320</v>
      </c>
      <c r="BR50" s="54">
        <f t="shared" si="31"/>
        <v>11976228</v>
      </c>
    </row>
    <row r="51" spans="1:70">
      <c r="A51" s="25">
        <v>20</v>
      </c>
      <c r="B51" s="51">
        <f t="shared" si="0"/>
        <v>93.300000000000011</v>
      </c>
      <c r="C51" s="74">
        <f t="shared" si="35"/>
        <v>2.013E-3</v>
      </c>
      <c r="D51" s="52">
        <f t="shared" si="1"/>
        <v>25.5</v>
      </c>
      <c r="E51" s="53">
        <f t="shared" si="2"/>
        <v>108120</v>
      </c>
      <c r="F51" s="54">
        <f t="shared" si="3"/>
        <v>10087596.000000002</v>
      </c>
      <c r="Q51" s="25">
        <v>20</v>
      </c>
      <c r="R51" s="51">
        <f t="shared" si="7"/>
        <v>120.49736842105261</v>
      </c>
      <c r="S51" s="74">
        <f t="shared" si="38"/>
        <v>2.013E-3</v>
      </c>
      <c r="T51" s="52">
        <f t="shared" si="8"/>
        <v>25.5</v>
      </c>
      <c r="U51" s="53">
        <f t="shared" si="9"/>
        <v>93893.68421052632</v>
      </c>
      <c r="V51" s="54">
        <f t="shared" si="10"/>
        <v>11313941.85872576</v>
      </c>
      <c r="AG51" s="25">
        <v>20</v>
      </c>
      <c r="AH51" s="51">
        <f t="shared" si="14"/>
        <v>141.36976744186046</v>
      </c>
      <c r="AI51" s="74">
        <f t="shared" si="41"/>
        <v>2.013E-3</v>
      </c>
      <c r="AJ51" s="52">
        <f t="shared" si="15"/>
        <v>25.5</v>
      </c>
      <c r="AK51" s="53">
        <f t="shared" si="16"/>
        <v>82975.813953488381</v>
      </c>
      <c r="AL51" s="54">
        <f t="shared" si="17"/>
        <v>11730271.521903733</v>
      </c>
      <c r="AW51" s="25">
        <v>20</v>
      </c>
      <c r="AX51" s="51">
        <f t="shared" si="21"/>
        <v>157.89375000000001</v>
      </c>
      <c r="AY51" s="74">
        <f t="shared" si="44"/>
        <v>2.013E-3</v>
      </c>
      <c r="AZ51" s="52">
        <f t="shared" si="22"/>
        <v>25.5</v>
      </c>
      <c r="BA51" s="53">
        <f t="shared" si="23"/>
        <v>74332.499999999985</v>
      </c>
      <c r="BB51" s="54">
        <f t="shared" si="24"/>
        <v>11736637.171874998</v>
      </c>
      <c r="BM51" s="25">
        <v>20</v>
      </c>
      <c r="BN51" s="51">
        <f t="shared" si="28"/>
        <v>171.3</v>
      </c>
      <c r="BO51" s="74">
        <f t="shared" si="47"/>
        <v>2.013E-3</v>
      </c>
      <c r="BP51" s="52">
        <f t="shared" si="29"/>
        <v>25.5</v>
      </c>
      <c r="BQ51" s="53">
        <f t="shared" si="30"/>
        <v>67320</v>
      </c>
      <c r="BR51" s="54">
        <f t="shared" si="31"/>
        <v>11531916</v>
      </c>
    </row>
    <row r="52" spans="1:70">
      <c r="A52" s="25">
        <v>21</v>
      </c>
      <c r="B52" s="51">
        <f t="shared" si="0"/>
        <v>82.700000000000017</v>
      </c>
      <c r="C52" s="74">
        <f t="shared" si="35"/>
        <v>1.9469999999999999E-3</v>
      </c>
      <c r="D52" s="52">
        <f t="shared" si="1"/>
        <v>25.482092624999996</v>
      </c>
      <c r="E52" s="53">
        <f t="shared" si="2"/>
        <v>108044.07272999999</v>
      </c>
      <c r="F52" s="54">
        <f t="shared" si="3"/>
        <v>8935244.8147710003</v>
      </c>
      <c r="Q52" s="25">
        <v>21</v>
      </c>
      <c r="R52" s="51">
        <f t="shared" si="7"/>
        <v>111.29210526315788</v>
      </c>
      <c r="S52" s="74">
        <f t="shared" si="38"/>
        <v>1.9469999999999999E-3</v>
      </c>
      <c r="T52" s="52">
        <f t="shared" si="8"/>
        <v>25.482092624999996</v>
      </c>
      <c r="U52" s="53">
        <f t="shared" si="9"/>
        <v>93827.747370789468</v>
      </c>
      <c r="V52" s="54">
        <f t="shared" si="10"/>
        <v>10442287.536994886</v>
      </c>
      <c r="AG52" s="25">
        <v>21</v>
      </c>
      <c r="AH52" s="51">
        <f t="shared" si="14"/>
        <v>133.23488372093021</v>
      </c>
      <c r="AI52" s="74">
        <f t="shared" si="41"/>
        <v>1.9469999999999995E-3</v>
      </c>
      <c r="AJ52" s="52">
        <f t="shared" si="15"/>
        <v>25.482092624999996</v>
      </c>
      <c r="AK52" s="53">
        <f t="shared" si="16"/>
        <v>82917.544188139538</v>
      </c>
      <c r="AL52" s="54">
        <f t="shared" si="17"/>
        <v>11047509.358331865</v>
      </c>
      <c r="AW52" s="25">
        <v>21</v>
      </c>
      <c r="AX52" s="51">
        <f t="shared" si="21"/>
        <v>150.60625000000002</v>
      </c>
      <c r="AY52" s="74">
        <f t="shared" si="44"/>
        <v>1.9469999999999999E-3</v>
      </c>
      <c r="AZ52" s="52">
        <f t="shared" si="22"/>
        <v>25.482092624999996</v>
      </c>
      <c r="BA52" s="53">
        <f t="shared" si="23"/>
        <v>74280.300001874974</v>
      </c>
      <c r="BB52" s="54">
        <f t="shared" si="24"/>
        <v>11187077.432157384</v>
      </c>
      <c r="BM52" s="25">
        <v>21</v>
      </c>
      <c r="BN52" s="51">
        <f t="shared" si="28"/>
        <v>164.70000000000002</v>
      </c>
      <c r="BO52" s="74">
        <f t="shared" si="47"/>
        <v>1.9469999999999999E-3</v>
      </c>
      <c r="BP52" s="52">
        <f t="shared" si="29"/>
        <v>25.482092624999996</v>
      </c>
      <c r="BQ52" s="53">
        <f t="shared" si="30"/>
        <v>67272.724529999992</v>
      </c>
      <c r="BR52" s="54">
        <f t="shared" si="31"/>
        <v>11079817.730091</v>
      </c>
    </row>
    <row r="53" spans="1:70">
      <c r="A53" s="25">
        <v>22</v>
      </c>
      <c r="B53" s="51">
        <f t="shared" si="0"/>
        <v>72.099999999999994</v>
      </c>
      <c r="C53" s="74">
        <f t="shared" si="35"/>
        <v>1.8809999999999999E-3</v>
      </c>
      <c r="D53" s="52">
        <f t="shared" si="1"/>
        <v>25.409723625000002</v>
      </c>
      <c r="E53" s="53">
        <f t="shared" si="2"/>
        <v>107737.22817</v>
      </c>
      <c r="F53" s="54">
        <f t="shared" si="3"/>
        <v>7767854.1510569993</v>
      </c>
      <c r="Q53" s="25">
        <v>22</v>
      </c>
      <c r="R53" s="51">
        <f t="shared" si="7"/>
        <v>102.08684210526314</v>
      </c>
      <c r="S53" s="74">
        <f t="shared" si="38"/>
        <v>1.8809999999999999E-3</v>
      </c>
      <c r="T53" s="52">
        <f t="shared" si="8"/>
        <v>25.409723625000002</v>
      </c>
      <c r="U53" s="53">
        <f t="shared" si="9"/>
        <v>93561.277095000012</v>
      </c>
      <c r="V53" s="54">
        <f t="shared" si="10"/>
        <v>9551375.3219640404</v>
      </c>
      <c r="AG53" s="25">
        <v>22</v>
      </c>
      <c r="AH53" s="51">
        <f t="shared" si="14"/>
        <v>125.1</v>
      </c>
      <c r="AI53" s="74">
        <f t="shared" si="41"/>
        <v>1.8809999999999999E-3</v>
      </c>
      <c r="AJ53" s="52">
        <f t="shared" si="15"/>
        <v>25.409723625000002</v>
      </c>
      <c r="AK53" s="53">
        <f t="shared" si="16"/>
        <v>82682.058828139547</v>
      </c>
      <c r="AL53" s="54">
        <f t="shared" si="17"/>
        <v>10343525.559400257</v>
      </c>
      <c r="AW53" s="25">
        <v>22</v>
      </c>
      <c r="AX53" s="51">
        <f t="shared" si="21"/>
        <v>143.31875000000002</v>
      </c>
      <c r="AY53" s="74">
        <f t="shared" si="44"/>
        <v>1.8809999999999999E-3</v>
      </c>
      <c r="AZ53" s="52">
        <f t="shared" si="22"/>
        <v>25.409723625000002</v>
      </c>
      <c r="BA53" s="53">
        <f t="shared" si="23"/>
        <v>74069.344366874997</v>
      </c>
      <c r="BB53" s="54">
        <f t="shared" si="24"/>
        <v>10615525.847980067</v>
      </c>
      <c r="BM53" s="25">
        <v>22</v>
      </c>
      <c r="BN53" s="51">
        <f t="shared" si="28"/>
        <v>158.1</v>
      </c>
      <c r="BO53" s="74">
        <f t="shared" si="47"/>
        <v>1.8809999999999999E-3</v>
      </c>
      <c r="BP53" s="52">
        <f t="shared" si="29"/>
        <v>25.409723625000002</v>
      </c>
      <c r="BQ53" s="53">
        <f t="shared" si="30"/>
        <v>67081.670370000007</v>
      </c>
      <c r="BR53" s="54">
        <f t="shared" si="31"/>
        <v>10605612.085497001</v>
      </c>
    </row>
    <row r="54" spans="1:70">
      <c r="A54" s="25">
        <v>23</v>
      </c>
      <c r="B54" s="51">
        <f t="shared" si="0"/>
        <v>61.5</v>
      </c>
      <c r="C54" s="74">
        <f t="shared" si="35"/>
        <v>1.815E-3</v>
      </c>
      <c r="D54" s="52">
        <f t="shared" si="1"/>
        <v>25.281815625</v>
      </c>
      <c r="E54" s="53">
        <f t="shared" si="2"/>
        <v>107194.89825</v>
      </c>
      <c r="F54" s="54">
        <f t="shared" si="3"/>
        <v>6592486.2423749994</v>
      </c>
      <c r="Q54" s="25">
        <v>23</v>
      </c>
      <c r="R54" s="51">
        <f t="shared" si="7"/>
        <v>92.881578947368411</v>
      </c>
      <c r="S54" s="74">
        <f t="shared" si="38"/>
        <v>1.815E-3</v>
      </c>
      <c r="T54" s="52">
        <f t="shared" si="8"/>
        <v>25.281815625</v>
      </c>
      <c r="U54" s="53">
        <f t="shared" si="9"/>
        <v>93090.306375000015</v>
      </c>
      <c r="V54" s="54">
        <f t="shared" si="10"/>
        <v>8646374.6408042759</v>
      </c>
      <c r="AG54" s="25">
        <v>23</v>
      </c>
      <c r="AH54" s="51">
        <f t="shared" si="14"/>
        <v>116.96511627906975</v>
      </c>
      <c r="AI54" s="74">
        <f t="shared" si="41"/>
        <v>1.8149999999999998E-3</v>
      </c>
      <c r="AJ54" s="52">
        <f t="shared" si="15"/>
        <v>25.281815625</v>
      </c>
      <c r="AK54" s="53">
        <f t="shared" si="16"/>
        <v>82265.85214534885</v>
      </c>
      <c r="AL54" s="54">
        <f t="shared" si="17"/>
        <v>9622234.9619774874</v>
      </c>
      <c r="AW54" s="25">
        <v>23</v>
      </c>
      <c r="AX54" s="51">
        <f t="shared" si="21"/>
        <v>136.03125000000003</v>
      </c>
      <c r="AY54" s="74">
        <f t="shared" si="44"/>
        <v>1.815E-3</v>
      </c>
      <c r="AZ54" s="52">
        <f t="shared" si="22"/>
        <v>25.281815625</v>
      </c>
      <c r="BA54" s="53">
        <f t="shared" si="23"/>
        <v>73696.492546874986</v>
      </c>
      <c r="BB54" s="54">
        <f t="shared" si="24"/>
        <v>10025026.00176709</v>
      </c>
      <c r="BM54" s="25">
        <v>23</v>
      </c>
      <c r="BN54" s="51">
        <f t="shared" si="28"/>
        <v>151.5</v>
      </c>
      <c r="BO54" s="74">
        <f t="shared" si="47"/>
        <v>1.8149999999999998E-3</v>
      </c>
      <c r="BP54" s="52">
        <f t="shared" si="29"/>
        <v>25.281815625</v>
      </c>
      <c r="BQ54" s="53">
        <f t="shared" si="30"/>
        <v>66743.99325</v>
      </c>
      <c r="BR54" s="54">
        <f t="shared" si="31"/>
        <v>10111714.977375001</v>
      </c>
    </row>
    <row r="55" spans="1:70">
      <c r="A55" s="25">
        <v>24</v>
      </c>
      <c r="B55" s="51">
        <f t="shared" si="0"/>
        <v>50.900000000000006</v>
      </c>
      <c r="C55" s="74">
        <f t="shared" si="35"/>
        <v>1.7490000000000001E-3</v>
      </c>
      <c r="D55" s="52">
        <f t="shared" si="1"/>
        <v>25.098368625000003</v>
      </c>
      <c r="E55" s="53">
        <f t="shared" si="2"/>
        <v>106417.08297000002</v>
      </c>
      <c r="F55" s="54">
        <f t="shared" si="3"/>
        <v>5416629.5231730016</v>
      </c>
      <c r="Q55" s="25">
        <v>24</v>
      </c>
      <c r="R55" s="51">
        <f t="shared" si="7"/>
        <v>83.676315789473676</v>
      </c>
      <c r="S55" s="74">
        <f t="shared" si="38"/>
        <v>1.7490000000000001E-3</v>
      </c>
      <c r="T55" s="52">
        <f t="shared" si="8"/>
        <v>25.098368625000003</v>
      </c>
      <c r="U55" s="53">
        <f t="shared" si="9"/>
        <v>92414.83521078949</v>
      </c>
      <c r="V55" s="54">
        <f t="shared" si="10"/>
        <v>7732932.9347301926</v>
      </c>
      <c r="AG55" s="25">
        <v>24</v>
      </c>
      <c r="AH55" s="51">
        <f t="shared" si="14"/>
        <v>108.83023255813953</v>
      </c>
      <c r="AI55" s="74">
        <f t="shared" si="41"/>
        <v>1.7489999999999997E-3</v>
      </c>
      <c r="AJ55" s="52">
        <f t="shared" si="15"/>
        <v>25.098368624999999</v>
      </c>
      <c r="AK55" s="53">
        <f t="shared" si="16"/>
        <v>81668.924139767449</v>
      </c>
      <c r="AL55" s="54">
        <f t="shared" si="17"/>
        <v>8888048.0069039464</v>
      </c>
      <c r="AW55" s="25">
        <v>24</v>
      </c>
      <c r="AX55" s="51">
        <f t="shared" si="21"/>
        <v>128.74375000000003</v>
      </c>
      <c r="AY55" s="74">
        <f t="shared" si="44"/>
        <v>1.7489999999999999E-3</v>
      </c>
      <c r="AZ55" s="52">
        <f t="shared" si="22"/>
        <v>25.098368625000003</v>
      </c>
      <c r="BA55" s="53">
        <f t="shared" si="23"/>
        <v>73161.744541874999</v>
      </c>
      <c r="BB55" s="54">
        <f t="shared" si="24"/>
        <v>9419117.3488630224</v>
      </c>
      <c r="BM55" s="25">
        <v>24</v>
      </c>
      <c r="BN55" s="51">
        <f t="shared" si="28"/>
        <v>144.9</v>
      </c>
      <c r="BO55" s="74">
        <f t="shared" si="47"/>
        <v>1.7490000000000001E-3</v>
      </c>
      <c r="BP55" s="52">
        <f t="shared" si="29"/>
        <v>25.098368625000003</v>
      </c>
      <c r="BQ55" s="53">
        <f t="shared" si="30"/>
        <v>66259.693170000013</v>
      </c>
      <c r="BR55" s="54">
        <f t="shared" si="31"/>
        <v>9601029.5403330028</v>
      </c>
    </row>
    <row r="56" spans="1:70">
      <c r="A56" s="25">
        <v>25</v>
      </c>
      <c r="B56" s="51">
        <f t="shared" si="0"/>
        <v>40.300000000000011</v>
      </c>
      <c r="C56" s="74">
        <f t="shared" si="35"/>
        <v>1.683E-3</v>
      </c>
      <c r="D56" s="52">
        <f t="shared" si="1"/>
        <v>24.859382625000002</v>
      </c>
      <c r="E56" s="53">
        <f t="shared" si="2"/>
        <v>105403.78233</v>
      </c>
      <c r="F56" s="54">
        <f t="shared" si="3"/>
        <v>4247772.4278990012</v>
      </c>
      <c r="Q56" s="25">
        <v>25</v>
      </c>
      <c r="R56" s="51">
        <f t="shared" si="7"/>
        <v>74.471052631578914</v>
      </c>
      <c r="S56" s="74">
        <f t="shared" si="38"/>
        <v>1.6829999999999998E-3</v>
      </c>
      <c r="T56" s="52">
        <f t="shared" si="8"/>
        <v>24.859382625000002</v>
      </c>
      <c r="U56" s="53">
        <f t="shared" si="9"/>
        <v>91534.863602368438</v>
      </c>
      <c r="V56" s="54">
        <f t="shared" si="10"/>
        <v>6816697.6449563773</v>
      </c>
      <c r="AG56" s="25">
        <v>25</v>
      </c>
      <c r="AH56" s="51">
        <f t="shared" si="14"/>
        <v>100.69534883720928</v>
      </c>
      <c r="AI56" s="74">
        <f t="shared" si="41"/>
        <v>1.6829999999999996E-3</v>
      </c>
      <c r="AJ56" s="52">
        <f t="shared" si="15"/>
        <v>24.859382625000002</v>
      </c>
      <c r="AK56" s="53">
        <f t="shared" si="16"/>
        <v>80891.274811395371</v>
      </c>
      <c r="AL56" s="54">
        <f t="shared" si="17"/>
        <v>8145375.1350200176</v>
      </c>
      <c r="AW56" s="25">
        <v>25</v>
      </c>
      <c r="AX56" s="51">
        <f t="shared" si="21"/>
        <v>121.45625000000004</v>
      </c>
      <c r="AY56" s="74">
        <f t="shared" si="44"/>
        <v>1.683E-3</v>
      </c>
      <c r="AZ56" s="52">
        <f t="shared" si="22"/>
        <v>24.859382625000002</v>
      </c>
      <c r="BA56" s="53">
        <f t="shared" si="23"/>
        <v>72465.100351874993</v>
      </c>
      <c r="BB56" s="54">
        <f t="shared" si="24"/>
        <v>8801339.3446124196</v>
      </c>
      <c r="BM56" s="25">
        <v>25</v>
      </c>
      <c r="BN56" s="51">
        <f t="shared" si="28"/>
        <v>138.30000000000001</v>
      </c>
      <c r="BO56" s="74">
        <f t="shared" si="47"/>
        <v>1.683E-3</v>
      </c>
      <c r="BP56" s="52">
        <f t="shared" si="29"/>
        <v>24.859382625000002</v>
      </c>
      <c r="BQ56" s="53">
        <f t="shared" si="30"/>
        <v>65628.770130000004</v>
      </c>
      <c r="BR56" s="54">
        <f t="shared" si="31"/>
        <v>9076458.9089790005</v>
      </c>
    </row>
    <row r="57" spans="1:70">
      <c r="A57" s="25">
        <v>26</v>
      </c>
      <c r="B57" s="51">
        <f t="shared" si="0"/>
        <v>29.699999999999989</v>
      </c>
      <c r="C57" s="74">
        <f t="shared" si="35"/>
        <v>1.6169999999999999E-3</v>
      </c>
      <c r="D57" s="52">
        <f t="shared" si="1"/>
        <v>24.564857624999998</v>
      </c>
      <c r="E57" s="53">
        <f t="shared" si="2"/>
        <v>104154.99632999999</v>
      </c>
      <c r="F57" s="54">
        <f t="shared" si="3"/>
        <v>3093403.3910009987</v>
      </c>
      <c r="Q57" s="25">
        <v>26</v>
      </c>
      <c r="R57" s="51">
        <f t="shared" si="7"/>
        <v>65.26578947368418</v>
      </c>
      <c r="S57" s="74">
        <f t="shared" si="38"/>
        <v>1.6169999999999999E-3</v>
      </c>
      <c r="T57" s="52">
        <f t="shared" si="8"/>
        <v>24.564857624999998</v>
      </c>
      <c r="U57" s="53">
        <f t="shared" si="9"/>
        <v>90450.391549736843</v>
      </c>
      <c r="V57" s="54">
        <f t="shared" si="10"/>
        <v>5903316.2126974277</v>
      </c>
      <c r="AG57" s="25">
        <v>26</v>
      </c>
      <c r="AH57" s="51">
        <f t="shared" si="14"/>
        <v>92.560465116279062</v>
      </c>
      <c r="AI57" s="74">
        <f t="shared" si="41"/>
        <v>1.6169999999999999E-3</v>
      </c>
      <c r="AJ57" s="52">
        <f t="shared" si="15"/>
        <v>24.564857624999998</v>
      </c>
      <c r="AK57" s="53">
        <f t="shared" si="16"/>
        <v>79932.90416023256</v>
      </c>
      <c r="AL57" s="54">
        <f t="shared" si="17"/>
        <v>7398626.7871660832</v>
      </c>
      <c r="AW57" s="25">
        <v>26</v>
      </c>
      <c r="AX57" s="51">
        <f t="shared" si="21"/>
        <v>114.16875000000005</v>
      </c>
      <c r="AY57" s="74">
        <f t="shared" si="44"/>
        <v>1.6170000000000002E-3</v>
      </c>
      <c r="AZ57" s="52">
        <f t="shared" si="22"/>
        <v>24.564857624999998</v>
      </c>
      <c r="BA57" s="53">
        <f t="shared" si="23"/>
        <v>71606.559976874982</v>
      </c>
      <c r="BB57" s="54">
        <f t="shared" si="24"/>
        <v>8175231.4443598492</v>
      </c>
      <c r="BM57" s="25">
        <v>26</v>
      </c>
      <c r="BN57" s="51">
        <f t="shared" si="28"/>
        <v>131.70000000000002</v>
      </c>
      <c r="BO57" s="74">
        <f t="shared" si="47"/>
        <v>1.6169999999999999E-3</v>
      </c>
      <c r="BP57" s="52">
        <f t="shared" si="29"/>
        <v>24.564857624999998</v>
      </c>
      <c r="BQ57" s="53">
        <f t="shared" si="30"/>
        <v>64851.224129999995</v>
      </c>
      <c r="BR57" s="54">
        <f t="shared" si="31"/>
        <v>8540906.217921</v>
      </c>
    </row>
    <row r="58" spans="1:70">
      <c r="A58" s="25">
        <v>27</v>
      </c>
      <c r="B58" s="51">
        <f t="shared" si="0"/>
        <v>19.100000000000023</v>
      </c>
      <c r="C58" s="74">
        <f t="shared" si="35"/>
        <v>1.5510000000000001E-3</v>
      </c>
      <c r="D58" s="52">
        <f t="shared" si="1"/>
        <v>24.214793625000002</v>
      </c>
      <c r="E58" s="53">
        <f t="shared" si="2"/>
        <v>102670.72497000001</v>
      </c>
      <c r="F58" s="54">
        <f t="shared" si="3"/>
        <v>1961010.8469270025</v>
      </c>
      <c r="Q58" s="25">
        <v>27</v>
      </c>
      <c r="R58" s="51">
        <f t="shared" si="7"/>
        <v>56.060526315789446</v>
      </c>
      <c r="S58" s="74">
        <f t="shared" si="38"/>
        <v>1.5509999999999999E-3</v>
      </c>
      <c r="T58" s="52">
        <f t="shared" si="8"/>
        <v>24.214793624999999</v>
      </c>
      <c r="U58" s="53">
        <f t="shared" si="9"/>
        <v>89161.419052894737</v>
      </c>
      <c r="V58" s="54">
        <f t="shared" si="10"/>
        <v>4998436.079167936</v>
      </c>
      <c r="AG58" s="25">
        <v>27</v>
      </c>
      <c r="AH58" s="51">
        <f t="shared" si="14"/>
        <v>84.425581395348814</v>
      </c>
      <c r="AI58" s="74">
        <f t="shared" si="41"/>
        <v>1.5509999999999999E-3</v>
      </c>
      <c r="AJ58" s="52">
        <f t="shared" si="15"/>
        <v>24.214793624999999</v>
      </c>
      <c r="AK58" s="53">
        <f t="shared" si="16"/>
        <v>78793.812186279072</v>
      </c>
      <c r="AL58" s="54">
        <f t="shared" si="17"/>
        <v>6652213.4041825309</v>
      </c>
      <c r="AW58" s="25">
        <v>27</v>
      </c>
      <c r="AX58" s="51">
        <f t="shared" si="21"/>
        <v>106.88125000000002</v>
      </c>
      <c r="AY58" s="74">
        <f t="shared" si="44"/>
        <v>1.5509999999999999E-3</v>
      </c>
      <c r="AZ58" s="52">
        <f t="shared" si="22"/>
        <v>24.214793624999999</v>
      </c>
      <c r="BA58" s="53">
        <f t="shared" si="23"/>
        <v>70586.12341687498</v>
      </c>
      <c r="BB58" s="54">
        <f t="shared" si="24"/>
        <v>7544333.1034498708</v>
      </c>
      <c r="BM58" s="25">
        <v>27</v>
      </c>
      <c r="BN58" s="51">
        <f t="shared" si="28"/>
        <v>125.10000000000002</v>
      </c>
      <c r="BO58" s="74">
        <f t="shared" si="47"/>
        <v>1.5510000000000003E-3</v>
      </c>
      <c r="BP58" s="52">
        <f t="shared" si="29"/>
        <v>24.214793625000002</v>
      </c>
      <c r="BQ58" s="53">
        <f t="shared" si="30"/>
        <v>63927.055170000007</v>
      </c>
      <c r="BR58" s="54">
        <f t="shared" si="31"/>
        <v>7997274.6017670026</v>
      </c>
    </row>
    <row r="59" spans="1:70">
      <c r="A59" s="25">
        <v>28</v>
      </c>
      <c r="B59" s="51">
        <f t="shared" si="0"/>
        <v>8.5</v>
      </c>
      <c r="C59" s="74">
        <f t="shared" si="35"/>
        <v>1.485E-3</v>
      </c>
      <c r="D59" s="52">
        <f t="shared" si="1"/>
        <v>23.809190624999999</v>
      </c>
      <c r="E59" s="53">
        <f t="shared" si="2"/>
        <v>100950.96824999999</v>
      </c>
      <c r="F59" s="54">
        <f t="shared" si="3"/>
        <v>858083.23012499989</v>
      </c>
      <c r="Q59" s="25">
        <v>28</v>
      </c>
      <c r="R59" s="51">
        <f t="shared" si="7"/>
        <v>46.855263157894711</v>
      </c>
      <c r="S59" s="74">
        <f t="shared" si="38"/>
        <v>1.485E-3</v>
      </c>
      <c r="T59" s="52">
        <f t="shared" si="8"/>
        <v>23.809190624999999</v>
      </c>
      <c r="U59" s="53">
        <f t="shared" si="9"/>
        <v>87667.946111842117</v>
      </c>
      <c r="V59" s="54">
        <f t="shared" si="10"/>
        <v>4107704.6855824948</v>
      </c>
      <c r="AG59" s="25">
        <v>28</v>
      </c>
      <c r="AH59" s="51">
        <f t="shared" si="14"/>
        <v>76.290697674418595</v>
      </c>
      <c r="AI59" s="74">
        <f t="shared" si="41"/>
        <v>1.4849999999999998E-3</v>
      </c>
      <c r="AJ59" s="52">
        <f t="shared" si="15"/>
        <v>23.809190624999996</v>
      </c>
      <c r="AK59" s="53">
        <f t="shared" si="16"/>
        <v>77473.99888953488</v>
      </c>
      <c r="AL59" s="54">
        <f t="shared" si="17"/>
        <v>5910545.4269097475</v>
      </c>
      <c r="AW59" s="25">
        <v>28</v>
      </c>
      <c r="AX59" s="51">
        <f t="shared" si="21"/>
        <v>99.593750000000028</v>
      </c>
      <c r="AY59" s="74">
        <f t="shared" si="44"/>
        <v>1.4849999999999998E-3</v>
      </c>
      <c r="AZ59" s="52">
        <f t="shared" si="22"/>
        <v>23.809190624999996</v>
      </c>
      <c r="BA59" s="53">
        <f t="shared" si="23"/>
        <v>69403.790671874973</v>
      </c>
      <c r="BB59" s="54">
        <f t="shared" si="24"/>
        <v>6912183.7772270497</v>
      </c>
      <c r="BM59" s="25">
        <v>28</v>
      </c>
      <c r="BN59" s="51">
        <f t="shared" si="28"/>
        <v>118.5</v>
      </c>
      <c r="BO59" s="74">
        <f t="shared" si="47"/>
        <v>1.4849999999999998E-3</v>
      </c>
      <c r="BP59" s="52">
        <f t="shared" si="29"/>
        <v>23.809190624999996</v>
      </c>
      <c r="BQ59" s="53">
        <f t="shared" si="30"/>
        <v>62856.263249999989</v>
      </c>
      <c r="BR59" s="54">
        <f t="shared" si="31"/>
        <v>7448467.1951249987</v>
      </c>
    </row>
    <row r="60" spans="1:70">
      <c r="A60" s="25">
        <v>29</v>
      </c>
      <c r="B60" s="51">
        <f t="shared" si="0"/>
        <v>-2.0999999999999659</v>
      </c>
      <c r="C60" s="74">
        <f t="shared" si="35"/>
        <v>1.4190000000000001E-3</v>
      </c>
      <c r="D60" s="52">
        <f t="shared" si="1"/>
        <v>23.348048625000001</v>
      </c>
      <c r="E60" s="53">
        <f t="shared" si="2"/>
        <v>98995.726170000009</v>
      </c>
      <c r="F60" s="54">
        <f t="shared" si="3"/>
        <v>-207891.02495699664</v>
      </c>
      <c r="Q60" s="25">
        <v>29</v>
      </c>
      <c r="R60" s="51">
        <f t="shared" si="7"/>
        <v>37.649999999999977</v>
      </c>
      <c r="S60" s="74">
        <f t="shared" si="38"/>
        <v>1.4189999999999999E-3</v>
      </c>
      <c r="T60" s="52">
        <f t="shared" si="8"/>
        <v>23.348048625000001</v>
      </c>
      <c r="U60" s="53">
        <f t="shared" si="9"/>
        <v>85969.972726578955</v>
      </c>
      <c r="V60" s="54">
        <f t="shared" si="10"/>
        <v>3236769.4731556955</v>
      </c>
      <c r="AG60" s="25">
        <v>29</v>
      </c>
      <c r="AH60" s="51">
        <f t="shared" si="14"/>
        <v>68.155813953488348</v>
      </c>
      <c r="AI60" s="74">
        <f t="shared" si="41"/>
        <v>1.4189999999999997E-3</v>
      </c>
      <c r="AJ60" s="52">
        <f t="shared" si="15"/>
        <v>23.348048624999997</v>
      </c>
      <c r="AK60" s="53">
        <f t="shared" si="16"/>
        <v>75973.464269999997</v>
      </c>
      <c r="AL60" s="54">
        <f t="shared" si="17"/>
        <v>5178033.2961881142</v>
      </c>
      <c r="AW60" s="25">
        <v>29</v>
      </c>
      <c r="AX60" s="51">
        <f t="shared" si="21"/>
        <v>92.306250000000034</v>
      </c>
      <c r="AY60" s="74">
        <f t="shared" si="44"/>
        <v>1.4189999999999999E-3</v>
      </c>
      <c r="AZ60" s="52">
        <f t="shared" si="22"/>
        <v>23.348048625000001</v>
      </c>
      <c r="BA60" s="53">
        <f t="shared" si="23"/>
        <v>68059.56174187499</v>
      </c>
      <c r="BB60" s="54">
        <f t="shared" si="24"/>
        <v>6282322.921035951</v>
      </c>
      <c r="BM60" s="25">
        <v>29</v>
      </c>
      <c r="BN60" s="51">
        <f t="shared" si="28"/>
        <v>111.9</v>
      </c>
      <c r="BO60" s="74">
        <f t="shared" si="47"/>
        <v>1.4190000000000001E-3</v>
      </c>
      <c r="BP60" s="52">
        <f t="shared" si="29"/>
        <v>23.348048625000001</v>
      </c>
      <c r="BQ60" s="53">
        <f t="shared" si="30"/>
        <v>61638.84837</v>
      </c>
      <c r="BR60" s="54">
        <f t="shared" si="31"/>
        <v>6897387.1326029999</v>
      </c>
    </row>
    <row r="61" spans="1:70">
      <c r="A61" s="25">
        <v>30</v>
      </c>
      <c r="B61" s="51">
        <f t="shared" si="0"/>
        <v>-12.699999999999989</v>
      </c>
      <c r="C61" s="74">
        <f t="shared" si="35"/>
        <v>1.353E-3</v>
      </c>
      <c r="D61" s="52">
        <f t="shared" si="1"/>
        <v>22.831367624999999</v>
      </c>
      <c r="E61" s="53">
        <f t="shared" si="2"/>
        <v>96804.998729999992</v>
      </c>
      <c r="F61" s="54">
        <f t="shared" si="3"/>
        <v>-1229423.4838709987</v>
      </c>
      <c r="Q61" s="25">
        <v>30</v>
      </c>
      <c r="R61" s="51">
        <f t="shared" si="7"/>
        <v>28.444736842105215</v>
      </c>
      <c r="S61" s="74">
        <f t="shared" si="38"/>
        <v>1.3529999999999998E-3</v>
      </c>
      <c r="T61" s="52">
        <f t="shared" si="8"/>
        <v>22.831367624999995</v>
      </c>
      <c r="U61" s="53">
        <f t="shared" si="9"/>
        <v>84067.498897105252</v>
      </c>
      <c r="V61" s="54">
        <f t="shared" si="10"/>
        <v>2391277.8831021292</v>
      </c>
      <c r="AG61" s="25">
        <v>30</v>
      </c>
      <c r="AH61" s="51">
        <f t="shared" si="14"/>
        <v>60.020930232558129</v>
      </c>
      <c r="AI61" s="74">
        <f t="shared" si="41"/>
        <v>1.3529999999999998E-3</v>
      </c>
      <c r="AJ61" s="52">
        <f t="shared" si="15"/>
        <v>22.831367624999995</v>
      </c>
      <c r="AK61" s="53">
        <f t="shared" si="16"/>
        <v>74292.208327674409</v>
      </c>
      <c r="AL61" s="54">
        <f t="shared" si="17"/>
        <v>4459087.4528580196</v>
      </c>
      <c r="AW61" s="25">
        <v>30</v>
      </c>
      <c r="AX61" s="51">
        <f t="shared" si="21"/>
        <v>85.01875000000004</v>
      </c>
      <c r="AY61" s="74">
        <f t="shared" si="44"/>
        <v>1.353E-3</v>
      </c>
      <c r="AZ61" s="52">
        <f t="shared" si="22"/>
        <v>22.831367624999999</v>
      </c>
      <c r="BA61" s="53">
        <f t="shared" si="23"/>
        <v>66553.436626874987</v>
      </c>
      <c r="BB61" s="54">
        <f t="shared" si="24"/>
        <v>5658289.9902211307</v>
      </c>
      <c r="BM61" s="25">
        <v>30</v>
      </c>
      <c r="BN61" s="51">
        <f t="shared" si="28"/>
        <v>105.30000000000001</v>
      </c>
      <c r="BO61" s="74">
        <f t="shared" si="47"/>
        <v>1.353E-3</v>
      </c>
      <c r="BP61" s="52">
        <f t="shared" si="29"/>
        <v>22.831367624999999</v>
      </c>
      <c r="BQ61" s="53">
        <f t="shared" si="30"/>
        <v>60274.810529999995</v>
      </c>
      <c r="BR61" s="54">
        <f t="shared" si="31"/>
        <v>6346937.5488090003</v>
      </c>
    </row>
    <row r="62" spans="1:70">
      <c r="A62" s="25">
        <v>31</v>
      </c>
      <c r="B62" s="51">
        <f t="shared" si="0"/>
        <v>-23.300000000000011</v>
      </c>
      <c r="C62" s="74">
        <f t="shared" si="35"/>
        <v>1.2869999999999999E-3</v>
      </c>
      <c r="D62" s="52">
        <f t="shared" si="1"/>
        <v>22.259147624999997</v>
      </c>
      <c r="E62" s="53">
        <f t="shared" si="2"/>
        <v>94378.785929999984</v>
      </c>
      <c r="F62" s="54">
        <f t="shared" si="3"/>
        <v>-2199025.7121690009</v>
      </c>
      <c r="Q62" s="25">
        <v>31</v>
      </c>
      <c r="R62" s="51">
        <f t="shared" si="7"/>
        <v>19.239473684210509</v>
      </c>
      <c r="S62" s="74">
        <f t="shared" si="38"/>
        <v>1.2869999999999999E-3</v>
      </c>
      <c r="T62" s="52">
        <f t="shared" si="8"/>
        <v>22.259147624999997</v>
      </c>
      <c r="U62" s="53">
        <f t="shared" si="9"/>
        <v>81960.52462342105</v>
      </c>
      <c r="V62" s="54">
        <f t="shared" si="10"/>
        <v>1576877.3566363966</v>
      </c>
      <c r="AG62" s="25">
        <v>31</v>
      </c>
      <c r="AH62" s="51">
        <f t="shared" si="14"/>
        <v>51.886046511627882</v>
      </c>
      <c r="AI62" s="74">
        <f t="shared" si="41"/>
        <v>1.2869999999999997E-3</v>
      </c>
      <c r="AJ62" s="52">
        <f t="shared" si="15"/>
        <v>22.259147624999997</v>
      </c>
      <c r="AK62" s="53">
        <f t="shared" si="16"/>
        <v>72430.231062558145</v>
      </c>
      <c r="AL62" s="54">
        <f t="shared" si="17"/>
        <v>3758118.3377598464</v>
      </c>
      <c r="AW62" s="25">
        <v>31</v>
      </c>
      <c r="AX62" s="51">
        <f t="shared" si="21"/>
        <v>77.731250000000045</v>
      </c>
      <c r="AY62" s="74">
        <f t="shared" si="44"/>
        <v>1.2869999999999999E-3</v>
      </c>
      <c r="AZ62" s="52">
        <f t="shared" si="22"/>
        <v>22.259147624999997</v>
      </c>
      <c r="BA62" s="53">
        <f t="shared" si="23"/>
        <v>64885.41532687498</v>
      </c>
      <c r="BB62" s="54">
        <f t="shared" si="24"/>
        <v>5043624.4401271539</v>
      </c>
      <c r="BM62" s="25">
        <v>31</v>
      </c>
      <c r="BN62" s="51">
        <f t="shared" si="28"/>
        <v>98.700000000000017</v>
      </c>
      <c r="BO62" s="74">
        <f t="shared" si="47"/>
        <v>1.2869999999999999E-3</v>
      </c>
      <c r="BP62" s="52">
        <f t="shared" si="29"/>
        <v>22.259147624999997</v>
      </c>
      <c r="BQ62" s="53">
        <f t="shared" si="30"/>
        <v>58764.14972999999</v>
      </c>
      <c r="BR62" s="54">
        <f t="shared" si="31"/>
        <v>5800021.5783510003</v>
      </c>
    </row>
    <row r="63" spans="1:70">
      <c r="A63" s="25">
        <v>32</v>
      </c>
      <c r="B63" s="51">
        <f t="shared" si="0"/>
        <v>-33.899999999999977</v>
      </c>
      <c r="C63" s="74">
        <f t="shared" si="35"/>
        <v>1.2210000000000001E-3</v>
      </c>
      <c r="D63" s="52">
        <f t="shared" si="1"/>
        <v>21.631388625</v>
      </c>
      <c r="E63" s="53">
        <f t="shared" si="2"/>
        <v>91717.087769999998</v>
      </c>
      <c r="F63" s="54">
        <f t="shared" si="3"/>
        <v>-3109209.2754029981</v>
      </c>
      <c r="Q63" s="25">
        <v>32</v>
      </c>
      <c r="R63" s="51">
        <f t="shared" si="7"/>
        <v>10.034210526315746</v>
      </c>
      <c r="S63" s="74">
        <f t="shared" si="38"/>
        <v>1.2209999999999999E-3</v>
      </c>
      <c r="T63" s="52">
        <f t="shared" si="8"/>
        <v>21.631388625</v>
      </c>
      <c r="U63" s="53">
        <f t="shared" si="9"/>
        <v>79649.049905526321</v>
      </c>
      <c r="V63" s="54">
        <f t="shared" si="10"/>
        <v>799215.33497308043</v>
      </c>
      <c r="AG63" s="25">
        <v>32</v>
      </c>
      <c r="AH63" s="51">
        <f t="shared" si="14"/>
        <v>43.751162790697663</v>
      </c>
      <c r="AI63" s="74">
        <f t="shared" si="41"/>
        <v>1.2209999999999999E-3</v>
      </c>
      <c r="AJ63" s="52">
        <f t="shared" si="15"/>
        <v>21.631388625</v>
      </c>
      <c r="AK63" s="53">
        <f t="shared" si="16"/>
        <v>70387.532474651176</v>
      </c>
      <c r="AL63" s="54">
        <f t="shared" si="17"/>
        <v>3079536.3917339821</v>
      </c>
      <c r="AW63" s="25">
        <v>32</v>
      </c>
      <c r="AX63" s="51">
        <f t="shared" si="21"/>
        <v>70.443750000000051</v>
      </c>
      <c r="AY63" s="74">
        <f t="shared" si="44"/>
        <v>1.2210000000000001E-3</v>
      </c>
      <c r="AZ63" s="52">
        <f t="shared" si="22"/>
        <v>21.631388625</v>
      </c>
      <c r="BA63" s="53">
        <f t="shared" si="23"/>
        <v>63055.497841874989</v>
      </c>
      <c r="BB63" s="54">
        <f t="shared" si="24"/>
        <v>4441865.726098584</v>
      </c>
      <c r="BM63" s="25">
        <v>32</v>
      </c>
      <c r="BN63" s="51">
        <f t="shared" si="28"/>
        <v>92.100000000000023</v>
      </c>
      <c r="BO63" s="74">
        <f t="shared" si="47"/>
        <v>1.2210000000000003E-3</v>
      </c>
      <c r="BP63" s="52">
        <f t="shared" si="29"/>
        <v>21.631388625000003</v>
      </c>
      <c r="BQ63" s="53">
        <f t="shared" si="30"/>
        <v>57106.865970000006</v>
      </c>
      <c r="BR63" s="54">
        <f t="shared" si="31"/>
        <v>5259542.3558370015</v>
      </c>
    </row>
    <row r="64" spans="1:70">
      <c r="A64" s="25">
        <v>33</v>
      </c>
      <c r="B64" s="51">
        <f t="shared" ref="B64:B81" si="50">h/2-($A64-0.5)*G$24</f>
        <v>-44.5</v>
      </c>
      <c r="C64" s="74">
        <f t="shared" si="35"/>
        <v>1.155E-3</v>
      </c>
      <c r="D64" s="52">
        <f t="shared" si="1"/>
        <v>20.948090624999999</v>
      </c>
      <c r="E64" s="53">
        <f t="shared" ref="E64:E81" si="51">+D64*G$26</f>
        <v>88819.904249999992</v>
      </c>
      <c r="F64" s="54">
        <f t="shared" ref="F64:F81" si="52">+E64*B64</f>
        <v>-3952485.7391249998</v>
      </c>
      <c r="Q64" s="25">
        <v>33</v>
      </c>
      <c r="R64" s="51">
        <f t="shared" ref="R64:R81" si="53">h/2-($Q64-0.5)*W$24</f>
        <v>0.82894736842104066</v>
      </c>
      <c r="S64" s="74">
        <f t="shared" si="38"/>
        <v>1.155E-3</v>
      </c>
      <c r="T64" s="52">
        <f t="shared" si="8"/>
        <v>20.948090624999999</v>
      </c>
      <c r="U64" s="53">
        <f t="shared" ref="U64:U81" si="54">+T64*W$26</f>
        <v>77133.07474342105</v>
      </c>
      <c r="V64" s="54">
        <f t="shared" ref="V64:V81" si="55">+U64*R64</f>
        <v>63939.259326782318</v>
      </c>
      <c r="AG64" s="25">
        <v>33</v>
      </c>
      <c r="AH64" s="51">
        <f t="shared" ref="AH64:AH81" si="56">h/2-($AG64-0.5)*AM$24</f>
        <v>35.616279069767415</v>
      </c>
      <c r="AI64" s="74">
        <f t="shared" si="41"/>
        <v>1.1549999999999998E-3</v>
      </c>
      <c r="AJ64" s="52">
        <f t="shared" si="15"/>
        <v>20.948090624999999</v>
      </c>
      <c r="AK64" s="53">
        <f t="shared" ref="AK64:AK81" si="57">+AJ64*AM$26</f>
        <v>68164.112563953488</v>
      </c>
      <c r="AL64" s="54">
        <f t="shared" ref="AL64:AL81" si="58">+AK64*AH64</f>
        <v>2427752.0556208068</v>
      </c>
      <c r="AW64" s="25">
        <v>33</v>
      </c>
      <c r="AX64" s="51">
        <f t="shared" ref="AX64:AX81" si="59">h/2-($AW64-0.5)*BC$24</f>
        <v>63.156250000000028</v>
      </c>
      <c r="AY64" s="74">
        <f t="shared" si="44"/>
        <v>1.1549999999999998E-3</v>
      </c>
      <c r="AZ64" s="52">
        <f t="shared" si="22"/>
        <v>20.948090624999999</v>
      </c>
      <c r="BA64" s="53">
        <f t="shared" ref="BA64:BA81" si="60">+AZ64*BC$26</f>
        <v>61063.684171874986</v>
      </c>
      <c r="BB64" s="54">
        <f t="shared" ref="BB64:BB81" si="61">+BA64*AX64</f>
        <v>3856553.3034799811</v>
      </c>
      <c r="BM64" s="25">
        <v>33</v>
      </c>
      <c r="BN64" s="51">
        <f t="shared" ref="BN64:BN81" si="62">h/2-($BM64-0.5)*BS$24</f>
        <v>85.5</v>
      </c>
      <c r="BO64" s="74">
        <f t="shared" si="47"/>
        <v>1.155E-3</v>
      </c>
      <c r="BP64" s="52">
        <f t="shared" si="29"/>
        <v>20.948090624999999</v>
      </c>
      <c r="BQ64" s="53">
        <f t="shared" ref="BQ64:BQ81" si="63">+BP64*BS$26</f>
        <v>55302.95925</v>
      </c>
      <c r="BR64" s="54">
        <f t="shared" ref="BR64:BR81" si="64">+BQ64*BN64</f>
        <v>4728403.0158749996</v>
      </c>
    </row>
    <row r="65" spans="1:70">
      <c r="A65" s="25">
        <v>34</v>
      </c>
      <c r="B65" s="51">
        <f t="shared" si="50"/>
        <v>-55.099999999999966</v>
      </c>
      <c r="C65" s="74">
        <f t="shared" si="35"/>
        <v>1.0890000000000001E-3</v>
      </c>
      <c r="D65" s="52">
        <f t="shared" si="1"/>
        <v>20.209253625000002</v>
      </c>
      <c r="E65" s="53">
        <f t="shared" si="51"/>
        <v>85687.235370000009</v>
      </c>
      <c r="F65" s="54">
        <f t="shared" si="52"/>
        <v>-4721366.6688869977</v>
      </c>
      <c r="Q65" s="25">
        <v>34</v>
      </c>
      <c r="R65" s="51">
        <f t="shared" si="53"/>
        <v>-8.3763157894737219</v>
      </c>
      <c r="S65" s="74">
        <f t="shared" si="38"/>
        <v>1.0889999999999999E-3</v>
      </c>
      <c r="T65" s="52">
        <f t="shared" si="8"/>
        <v>20.209253624999999</v>
      </c>
      <c r="U65" s="53">
        <f t="shared" si="54"/>
        <v>74412.599137105266</v>
      </c>
      <c r="V65" s="54">
        <f t="shared" si="55"/>
        <v>-623303.42908791348</v>
      </c>
      <c r="AG65" s="25">
        <v>34</v>
      </c>
      <c r="AH65" s="51">
        <f t="shared" si="56"/>
        <v>27.481395348837168</v>
      </c>
      <c r="AI65" s="74">
        <f t="shared" si="41"/>
        <v>1.0889999999999997E-3</v>
      </c>
      <c r="AJ65" s="52">
        <f t="shared" si="15"/>
        <v>20.209253624999995</v>
      </c>
      <c r="AK65" s="53">
        <f t="shared" si="57"/>
        <v>65759.971330465109</v>
      </c>
      <c r="AL65" s="54">
        <f t="shared" si="58"/>
        <v>1807175.7702607093</v>
      </c>
      <c r="AW65" s="25">
        <v>34</v>
      </c>
      <c r="AX65" s="51">
        <f t="shared" si="59"/>
        <v>55.868750000000034</v>
      </c>
      <c r="AY65" s="74">
        <f t="shared" si="44"/>
        <v>1.0889999999999999E-3</v>
      </c>
      <c r="AZ65" s="52">
        <f t="shared" si="22"/>
        <v>20.209253624999999</v>
      </c>
      <c r="BA65" s="53">
        <f t="shared" si="60"/>
        <v>58909.974316874985</v>
      </c>
      <c r="BB65" s="54">
        <f t="shared" si="61"/>
        <v>3291226.6276159114</v>
      </c>
      <c r="BM65" s="25">
        <v>34</v>
      </c>
      <c r="BN65" s="51">
        <f t="shared" si="62"/>
        <v>78.900000000000006</v>
      </c>
      <c r="BO65" s="74">
        <f t="shared" si="47"/>
        <v>1.0890000000000001E-3</v>
      </c>
      <c r="BP65" s="52">
        <f t="shared" si="29"/>
        <v>20.209253625000002</v>
      </c>
      <c r="BQ65" s="53">
        <f t="shared" si="63"/>
        <v>53352.429570000008</v>
      </c>
      <c r="BR65" s="54">
        <f t="shared" si="64"/>
        <v>4209506.6930730008</v>
      </c>
    </row>
    <row r="66" spans="1:70">
      <c r="A66" s="25">
        <v>35</v>
      </c>
      <c r="B66" s="51">
        <f t="shared" si="50"/>
        <v>-65.699999999999989</v>
      </c>
      <c r="C66" s="74">
        <f t="shared" si="35"/>
        <v>1.023E-3</v>
      </c>
      <c r="D66" s="52">
        <f t="shared" si="1"/>
        <v>19.414877624999999</v>
      </c>
      <c r="E66" s="53">
        <f t="shared" si="51"/>
        <v>82319.081129999991</v>
      </c>
      <c r="F66" s="54">
        <f t="shared" si="52"/>
        <v>-5408363.6302409982</v>
      </c>
      <c r="Q66" s="25">
        <v>35</v>
      </c>
      <c r="R66" s="51">
        <f t="shared" si="53"/>
        <v>-17.581578947368428</v>
      </c>
      <c r="S66" s="74">
        <f t="shared" si="38"/>
        <v>1.023E-3</v>
      </c>
      <c r="T66" s="52">
        <f t="shared" si="8"/>
        <v>19.414877624999999</v>
      </c>
      <c r="U66" s="53">
        <f t="shared" si="54"/>
        <v>71487.623086578955</v>
      </c>
      <c r="V66" s="54">
        <f t="shared" si="55"/>
        <v>-1256865.2890564057</v>
      </c>
      <c r="AG66" s="25">
        <v>35</v>
      </c>
      <c r="AH66" s="51">
        <f t="shared" si="56"/>
        <v>19.346511627906978</v>
      </c>
      <c r="AI66" s="74">
        <f t="shared" si="41"/>
        <v>1.023E-3</v>
      </c>
      <c r="AJ66" s="52">
        <f t="shared" si="15"/>
        <v>19.414877624999999</v>
      </c>
      <c r="AK66" s="53">
        <f t="shared" si="57"/>
        <v>63175.108774186054</v>
      </c>
      <c r="AL66" s="54">
        <f t="shared" si="58"/>
        <v>1222217.9764940785</v>
      </c>
      <c r="AW66" s="25">
        <v>35</v>
      </c>
      <c r="AX66" s="51">
        <f t="shared" si="59"/>
        <v>48.58125000000004</v>
      </c>
      <c r="AY66" s="74">
        <f t="shared" si="44"/>
        <v>1.023E-3</v>
      </c>
      <c r="AZ66" s="52">
        <f t="shared" si="22"/>
        <v>19.414877624999999</v>
      </c>
      <c r="BA66" s="53">
        <f t="shared" si="60"/>
        <v>56594.368276874986</v>
      </c>
      <c r="BB66" s="54">
        <f t="shared" si="61"/>
        <v>2749425.1538509349</v>
      </c>
      <c r="BM66" s="25">
        <v>35</v>
      </c>
      <c r="BN66" s="51">
        <f t="shared" si="62"/>
        <v>72.300000000000011</v>
      </c>
      <c r="BO66" s="74">
        <f t="shared" si="47"/>
        <v>1.023E-3</v>
      </c>
      <c r="BP66" s="52">
        <f t="shared" si="29"/>
        <v>19.414877624999999</v>
      </c>
      <c r="BQ66" s="53">
        <f t="shared" si="63"/>
        <v>51255.27693</v>
      </c>
      <c r="BR66" s="54">
        <f t="shared" si="64"/>
        <v>3705756.5220390004</v>
      </c>
    </row>
    <row r="67" spans="1:70">
      <c r="A67" s="25">
        <v>36</v>
      </c>
      <c r="B67" s="51">
        <f t="shared" si="50"/>
        <v>-76.300000000000011</v>
      </c>
      <c r="C67" s="74">
        <f t="shared" si="35"/>
        <v>9.5699999999999995E-4</v>
      </c>
      <c r="D67" s="52">
        <f t="shared" si="1"/>
        <v>18.564962625</v>
      </c>
      <c r="E67" s="53">
        <f t="shared" si="51"/>
        <v>78715.441529999996</v>
      </c>
      <c r="F67" s="54">
        <f t="shared" si="52"/>
        <v>-6005988.1887390008</v>
      </c>
      <c r="Q67" s="25">
        <v>36</v>
      </c>
      <c r="R67" s="51">
        <f t="shared" si="53"/>
        <v>-26.78684210526319</v>
      </c>
      <c r="S67" s="74">
        <f t="shared" si="38"/>
        <v>9.5699999999999995E-4</v>
      </c>
      <c r="T67" s="52">
        <f t="shared" si="8"/>
        <v>18.564962625</v>
      </c>
      <c r="U67" s="53">
        <f t="shared" si="54"/>
        <v>68358.146591842116</v>
      </c>
      <c r="V67" s="54">
        <f t="shared" si="55"/>
        <v>-1831098.8793641098</v>
      </c>
      <c r="AG67" s="25">
        <v>36</v>
      </c>
      <c r="AH67" s="51">
        <f t="shared" si="56"/>
        <v>11.21162790697673</v>
      </c>
      <c r="AI67" s="74">
        <f t="shared" si="41"/>
        <v>9.5699999999999984E-4</v>
      </c>
      <c r="AJ67" s="52">
        <f t="shared" si="15"/>
        <v>18.564962625</v>
      </c>
      <c r="AK67" s="53">
        <f t="shared" si="57"/>
        <v>60409.524895116287</v>
      </c>
      <c r="AL67" s="54">
        <f t="shared" si="58"/>
        <v>677289.11516129132</v>
      </c>
      <c r="AW67" s="25">
        <v>36</v>
      </c>
      <c r="AX67" s="51">
        <f t="shared" si="59"/>
        <v>41.293750000000045</v>
      </c>
      <c r="AY67" s="74">
        <f t="shared" si="44"/>
        <v>9.5699999999999995E-4</v>
      </c>
      <c r="AZ67" s="52">
        <f t="shared" si="22"/>
        <v>18.564962625</v>
      </c>
      <c r="BA67" s="53">
        <f t="shared" si="60"/>
        <v>54116.866051874989</v>
      </c>
      <c r="BB67" s="54">
        <f t="shared" si="61"/>
        <v>2234688.3375296155</v>
      </c>
      <c r="BM67" s="25">
        <v>36</v>
      </c>
      <c r="BN67" s="51">
        <f t="shared" si="62"/>
        <v>65.700000000000017</v>
      </c>
      <c r="BO67" s="74">
        <f t="shared" si="47"/>
        <v>9.5700000000000017E-4</v>
      </c>
      <c r="BP67" s="52">
        <f t="shared" si="29"/>
        <v>18.564962625000003</v>
      </c>
      <c r="BQ67" s="53">
        <f t="shared" si="63"/>
        <v>49011.501330000006</v>
      </c>
      <c r="BR67" s="54">
        <f t="shared" si="64"/>
        <v>3220055.6373810014</v>
      </c>
    </row>
    <row r="68" spans="1:70">
      <c r="A68" s="25">
        <v>37</v>
      </c>
      <c r="B68" s="51">
        <f t="shared" si="50"/>
        <v>-86.899999999999977</v>
      </c>
      <c r="C68" s="74">
        <f t="shared" si="35"/>
        <v>8.9100000000000019E-4</v>
      </c>
      <c r="D68" s="52">
        <f t="shared" si="1"/>
        <v>17.659508625000001</v>
      </c>
      <c r="E68" s="53">
        <f t="shared" si="51"/>
        <v>74876.31657000001</v>
      </c>
      <c r="F68" s="54">
        <f t="shared" si="52"/>
        <v>-6506751.9099329989</v>
      </c>
      <c r="Q68" s="25">
        <v>37</v>
      </c>
      <c r="R68" s="51">
        <f t="shared" si="53"/>
        <v>-35.992105263157953</v>
      </c>
      <c r="S68" s="74">
        <f t="shared" si="38"/>
        <v>8.9099999999999965E-4</v>
      </c>
      <c r="T68" s="52">
        <f t="shared" si="8"/>
        <v>17.659508624999994</v>
      </c>
      <c r="U68" s="53">
        <f t="shared" si="54"/>
        <v>65024.169652894721</v>
      </c>
      <c r="V68" s="54">
        <f t="shared" si="55"/>
        <v>-2340356.7587964279</v>
      </c>
      <c r="AG68" s="25">
        <v>37</v>
      </c>
      <c r="AH68" s="51">
        <f t="shared" si="56"/>
        <v>3.0767441860464828</v>
      </c>
      <c r="AI68" s="74">
        <f t="shared" si="41"/>
        <v>8.9099999999999976E-4</v>
      </c>
      <c r="AJ68" s="52">
        <f t="shared" si="15"/>
        <v>17.659508624999994</v>
      </c>
      <c r="AK68" s="53">
        <f t="shared" si="57"/>
        <v>57463.2196932558</v>
      </c>
      <c r="AL68" s="54">
        <f t="shared" si="58"/>
        <v>176799.62710273653</v>
      </c>
      <c r="AW68" s="25">
        <v>37</v>
      </c>
      <c r="AX68" s="51">
        <f t="shared" si="59"/>
        <v>34.006250000000023</v>
      </c>
      <c r="AY68" s="74">
        <f t="shared" si="44"/>
        <v>8.9099999999999987E-4</v>
      </c>
      <c r="AZ68" s="52">
        <f t="shared" si="22"/>
        <v>17.659508624999994</v>
      </c>
      <c r="BA68" s="53">
        <f t="shared" si="60"/>
        <v>51477.467641874973</v>
      </c>
      <c r="BB68" s="54">
        <f t="shared" si="61"/>
        <v>1750555.633996512</v>
      </c>
      <c r="BM68" s="25">
        <v>37</v>
      </c>
      <c r="BN68" s="51">
        <f t="shared" si="62"/>
        <v>59.100000000000023</v>
      </c>
      <c r="BO68" s="74">
        <f t="shared" si="47"/>
        <v>8.9100000000000019E-4</v>
      </c>
      <c r="BP68" s="52">
        <f t="shared" si="29"/>
        <v>17.659508625000001</v>
      </c>
      <c r="BQ68" s="53">
        <f t="shared" si="63"/>
        <v>46621.102770000005</v>
      </c>
      <c r="BR68" s="54">
        <f t="shared" si="64"/>
        <v>2755307.1737070014</v>
      </c>
    </row>
    <row r="69" spans="1:70">
      <c r="A69" s="25">
        <v>38</v>
      </c>
      <c r="B69" s="51">
        <f t="shared" si="50"/>
        <v>-97.5</v>
      </c>
      <c r="C69" s="74">
        <f t="shared" si="35"/>
        <v>8.25E-4</v>
      </c>
      <c r="D69" s="52">
        <f t="shared" si="1"/>
        <v>16.698515624999995</v>
      </c>
      <c r="E69" s="53">
        <f t="shared" si="51"/>
        <v>70801.706249999974</v>
      </c>
      <c r="F69" s="54">
        <f t="shared" si="52"/>
        <v>-6903166.3593749972</v>
      </c>
      <c r="Q69" s="25">
        <v>38</v>
      </c>
      <c r="R69" s="51">
        <f t="shared" si="53"/>
        <v>-45.197368421052659</v>
      </c>
      <c r="S69" s="74">
        <f t="shared" si="38"/>
        <v>8.25E-4</v>
      </c>
      <c r="T69" s="52">
        <f t="shared" si="8"/>
        <v>16.698515624999995</v>
      </c>
      <c r="U69" s="53">
        <f t="shared" si="54"/>
        <v>61485.692269736828</v>
      </c>
      <c r="V69" s="54">
        <f t="shared" si="55"/>
        <v>-2778991.4861387648</v>
      </c>
      <c r="AG69" s="25">
        <v>38</v>
      </c>
      <c r="AH69" s="51">
        <f t="shared" si="56"/>
        <v>-5.0581395348837646</v>
      </c>
      <c r="AI69" s="74">
        <f t="shared" si="41"/>
        <v>8.2499999999999956E-4</v>
      </c>
      <c r="AJ69" s="52">
        <f t="shared" si="15"/>
        <v>16.698515624999992</v>
      </c>
      <c r="AK69" s="53">
        <f t="shared" si="57"/>
        <v>54336.19316860463</v>
      </c>
      <c r="AL69" s="54">
        <f t="shared" si="58"/>
        <v>-274840.04684120021</v>
      </c>
      <c r="AW69" s="25">
        <v>38</v>
      </c>
      <c r="AX69" s="51">
        <f t="shared" si="59"/>
        <v>26.718750000000057</v>
      </c>
      <c r="AY69" s="74">
        <f t="shared" si="44"/>
        <v>8.250000000000001E-4</v>
      </c>
      <c r="AZ69" s="52">
        <f t="shared" si="22"/>
        <v>16.698515625000002</v>
      </c>
      <c r="BA69" s="53">
        <f t="shared" si="60"/>
        <v>48676.173046875003</v>
      </c>
      <c r="BB69" s="54">
        <f t="shared" si="61"/>
        <v>1300566.4985961942</v>
      </c>
      <c r="BM69" s="25">
        <v>38</v>
      </c>
      <c r="BN69" s="51">
        <f t="shared" si="62"/>
        <v>52.5</v>
      </c>
      <c r="BO69" s="74">
        <f t="shared" si="47"/>
        <v>8.25E-4</v>
      </c>
      <c r="BP69" s="52">
        <f t="shared" si="29"/>
        <v>16.698515624999995</v>
      </c>
      <c r="BQ69" s="53">
        <f t="shared" si="63"/>
        <v>44084.081249999988</v>
      </c>
      <c r="BR69" s="54">
        <f t="shared" si="64"/>
        <v>2314414.2656249995</v>
      </c>
    </row>
    <row r="70" spans="1:70">
      <c r="A70" s="25">
        <v>39</v>
      </c>
      <c r="B70" s="51">
        <f t="shared" si="50"/>
        <v>-108.09999999999997</v>
      </c>
      <c r="C70" s="74">
        <f t="shared" si="35"/>
        <v>7.5900000000000023E-4</v>
      </c>
      <c r="D70" s="52">
        <f t="shared" si="1"/>
        <v>15.681983625000006</v>
      </c>
      <c r="E70" s="53">
        <f t="shared" si="51"/>
        <v>66491.610570000033</v>
      </c>
      <c r="F70" s="54">
        <f t="shared" si="52"/>
        <v>-7187743.1026170012</v>
      </c>
      <c r="Q70" s="25">
        <v>39</v>
      </c>
      <c r="R70" s="51">
        <f t="shared" si="53"/>
        <v>-54.402631578947421</v>
      </c>
      <c r="S70" s="74">
        <f t="shared" si="38"/>
        <v>7.5899999999999969E-4</v>
      </c>
      <c r="T70" s="52">
        <f t="shared" si="8"/>
        <v>15.681983624999996</v>
      </c>
      <c r="U70" s="53">
        <f t="shared" si="54"/>
        <v>57742.714442368408</v>
      </c>
      <c r="V70" s="54">
        <f t="shared" si="55"/>
        <v>-3141355.6201765346</v>
      </c>
      <c r="AG70" s="25">
        <v>39</v>
      </c>
      <c r="AH70" s="51">
        <f t="shared" si="56"/>
        <v>-13.193023255813955</v>
      </c>
      <c r="AI70" s="74">
        <f t="shared" si="41"/>
        <v>7.5899999999999991E-4</v>
      </c>
      <c r="AJ70" s="52">
        <f t="shared" si="15"/>
        <v>15.681983624999999</v>
      </c>
      <c r="AK70" s="53">
        <f t="shared" si="57"/>
        <v>51028.445321162792</v>
      </c>
      <c r="AL70" s="54">
        <f t="shared" si="58"/>
        <v>-673219.46583013155</v>
      </c>
      <c r="AW70" s="25">
        <v>39</v>
      </c>
      <c r="AX70" s="51">
        <f t="shared" si="59"/>
        <v>19.431250000000034</v>
      </c>
      <c r="AY70" s="74">
        <f t="shared" si="44"/>
        <v>7.5899999999999991E-4</v>
      </c>
      <c r="AZ70" s="52">
        <f t="shared" si="22"/>
        <v>15.681983624999999</v>
      </c>
      <c r="BA70" s="53">
        <f t="shared" si="60"/>
        <v>45712.982266874991</v>
      </c>
      <c r="BB70" s="54">
        <f t="shared" si="61"/>
        <v>888260.38667321624</v>
      </c>
      <c r="BM70" s="25">
        <v>39</v>
      </c>
      <c r="BN70" s="51">
        <f t="shared" si="62"/>
        <v>45.900000000000006</v>
      </c>
      <c r="BO70" s="74">
        <f t="shared" si="47"/>
        <v>7.5900000000000002E-4</v>
      </c>
      <c r="BP70" s="52">
        <f t="shared" si="29"/>
        <v>15.681983624999999</v>
      </c>
      <c r="BQ70" s="53">
        <f t="shared" si="63"/>
        <v>41400.43677</v>
      </c>
      <c r="BR70" s="54">
        <f t="shared" si="64"/>
        <v>1900280.0477430003</v>
      </c>
    </row>
    <row r="71" spans="1:70">
      <c r="A71" s="25">
        <v>40</v>
      </c>
      <c r="B71" s="51">
        <f t="shared" si="50"/>
        <v>-118.69999999999999</v>
      </c>
      <c r="C71" s="74">
        <f t="shared" si="35"/>
        <v>6.9300000000000004E-4</v>
      </c>
      <c r="D71" s="52">
        <f t="shared" si="1"/>
        <v>14.609912625</v>
      </c>
      <c r="E71" s="53">
        <f t="shared" si="51"/>
        <v>61946.02953</v>
      </c>
      <c r="F71" s="54">
        <f t="shared" si="52"/>
        <v>-7352993.7052109996</v>
      </c>
      <c r="Q71" s="25">
        <v>40</v>
      </c>
      <c r="R71" s="51">
        <f t="shared" si="53"/>
        <v>-63.607894736842127</v>
      </c>
      <c r="S71" s="74">
        <f t="shared" si="38"/>
        <v>6.9300000000000004E-4</v>
      </c>
      <c r="T71" s="52">
        <f t="shared" si="8"/>
        <v>14.609912625</v>
      </c>
      <c r="U71" s="53">
        <f t="shared" si="54"/>
        <v>53795.236170789474</v>
      </c>
      <c r="V71" s="54">
        <f t="shared" si="55"/>
        <v>-3421801.7196951392</v>
      </c>
      <c r="AG71" s="25">
        <v>40</v>
      </c>
      <c r="AH71" s="51">
        <f t="shared" si="56"/>
        <v>-21.327906976744202</v>
      </c>
      <c r="AI71" s="74">
        <f t="shared" si="41"/>
        <v>6.9299999999999982E-4</v>
      </c>
      <c r="AJ71" s="52">
        <f t="shared" si="15"/>
        <v>14.609912624999998</v>
      </c>
      <c r="AK71" s="53">
        <f t="shared" si="57"/>
        <v>47539.976150930233</v>
      </c>
      <c r="AL71" s="54">
        <f t="shared" si="58"/>
        <v>-1013928.189023678</v>
      </c>
      <c r="AW71" s="25">
        <v>40</v>
      </c>
      <c r="AX71" s="51">
        <f t="shared" si="59"/>
        <v>12.143750000000068</v>
      </c>
      <c r="AY71" s="74">
        <f t="shared" si="44"/>
        <v>6.9300000000000015E-4</v>
      </c>
      <c r="AZ71" s="52">
        <f t="shared" si="22"/>
        <v>14.609912625</v>
      </c>
      <c r="BA71" s="53">
        <f t="shared" si="60"/>
        <v>42587.895301874996</v>
      </c>
      <c r="BB71" s="54">
        <f t="shared" si="61"/>
        <v>517176.7535721474</v>
      </c>
      <c r="BM71" s="25">
        <v>40</v>
      </c>
      <c r="BN71" s="51">
        <f t="shared" si="62"/>
        <v>39.300000000000011</v>
      </c>
      <c r="BO71" s="74">
        <f t="shared" si="47"/>
        <v>6.9300000000000004E-4</v>
      </c>
      <c r="BP71" s="52">
        <f t="shared" si="29"/>
        <v>14.609912625</v>
      </c>
      <c r="BQ71" s="53">
        <f t="shared" si="63"/>
        <v>38570.169329999997</v>
      </c>
      <c r="BR71" s="54">
        <f t="shared" si="64"/>
        <v>1515807.6546690003</v>
      </c>
    </row>
    <row r="72" spans="1:70">
      <c r="A72" s="25">
        <v>41</v>
      </c>
      <c r="B72" s="51">
        <f t="shared" si="50"/>
        <v>-129.30000000000001</v>
      </c>
      <c r="C72" s="74">
        <f t="shared" si="35"/>
        <v>6.2699999999999995E-4</v>
      </c>
      <c r="D72" s="52">
        <f t="shared" si="1"/>
        <v>13.482302624999997</v>
      </c>
      <c r="E72" s="53">
        <f t="shared" si="51"/>
        <v>57164.963129999989</v>
      </c>
      <c r="F72" s="54">
        <f t="shared" si="52"/>
        <v>-7391429.732708999</v>
      </c>
      <c r="Q72" s="25">
        <v>41</v>
      </c>
      <c r="R72" s="51">
        <f t="shared" si="53"/>
        <v>-72.813157894736889</v>
      </c>
      <c r="S72" s="74">
        <f t="shared" si="38"/>
        <v>6.2699999999999984E-4</v>
      </c>
      <c r="T72" s="52">
        <f t="shared" si="8"/>
        <v>13.482302624999997</v>
      </c>
      <c r="U72" s="53">
        <f t="shared" si="54"/>
        <v>49643.257454999992</v>
      </c>
      <c r="V72" s="54">
        <f t="shared" si="55"/>
        <v>-3614682.3434799886</v>
      </c>
      <c r="AG72" s="25">
        <v>41</v>
      </c>
      <c r="AH72" s="51">
        <f t="shared" si="56"/>
        <v>-29.46279069767445</v>
      </c>
      <c r="AI72" s="74">
        <f t="shared" si="41"/>
        <v>6.2699999999999974E-4</v>
      </c>
      <c r="AJ72" s="52">
        <f t="shared" si="15"/>
        <v>13.482302624999997</v>
      </c>
      <c r="AK72" s="53">
        <f t="shared" si="57"/>
        <v>43870.785657906978</v>
      </c>
      <c r="AL72" s="54">
        <f t="shared" si="58"/>
        <v>-1292555.7755814514</v>
      </c>
      <c r="AW72" s="25">
        <v>41</v>
      </c>
      <c r="AX72" s="51">
        <f t="shared" si="59"/>
        <v>4.8562500000000455</v>
      </c>
      <c r="AY72" s="74">
        <f t="shared" si="44"/>
        <v>6.2699999999999995E-4</v>
      </c>
      <c r="AZ72" s="52">
        <f t="shared" si="22"/>
        <v>13.482302624999997</v>
      </c>
      <c r="BA72" s="53">
        <f t="shared" si="60"/>
        <v>39300.912151874989</v>
      </c>
      <c r="BB72" s="54">
        <f t="shared" si="61"/>
        <v>190855.0546375447</v>
      </c>
      <c r="BM72" s="25">
        <v>41</v>
      </c>
      <c r="BN72" s="51">
        <f t="shared" si="62"/>
        <v>32.699999999999989</v>
      </c>
      <c r="BO72" s="74">
        <f t="shared" si="47"/>
        <v>6.2699999999999995E-4</v>
      </c>
      <c r="BP72" s="52">
        <f t="shared" si="29"/>
        <v>13.482302624999997</v>
      </c>
      <c r="BQ72" s="53">
        <f t="shared" si="63"/>
        <v>35593.278929999993</v>
      </c>
      <c r="BR72" s="54">
        <f t="shared" si="64"/>
        <v>1163900.2210109993</v>
      </c>
    </row>
    <row r="73" spans="1:70">
      <c r="A73" s="25">
        <v>42</v>
      </c>
      <c r="B73" s="51">
        <f t="shared" si="50"/>
        <v>-139.89999999999998</v>
      </c>
      <c r="C73" s="74">
        <f t="shared" si="35"/>
        <v>5.6100000000000019E-4</v>
      </c>
      <c r="D73" s="52">
        <f t="shared" si="1"/>
        <v>12.299153625000004</v>
      </c>
      <c r="E73" s="53">
        <f t="shared" si="51"/>
        <v>52148.411370000016</v>
      </c>
      <c r="F73" s="54">
        <f t="shared" si="52"/>
        <v>-7295562.7506630011</v>
      </c>
      <c r="Q73" s="25">
        <v>42</v>
      </c>
      <c r="R73" s="51">
        <f t="shared" si="53"/>
        <v>-82.018421052631595</v>
      </c>
      <c r="S73" s="74">
        <f t="shared" si="38"/>
        <v>5.6100000000000008E-4</v>
      </c>
      <c r="T73" s="52">
        <f t="shared" si="8"/>
        <v>12.299153624999999</v>
      </c>
      <c r="U73" s="53">
        <f t="shared" si="54"/>
        <v>45286.778294999996</v>
      </c>
      <c r="V73" s="54">
        <f t="shared" si="55"/>
        <v>-3714350.0503164874</v>
      </c>
      <c r="AG73" s="25">
        <v>42</v>
      </c>
      <c r="AH73" s="51">
        <f t="shared" si="56"/>
        <v>-37.597674418604697</v>
      </c>
      <c r="AI73" s="74">
        <f t="shared" si="41"/>
        <v>5.6099999999999965E-4</v>
      </c>
      <c r="AJ73" s="52">
        <f t="shared" si="15"/>
        <v>12.299153624999988</v>
      </c>
      <c r="AK73" s="53">
        <f t="shared" si="57"/>
        <v>40020.873842092988</v>
      </c>
      <c r="AL73" s="54">
        <f t="shared" si="58"/>
        <v>-1504691.7846630653</v>
      </c>
      <c r="AW73" s="25">
        <v>42</v>
      </c>
      <c r="AX73" s="51">
        <f t="shared" si="59"/>
        <v>-2.4312499999999204</v>
      </c>
      <c r="AY73" s="74">
        <f t="shared" si="44"/>
        <v>5.610000000000003E-4</v>
      </c>
      <c r="AZ73" s="52">
        <f t="shared" si="22"/>
        <v>12.299153625000008</v>
      </c>
      <c r="BA73" s="53">
        <f t="shared" si="60"/>
        <v>35852.03281687502</v>
      </c>
      <c r="BB73" s="54">
        <f t="shared" si="61"/>
        <v>-87165.254786024539</v>
      </c>
      <c r="BM73" s="25">
        <v>42</v>
      </c>
      <c r="BN73" s="51">
        <f t="shared" si="62"/>
        <v>26.100000000000023</v>
      </c>
      <c r="BO73" s="74">
        <f t="shared" si="47"/>
        <v>5.610000000000003E-4</v>
      </c>
      <c r="BP73" s="52">
        <f t="shared" si="29"/>
        <v>12.299153625000008</v>
      </c>
      <c r="BQ73" s="53">
        <f t="shared" si="63"/>
        <v>32469.765570000021</v>
      </c>
      <c r="BR73" s="54">
        <f t="shared" si="64"/>
        <v>847460.88137700129</v>
      </c>
    </row>
    <row r="74" spans="1:70">
      <c r="A74" s="25">
        <v>43</v>
      </c>
      <c r="B74" s="51">
        <f t="shared" si="50"/>
        <v>-150.5</v>
      </c>
      <c r="C74" s="74">
        <f t="shared" si="35"/>
        <v>4.95E-4</v>
      </c>
      <c r="D74" s="52">
        <f t="shared" si="1"/>
        <v>11.060465625000003</v>
      </c>
      <c r="E74" s="53">
        <f t="shared" si="51"/>
        <v>46896.374250000008</v>
      </c>
      <c r="F74" s="54">
        <f t="shared" si="52"/>
        <v>-7057904.3246250013</v>
      </c>
      <c r="Q74" s="25">
        <v>43</v>
      </c>
      <c r="R74" s="51">
        <f t="shared" si="53"/>
        <v>-91.223684210526358</v>
      </c>
      <c r="S74" s="74">
        <f t="shared" si="38"/>
        <v>4.9499999999999989E-4</v>
      </c>
      <c r="T74" s="52">
        <f t="shared" si="8"/>
        <v>11.060465624999996</v>
      </c>
      <c r="U74" s="53">
        <f t="shared" si="54"/>
        <v>40725.798690789459</v>
      </c>
      <c r="V74" s="54">
        <f t="shared" si="55"/>
        <v>-3715157.3989900453</v>
      </c>
      <c r="AG74" s="25">
        <v>43</v>
      </c>
      <c r="AH74" s="51">
        <f t="shared" si="56"/>
        <v>-45.732558139534888</v>
      </c>
      <c r="AI74" s="74">
        <f t="shared" si="41"/>
        <v>4.95E-4</v>
      </c>
      <c r="AJ74" s="52">
        <f t="shared" si="15"/>
        <v>11.060465625000003</v>
      </c>
      <c r="AK74" s="53">
        <f t="shared" si="57"/>
        <v>35990.240703488387</v>
      </c>
      <c r="AL74" s="54">
        <f t="shared" si="58"/>
        <v>-1645925.7754281377</v>
      </c>
      <c r="AW74" s="25">
        <v>43</v>
      </c>
      <c r="AX74" s="51">
        <f t="shared" si="59"/>
        <v>-9.7187499999999432</v>
      </c>
      <c r="AY74" s="74">
        <f t="shared" si="44"/>
        <v>4.9500000000000011E-4</v>
      </c>
      <c r="AZ74" s="52">
        <f t="shared" si="22"/>
        <v>11.060465625000003</v>
      </c>
      <c r="BA74" s="53">
        <f t="shared" si="60"/>
        <v>32241.257296875003</v>
      </c>
      <c r="BB74" s="54">
        <f t="shared" si="61"/>
        <v>-313344.7193540021</v>
      </c>
      <c r="BM74" s="25">
        <v>43</v>
      </c>
      <c r="BN74" s="51">
        <f t="shared" si="62"/>
        <v>19.5</v>
      </c>
      <c r="BO74" s="74">
        <f t="shared" si="47"/>
        <v>4.95E-4</v>
      </c>
      <c r="BP74" s="52">
        <f t="shared" si="29"/>
        <v>11.060465625000003</v>
      </c>
      <c r="BQ74" s="53">
        <f t="shared" si="63"/>
        <v>29199.629250000005</v>
      </c>
      <c r="BR74" s="54">
        <f t="shared" si="64"/>
        <v>569392.77037500008</v>
      </c>
    </row>
    <row r="75" spans="1:70">
      <c r="A75" s="25">
        <v>44</v>
      </c>
      <c r="B75" s="51">
        <f t="shared" si="50"/>
        <v>-161.09999999999997</v>
      </c>
      <c r="C75" s="74">
        <f t="shared" si="35"/>
        <v>4.2900000000000034E-4</v>
      </c>
      <c r="D75" s="52">
        <f t="shared" si="1"/>
        <v>9.7662386250000068</v>
      </c>
      <c r="E75" s="53">
        <f t="shared" si="51"/>
        <v>41408.85177000003</v>
      </c>
      <c r="F75" s="54">
        <f t="shared" si="52"/>
        <v>-6670966.0201470032</v>
      </c>
      <c r="Q75" s="25">
        <v>44</v>
      </c>
      <c r="R75" s="51">
        <f t="shared" si="53"/>
        <v>-100.42894736842106</v>
      </c>
      <c r="S75" s="74">
        <f t="shared" si="38"/>
        <v>4.2900000000000013E-4</v>
      </c>
      <c r="T75" s="52">
        <f t="shared" si="8"/>
        <v>9.7662386249999997</v>
      </c>
      <c r="U75" s="53">
        <f t="shared" si="54"/>
        <v>35960.318642368424</v>
      </c>
      <c r="V75" s="54">
        <f t="shared" si="55"/>
        <v>-3611456.9482860691</v>
      </c>
      <c r="AG75" s="25">
        <v>44</v>
      </c>
      <c r="AH75" s="51">
        <f t="shared" si="56"/>
        <v>-53.867441860465135</v>
      </c>
      <c r="AI75" s="74">
        <f t="shared" si="41"/>
        <v>4.289999999999998E-4</v>
      </c>
      <c r="AJ75" s="52">
        <f t="shared" si="15"/>
        <v>9.7662386249999962</v>
      </c>
      <c r="AK75" s="53">
        <f t="shared" si="57"/>
        <v>31778.886242093016</v>
      </c>
      <c r="AL75" s="54">
        <f t="shared" si="58"/>
        <v>-1711847.3070362809</v>
      </c>
      <c r="AW75" s="25">
        <v>44</v>
      </c>
      <c r="AX75" s="51">
        <f t="shared" si="59"/>
        <v>-17.006249999999966</v>
      </c>
      <c r="AY75" s="74">
        <f t="shared" si="44"/>
        <v>4.2899999999999986E-4</v>
      </c>
      <c r="AZ75" s="52">
        <f t="shared" si="22"/>
        <v>9.7662386249999962</v>
      </c>
      <c r="BA75" s="53">
        <f t="shared" si="60"/>
        <v>28468.585591874984</v>
      </c>
      <c r="BB75" s="54">
        <f t="shared" si="61"/>
        <v>-484143.88372182299</v>
      </c>
      <c r="BM75" s="25">
        <v>44</v>
      </c>
      <c r="BN75" s="51">
        <f t="shared" si="62"/>
        <v>12.900000000000034</v>
      </c>
      <c r="BO75" s="74">
        <f t="shared" si="47"/>
        <v>4.2900000000000034E-4</v>
      </c>
      <c r="BP75" s="52">
        <f t="shared" si="29"/>
        <v>9.7662386250000068</v>
      </c>
      <c r="BQ75" s="53">
        <f t="shared" si="63"/>
        <v>25782.869970000018</v>
      </c>
      <c r="BR75" s="54">
        <f t="shared" si="64"/>
        <v>332599.02261300111</v>
      </c>
    </row>
    <row r="76" spans="1:70">
      <c r="A76" s="25">
        <v>45</v>
      </c>
      <c r="B76" s="51">
        <f t="shared" si="50"/>
        <v>-171.7</v>
      </c>
      <c r="C76" s="74">
        <f t="shared" si="35"/>
        <v>3.6300000000000004E-4</v>
      </c>
      <c r="D76" s="52">
        <f t="shared" si="1"/>
        <v>8.4164726250000008</v>
      </c>
      <c r="E76" s="53">
        <f t="shared" si="51"/>
        <v>35685.843930000003</v>
      </c>
      <c r="F76" s="54">
        <f t="shared" si="52"/>
        <v>-6127259.4027810004</v>
      </c>
      <c r="Q76" s="25">
        <v>45</v>
      </c>
      <c r="R76" s="51">
        <f t="shared" si="53"/>
        <v>-109.63421052631583</v>
      </c>
      <c r="S76" s="74">
        <f t="shared" si="38"/>
        <v>3.6299999999999993E-4</v>
      </c>
      <c r="T76" s="52">
        <f t="shared" si="8"/>
        <v>8.4164726250000008</v>
      </c>
      <c r="U76" s="53">
        <f t="shared" si="54"/>
        <v>30990.338149736846</v>
      </c>
      <c r="V76" s="54">
        <f t="shared" si="55"/>
        <v>-3397601.2569899661</v>
      </c>
      <c r="AG76" s="25">
        <v>45</v>
      </c>
      <c r="AH76" s="51">
        <f t="shared" si="56"/>
        <v>-62.002325581395382</v>
      </c>
      <c r="AI76" s="74">
        <f t="shared" si="41"/>
        <v>3.6299999999999972E-4</v>
      </c>
      <c r="AJ76" s="52">
        <f t="shared" si="15"/>
        <v>8.4164726249999955</v>
      </c>
      <c r="AK76" s="53">
        <f t="shared" si="57"/>
        <v>27386.810457906966</v>
      </c>
      <c r="AL76" s="54">
        <f t="shared" si="58"/>
        <v>-1698045.9386471116</v>
      </c>
      <c r="AW76" s="25">
        <v>45</v>
      </c>
      <c r="AX76" s="51">
        <f t="shared" si="59"/>
        <v>-24.293749999999932</v>
      </c>
      <c r="AY76" s="74">
        <f t="shared" si="44"/>
        <v>3.6300000000000015E-4</v>
      </c>
      <c r="AZ76" s="52">
        <f t="shared" si="22"/>
        <v>8.4164726250000044</v>
      </c>
      <c r="BA76" s="53">
        <f t="shared" si="60"/>
        <v>24534.017701875007</v>
      </c>
      <c r="BB76" s="54">
        <f t="shared" si="61"/>
        <v>-596023.2925449243</v>
      </c>
      <c r="BM76" s="25">
        <v>45</v>
      </c>
      <c r="BN76" s="51">
        <f t="shared" si="62"/>
        <v>6.3000000000000114</v>
      </c>
      <c r="BO76" s="74">
        <f t="shared" si="47"/>
        <v>3.6300000000000015E-4</v>
      </c>
      <c r="BP76" s="52">
        <f t="shared" si="29"/>
        <v>8.4164726250000044</v>
      </c>
      <c r="BQ76" s="53">
        <f t="shared" si="63"/>
        <v>22219.487730000012</v>
      </c>
      <c r="BR76" s="54">
        <f t="shared" si="64"/>
        <v>139982.77269900031</v>
      </c>
    </row>
    <row r="77" spans="1:70">
      <c r="A77" s="25">
        <v>46</v>
      </c>
      <c r="B77" s="51">
        <f t="shared" si="50"/>
        <v>-182.3</v>
      </c>
      <c r="C77" s="74">
        <f t="shared" si="35"/>
        <v>2.9699999999999996E-4</v>
      </c>
      <c r="D77" s="52">
        <f t="shared" si="1"/>
        <v>7.0111676249999988</v>
      </c>
      <c r="E77" s="53">
        <f t="shared" si="51"/>
        <v>29727.350729999995</v>
      </c>
      <c r="F77" s="54">
        <f t="shared" si="52"/>
        <v>-5419296.0380789991</v>
      </c>
      <c r="Q77" s="25">
        <v>46</v>
      </c>
      <c r="R77" s="51">
        <f t="shared" si="53"/>
        <v>-118.83947368421059</v>
      </c>
      <c r="S77" s="74">
        <f t="shared" si="38"/>
        <v>2.9699999999999974E-4</v>
      </c>
      <c r="T77" s="52">
        <f t="shared" si="8"/>
        <v>7.0111676249999926</v>
      </c>
      <c r="U77" s="53">
        <f t="shared" si="54"/>
        <v>25815.857212894713</v>
      </c>
      <c r="V77" s="54">
        <f t="shared" si="55"/>
        <v>-3067942.8838871391</v>
      </c>
      <c r="AG77" s="25">
        <v>46</v>
      </c>
      <c r="AH77" s="51">
        <f t="shared" si="56"/>
        <v>-70.13720930232563</v>
      </c>
      <c r="AI77" s="74">
        <f t="shared" si="41"/>
        <v>2.9699999999999963E-4</v>
      </c>
      <c r="AJ77" s="52">
        <f t="shared" si="15"/>
        <v>7.0111676249999926</v>
      </c>
      <c r="AK77" s="53">
        <f t="shared" si="57"/>
        <v>22814.01335093021</v>
      </c>
      <c r="AL77" s="54">
        <f t="shared" si="58"/>
        <v>-1600111.2294202435</v>
      </c>
      <c r="AW77" s="25">
        <v>46</v>
      </c>
      <c r="AX77" s="51">
        <f t="shared" si="59"/>
        <v>-31.581249999999955</v>
      </c>
      <c r="AY77" s="74">
        <f t="shared" si="44"/>
        <v>2.9699999999999996E-4</v>
      </c>
      <c r="AZ77" s="52">
        <f t="shared" si="22"/>
        <v>7.0111676249999988</v>
      </c>
      <c r="BA77" s="53">
        <f t="shared" si="60"/>
        <v>20437.553626874993</v>
      </c>
      <c r="BB77" s="54">
        <f t="shared" si="61"/>
        <v>-645443.49047874496</v>
      </c>
      <c r="BM77" s="25">
        <v>46</v>
      </c>
      <c r="BN77" s="51">
        <f t="shared" si="62"/>
        <v>-0.30000000000001137</v>
      </c>
      <c r="BO77" s="74">
        <f t="shared" si="47"/>
        <v>2.969999999999999E-4</v>
      </c>
      <c r="BP77" s="52">
        <f t="shared" si="29"/>
        <v>7.0111676249999988</v>
      </c>
      <c r="BQ77" s="53">
        <f t="shared" si="63"/>
        <v>18509.482529999997</v>
      </c>
      <c r="BR77" s="54">
        <f t="shared" si="64"/>
        <v>-5552.8447590002097</v>
      </c>
    </row>
    <row r="78" spans="1:70">
      <c r="A78" s="25">
        <v>47</v>
      </c>
      <c r="B78" s="51">
        <f t="shared" si="50"/>
        <v>-192.89999999999998</v>
      </c>
      <c r="C78" s="74">
        <f t="shared" si="35"/>
        <v>2.3100000000000009E-4</v>
      </c>
      <c r="D78" s="52">
        <f t="shared" si="1"/>
        <v>5.5503236250000008</v>
      </c>
      <c r="E78" s="53">
        <f t="shared" si="51"/>
        <v>23533.372170000002</v>
      </c>
      <c r="F78" s="54">
        <f t="shared" si="52"/>
        <v>-4539587.4915929995</v>
      </c>
      <c r="Q78" s="25">
        <v>47</v>
      </c>
      <c r="R78" s="51">
        <f t="shared" si="53"/>
        <v>-128.04473684210529</v>
      </c>
      <c r="S78" s="74">
        <f t="shared" si="38"/>
        <v>2.3099999999999998E-4</v>
      </c>
      <c r="T78" s="52">
        <f t="shared" si="8"/>
        <v>5.5503236249999981</v>
      </c>
      <c r="U78" s="53">
        <f t="shared" si="54"/>
        <v>20436.875831842099</v>
      </c>
      <c r="V78" s="54">
        <f t="shared" si="55"/>
        <v>-2616834.3877630034</v>
      </c>
      <c r="AG78" s="25">
        <v>47</v>
      </c>
      <c r="AH78" s="51">
        <f t="shared" si="56"/>
        <v>-78.27209302325582</v>
      </c>
      <c r="AI78" s="74">
        <f t="shared" si="41"/>
        <v>2.3099999999999998E-4</v>
      </c>
      <c r="AJ78" s="52">
        <f t="shared" si="15"/>
        <v>5.5503236249999981</v>
      </c>
      <c r="AK78" s="53">
        <f t="shared" si="57"/>
        <v>18060.494921162786</v>
      </c>
      <c r="AL78" s="54">
        <f t="shared" si="58"/>
        <v>-1413632.738515293</v>
      </c>
      <c r="AW78" s="25">
        <v>47</v>
      </c>
      <c r="AX78" s="51">
        <f t="shared" si="59"/>
        <v>-38.86874999999992</v>
      </c>
      <c r="AY78" s="74">
        <f t="shared" si="44"/>
        <v>2.3100000000000025E-4</v>
      </c>
      <c r="AZ78" s="52">
        <f t="shared" si="22"/>
        <v>5.5503236250000061</v>
      </c>
      <c r="BA78" s="53">
        <f t="shared" si="60"/>
        <v>16179.193366875015</v>
      </c>
      <c r="BB78" s="54">
        <f t="shared" si="61"/>
        <v>-628865.02217872196</v>
      </c>
      <c r="BM78" s="25">
        <v>47</v>
      </c>
      <c r="BN78" s="51">
        <f t="shared" si="62"/>
        <v>-6.8999999999999773</v>
      </c>
      <c r="BO78" s="74">
        <f t="shared" si="47"/>
        <v>2.3100000000000025E-4</v>
      </c>
      <c r="BP78" s="52">
        <f t="shared" si="29"/>
        <v>5.5503236250000061</v>
      </c>
      <c r="BQ78" s="53">
        <f t="shared" si="63"/>
        <v>14652.854370000015</v>
      </c>
      <c r="BR78" s="54">
        <f t="shared" si="64"/>
        <v>-101104.69515299978</v>
      </c>
    </row>
    <row r="79" spans="1:70">
      <c r="A79" s="25">
        <v>48</v>
      </c>
      <c r="B79" s="51">
        <f t="shared" si="50"/>
        <v>-203.5</v>
      </c>
      <c r="C79" s="74">
        <f t="shared" si="35"/>
        <v>1.65E-4</v>
      </c>
      <c r="D79" s="52">
        <f t="shared" si="1"/>
        <v>4.0339406250000005</v>
      </c>
      <c r="E79" s="53">
        <f t="shared" si="51"/>
        <v>17103.90825</v>
      </c>
      <c r="F79" s="54">
        <f t="shared" si="52"/>
        <v>-3480645.3288750001</v>
      </c>
      <c r="Q79" s="25">
        <v>48</v>
      </c>
      <c r="R79" s="51">
        <f t="shared" si="53"/>
        <v>-137.25000000000006</v>
      </c>
      <c r="S79" s="74">
        <f t="shared" si="38"/>
        <v>1.6499999999999978E-4</v>
      </c>
      <c r="T79" s="52">
        <f t="shared" si="8"/>
        <v>4.0339406249999943</v>
      </c>
      <c r="U79" s="53">
        <f t="shared" si="54"/>
        <v>14853.394006578928</v>
      </c>
      <c r="V79" s="54">
        <f t="shared" si="55"/>
        <v>-2038628.3274029589</v>
      </c>
      <c r="AG79" s="25">
        <v>48</v>
      </c>
      <c r="AH79" s="51">
        <f t="shared" si="56"/>
        <v>-86.406976744186068</v>
      </c>
      <c r="AI79" s="74">
        <f t="shared" si="41"/>
        <v>1.6499999999999978E-4</v>
      </c>
      <c r="AJ79" s="52">
        <f t="shared" si="15"/>
        <v>4.0339406249999943</v>
      </c>
      <c r="AK79" s="53">
        <f t="shared" si="57"/>
        <v>13126.255168604634</v>
      </c>
      <c r="AL79" s="54">
        <f t="shared" si="58"/>
        <v>-1134200.0250918728</v>
      </c>
      <c r="AW79" s="25">
        <v>48</v>
      </c>
      <c r="AX79" s="51">
        <f t="shared" si="59"/>
        <v>-46.156249999999943</v>
      </c>
      <c r="AY79" s="74">
        <f t="shared" si="44"/>
        <v>1.65E-4</v>
      </c>
      <c r="AZ79" s="52">
        <f t="shared" si="22"/>
        <v>4.0339406250000005</v>
      </c>
      <c r="BA79" s="53">
        <f t="shared" si="60"/>
        <v>11758.936921875</v>
      </c>
      <c r="BB79" s="54">
        <f t="shared" si="61"/>
        <v>-542748.4323002923</v>
      </c>
      <c r="BM79" s="25">
        <v>48</v>
      </c>
      <c r="BN79" s="51">
        <f t="shared" si="62"/>
        <v>-13.5</v>
      </c>
      <c r="BO79" s="74">
        <f t="shared" si="47"/>
        <v>1.6500000000000005E-4</v>
      </c>
      <c r="BP79" s="52">
        <f t="shared" si="29"/>
        <v>4.0339406250000005</v>
      </c>
      <c r="BQ79" s="53">
        <f t="shared" si="63"/>
        <v>10649.603250000002</v>
      </c>
      <c r="BR79" s="54">
        <f t="shared" si="64"/>
        <v>-143769.64387500004</v>
      </c>
    </row>
    <row r="80" spans="1:70">
      <c r="A80" s="25">
        <v>49</v>
      </c>
      <c r="B80" s="51">
        <f t="shared" si="50"/>
        <v>-214.10000000000002</v>
      </c>
      <c r="C80" s="74">
        <f t="shared" si="35"/>
        <v>9.8999999999999913E-5</v>
      </c>
      <c r="D80" s="52">
        <f t="shared" si="1"/>
        <v>2.4620186249999998</v>
      </c>
      <c r="E80" s="53">
        <f t="shared" si="51"/>
        <v>10438.95897</v>
      </c>
      <c r="F80" s="54">
        <f t="shared" si="52"/>
        <v>-2234981.1154770004</v>
      </c>
      <c r="Q80" s="25">
        <v>49</v>
      </c>
      <c r="R80" s="51">
        <f t="shared" si="53"/>
        <v>-146.45526315789476</v>
      </c>
      <c r="S80" s="74">
        <f t="shared" si="38"/>
        <v>9.8999999999999913E-5</v>
      </c>
      <c r="T80" s="52">
        <f t="shared" si="8"/>
        <v>2.4620186249999998</v>
      </c>
      <c r="U80" s="53">
        <f t="shared" si="54"/>
        <v>9065.4117371052635</v>
      </c>
      <c r="V80" s="54">
        <f t="shared" si="55"/>
        <v>-1327677.2615924194</v>
      </c>
      <c r="AG80" s="25">
        <v>49</v>
      </c>
      <c r="AH80" s="51">
        <f t="shared" si="56"/>
        <v>-94.541860465116315</v>
      </c>
      <c r="AI80" s="74">
        <f t="shared" si="41"/>
        <v>9.8999999999999696E-5</v>
      </c>
      <c r="AJ80" s="52">
        <f t="shared" si="15"/>
        <v>2.462018624999994</v>
      </c>
      <c r="AK80" s="53">
        <f t="shared" si="57"/>
        <v>8011.2940932557958</v>
      </c>
      <c r="AL80" s="54">
        <f t="shared" si="58"/>
        <v>-757402.64830959996</v>
      </c>
      <c r="AW80" s="25">
        <v>49</v>
      </c>
      <c r="AX80" s="51">
        <f t="shared" si="59"/>
        <v>-53.443749999999966</v>
      </c>
      <c r="AY80" s="74">
        <f t="shared" si="44"/>
        <v>9.8999999999999804E-5</v>
      </c>
      <c r="AZ80" s="52">
        <f t="shared" si="22"/>
        <v>2.462018624999994</v>
      </c>
      <c r="BA80" s="53">
        <f t="shared" si="60"/>
        <v>7176.7842918749811</v>
      </c>
      <c r="BB80" s="54">
        <f t="shared" si="61"/>
        <v>-383554.26549889328</v>
      </c>
      <c r="BM80" s="25">
        <v>49</v>
      </c>
      <c r="BN80" s="51">
        <f t="shared" si="62"/>
        <v>-20.099999999999966</v>
      </c>
      <c r="BO80" s="74">
        <f t="shared" si="47"/>
        <v>9.9000000000000374E-5</v>
      </c>
      <c r="BP80" s="52">
        <f t="shared" si="29"/>
        <v>2.4620186250000109</v>
      </c>
      <c r="BQ80" s="53">
        <f t="shared" si="63"/>
        <v>6499.7291700000287</v>
      </c>
      <c r="BR80" s="54">
        <f t="shared" si="64"/>
        <v>-130644.55631700036</v>
      </c>
    </row>
    <row r="81" spans="1:70">
      <c r="A81" s="25">
        <v>50</v>
      </c>
      <c r="B81" s="51">
        <f t="shared" si="50"/>
        <v>-224.69999999999993</v>
      </c>
      <c r="C81" s="74">
        <f t="shared" si="35"/>
        <v>3.3000000000000477E-5</v>
      </c>
      <c r="D81" s="52">
        <f t="shared" si="1"/>
        <v>0.83455762500000985</v>
      </c>
      <c r="E81" s="53">
        <f t="shared" si="51"/>
        <v>3538.5243300000416</v>
      </c>
      <c r="F81" s="54">
        <f t="shared" si="52"/>
        <v>-795106.41695100907</v>
      </c>
      <c r="Q81" s="25">
        <v>50</v>
      </c>
      <c r="R81" s="51">
        <f t="shared" si="53"/>
        <v>-155.66052631578953</v>
      </c>
      <c r="S81" s="74">
        <f t="shared" si="38"/>
        <v>3.2999999999999826E-5</v>
      </c>
      <c r="T81" s="52">
        <f t="shared" si="8"/>
        <v>0.83455762499999864</v>
      </c>
      <c r="U81" s="53">
        <f t="shared" si="54"/>
        <v>3072.929023421048</v>
      </c>
      <c r="V81" s="54">
        <f t="shared" si="55"/>
        <v>-478333.74911678548</v>
      </c>
      <c r="AG81" s="25">
        <v>50</v>
      </c>
      <c r="AH81" s="51">
        <f t="shared" si="56"/>
        <v>-102.67674418604656</v>
      </c>
      <c r="AI81" s="74">
        <f t="shared" si="41"/>
        <v>3.299999999999961E-5</v>
      </c>
      <c r="AJ81" s="52">
        <f t="shared" si="15"/>
        <v>0.83455762499999286</v>
      </c>
      <c r="AK81" s="53">
        <f t="shared" si="57"/>
        <v>2715.6116951162562</v>
      </c>
      <c r="AL81" s="54">
        <f t="shared" si="58"/>
        <v>-278830.16732808814</v>
      </c>
      <c r="AW81" s="25">
        <v>50</v>
      </c>
      <c r="AX81" s="51">
        <f t="shared" si="59"/>
        <v>-60.731249999999932</v>
      </c>
      <c r="AY81" s="74">
        <f t="shared" si="44"/>
        <v>3.3000000000000152E-5</v>
      </c>
      <c r="AZ81" s="52">
        <f t="shared" si="22"/>
        <v>0.83455762500000419</v>
      </c>
      <c r="BA81" s="53">
        <f t="shared" si="60"/>
        <v>2432.735476875012</v>
      </c>
      <c r="BB81" s="54">
        <f t="shared" si="61"/>
        <v>-147743.0664299654</v>
      </c>
      <c r="BM81" s="25">
        <v>50</v>
      </c>
      <c r="BN81" s="51">
        <f t="shared" si="62"/>
        <v>-26.699999999999989</v>
      </c>
      <c r="BO81" s="74">
        <f t="shared" si="47"/>
        <v>3.3000000000000152E-5</v>
      </c>
      <c r="BP81" s="52">
        <f t="shared" si="29"/>
        <v>0.83455762500000419</v>
      </c>
      <c r="BQ81" s="53">
        <f t="shared" si="63"/>
        <v>2203.2321300000112</v>
      </c>
      <c r="BR81" s="54">
        <f t="shared" si="64"/>
        <v>-58826.297871000272</v>
      </c>
    </row>
  </sheetData>
  <conditionalFormatting sqref="C32:C81">
    <cfRule type="dataBar" priority="9">
      <dataBar>
        <cfvo type="num" val="0"/>
        <cfvo type="num" val="$C$32"/>
        <color theme="9" tint="0.59999389629810485"/>
      </dataBar>
      <extLst>
        <ext xmlns:x14="http://schemas.microsoft.com/office/spreadsheetml/2009/9/main" uri="{B025F937-C7B1-47D3-B67F-A62EFF666E3E}">
          <x14:id>{819C16B5-A144-4C4D-B446-5D95CF694917}</x14:id>
        </ext>
      </extLst>
    </cfRule>
  </conditionalFormatting>
  <conditionalFormatting sqref="D32:D81">
    <cfRule type="dataBar" priority="10">
      <dataBar>
        <cfvo type="num" val="0"/>
        <cfvo type="num" val="$D$32"/>
        <color theme="9" tint="0.59999389629810485"/>
      </dataBar>
      <extLst>
        <ext xmlns:x14="http://schemas.microsoft.com/office/spreadsheetml/2009/9/main" uri="{B025F937-C7B1-47D3-B67F-A62EFF666E3E}">
          <x14:id>{06BED512-8F73-43D6-B0BE-B2480C6B51A5}</x14:id>
        </ext>
      </extLst>
    </cfRule>
  </conditionalFormatting>
  <conditionalFormatting sqref="S32:S81">
    <cfRule type="dataBar" priority="7">
      <dataBar>
        <cfvo type="num" val="0"/>
        <cfvo type="num" val="$C$32"/>
        <color theme="9" tint="0.59999389629810485"/>
      </dataBar>
      <extLst>
        <ext xmlns:x14="http://schemas.microsoft.com/office/spreadsheetml/2009/9/main" uri="{B025F937-C7B1-47D3-B67F-A62EFF666E3E}">
          <x14:id>{033906AD-3D8E-4A0B-BBD1-78AD63464929}</x14:id>
        </ext>
      </extLst>
    </cfRule>
  </conditionalFormatting>
  <conditionalFormatting sqref="T32:T81">
    <cfRule type="dataBar" priority="8">
      <dataBar>
        <cfvo type="num" val="0"/>
        <cfvo type="num" val="$D$32"/>
        <color theme="9" tint="0.59999389629810485"/>
      </dataBar>
      <extLst>
        <ext xmlns:x14="http://schemas.microsoft.com/office/spreadsheetml/2009/9/main" uri="{B025F937-C7B1-47D3-B67F-A62EFF666E3E}">
          <x14:id>{5D6D477C-8A62-4E9C-A64E-CE338B855223}</x14:id>
        </ext>
      </extLst>
    </cfRule>
  </conditionalFormatting>
  <conditionalFormatting sqref="AI32:AI81">
    <cfRule type="dataBar" priority="5">
      <dataBar>
        <cfvo type="num" val="0"/>
        <cfvo type="num" val="$C$32"/>
        <color theme="9" tint="0.59999389629810485"/>
      </dataBar>
      <extLst>
        <ext xmlns:x14="http://schemas.microsoft.com/office/spreadsheetml/2009/9/main" uri="{B025F937-C7B1-47D3-B67F-A62EFF666E3E}">
          <x14:id>{69F47559-06E6-4633-9964-EB742064AA5F}</x14:id>
        </ext>
      </extLst>
    </cfRule>
  </conditionalFormatting>
  <conditionalFormatting sqref="AJ32:AJ81">
    <cfRule type="dataBar" priority="6">
      <dataBar>
        <cfvo type="num" val="0"/>
        <cfvo type="num" val="$D$32"/>
        <color theme="9" tint="0.59999389629810485"/>
      </dataBar>
      <extLst>
        <ext xmlns:x14="http://schemas.microsoft.com/office/spreadsheetml/2009/9/main" uri="{B025F937-C7B1-47D3-B67F-A62EFF666E3E}">
          <x14:id>{14E5EEB0-4B8D-450F-A5C8-8F513EBB785A}</x14:id>
        </ext>
      </extLst>
    </cfRule>
  </conditionalFormatting>
  <conditionalFormatting sqref="AY32:AY81">
    <cfRule type="dataBar" priority="3">
      <dataBar>
        <cfvo type="num" val="0"/>
        <cfvo type="num" val="$C$32"/>
        <color theme="9" tint="0.59999389629810485"/>
      </dataBar>
      <extLst>
        <ext xmlns:x14="http://schemas.microsoft.com/office/spreadsheetml/2009/9/main" uri="{B025F937-C7B1-47D3-B67F-A62EFF666E3E}">
          <x14:id>{CC3B0153-9871-43B5-AA10-CB9B059545CA}</x14:id>
        </ext>
      </extLst>
    </cfRule>
  </conditionalFormatting>
  <conditionalFormatting sqref="AZ32:AZ81">
    <cfRule type="dataBar" priority="4">
      <dataBar>
        <cfvo type="num" val="0"/>
        <cfvo type="num" val="$D$32"/>
        <color theme="9" tint="0.59999389629810485"/>
      </dataBar>
      <extLst>
        <ext xmlns:x14="http://schemas.microsoft.com/office/spreadsheetml/2009/9/main" uri="{B025F937-C7B1-47D3-B67F-A62EFF666E3E}">
          <x14:id>{48476B83-EA42-4907-A663-4C5BD6A6E1EC}</x14:id>
        </ext>
      </extLst>
    </cfRule>
  </conditionalFormatting>
  <conditionalFormatting sqref="BO32:BO81">
    <cfRule type="dataBar" priority="1">
      <dataBar>
        <cfvo type="num" val="0"/>
        <cfvo type="num" val="$C$32"/>
        <color theme="9" tint="0.59999389629810485"/>
      </dataBar>
      <extLst>
        <ext xmlns:x14="http://schemas.microsoft.com/office/spreadsheetml/2009/9/main" uri="{B025F937-C7B1-47D3-B67F-A62EFF666E3E}">
          <x14:id>{605ABB6E-DF9A-474F-96DF-F61B94660C2A}</x14:id>
        </ext>
      </extLst>
    </cfRule>
  </conditionalFormatting>
  <conditionalFormatting sqref="BP32:BP81">
    <cfRule type="dataBar" priority="2">
      <dataBar>
        <cfvo type="num" val="0"/>
        <cfvo type="num" val="$D$32"/>
        <color theme="9" tint="0.59999389629810485"/>
      </dataBar>
      <extLst>
        <ext xmlns:x14="http://schemas.microsoft.com/office/spreadsheetml/2009/9/main" uri="{B025F937-C7B1-47D3-B67F-A62EFF666E3E}">
          <x14:id>{13D225D2-2FCE-45BC-8175-99F0278D6CF1}</x14:id>
        </ext>
      </extLst>
    </cfRule>
  </conditionalFormatting>
  <pageMargins left="0.59055118110236227" right="0.59055118110236227" top="0.78740157480314965" bottom="0.78740157480314965" header="0.31496062992125984" footer="0.31496062992125984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9C16B5-A144-4C4D-B446-5D95CF694917}">
            <x14:dataBar minLength="0" maxLength="100" border="1" gradient="0" direction="leftToRight">
              <x14:cfvo type="num">
                <xm:f>0</xm:f>
              </x14:cfvo>
              <x14:cfvo type="num">
                <xm:f>$C$32</xm:f>
              </x14:cfvo>
              <x14:borderColor theme="9" tint="0.59999389629810485"/>
              <x14:negativeFillColor rgb="FFFF0000"/>
              <x14:axisColor rgb="FF000000"/>
            </x14:dataBar>
          </x14:cfRule>
          <xm:sqref>C32:C81</xm:sqref>
        </x14:conditionalFormatting>
        <x14:conditionalFormatting xmlns:xm="http://schemas.microsoft.com/office/excel/2006/main">
          <x14:cfRule type="dataBar" id="{06BED512-8F73-43D6-B0BE-B2480C6B51A5}">
            <x14:dataBar minLength="0" maxLength="100" border="1" gradient="0" direction="leftToRight">
              <x14:cfvo type="num">
                <xm:f>0</xm:f>
              </x14:cfvo>
              <x14:cfvo type="num">
                <xm:f>$D$32</xm:f>
              </x14:cfvo>
              <x14:borderColor theme="9" tint="0.59999389629810485"/>
              <x14:negativeFillColor rgb="FFFF0000"/>
              <x14:axisColor rgb="FF000000"/>
            </x14:dataBar>
          </x14:cfRule>
          <xm:sqref>D32:D81</xm:sqref>
        </x14:conditionalFormatting>
        <x14:conditionalFormatting xmlns:xm="http://schemas.microsoft.com/office/excel/2006/main">
          <x14:cfRule type="dataBar" id="{033906AD-3D8E-4A0B-BBD1-78AD63464929}">
            <x14:dataBar minLength="0" maxLength="100" border="1" gradient="0" direction="leftToRight">
              <x14:cfvo type="num">
                <xm:f>0</xm:f>
              </x14:cfvo>
              <x14:cfvo type="num">
                <xm:f>$C$32</xm:f>
              </x14:cfvo>
              <x14:borderColor theme="9" tint="0.59999389629810485"/>
              <x14:negativeFillColor rgb="FFFF0000"/>
              <x14:axisColor rgb="FF000000"/>
            </x14:dataBar>
          </x14:cfRule>
          <xm:sqref>S32:S81</xm:sqref>
        </x14:conditionalFormatting>
        <x14:conditionalFormatting xmlns:xm="http://schemas.microsoft.com/office/excel/2006/main">
          <x14:cfRule type="dataBar" id="{5D6D477C-8A62-4E9C-A64E-CE338B855223}">
            <x14:dataBar minLength="0" maxLength="100" border="1" gradient="0" direction="leftToRight">
              <x14:cfvo type="num">
                <xm:f>0</xm:f>
              </x14:cfvo>
              <x14:cfvo type="num">
                <xm:f>$D$32</xm:f>
              </x14:cfvo>
              <x14:borderColor theme="9" tint="0.59999389629810485"/>
              <x14:negativeFillColor rgb="FFFF0000"/>
              <x14:axisColor rgb="FF000000"/>
            </x14:dataBar>
          </x14:cfRule>
          <xm:sqref>T32:T81</xm:sqref>
        </x14:conditionalFormatting>
        <x14:conditionalFormatting xmlns:xm="http://schemas.microsoft.com/office/excel/2006/main">
          <x14:cfRule type="dataBar" id="{69F47559-06E6-4633-9964-EB742064AA5F}">
            <x14:dataBar minLength="0" maxLength="100" border="1" gradient="0" direction="leftToRight">
              <x14:cfvo type="num">
                <xm:f>0</xm:f>
              </x14:cfvo>
              <x14:cfvo type="num">
                <xm:f>$C$32</xm:f>
              </x14:cfvo>
              <x14:borderColor theme="9" tint="0.59999389629810485"/>
              <x14:negativeFillColor rgb="FFFF0000"/>
              <x14:axisColor rgb="FF000000"/>
            </x14:dataBar>
          </x14:cfRule>
          <xm:sqref>AI32:AI81</xm:sqref>
        </x14:conditionalFormatting>
        <x14:conditionalFormatting xmlns:xm="http://schemas.microsoft.com/office/excel/2006/main">
          <x14:cfRule type="dataBar" id="{14E5EEB0-4B8D-450F-A5C8-8F513EBB785A}">
            <x14:dataBar minLength="0" maxLength="100" border="1" gradient="0" direction="leftToRight">
              <x14:cfvo type="num">
                <xm:f>0</xm:f>
              </x14:cfvo>
              <x14:cfvo type="num">
                <xm:f>$D$32</xm:f>
              </x14:cfvo>
              <x14:borderColor theme="9" tint="0.59999389629810485"/>
              <x14:negativeFillColor rgb="FFFF0000"/>
              <x14:axisColor rgb="FF000000"/>
            </x14:dataBar>
          </x14:cfRule>
          <xm:sqref>AJ32:AJ81</xm:sqref>
        </x14:conditionalFormatting>
        <x14:conditionalFormatting xmlns:xm="http://schemas.microsoft.com/office/excel/2006/main">
          <x14:cfRule type="dataBar" id="{CC3B0153-9871-43B5-AA10-CB9B059545CA}">
            <x14:dataBar minLength="0" maxLength="100" border="1" gradient="0" direction="leftToRight">
              <x14:cfvo type="num">
                <xm:f>0</xm:f>
              </x14:cfvo>
              <x14:cfvo type="num">
                <xm:f>$C$32</xm:f>
              </x14:cfvo>
              <x14:borderColor theme="9" tint="0.59999389629810485"/>
              <x14:negativeFillColor rgb="FFFF0000"/>
              <x14:axisColor rgb="FF000000"/>
            </x14:dataBar>
          </x14:cfRule>
          <xm:sqref>AY32:AY81</xm:sqref>
        </x14:conditionalFormatting>
        <x14:conditionalFormatting xmlns:xm="http://schemas.microsoft.com/office/excel/2006/main">
          <x14:cfRule type="dataBar" id="{48476B83-EA42-4907-A663-4C5BD6A6E1EC}">
            <x14:dataBar minLength="0" maxLength="100" border="1" gradient="0" direction="leftToRight">
              <x14:cfvo type="num">
                <xm:f>0</xm:f>
              </x14:cfvo>
              <x14:cfvo type="num">
                <xm:f>$D$32</xm:f>
              </x14:cfvo>
              <x14:borderColor theme="9" tint="0.59999389629810485"/>
              <x14:negativeFillColor rgb="FFFF0000"/>
              <x14:axisColor rgb="FF000000"/>
            </x14:dataBar>
          </x14:cfRule>
          <xm:sqref>AZ32:AZ81</xm:sqref>
        </x14:conditionalFormatting>
        <x14:conditionalFormatting xmlns:xm="http://schemas.microsoft.com/office/excel/2006/main">
          <x14:cfRule type="dataBar" id="{605ABB6E-DF9A-474F-96DF-F61B94660C2A}">
            <x14:dataBar minLength="0" maxLength="100" border="1" gradient="0" direction="leftToRight">
              <x14:cfvo type="num">
                <xm:f>0</xm:f>
              </x14:cfvo>
              <x14:cfvo type="num">
                <xm:f>$C$32</xm:f>
              </x14:cfvo>
              <x14:borderColor theme="9" tint="0.59999389629810485"/>
              <x14:negativeFillColor rgb="FFFF0000"/>
              <x14:axisColor rgb="FF000000"/>
            </x14:dataBar>
          </x14:cfRule>
          <xm:sqref>BO32:BO81</xm:sqref>
        </x14:conditionalFormatting>
        <x14:conditionalFormatting xmlns:xm="http://schemas.microsoft.com/office/excel/2006/main">
          <x14:cfRule type="dataBar" id="{13D225D2-2FCE-45BC-8175-99F0278D6CF1}">
            <x14:dataBar minLength="0" maxLength="100" border="1" gradient="0" direction="leftToRight">
              <x14:cfvo type="num">
                <xm:f>0</xm:f>
              </x14:cfvo>
              <x14:cfvo type="num">
                <xm:f>$D$32</xm:f>
              </x14:cfvo>
              <x14:borderColor theme="9" tint="0.59999389629810485"/>
              <x14:negativeFillColor rgb="FFFF0000"/>
              <x14:axisColor rgb="FF000000"/>
            </x14:dataBar>
          </x14:cfRule>
          <xm:sqref>BP32:BP81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F9E37-7383-4254-A863-B41E2E22ECE8}">
  <dimension ref="A1:EM81"/>
  <sheetViews>
    <sheetView topLeftCell="AA1" zoomScaleNormal="100" workbookViewId="0">
      <selection activeCell="AR23" sqref="AR23:AS24"/>
    </sheetView>
  </sheetViews>
  <sheetFormatPr defaultRowHeight="15"/>
  <cols>
    <col min="1" max="4" width="9.7109375" customWidth="1"/>
    <col min="5" max="5" width="12" customWidth="1"/>
    <col min="6" max="8" width="9.7109375" customWidth="1"/>
    <col min="9" max="9" width="11.85546875" customWidth="1"/>
    <col min="15" max="15" width="12.5703125" customWidth="1"/>
    <col min="16" max="17" width="10.28515625" customWidth="1"/>
    <col min="21" max="21" width="11" customWidth="1"/>
    <col min="30" max="30" width="9.7109375" customWidth="1"/>
    <col min="31" max="31" width="11.140625" customWidth="1"/>
    <col min="46" max="46" width="11" customWidth="1"/>
    <col min="53" max="53" width="11.28515625" customWidth="1"/>
    <col min="69" max="69" width="11.28515625" customWidth="1"/>
    <col min="85" max="86" width="10.28515625" customWidth="1"/>
  </cols>
  <sheetData>
    <row r="1" spans="1:20" ht="18.75">
      <c r="A1" s="100" t="s">
        <v>165</v>
      </c>
    </row>
    <row r="2" spans="1:20" ht="15.75" thickBot="1">
      <c r="A2" t="s">
        <v>84</v>
      </c>
      <c r="H2" s="27" t="s">
        <v>89</v>
      </c>
      <c r="I2" s="28"/>
      <c r="J2" s="29"/>
    </row>
    <row r="3" spans="1:20" ht="15.75" thickTop="1">
      <c r="H3" s="30">
        <v>1</v>
      </c>
      <c r="I3">
        <f>-b/2</f>
        <v>-200</v>
      </c>
      <c r="J3" s="31">
        <f>+h/2-R22</f>
        <v>22.380952380952351</v>
      </c>
      <c r="N3" s="181"/>
      <c r="O3" s="182"/>
      <c r="P3" s="182"/>
      <c r="Q3" s="183" t="s">
        <v>198</v>
      </c>
      <c r="R3" s="183"/>
      <c r="S3" s="183" t="s">
        <v>199</v>
      </c>
      <c r="T3" s="184"/>
    </row>
    <row r="4" spans="1:20">
      <c r="H4" s="32">
        <v>2</v>
      </c>
      <c r="I4" s="33">
        <f>+b/2</f>
        <v>200</v>
      </c>
      <c r="J4" s="34">
        <f>+J3</f>
        <v>22.380952380952351</v>
      </c>
      <c r="N4" s="185" t="s">
        <v>93</v>
      </c>
      <c r="O4" s="186" t="s">
        <v>196</v>
      </c>
      <c r="P4" s="186" t="s">
        <v>197</v>
      </c>
      <c r="Q4" s="186" t="s">
        <v>15</v>
      </c>
      <c r="R4" s="186" t="s">
        <v>37</v>
      </c>
      <c r="S4" s="186" t="s">
        <v>15</v>
      </c>
      <c r="T4" s="187" t="s">
        <v>37</v>
      </c>
    </row>
    <row r="5" spans="1:20">
      <c r="N5" s="191">
        <v>2E-3</v>
      </c>
      <c r="O5" s="177">
        <f>+D25</f>
        <v>3.0000000000000003E-4</v>
      </c>
      <c r="P5" s="178">
        <f>+D26</f>
        <v>9.9999999999999991E-6</v>
      </c>
      <c r="Q5" s="53">
        <f>+L23</f>
        <v>2686.1839587000009</v>
      </c>
      <c r="R5" s="53">
        <f>+M23</f>
        <v>-229.58055395679816</v>
      </c>
      <c r="S5" s="83">
        <f>+L24</f>
        <v>440.78573851290008</v>
      </c>
      <c r="T5" s="120">
        <f>+M24</f>
        <v>607.40020838801559</v>
      </c>
    </row>
    <row r="6" spans="1:20">
      <c r="N6" s="192">
        <f>+'P-M chart'!E25</f>
        <v>3.0000000000000001E-3</v>
      </c>
      <c r="O6" s="177">
        <f>+T25</f>
        <v>-2.6603773584905622E-4</v>
      </c>
      <c r="P6" s="178">
        <f>+T26</f>
        <v>1.1886792452830188E-5</v>
      </c>
      <c r="Q6" s="53">
        <f>+AB23</f>
        <v>2259.8055525571431</v>
      </c>
      <c r="R6" s="53">
        <f>+AC23</f>
        <v>-590.08196007993979</v>
      </c>
      <c r="S6" s="83">
        <f>+AB24</f>
        <v>419.56925898615162</v>
      </c>
      <c r="T6" s="120">
        <f>+AC24</f>
        <v>628.3953237202054</v>
      </c>
    </row>
    <row r="7" spans="1:20">
      <c r="N7" s="192">
        <f>+'P-M chart'!E26</f>
        <v>5.0000000000000001E-3</v>
      </c>
      <c r="O7" s="177">
        <f>+AJ25</f>
        <v>-1.3981132075471701E-3</v>
      </c>
      <c r="P7" s="178">
        <f>+AJ26</f>
        <v>1.5660377358490568E-5</v>
      </c>
      <c r="Q7" s="53">
        <f>+AR23</f>
        <v>1715.2740941096383</v>
      </c>
      <c r="R7" s="53">
        <f>+AS23</f>
        <v>-843.45051242258705</v>
      </c>
      <c r="S7" s="83">
        <f>+AR24</f>
        <v>365.72461718429895</v>
      </c>
      <c r="T7" s="125">
        <f>+AS24</f>
        <v>611.23887659663774</v>
      </c>
    </row>
    <row r="8" spans="1:20">
      <c r="N8" s="192">
        <f>+'P-M chart'!E27</f>
        <v>7.4999999999999997E-3</v>
      </c>
      <c r="O8" s="177">
        <f>+AZ25</f>
        <v>-2.8132075471698119E-3</v>
      </c>
      <c r="P8" s="178">
        <f>+AZ26</f>
        <v>2.0377358490566041E-5</v>
      </c>
      <c r="Q8" s="53">
        <f>+BH23</f>
        <v>1318.2199056583329</v>
      </c>
      <c r="R8" s="53">
        <f>+BI23</f>
        <v>-1140.1850491225766</v>
      </c>
      <c r="S8" s="83">
        <f>+BH24</f>
        <v>307.54758327896843</v>
      </c>
      <c r="T8" s="125">
        <f>+BI24</f>
        <v>566.58782415846918</v>
      </c>
    </row>
    <row r="9" spans="1:20">
      <c r="N9" s="192">
        <f>+'P-M chart'!E28</f>
        <v>0.01</v>
      </c>
      <c r="O9" s="177">
        <f>+BP25</f>
        <v>-4.2283018867924531E-3</v>
      </c>
      <c r="P9" s="178">
        <f>+BP26</f>
        <v>2.509433962264151E-5</v>
      </c>
      <c r="Q9" s="53">
        <f>+BX23</f>
        <v>1070.4342091060148</v>
      </c>
      <c r="R9" s="53">
        <f>+BY23</f>
        <v>-1554.5224099833576</v>
      </c>
      <c r="S9" s="83">
        <f>+BX24</f>
        <v>263.15750663967077</v>
      </c>
      <c r="T9" s="125">
        <f>+BY24</f>
        <v>497.08685611977779</v>
      </c>
    </row>
    <row r="10" spans="1:20">
      <c r="N10" s="192">
        <f>+'P-M chart'!E29</f>
        <v>1.4999999999999999E-2</v>
      </c>
      <c r="O10" s="177">
        <f>+CF25</f>
        <v>-7.0584905660377346E-3</v>
      </c>
      <c r="P10" s="178">
        <f>+CF26</f>
        <v>3.4528301886792452E-5</v>
      </c>
      <c r="Q10" s="53">
        <f>+CN23</f>
        <v>777.96584596229502</v>
      </c>
      <c r="R10" s="53">
        <f>+CO23</f>
        <v>-2189.8277532906977</v>
      </c>
      <c r="S10" s="83">
        <f>+CN24</f>
        <v>202.76835325377397</v>
      </c>
      <c r="T10" s="125">
        <f>+CO24</f>
        <v>384.22909887130123</v>
      </c>
    </row>
    <row r="11" spans="1:20">
      <c r="N11" s="192">
        <f>+'P-M chart'!E30</f>
        <v>2.5000000000000001E-2</v>
      </c>
      <c r="O11" s="177">
        <f>+CV25</f>
        <v>-1.2718867924528301E-2</v>
      </c>
      <c r="P11" s="178">
        <f>+CV26</f>
        <v>5.3396226415094344E-5</v>
      </c>
      <c r="Q11" s="53">
        <f>+DD23</f>
        <v>503.06625374947015</v>
      </c>
      <c r="R11" s="53">
        <f>+DE23</f>
        <v>-2784.8215367815183</v>
      </c>
      <c r="S11" s="83">
        <f>+DD24</f>
        <v>138.1156198285488</v>
      </c>
      <c r="T11" s="125">
        <f>+DE24</f>
        <v>247.3805286684125</v>
      </c>
    </row>
    <row r="12" spans="1:20">
      <c r="N12" s="192">
        <f>+'P-M chart'!E31</f>
        <v>0.03</v>
      </c>
      <c r="O12" s="177">
        <f>+DL25</f>
        <v>-1.5549056603773584E-2</v>
      </c>
      <c r="P12" s="178">
        <f>+DL26</f>
        <v>6.2830188679245276E-5</v>
      </c>
      <c r="Q12" s="53">
        <f>+DT23</f>
        <v>427.53078021351354</v>
      </c>
      <c r="R12" s="53">
        <f>+DU23</f>
        <v>-3103.4857274550795</v>
      </c>
      <c r="S12" s="83">
        <f>+DT24</f>
        <v>119.01142695501927</v>
      </c>
      <c r="T12" s="125">
        <f>+DU24</f>
        <v>174.08776481349335</v>
      </c>
    </row>
    <row r="13" spans="1:20" ht="15.75" thickBot="1">
      <c r="G13" s="50"/>
      <c r="N13" s="192">
        <f>+'P-M chart'!E32</f>
        <v>0.05</v>
      </c>
      <c r="O13" s="179">
        <f>+EB25</f>
        <v>-2.6869811320754722E-2</v>
      </c>
      <c r="P13" s="180">
        <f>+EB26</f>
        <v>1.0056603773584907E-4</v>
      </c>
      <c r="Q13" s="96">
        <f>+EJ23</f>
        <v>267.10647244108816</v>
      </c>
      <c r="R13" s="96">
        <f>+EK23</f>
        <v>-3538.6899650035425</v>
      </c>
      <c r="S13" s="95">
        <f>+EJ24</f>
        <v>76.52222758459898</v>
      </c>
      <c r="T13" s="127">
        <f>+EK24</f>
        <v>73.990790177346838</v>
      </c>
    </row>
    <row r="14" spans="1:20" ht="15.75" thickTop="1"/>
    <row r="15" spans="1:20">
      <c r="C15" s="49"/>
      <c r="D15" s="36"/>
    </row>
    <row r="16" spans="1:20">
      <c r="G16" s="50"/>
    </row>
    <row r="17" spans="1:143">
      <c r="G17" s="50"/>
    </row>
    <row r="18" spans="1:143">
      <c r="G18" s="50"/>
    </row>
    <row r="19" spans="1:143">
      <c r="A19" t="s">
        <v>201</v>
      </c>
      <c r="C19">
        <f>+MIN(Input!$E$10:$E$23)</f>
        <v>-230</v>
      </c>
      <c r="G19" s="50"/>
    </row>
    <row r="20" spans="1:143" ht="15.75">
      <c r="A20" s="122" t="s">
        <v>204</v>
      </c>
      <c r="B20" s="123"/>
      <c r="C20" s="1"/>
      <c r="D20" s="1"/>
      <c r="E20" s="1"/>
      <c r="F20" s="1"/>
      <c r="G20" s="124"/>
      <c r="H20" s="124"/>
      <c r="I20" s="124"/>
      <c r="J20" s="124"/>
      <c r="K20" s="124"/>
      <c r="L20" s="124"/>
      <c r="M20" s="124"/>
      <c r="N20" s="124"/>
      <c r="O20" s="124"/>
      <c r="Q20" s="122" t="s">
        <v>205</v>
      </c>
      <c r="R20" s="123"/>
      <c r="S20" s="1"/>
      <c r="T20" s="1"/>
      <c r="U20" s="1"/>
      <c r="V20" s="1"/>
      <c r="W20" s="124"/>
      <c r="X20" s="124"/>
      <c r="Y20" s="124"/>
      <c r="Z20" s="124"/>
      <c r="AA20" s="124"/>
      <c r="AB20" s="124"/>
      <c r="AC20" s="124"/>
      <c r="AD20" s="124"/>
      <c r="AE20" s="124"/>
      <c r="AG20" s="122" t="s">
        <v>206</v>
      </c>
      <c r="AH20" s="123"/>
      <c r="AI20" s="1"/>
      <c r="AJ20" s="1"/>
      <c r="AK20" s="1"/>
      <c r="AL20" s="1"/>
      <c r="AM20" s="124"/>
      <c r="AN20" s="124"/>
      <c r="AO20" s="124"/>
      <c r="AP20" s="124"/>
      <c r="AQ20" s="124"/>
      <c r="AR20" s="124"/>
      <c r="AS20" s="124"/>
      <c r="AT20" s="124"/>
      <c r="AU20" s="124"/>
      <c r="AW20" s="122" t="s">
        <v>212</v>
      </c>
      <c r="AX20" s="123"/>
      <c r="AY20" s="1"/>
      <c r="AZ20" s="1"/>
      <c r="BA20" s="1"/>
      <c r="BB20" s="1"/>
      <c r="BC20" s="124"/>
      <c r="BD20" s="124"/>
      <c r="BE20" s="124"/>
      <c r="BF20" s="124"/>
      <c r="BG20" s="124"/>
      <c r="BH20" s="124"/>
      <c r="BI20" s="124"/>
      <c r="BJ20" s="124"/>
      <c r="BK20" s="124"/>
      <c r="BM20" s="122" t="s">
        <v>207</v>
      </c>
      <c r="BN20" s="123"/>
      <c r="BO20" s="1"/>
      <c r="BP20" s="1"/>
      <c r="BQ20" s="1"/>
      <c r="BR20" s="1"/>
      <c r="BS20" s="124"/>
      <c r="BT20" s="124"/>
      <c r="BU20" s="124"/>
      <c r="BV20" s="124"/>
      <c r="BW20" s="124"/>
      <c r="BX20" s="124"/>
      <c r="BY20" s="124"/>
      <c r="BZ20" s="124"/>
      <c r="CA20" s="124"/>
      <c r="CC20" s="122" t="s">
        <v>208</v>
      </c>
      <c r="CD20" s="123"/>
      <c r="CE20" s="1"/>
      <c r="CF20" s="1"/>
      <c r="CG20" s="1"/>
      <c r="CH20" s="1"/>
      <c r="CI20" s="124"/>
      <c r="CJ20" s="124"/>
      <c r="CK20" s="124"/>
      <c r="CL20" s="124"/>
      <c r="CM20" s="124"/>
      <c r="CN20" s="124"/>
      <c r="CO20" s="124"/>
      <c r="CP20" s="124"/>
      <c r="CQ20" s="124"/>
      <c r="CS20" s="122" t="s">
        <v>209</v>
      </c>
      <c r="CT20" s="123"/>
      <c r="CU20" s="1"/>
      <c r="CV20" s="1"/>
      <c r="CW20" s="1"/>
      <c r="CX20" s="1"/>
      <c r="CY20" s="124"/>
      <c r="CZ20" s="124"/>
      <c r="DA20" s="124"/>
      <c r="DB20" s="124"/>
      <c r="DC20" s="124"/>
      <c r="DD20" s="124"/>
      <c r="DE20" s="124"/>
      <c r="DF20" s="124"/>
      <c r="DG20" s="124"/>
      <c r="DI20" s="122" t="s">
        <v>210</v>
      </c>
      <c r="DJ20" s="123"/>
      <c r="DK20" s="1"/>
      <c r="DL20" s="1"/>
      <c r="DM20" s="1"/>
      <c r="DN20" s="1"/>
      <c r="DO20" s="124"/>
      <c r="DP20" s="124"/>
      <c r="DQ20" s="124"/>
      <c r="DR20" s="124"/>
      <c r="DS20" s="124"/>
      <c r="DT20" s="124"/>
      <c r="DU20" s="124"/>
      <c r="DV20" s="124"/>
      <c r="DW20" s="124"/>
      <c r="DY20" s="122" t="s">
        <v>211</v>
      </c>
      <c r="DZ20" s="123"/>
      <c r="EA20" s="1"/>
      <c r="EB20" s="1"/>
      <c r="EC20" s="1"/>
      <c r="ED20" s="1"/>
      <c r="EE20" s="124"/>
      <c r="EF20" s="124"/>
      <c r="EG20" s="124"/>
      <c r="EH20" s="124"/>
      <c r="EI20" s="124"/>
      <c r="EJ20" s="124"/>
      <c r="EK20" s="124"/>
      <c r="EL20" s="124"/>
      <c r="EM20" s="124"/>
    </row>
    <row r="21" spans="1:143" ht="15.75" thickBot="1">
      <c r="A21" t="s">
        <v>125</v>
      </c>
      <c r="B21" s="121">
        <f>+h/2-MIN(Input!$E$10:$E$23)</f>
        <v>530</v>
      </c>
      <c r="C21" t="s">
        <v>13</v>
      </c>
      <c r="F21" s="111" t="s">
        <v>191</v>
      </c>
      <c r="K21" s="111" t="s">
        <v>192</v>
      </c>
      <c r="Q21" t="s">
        <v>125</v>
      </c>
      <c r="R21" s="121">
        <f>+h/2-MIN(Input!$E$10:$E$23)</f>
        <v>530</v>
      </c>
      <c r="S21" t="s">
        <v>13</v>
      </c>
      <c r="V21" s="111" t="s">
        <v>191</v>
      </c>
      <c r="AA21" s="111" t="s">
        <v>192</v>
      </c>
      <c r="AG21" t="s">
        <v>125</v>
      </c>
      <c r="AH21" s="121">
        <f>+h/2-MIN(Input!$E$10:$E$23)</f>
        <v>530</v>
      </c>
      <c r="AI21" t="s">
        <v>13</v>
      </c>
      <c r="AL21" s="111" t="s">
        <v>191</v>
      </c>
      <c r="AQ21" s="111" t="s">
        <v>192</v>
      </c>
      <c r="AW21" t="s">
        <v>125</v>
      </c>
      <c r="AX21" s="121">
        <f>+h/2-MIN(Input!$E$10:$E$23)</f>
        <v>530</v>
      </c>
      <c r="AY21" t="s">
        <v>13</v>
      </c>
      <c r="BB21" s="111" t="s">
        <v>191</v>
      </c>
      <c r="BG21" s="111" t="s">
        <v>192</v>
      </c>
      <c r="BM21" t="s">
        <v>125</v>
      </c>
      <c r="BN21" s="121">
        <f>+h/2-MIN(Input!$E$10:$E$23)</f>
        <v>530</v>
      </c>
      <c r="BO21" t="s">
        <v>13</v>
      </c>
      <c r="BR21" s="111" t="s">
        <v>191</v>
      </c>
      <c r="BW21" s="111" t="s">
        <v>192</v>
      </c>
      <c r="CC21" t="s">
        <v>125</v>
      </c>
      <c r="CD21" s="121">
        <f>+h/2-MIN(Input!$E$10:$E$23)</f>
        <v>530</v>
      </c>
      <c r="CE21" t="s">
        <v>13</v>
      </c>
      <c r="CH21" s="111" t="s">
        <v>191</v>
      </c>
      <c r="CM21" s="111" t="s">
        <v>192</v>
      </c>
      <c r="CS21" t="s">
        <v>125</v>
      </c>
      <c r="CT21" s="121">
        <f>+h/2-MIN(Input!$E$10:$E$23)</f>
        <v>530</v>
      </c>
      <c r="CU21" t="s">
        <v>13</v>
      </c>
      <c r="CX21" s="111" t="s">
        <v>191</v>
      </c>
      <c r="DC21" s="111" t="s">
        <v>192</v>
      </c>
      <c r="DI21" t="s">
        <v>125</v>
      </c>
      <c r="DJ21" s="121">
        <f>+h/2-MIN(Input!$E$10:$E$23)</f>
        <v>530</v>
      </c>
      <c r="DK21" t="s">
        <v>13</v>
      </c>
      <c r="DN21" s="111" t="s">
        <v>191</v>
      </c>
      <c r="DS21" s="111" t="s">
        <v>192</v>
      </c>
      <c r="DY21" t="s">
        <v>125</v>
      </c>
      <c r="DZ21" s="121">
        <f>+h/2-MIN(Input!$E$10:$E$23)</f>
        <v>530</v>
      </c>
      <c r="EA21" t="s">
        <v>13</v>
      </c>
      <c r="ED21" s="111" t="s">
        <v>191</v>
      </c>
      <c r="EI21" s="111" t="s">
        <v>192</v>
      </c>
    </row>
    <row r="22" spans="1:143" ht="15.75" thickTop="1">
      <c r="A22" s="49" t="s">
        <v>40</v>
      </c>
      <c r="B22" s="188">
        <f>ecu/(ecu+N5)*(h/2-$C$19)</f>
        <v>330</v>
      </c>
      <c r="C22" t="s">
        <v>13</v>
      </c>
      <c r="F22" s="11" t="s">
        <v>126</v>
      </c>
      <c r="G22" s="12">
        <f>+MIN(B22,h)</f>
        <v>330</v>
      </c>
      <c r="H22" s="13" t="s">
        <v>13</v>
      </c>
      <c r="K22" s="22"/>
      <c r="L22" s="23" t="s">
        <v>15</v>
      </c>
      <c r="M22" s="23" t="s">
        <v>37</v>
      </c>
      <c r="N22" s="23" t="s">
        <v>81</v>
      </c>
      <c r="O22" s="24" t="s">
        <v>45</v>
      </c>
      <c r="Q22" s="49" t="s">
        <v>40</v>
      </c>
      <c r="R22" s="188">
        <f>ecu/(ecu+N6)*(h/2-$C$19)</f>
        <v>277.61904761904765</v>
      </c>
      <c r="S22" t="s">
        <v>13</v>
      </c>
      <c r="V22" s="11" t="s">
        <v>126</v>
      </c>
      <c r="W22" s="12">
        <f>+MIN(R22,h)</f>
        <v>277.61904761904765</v>
      </c>
      <c r="X22" s="13" t="s">
        <v>13</v>
      </c>
      <c r="AA22" s="22"/>
      <c r="AB22" s="23" t="s">
        <v>15</v>
      </c>
      <c r="AC22" s="23" t="s">
        <v>37</v>
      </c>
      <c r="AD22" s="23" t="s">
        <v>81</v>
      </c>
      <c r="AE22" s="24" t="s">
        <v>45</v>
      </c>
      <c r="AG22" s="49" t="s">
        <v>40</v>
      </c>
      <c r="AH22" s="189">
        <f>ecu/(ecu+N7)*(h/2-$C$19)</f>
        <v>210.72289156626505</v>
      </c>
      <c r="AI22" t="s">
        <v>13</v>
      </c>
      <c r="AL22" s="11" t="s">
        <v>126</v>
      </c>
      <c r="AM22" s="12">
        <f>+MIN(AH22,h)</f>
        <v>210.72289156626505</v>
      </c>
      <c r="AN22" s="13" t="s">
        <v>13</v>
      </c>
      <c r="AQ22" s="22"/>
      <c r="AR22" s="23" t="s">
        <v>15</v>
      </c>
      <c r="AS22" s="23" t="s">
        <v>37</v>
      </c>
      <c r="AT22" s="23" t="s">
        <v>81</v>
      </c>
      <c r="AU22" s="24" t="s">
        <v>45</v>
      </c>
      <c r="AW22" s="49" t="s">
        <v>40</v>
      </c>
      <c r="AX22" s="189">
        <f>ecu/(ecu+N8)*(h/2-$C$19)</f>
        <v>161.94444444444443</v>
      </c>
      <c r="AY22" t="s">
        <v>13</v>
      </c>
      <c r="BB22" s="11" t="s">
        <v>126</v>
      </c>
      <c r="BC22" s="12">
        <f>+MIN(AX22,h)</f>
        <v>161.94444444444443</v>
      </c>
      <c r="BD22" s="13" t="s">
        <v>13</v>
      </c>
      <c r="BG22" s="22"/>
      <c r="BH22" s="23" t="s">
        <v>15</v>
      </c>
      <c r="BI22" s="23" t="s">
        <v>37</v>
      </c>
      <c r="BJ22" s="23" t="s">
        <v>81</v>
      </c>
      <c r="BK22" s="24" t="s">
        <v>45</v>
      </c>
      <c r="BM22" s="49" t="s">
        <v>40</v>
      </c>
      <c r="BN22" s="189">
        <f>ecu/(ecu+N9)*(h/2-$C$19)</f>
        <v>131.50375939849624</v>
      </c>
      <c r="BO22" t="s">
        <v>13</v>
      </c>
      <c r="BR22" s="11" t="s">
        <v>126</v>
      </c>
      <c r="BS22" s="12">
        <f>+MIN(BN22,h)</f>
        <v>131.50375939849624</v>
      </c>
      <c r="BT22" s="13" t="s">
        <v>13</v>
      </c>
      <c r="BW22" s="22"/>
      <c r="BX22" s="23" t="s">
        <v>15</v>
      </c>
      <c r="BY22" s="23" t="s">
        <v>37</v>
      </c>
      <c r="BZ22" s="23" t="s">
        <v>81</v>
      </c>
      <c r="CA22" s="24" t="s">
        <v>45</v>
      </c>
      <c r="CC22" s="49" t="s">
        <v>40</v>
      </c>
      <c r="CD22" s="188">
        <f>ecu/(ecu+N10)*(h/2-$C$19)</f>
        <v>95.573770491803288</v>
      </c>
      <c r="CE22" t="s">
        <v>13</v>
      </c>
      <c r="CH22" s="11" t="s">
        <v>126</v>
      </c>
      <c r="CI22" s="12">
        <f>+MIN(CD22,h)</f>
        <v>95.573770491803288</v>
      </c>
      <c r="CJ22" s="13" t="s">
        <v>13</v>
      </c>
      <c r="CM22" s="22"/>
      <c r="CN22" s="23" t="s">
        <v>15</v>
      </c>
      <c r="CO22" s="23" t="s">
        <v>37</v>
      </c>
      <c r="CP22" s="23" t="s">
        <v>81</v>
      </c>
      <c r="CQ22" s="24" t="s">
        <v>45</v>
      </c>
      <c r="CS22" s="49" t="s">
        <v>40</v>
      </c>
      <c r="CT22" s="188">
        <f>ecu/(ecu+N11)*(h/2-$C$19)</f>
        <v>61.802120141342755</v>
      </c>
      <c r="CU22" t="s">
        <v>13</v>
      </c>
      <c r="CX22" s="11" t="s">
        <v>126</v>
      </c>
      <c r="CY22" s="12">
        <f>+MIN(CT22,h)</f>
        <v>61.802120141342755</v>
      </c>
      <c r="CZ22" s="13" t="s">
        <v>13</v>
      </c>
      <c r="DC22" s="22"/>
      <c r="DD22" s="23" t="s">
        <v>15</v>
      </c>
      <c r="DE22" s="23" t="s">
        <v>37</v>
      </c>
      <c r="DF22" s="23" t="s">
        <v>81</v>
      </c>
      <c r="DG22" s="24" t="s">
        <v>45</v>
      </c>
      <c r="DI22" s="49" t="s">
        <v>40</v>
      </c>
      <c r="DJ22" s="188">
        <f>ecu/(ecu+N12)*(h/2-$C$19)</f>
        <v>52.522522522522529</v>
      </c>
      <c r="DK22" t="s">
        <v>13</v>
      </c>
      <c r="DN22" s="11" t="s">
        <v>126</v>
      </c>
      <c r="DO22" s="12">
        <f>+MIN(DJ22,h)</f>
        <v>52.522522522522529</v>
      </c>
      <c r="DP22" s="13" t="s">
        <v>13</v>
      </c>
      <c r="DS22" s="22"/>
      <c r="DT22" s="23" t="s">
        <v>15</v>
      </c>
      <c r="DU22" s="23" t="s">
        <v>37</v>
      </c>
      <c r="DV22" s="23" t="s">
        <v>81</v>
      </c>
      <c r="DW22" s="24" t="s">
        <v>45</v>
      </c>
      <c r="DY22" s="49" t="s">
        <v>40</v>
      </c>
      <c r="DZ22" s="188">
        <f>ecu/(ecu+N13)*(h/2-$C$19)</f>
        <v>32.814258911819884</v>
      </c>
      <c r="EA22" t="s">
        <v>13</v>
      </c>
      <c r="ED22" s="11" t="s">
        <v>126</v>
      </c>
      <c r="EE22" s="12">
        <f>+MIN(DZ22,h)</f>
        <v>32.814258911819884</v>
      </c>
      <c r="EF22" s="13" t="s">
        <v>13</v>
      </c>
      <c r="EI22" s="22"/>
      <c r="EJ22" s="23" t="s">
        <v>15</v>
      </c>
      <c r="EK22" s="23" t="s">
        <v>37</v>
      </c>
      <c r="EL22" s="23" t="s">
        <v>81</v>
      </c>
      <c r="EM22" s="24" t="s">
        <v>45</v>
      </c>
    </row>
    <row r="23" spans="1:143">
      <c r="A23" s="111" t="s">
        <v>177</v>
      </c>
      <c r="F23" s="69" t="s">
        <v>1</v>
      </c>
      <c r="G23" s="175">
        <v>50</v>
      </c>
      <c r="H23" s="15" t="s">
        <v>39</v>
      </c>
      <c r="K23" s="25" t="s">
        <v>18</v>
      </c>
      <c r="L23" s="53">
        <f>+E31/10^3</f>
        <v>2686.1839587000009</v>
      </c>
      <c r="M23" s="53">
        <f>+N31/10^3</f>
        <v>-229.58055395679816</v>
      </c>
      <c r="N23" s="98">
        <f>+L23+M23</f>
        <v>2456.6034047432026</v>
      </c>
      <c r="O23" s="54" t="s">
        <v>67</v>
      </c>
      <c r="Q23" s="111" t="s">
        <v>177</v>
      </c>
      <c r="V23" s="69" t="s">
        <v>1</v>
      </c>
      <c r="W23" s="175">
        <v>50</v>
      </c>
      <c r="X23" s="15" t="s">
        <v>39</v>
      </c>
      <c r="AA23" s="25" t="s">
        <v>18</v>
      </c>
      <c r="AB23" s="53">
        <f>+U31/10^3</f>
        <v>2259.8055525571431</v>
      </c>
      <c r="AC23" s="53">
        <f>+AD31/10^3</f>
        <v>-590.08196007993979</v>
      </c>
      <c r="AD23" s="98">
        <f>+AB23+AC23</f>
        <v>1669.7235924772033</v>
      </c>
      <c r="AE23" s="54" t="s">
        <v>67</v>
      </c>
      <c r="AG23" s="111" t="s">
        <v>177</v>
      </c>
      <c r="AL23" s="69" t="s">
        <v>1</v>
      </c>
      <c r="AM23" s="175">
        <v>50</v>
      </c>
      <c r="AN23" s="15" t="s">
        <v>39</v>
      </c>
      <c r="AQ23" s="25" t="s">
        <v>18</v>
      </c>
      <c r="AR23" s="53">
        <f>+AK31/10^3</f>
        <v>1715.2740941096383</v>
      </c>
      <c r="AS23" s="53">
        <f>+AT31/10^3</f>
        <v>-843.45051242258705</v>
      </c>
      <c r="AT23" s="98">
        <f>+AR23+AS23</f>
        <v>871.82358168705127</v>
      </c>
      <c r="AU23" s="54" t="s">
        <v>67</v>
      </c>
      <c r="AW23" s="111" t="s">
        <v>177</v>
      </c>
      <c r="BB23" s="69" t="s">
        <v>1</v>
      </c>
      <c r="BC23" s="175">
        <v>50</v>
      </c>
      <c r="BD23" s="15" t="s">
        <v>39</v>
      </c>
      <c r="BG23" s="25" t="s">
        <v>18</v>
      </c>
      <c r="BH23" s="53">
        <f>+BA31/10^3</f>
        <v>1318.2199056583329</v>
      </c>
      <c r="BI23" s="53">
        <f>+BJ31/10^3</f>
        <v>-1140.1850491225766</v>
      </c>
      <c r="BJ23" s="98">
        <f>+BH23+BI23</f>
        <v>178.03485653575626</v>
      </c>
      <c r="BK23" s="54" t="s">
        <v>67</v>
      </c>
      <c r="BM23" s="111" t="s">
        <v>177</v>
      </c>
      <c r="BR23" s="69" t="s">
        <v>1</v>
      </c>
      <c r="BS23" s="175">
        <v>50</v>
      </c>
      <c r="BT23" s="15" t="s">
        <v>39</v>
      </c>
      <c r="BW23" s="25" t="s">
        <v>18</v>
      </c>
      <c r="BX23" s="53">
        <f>+BQ31/10^3</f>
        <v>1070.4342091060148</v>
      </c>
      <c r="BY23" s="53">
        <f>+BZ31/10^3</f>
        <v>-1554.5224099833576</v>
      </c>
      <c r="BZ23" s="98">
        <f>+BX23+BY23</f>
        <v>-484.08820087734284</v>
      </c>
      <c r="CA23" s="54" t="s">
        <v>67</v>
      </c>
      <c r="CC23" s="111" t="s">
        <v>177</v>
      </c>
      <c r="CH23" s="69" t="s">
        <v>1</v>
      </c>
      <c r="CI23" s="175">
        <v>50</v>
      </c>
      <c r="CJ23" s="15" t="s">
        <v>39</v>
      </c>
      <c r="CM23" s="25" t="s">
        <v>18</v>
      </c>
      <c r="CN23" s="53">
        <f>+CG31/10^3</f>
        <v>777.96584596229502</v>
      </c>
      <c r="CO23" s="53">
        <f>+CP31/10^3</f>
        <v>-2189.8277532906977</v>
      </c>
      <c r="CP23" s="98">
        <f>+CN23+CO23</f>
        <v>-1411.8619073284026</v>
      </c>
      <c r="CQ23" s="54" t="s">
        <v>67</v>
      </c>
      <c r="CS23" s="111" t="s">
        <v>177</v>
      </c>
      <c r="CX23" s="69" t="s">
        <v>1</v>
      </c>
      <c r="CY23" s="175">
        <v>50</v>
      </c>
      <c r="CZ23" s="15" t="s">
        <v>39</v>
      </c>
      <c r="DC23" s="25" t="s">
        <v>18</v>
      </c>
      <c r="DD23" s="53">
        <f>+CW31/10^3</f>
        <v>503.06625374947015</v>
      </c>
      <c r="DE23" s="53">
        <f>+DF31/10^3</f>
        <v>-2784.8215367815183</v>
      </c>
      <c r="DF23" s="98">
        <f>+DD23+DE23</f>
        <v>-2281.7552830320483</v>
      </c>
      <c r="DG23" s="54" t="s">
        <v>67</v>
      </c>
      <c r="DI23" s="111" t="s">
        <v>177</v>
      </c>
      <c r="DN23" s="69" t="s">
        <v>1</v>
      </c>
      <c r="DO23" s="175">
        <v>50</v>
      </c>
      <c r="DP23" s="15" t="s">
        <v>39</v>
      </c>
      <c r="DS23" s="25" t="s">
        <v>18</v>
      </c>
      <c r="DT23" s="53">
        <f>+DM31/10^3</f>
        <v>427.53078021351354</v>
      </c>
      <c r="DU23" s="53">
        <f>+DV31/10^3</f>
        <v>-3103.4857274550795</v>
      </c>
      <c r="DV23" s="98">
        <f>+DT23+DU23</f>
        <v>-2675.9549472415661</v>
      </c>
      <c r="DW23" s="54" t="s">
        <v>67</v>
      </c>
      <c r="DY23" s="111" t="s">
        <v>177</v>
      </c>
      <c r="ED23" s="69" t="s">
        <v>1</v>
      </c>
      <c r="EE23" s="175">
        <v>50</v>
      </c>
      <c r="EF23" s="15" t="s">
        <v>39</v>
      </c>
      <c r="EI23" s="25" t="s">
        <v>18</v>
      </c>
      <c r="EJ23" s="53">
        <f>+EC31/10^3</f>
        <v>267.10647244108816</v>
      </c>
      <c r="EK23" s="53">
        <f>+EL31/10^3</f>
        <v>-3538.6899650035425</v>
      </c>
      <c r="EL23" s="98">
        <f>+EJ23+EK23</f>
        <v>-3271.5834925624545</v>
      </c>
      <c r="EM23" s="54" t="s">
        <v>67</v>
      </c>
    </row>
    <row r="24" spans="1:143" ht="15.75" thickBot="1">
      <c r="A24" s="111" t="s">
        <v>181</v>
      </c>
      <c r="F24" s="69" t="s">
        <v>41</v>
      </c>
      <c r="G24" s="66">
        <f>G22/G$23</f>
        <v>6.6</v>
      </c>
      <c r="H24" s="15" t="s">
        <v>13</v>
      </c>
      <c r="K24" s="26" t="s">
        <v>20</v>
      </c>
      <c r="L24" s="95">
        <f>+F31/10^6</f>
        <v>440.78573851290008</v>
      </c>
      <c r="M24" s="96">
        <f>+O31/10^6</f>
        <v>607.40020838801559</v>
      </c>
      <c r="N24" s="99">
        <f>+L24+M24</f>
        <v>1048.1859469009157</v>
      </c>
      <c r="O24" s="97" t="s">
        <v>68</v>
      </c>
      <c r="Q24" s="111" t="s">
        <v>181</v>
      </c>
      <c r="V24" s="69" t="s">
        <v>41</v>
      </c>
      <c r="W24" s="66">
        <f>W22/W$23</f>
        <v>5.5523809523809531</v>
      </c>
      <c r="X24" s="15" t="s">
        <v>13</v>
      </c>
      <c r="AA24" s="26" t="s">
        <v>20</v>
      </c>
      <c r="AB24" s="95">
        <f>+V31/10^6</f>
        <v>419.56925898615162</v>
      </c>
      <c r="AC24" s="96">
        <f>+AE31/10^6</f>
        <v>628.3953237202054</v>
      </c>
      <c r="AD24" s="99">
        <f>+AB24+AC24</f>
        <v>1047.9645827063571</v>
      </c>
      <c r="AE24" s="97" t="s">
        <v>68</v>
      </c>
      <c r="AG24" s="111" t="s">
        <v>181</v>
      </c>
      <c r="AL24" s="69" t="s">
        <v>41</v>
      </c>
      <c r="AM24" s="66">
        <f>AM22/AM$23</f>
        <v>4.2144578313253014</v>
      </c>
      <c r="AN24" s="15" t="s">
        <v>13</v>
      </c>
      <c r="AQ24" s="26" t="s">
        <v>20</v>
      </c>
      <c r="AR24" s="95">
        <f>+AL31/10^6</f>
        <v>365.72461718429895</v>
      </c>
      <c r="AS24" s="96">
        <f>+AU31/10^6</f>
        <v>611.23887659663774</v>
      </c>
      <c r="AT24" s="99">
        <f>+AR24+AS24</f>
        <v>976.96349378093669</v>
      </c>
      <c r="AU24" s="97" t="s">
        <v>68</v>
      </c>
      <c r="AW24" s="111" t="s">
        <v>181</v>
      </c>
      <c r="BB24" s="69" t="s">
        <v>41</v>
      </c>
      <c r="BC24" s="66">
        <f>BC22/BC$23</f>
        <v>3.2388888888888885</v>
      </c>
      <c r="BD24" s="15" t="s">
        <v>13</v>
      </c>
      <c r="BG24" s="26" t="s">
        <v>20</v>
      </c>
      <c r="BH24" s="95">
        <f>+BB31/10^6</f>
        <v>307.54758327896843</v>
      </c>
      <c r="BI24" s="96">
        <f>+BK31/10^6</f>
        <v>566.58782415846918</v>
      </c>
      <c r="BJ24" s="99">
        <f>+BH24+BI24</f>
        <v>874.13540743743761</v>
      </c>
      <c r="BK24" s="97" t="s">
        <v>68</v>
      </c>
      <c r="BM24" s="111" t="s">
        <v>181</v>
      </c>
      <c r="BR24" s="69" t="s">
        <v>41</v>
      </c>
      <c r="BS24" s="66">
        <f>BS22/BS$23</f>
        <v>2.6300751879699247</v>
      </c>
      <c r="BT24" s="15" t="s">
        <v>13</v>
      </c>
      <c r="BW24" s="26" t="s">
        <v>20</v>
      </c>
      <c r="BX24" s="95">
        <f>+BR31/10^6</f>
        <v>263.15750663967077</v>
      </c>
      <c r="BY24" s="96">
        <f>+CA31/10^6</f>
        <v>497.08685611977779</v>
      </c>
      <c r="BZ24" s="99">
        <f>+BX24+BY24</f>
        <v>760.24436275944856</v>
      </c>
      <c r="CA24" s="97" t="s">
        <v>68</v>
      </c>
      <c r="CC24" s="111" t="s">
        <v>181</v>
      </c>
      <c r="CH24" s="69" t="s">
        <v>41</v>
      </c>
      <c r="CI24" s="66">
        <f>CI22/CI$23</f>
        <v>1.9114754098360658</v>
      </c>
      <c r="CJ24" s="15" t="s">
        <v>13</v>
      </c>
      <c r="CM24" s="26" t="s">
        <v>20</v>
      </c>
      <c r="CN24" s="95">
        <f>+CH31/10^6</f>
        <v>202.76835325377397</v>
      </c>
      <c r="CO24" s="96">
        <f>+CQ31/10^6</f>
        <v>384.22909887130123</v>
      </c>
      <c r="CP24" s="99">
        <f>+CN24+CO24</f>
        <v>586.99745212507514</v>
      </c>
      <c r="CQ24" s="97" t="s">
        <v>68</v>
      </c>
      <c r="CS24" s="111" t="s">
        <v>181</v>
      </c>
      <c r="CX24" s="69" t="s">
        <v>41</v>
      </c>
      <c r="CY24" s="66">
        <f>CY22/CY$23</f>
        <v>1.2360424028268551</v>
      </c>
      <c r="CZ24" s="15" t="s">
        <v>13</v>
      </c>
      <c r="DC24" s="26" t="s">
        <v>20</v>
      </c>
      <c r="DD24" s="95">
        <f>+CX31/10^6</f>
        <v>138.1156198285488</v>
      </c>
      <c r="DE24" s="96">
        <f>+DG31/10^6</f>
        <v>247.3805286684125</v>
      </c>
      <c r="DF24" s="99">
        <f>+DD24+DE24</f>
        <v>385.49614849696127</v>
      </c>
      <c r="DG24" s="97" t="s">
        <v>68</v>
      </c>
      <c r="DI24" s="111" t="s">
        <v>181</v>
      </c>
      <c r="DN24" s="69" t="s">
        <v>41</v>
      </c>
      <c r="DO24" s="66">
        <f>DO22/DO$23</f>
        <v>1.0504504504504506</v>
      </c>
      <c r="DP24" s="15" t="s">
        <v>13</v>
      </c>
      <c r="DS24" s="26" t="s">
        <v>20</v>
      </c>
      <c r="DT24" s="95">
        <f>+DN31/10^6</f>
        <v>119.01142695501927</v>
      </c>
      <c r="DU24" s="96">
        <f>+DW31/10^6</f>
        <v>174.08776481349335</v>
      </c>
      <c r="DV24" s="99">
        <f>+DT24+DU24</f>
        <v>293.09919176851264</v>
      </c>
      <c r="DW24" s="97" t="s">
        <v>68</v>
      </c>
      <c r="DY24" s="111" t="s">
        <v>181</v>
      </c>
      <c r="ED24" s="69" t="s">
        <v>41</v>
      </c>
      <c r="EE24" s="66">
        <f>EE22/EE$23</f>
        <v>0.65628517823639765</v>
      </c>
      <c r="EF24" s="15" t="s">
        <v>13</v>
      </c>
      <c r="EI24" s="26" t="s">
        <v>20</v>
      </c>
      <c r="EJ24" s="95">
        <f>+ED31/10^6</f>
        <v>76.52222758459898</v>
      </c>
      <c r="EK24" s="96">
        <f>+EM31/10^6</f>
        <v>73.990790177346838</v>
      </c>
      <c r="EL24" s="99">
        <f>+EJ24+EK24</f>
        <v>150.51301776194583</v>
      </c>
      <c r="EM24" s="97" t="s">
        <v>68</v>
      </c>
    </row>
    <row r="25" spans="1:143" ht="15.75" thickTop="1">
      <c r="A25" t="s">
        <v>188</v>
      </c>
      <c r="C25" s="171" t="s">
        <v>189</v>
      </c>
      <c r="D25" s="172">
        <f>+ecu*(B22-h/2)/B22</f>
        <v>3.0000000000000003E-4</v>
      </c>
      <c r="F25" s="69" t="s">
        <v>42</v>
      </c>
      <c r="G25" s="66">
        <f>+b</f>
        <v>400</v>
      </c>
      <c r="H25" s="15" t="s">
        <v>13</v>
      </c>
      <c r="Q25" t="s">
        <v>188</v>
      </c>
      <c r="S25" s="171" t="s">
        <v>189</v>
      </c>
      <c r="T25" s="172">
        <f>+ecu*(R22-h/2)/R22</f>
        <v>-2.6603773584905622E-4</v>
      </c>
      <c r="V25" s="69" t="s">
        <v>42</v>
      </c>
      <c r="W25" s="66">
        <f>+b</f>
        <v>400</v>
      </c>
      <c r="X25" s="15" t="s">
        <v>13</v>
      </c>
      <c r="AG25" t="s">
        <v>188</v>
      </c>
      <c r="AI25" s="171" t="s">
        <v>189</v>
      </c>
      <c r="AJ25" s="172">
        <f>+ecu*(AH22-h/2)/AH22</f>
        <v>-1.3981132075471701E-3</v>
      </c>
      <c r="AL25" s="69" t="s">
        <v>42</v>
      </c>
      <c r="AM25" s="66">
        <f>+b</f>
        <v>400</v>
      </c>
      <c r="AN25" s="15" t="s">
        <v>13</v>
      </c>
      <c r="AW25" t="s">
        <v>188</v>
      </c>
      <c r="AY25" s="171" t="s">
        <v>189</v>
      </c>
      <c r="AZ25" s="172">
        <f>+ecu*(AX22-h/2)/AX22</f>
        <v>-2.8132075471698119E-3</v>
      </c>
      <c r="BB25" s="69" t="s">
        <v>42</v>
      </c>
      <c r="BC25" s="66">
        <f>+b</f>
        <v>400</v>
      </c>
      <c r="BD25" s="15" t="s">
        <v>13</v>
      </c>
      <c r="BM25" t="s">
        <v>188</v>
      </c>
      <c r="BO25" s="171" t="s">
        <v>189</v>
      </c>
      <c r="BP25" s="172">
        <f>+ecu*(BN22-h/2)/BN22</f>
        <v>-4.2283018867924531E-3</v>
      </c>
      <c r="BR25" s="69" t="s">
        <v>42</v>
      </c>
      <c r="BS25" s="66">
        <f>+b</f>
        <v>400</v>
      </c>
      <c r="BT25" s="15" t="s">
        <v>13</v>
      </c>
      <c r="CC25" t="s">
        <v>188</v>
      </c>
      <c r="CE25" s="171" t="s">
        <v>189</v>
      </c>
      <c r="CF25" s="172">
        <f>+ecu*(CD22-h/2)/CD22</f>
        <v>-7.0584905660377346E-3</v>
      </c>
      <c r="CH25" s="69" t="s">
        <v>42</v>
      </c>
      <c r="CI25" s="66">
        <f>+b</f>
        <v>400</v>
      </c>
      <c r="CJ25" s="15" t="s">
        <v>13</v>
      </c>
      <c r="CS25" t="s">
        <v>188</v>
      </c>
      <c r="CU25" s="171" t="s">
        <v>189</v>
      </c>
      <c r="CV25" s="172">
        <f>+ecu*(CT22-h/2)/CT22</f>
        <v>-1.2718867924528301E-2</v>
      </c>
      <c r="CX25" s="69" t="s">
        <v>42</v>
      </c>
      <c r="CY25" s="66">
        <f>+b</f>
        <v>400</v>
      </c>
      <c r="CZ25" s="15" t="s">
        <v>13</v>
      </c>
      <c r="DI25" t="s">
        <v>188</v>
      </c>
      <c r="DK25" s="171" t="s">
        <v>189</v>
      </c>
      <c r="DL25" s="172">
        <f>+ecu*(DJ22-h/2)/DJ22</f>
        <v>-1.5549056603773584E-2</v>
      </c>
      <c r="DN25" s="69" t="s">
        <v>42</v>
      </c>
      <c r="DO25" s="66">
        <f>+b</f>
        <v>400</v>
      </c>
      <c r="DP25" s="15" t="s">
        <v>13</v>
      </c>
      <c r="DY25" t="s">
        <v>188</v>
      </c>
      <c r="EA25" s="171" t="s">
        <v>189</v>
      </c>
      <c r="EB25" s="172">
        <f>+ecu*(DZ22-h/2)/DZ22</f>
        <v>-2.6869811320754722E-2</v>
      </c>
      <c r="ED25" s="69" t="s">
        <v>42</v>
      </c>
      <c r="EE25" s="66">
        <f>+b</f>
        <v>400</v>
      </c>
      <c r="EF25" s="15" t="s">
        <v>13</v>
      </c>
    </row>
    <row r="26" spans="1:143" ht="15.75" thickBot="1">
      <c r="A26" t="s">
        <v>190</v>
      </c>
      <c r="C26" s="173" t="s">
        <v>185</v>
      </c>
      <c r="D26" s="174">
        <f>+ecu/B22</f>
        <v>9.9999999999999991E-6</v>
      </c>
      <c r="F26" s="70" t="s">
        <v>43</v>
      </c>
      <c r="G26" s="71">
        <f>+G24*G25</f>
        <v>2640</v>
      </c>
      <c r="H26" s="18" t="s">
        <v>10</v>
      </c>
      <c r="Q26" t="s">
        <v>190</v>
      </c>
      <c r="S26" s="173" t="s">
        <v>185</v>
      </c>
      <c r="T26" s="174">
        <f>+ecu/R22</f>
        <v>1.1886792452830188E-5</v>
      </c>
      <c r="V26" s="70" t="s">
        <v>43</v>
      </c>
      <c r="W26" s="71">
        <f>+W24*W25</f>
        <v>2220.9523809523812</v>
      </c>
      <c r="X26" s="18" t="s">
        <v>10</v>
      </c>
      <c r="AG26" t="s">
        <v>190</v>
      </c>
      <c r="AI26" s="173" t="s">
        <v>185</v>
      </c>
      <c r="AJ26" s="174">
        <f>+ecu/AH22</f>
        <v>1.5660377358490568E-5</v>
      </c>
      <c r="AL26" s="70" t="s">
        <v>43</v>
      </c>
      <c r="AM26" s="71">
        <f>+AM24*AM25</f>
        <v>1685.7831325301206</v>
      </c>
      <c r="AN26" s="18" t="s">
        <v>10</v>
      </c>
      <c r="AW26" t="s">
        <v>190</v>
      </c>
      <c r="AY26" s="173" t="s">
        <v>185</v>
      </c>
      <c r="AZ26" s="174">
        <f>+ecu/AX22</f>
        <v>2.0377358490566041E-5</v>
      </c>
      <c r="BB26" s="70" t="s">
        <v>43</v>
      </c>
      <c r="BC26" s="71">
        <f>+BC24*BC25</f>
        <v>1295.5555555555554</v>
      </c>
      <c r="BD26" s="18" t="s">
        <v>10</v>
      </c>
      <c r="BM26" t="s">
        <v>190</v>
      </c>
      <c r="BO26" s="173" t="s">
        <v>185</v>
      </c>
      <c r="BP26" s="174">
        <f>+ecu/BN22</f>
        <v>2.509433962264151E-5</v>
      </c>
      <c r="BR26" s="70" t="s">
        <v>43</v>
      </c>
      <c r="BS26" s="71">
        <f>+BS24*BS25</f>
        <v>1052.0300751879699</v>
      </c>
      <c r="BT26" s="18" t="s">
        <v>10</v>
      </c>
      <c r="CC26" t="s">
        <v>190</v>
      </c>
      <c r="CE26" s="173" t="s">
        <v>185</v>
      </c>
      <c r="CF26" s="174">
        <f>+ecu/CD22</f>
        <v>3.4528301886792452E-5</v>
      </c>
      <c r="CH26" s="70" t="s">
        <v>43</v>
      </c>
      <c r="CI26" s="71">
        <f>+CI24*CI25</f>
        <v>764.5901639344263</v>
      </c>
      <c r="CJ26" s="18" t="s">
        <v>10</v>
      </c>
      <c r="CS26" t="s">
        <v>190</v>
      </c>
      <c r="CU26" s="173" t="s">
        <v>185</v>
      </c>
      <c r="CV26" s="174">
        <f>+ecu/CT22</f>
        <v>5.3396226415094344E-5</v>
      </c>
      <c r="CX26" s="70" t="s">
        <v>43</v>
      </c>
      <c r="CY26" s="71">
        <f>+CY24*CY25</f>
        <v>494.41696113074204</v>
      </c>
      <c r="CZ26" s="18" t="s">
        <v>10</v>
      </c>
      <c r="DI26" t="s">
        <v>190</v>
      </c>
      <c r="DK26" s="173" t="s">
        <v>185</v>
      </c>
      <c r="DL26" s="174">
        <f>+ecu/DJ22</f>
        <v>6.2830188679245276E-5</v>
      </c>
      <c r="DN26" s="70" t="s">
        <v>43</v>
      </c>
      <c r="DO26" s="71">
        <f>+DO24*DO25</f>
        <v>420.18018018018023</v>
      </c>
      <c r="DP26" s="18" t="s">
        <v>10</v>
      </c>
      <c r="DY26" t="s">
        <v>190</v>
      </c>
      <c r="EA26" s="173" t="s">
        <v>185</v>
      </c>
      <c r="EB26" s="174">
        <f>+ecu/DZ22</f>
        <v>1.0056603773584907E-4</v>
      </c>
      <c r="ED26" s="70" t="s">
        <v>43</v>
      </c>
      <c r="EE26" s="71">
        <f>+EE24*EE25</f>
        <v>262.51407129455907</v>
      </c>
      <c r="EF26" s="18" t="s">
        <v>10</v>
      </c>
    </row>
    <row r="27" spans="1:143" ht="15.75" thickTop="1">
      <c r="F27" s="49"/>
      <c r="G27" s="90"/>
      <c r="V27" s="49"/>
      <c r="W27" s="90"/>
      <c r="AL27" s="49"/>
      <c r="AM27" s="90"/>
      <c r="BB27" s="49"/>
      <c r="BC27" s="90"/>
      <c r="BR27" s="49"/>
      <c r="BS27" s="90"/>
      <c r="CH27" s="49"/>
      <c r="CI27" s="90"/>
      <c r="CX27" s="49"/>
      <c r="CY27" s="90"/>
      <c r="DN27" s="49"/>
      <c r="DO27" s="90"/>
      <c r="ED27" s="49"/>
      <c r="EE27" s="90"/>
    </row>
    <row r="28" spans="1:143" ht="16.5" thickBot="1">
      <c r="A28" s="94" t="s">
        <v>80</v>
      </c>
      <c r="I28" s="94" t="s">
        <v>79</v>
      </c>
      <c r="Q28" s="94" t="s">
        <v>80</v>
      </c>
      <c r="Y28" s="94" t="s">
        <v>79</v>
      </c>
      <c r="AG28" s="94" t="s">
        <v>80</v>
      </c>
      <c r="AO28" s="94" t="s">
        <v>79</v>
      </c>
      <c r="AW28" s="94" t="s">
        <v>80</v>
      </c>
      <c r="BE28" s="94" t="s">
        <v>79</v>
      </c>
      <c r="BM28" s="94" t="s">
        <v>80</v>
      </c>
      <c r="BU28" s="94" t="s">
        <v>79</v>
      </c>
      <c r="CC28" s="94" t="s">
        <v>80</v>
      </c>
      <c r="CK28" s="94" t="s">
        <v>79</v>
      </c>
      <c r="CS28" s="94" t="s">
        <v>80</v>
      </c>
      <c r="DA28" s="94" t="s">
        <v>79</v>
      </c>
      <c r="DI28" s="94" t="s">
        <v>80</v>
      </c>
      <c r="DQ28" s="94" t="s">
        <v>79</v>
      </c>
      <c r="DY28" s="94" t="s">
        <v>80</v>
      </c>
      <c r="EG28" s="94" t="s">
        <v>79</v>
      </c>
    </row>
    <row r="29" spans="1:143" s="58" customFormat="1" ht="21" customHeight="1" thickTop="1">
      <c r="A29" s="55" t="s">
        <v>2</v>
      </c>
      <c r="B29" s="56" t="s">
        <v>3</v>
      </c>
      <c r="C29" s="56" t="s">
        <v>46</v>
      </c>
      <c r="D29" s="56" t="s">
        <v>47</v>
      </c>
      <c r="E29" s="56" t="s">
        <v>65</v>
      </c>
      <c r="F29" s="57" t="s">
        <v>66</v>
      </c>
      <c r="H29" s="55" t="s">
        <v>2</v>
      </c>
      <c r="I29" s="56" t="s">
        <v>16</v>
      </c>
      <c r="J29" s="56" t="s">
        <v>59</v>
      </c>
      <c r="K29" s="56" t="s">
        <v>58</v>
      </c>
      <c r="L29" s="56" t="s">
        <v>47</v>
      </c>
      <c r="M29" s="56" t="s">
        <v>60</v>
      </c>
      <c r="N29" s="84" t="s">
        <v>61</v>
      </c>
      <c r="O29" s="57" t="s">
        <v>63</v>
      </c>
      <c r="P29"/>
      <c r="Q29" s="55" t="s">
        <v>2</v>
      </c>
      <c r="R29" s="56" t="s">
        <v>3</v>
      </c>
      <c r="S29" s="56" t="s">
        <v>46</v>
      </c>
      <c r="T29" s="56" t="s">
        <v>47</v>
      </c>
      <c r="U29" s="56" t="s">
        <v>65</v>
      </c>
      <c r="V29" s="57" t="s">
        <v>66</v>
      </c>
      <c r="X29" s="55" t="s">
        <v>2</v>
      </c>
      <c r="Y29" s="56" t="s">
        <v>16</v>
      </c>
      <c r="Z29" s="56" t="s">
        <v>59</v>
      </c>
      <c r="AA29" s="56" t="s">
        <v>58</v>
      </c>
      <c r="AB29" s="56" t="s">
        <v>47</v>
      </c>
      <c r="AC29" s="56" t="s">
        <v>60</v>
      </c>
      <c r="AD29" s="84" t="s">
        <v>61</v>
      </c>
      <c r="AE29" s="57" t="s">
        <v>63</v>
      </c>
      <c r="AG29" s="55" t="s">
        <v>2</v>
      </c>
      <c r="AH29" s="56" t="s">
        <v>3</v>
      </c>
      <c r="AI29" s="56" t="s">
        <v>46</v>
      </c>
      <c r="AJ29" s="56" t="s">
        <v>47</v>
      </c>
      <c r="AK29" s="56" t="s">
        <v>65</v>
      </c>
      <c r="AL29" s="57" t="s">
        <v>66</v>
      </c>
      <c r="AN29" s="55" t="s">
        <v>2</v>
      </c>
      <c r="AO29" s="56" t="s">
        <v>16</v>
      </c>
      <c r="AP29" s="56" t="s">
        <v>59</v>
      </c>
      <c r="AQ29" s="56" t="s">
        <v>58</v>
      </c>
      <c r="AR29" s="56" t="s">
        <v>47</v>
      </c>
      <c r="AS29" s="56" t="s">
        <v>60</v>
      </c>
      <c r="AT29" s="84" t="s">
        <v>61</v>
      </c>
      <c r="AU29" s="57" t="s">
        <v>63</v>
      </c>
      <c r="AW29" s="55" t="s">
        <v>2</v>
      </c>
      <c r="AX29" s="56" t="s">
        <v>3</v>
      </c>
      <c r="AY29" s="56" t="s">
        <v>46</v>
      </c>
      <c r="AZ29" s="56" t="s">
        <v>47</v>
      </c>
      <c r="BA29" s="56" t="s">
        <v>65</v>
      </c>
      <c r="BB29" s="57" t="s">
        <v>66</v>
      </c>
      <c r="BD29" s="55" t="s">
        <v>2</v>
      </c>
      <c r="BE29" s="56" t="s">
        <v>16</v>
      </c>
      <c r="BF29" s="56" t="s">
        <v>59</v>
      </c>
      <c r="BG29" s="56" t="s">
        <v>58</v>
      </c>
      <c r="BH29" s="56" t="s">
        <v>47</v>
      </c>
      <c r="BI29" s="56" t="s">
        <v>60</v>
      </c>
      <c r="BJ29" s="84" t="s">
        <v>61</v>
      </c>
      <c r="BK29" s="57" t="s">
        <v>63</v>
      </c>
      <c r="BM29" s="55" t="s">
        <v>2</v>
      </c>
      <c r="BN29" s="56" t="s">
        <v>3</v>
      </c>
      <c r="BO29" s="56" t="s">
        <v>46</v>
      </c>
      <c r="BP29" s="56" t="s">
        <v>47</v>
      </c>
      <c r="BQ29" s="56" t="s">
        <v>65</v>
      </c>
      <c r="BR29" s="57" t="s">
        <v>66</v>
      </c>
      <c r="BT29" s="55" t="s">
        <v>2</v>
      </c>
      <c r="BU29" s="56" t="s">
        <v>16</v>
      </c>
      <c r="BV29" s="56" t="s">
        <v>59</v>
      </c>
      <c r="BW29" s="56" t="s">
        <v>58</v>
      </c>
      <c r="BX29" s="56" t="s">
        <v>47</v>
      </c>
      <c r="BY29" s="56" t="s">
        <v>60</v>
      </c>
      <c r="BZ29" s="84" t="s">
        <v>61</v>
      </c>
      <c r="CA29" s="57" t="s">
        <v>63</v>
      </c>
      <c r="CB29"/>
      <c r="CC29" s="55" t="s">
        <v>2</v>
      </c>
      <c r="CD29" s="56" t="s">
        <v>3</v>
      </c>
      <c r="CE29" s="56" t="s">
        <v>46</v>
      </c>
      <c r="CF29" s="56" t="s">
        <v>47</v>
      </c>
      <c r="CG29" s="56" t="s">
        <v>65</v>
      </c>
      <c r="CH29" s="57" t="s">
        <v>66</v>
      </c>
      <c r="CJ29" s="55" t="s">
        <v>2</v>
      </c>
      <c r="CK29" s="56" t="s">
        <v>16</v>
      </c>
      <c r="CL29" s="56" t="s">
        <v>59</v>
      </c>
      <c r="CM29" s="56" t="s">
        <v>58</v>
      </c>
      <c r="CN29" s="56" t="s">
        <v>47</v>
      </c>
      <c r="CO29" s="56" t="s">
        <v>60</v>
      </c>
      <c r="CP29" s="84" t="s">
        <v>61</v>
      </c>
      <c r="CQ29" s="57" t="s">
        <v>63</v>
      </c>
      <c r="CS29" s="55" t="s">
        <v>2</v>
      </c>
      <c r="CT29" s="56" t="s">
        <v>3</v>
      </c>
      <c r="CU29" s="56" t="s">
        <v>46</v>
      </c>
      <c r="CV29" s="56" t="s">
        <v>47</v>
      </c>
      <c r="CW29" s="56" t="s">
        <v>65</v>
      </c>
      <c r="CX29" s="57" t="s">
        <v>66</v>
      </c>
      <c r="CZ29" s="55" t="s">
        <v>2</v>
      </c>
      <c r="DA29" s="56" t="s">
        <v>16</v>
      </c>
      <c r="DB29" s="56" t="s">
        <v>59</v>
      </c>
      <c r="DC29" s="56" t="s">
        <v>58</v>
      </c>
      <c r="DD29" s="56" t="s">
        <v>47</v>
      </c>
      <c r="DE29" s="56" t="s">
        <v>60</v>
      </c>
      <c r="DF29" s="84" t="s">
        <v>61</v>
      </c>
      <c r="DG29" s="57" t="s">
        <v>63</v>
      </c>
      <c r="DI29" s="55" t="s">
        <v>2</v>
      </c>
      <c r="DJ29" s="56" t="s">
        <v>3</v>
      </c>
      <c r="DK29" s="56" t="s">
        <v>46</v>
      </c>
      <c r="DL29" s="56" t="s">
        <v>47</v>
      </c>
      <c r="DM29" s="56" t="s">
        <v>65</v>
      </c>
      <c r="DN29" s="57" t="s">
        <v>66</v>
      </c>
      <c r="DP29" s="55" t="s">
        <v>2</v>
      </c>
      <c r="DQ29" s="56" t="s">
        <v>16</v>
      </c>
      <c r="DR29" s="56" t="s">
        <v>59</v>
      </c>
      <c r="DS29" s="56" t="s">
        <v>58</v>
      </c>
      <c r="DT29" s="56" t="s">
        <v>47</v>
      </c>
      <c r="DU29" s="56" t="s">
        <v>60</v>
      </c>
      <c r="DV29" s="84" t="s">
        <v>61</v>
      </c>
      <c r="DW29" s="57" t="s">
        <v>63</v>
      </c>
      <c r="DY29" s="55" t="s">
        <v>2</v>
      </c>
      <c r="DZ29" s="56" t="s">
        <v>3</v>
      </c>
      <c r="EA29" s="56" t="s">
        <v>46</v>
      </c>
      <c r="EB29" s="56" t="s">
        <v>47</v>
      </c>
      <c r="EC29" s="56" t="s">
        <v>65</v>
      </c>
      <c r="ED29" s="57" t="s">
        <v>66</v>
      </c>
      <c r="EF29" s="55" t="s">
        <v>2</v>
      </c>
      <c r="EG29" s="56" t="s">
        <v>16</v>
      </c>
      <c r="EH29" s="56" t="s">
        <v>59</v>
      </c>
      <c r="EI29" s="56" t="s">
        <v>58</v>
      </c>
      <c r="EJ29" s="56" t="s">
        <v>47</v>
      </c>
      <c r="EK29" s="56" t="s">
        <v>60</v>
      </c>
      <c r="EL29" s="84" t="s">
        <v>61</v>
      </c>
      <c r="EM29" s="57" t="s">
        <v>63</v>
      </c>
    </row>
    <row r="30" spans="1:143">
      <c r="A30" s="59" t="s">
        <v>45</v>
      </c>
      <c r="B30" s="60" t="s">
        <v>13</v>
      </c>
      <c r="C30" s="60"/>
      <c r="D30" s="60" t="s">
        <v>11</v>
      </c>
      <c r="E30" s="60" t="s">
        <v>12</v>
      </c>
      <c r="F30" s="61" t="s">
        <v>14</v>
      </c>
      <c r="H30" s="59" t="s">
        <v>45</v>
      </c>
      <c r="I30" s="60" t="s">
        <v>13</v>
      </c>
      <c r="J30" s="60"/>
      <c r="K30" s="60" t="s">
        <v>11</v>
      </c>
      <c r="L30" s="60" t="s">
        <v>11</v>
      </c>
      <c r="M30" s="60" t="s">
        <v>11</v>
      </c>
      <c r="N30" s="85" t="s">
        <v>14</v>
      </c>
      <c r="O30" s="61" t="s">
        <v>14</v>
      </c>
      <c r="Q30" s="59" t="s">
        <v>45</v>
      </c>
      <c r="R30" s="60" t="s">
        <v>13</v>
      </c>
      <c r="S30" s="60"/>
      <c r="T30" s="60" t="s">
        <v>11</v>
      </c>
      <c r="U30" s="60" t="s">
        <v>12</v>
      </c>
      <c r="V30" s="61" t="s">
        <v>14</v>
      </c>
      <c r="X30" s="59" t="s">
        <v>45</v>
      </c>
      <c r="Y30" s="60" t="s">
        <v>13</v>
      </c>
      <c r="Z30" s="60"/>
      <c r="AA30" s="60" t="s">
        <v>11</v>
      </c>
      <c r="AB30" s="60" t="s">
        <v>11</v>
      </c>
      <c r="AC30" s="60" t="s">
        <v>11</v>
      </c>
      <c r="AD30" s="85" t="s">
        <v>14</v>
      </c>
      <c r="AE30" s="61" t="s">
        <v>14</v>
      </c>
      <c r="AG30" s="59" t="s">
        <v>45</v>
      </c>
      <c r="AH30" s="60" t="s">
        <v>13</v>
      </c>
      <c r="AI30" s="60"/>
      <c r="AJ30" s="60" t="s">
        <v>11</v>
      </c>
      <c r="AK30" s="60" t="s">
        <v>12</v>
      </c>
      <c r="AL30" s="61" t="s">
        <v>14</v>
      </c>
      <c r="AN30" s="59" t="s">
        <v>45</v>
      </c>
      <c r="AO30" s="60" t="s">
        <v>13</v>
      </c>
      <c r="AP30" s="60"/>
      <c r="AQ30" s="60" t="s">
        <v>11</v>
      </c>
      <c r="AR30" s="60" t="s">
        <v>11</v>
      </c>
      <c r="AS30" s="60" t="s">
        <v>11</v>
      </c>
      <c r="AT30" s="85" t="s">
        <v>14</v>
      </c>
      <c r="AU30" s="61" t="s">
        <v>14</v>
      </c>
      <c r="AW30" s="59" t="s">
        <v>45</v>
      </c>
      <c r="AX30" s="60" t="s">
        <v>13</v>
      </c>
      <c r="AY30" s="60"/>
      <c r="AZ30" s="60" t="s">
        <v>11</v>
      </c>
      <c r="BA30" s="60" t="s">
        <v>12</v>
      </c>
      <c r="BB30" s="61" t="s">
        <v>14</v>
      </c>
      <c r="BD30" s="59" t="s">
        <v>45</v>
      </c>
      <c r="BE30" s="60" t="s">
        <v>13</v>
      </c>
      <c r="BF30" s="60"/>
      <c r="BG30" s="60" t="s">
        <v>11</v>
      </c>
      <c r="BH30" s="60" t="s">
        <v>11</v>
      </c>
      <c r="BI30" s="60" t="s">
        <v>11</v>
      </c>
      <c r="BJ30" s="85" t="s">
        <v>14</v>
      </c>
      <c r="BK30" s="61" t="s">
        <v>14</v>
      </c>
      <c r="BM30" s="59" t="s">
        <v>45</v>
      </c>
      <c r="BN30" s="60" t="s">
        <v>13</v>
      </c>
      <c r="BO30" s="60"/>
      <c r="BP30" s="60" t="s">
        <v>11</v>
      </c>
      <c r="BQ30" s="60" t="s">
        <v>12</v>
      </c>
      <c r="BR30" s="61" t="s">
        <v>14</v>
      </c>
      <c r="BT30" s="59" t="s">
        <v>45</v>
      </c>
      <c r="BU30" s="60" t="s">
        <v>13</v>
      </c>
      <c r="BV30" s="60"/>
      <c r="BW30" s="60" t="s">
        <v>11</v>
      </c>
      <c r="BX30" s="60" t="s">
        <v>11</v>
      </c>
      <c r="BY30" s="60" t="s">
        <v>11</v>
      </c>
      <c r="BZ30" s="85" t="s">
        <v>14</v>
      </c>
      <c r="CA30" s="61" t="s">
        <v>14</v>
      </c>
      <c r="CC30" s="59" t="s">
        <v>45</v>
      </c>
      <c r="CD30" s="60" t="s">
        <v>13</v>
      </c>
      <c r="CE30" s="60"/>
      <c r="CF30" s="60" t="s">
        <v>11</v>
      </c>
      <c r="CG30" s="60" t="s">
        <v>12</v>
      </c>
      <c r="CH30" s="61" t="s">
        <v>14</v>
      </c>
      <c r="CJ30" s="59" t="s">
        <v>45</v>
      </c>
      <c r="CK30" s="60" t="s">
        <v>13</v>
      </c>
      <c r="CL30" s="60"/>
      <c r="CM30" s="60" t="s">
        <v>11</v>
      </c>
      <c r="CN30" s="60" t="s">
        <v>11</v>
      </c>
      <c r="CO30" s="60" t="s">
        <v>11</v>
      </c>
      <c r="CP30" s="85" t="s">
        <v>14</v>
      </c>
      <c r="CQ30" s="61" t="s">
        <v>14</v>
      </c>
      <c r="CS30" s="59" t="s">
        <v>45</v>
      </c>
      <c r="CT30" s="60" t="s">
        <v>13</v>
      </c>
      <c r="CU30" s="60"/>
      <c r="CV30" s="60" t="s">
        <v>11</v>
      </c>
      <c r="CW30" s="60" t="s">
        <v>12</v>
      </c>
      <c r="CX30" s="61" t="s">
        <v>14</v>
      </c>
      <c r="CZ30" s="59" t="s">
        <v>45</v>
      </c>
      <c r="DA30" s="60" t="s">
        <v>13</v>
      </c>
      <c r="DB30" s="60"/>
      <c r="DC30" s="60" t="s">
        <v>11</v>
      </c>
      <c r="DD30" s="60" t="s">
        <v>11</v>
      </c>
      <c r="DE30" s="60" t="s">
        <v>11</v>
      </c>
      <c r="DF30" s="85" t="s">
        <v>14</v>
      </c>
      <c r="DG30" s="61" t="s">
        <v>14</v>
      </c>
      <c r="DI30" s="59" t="s">
        <v>45</v>
      </c>
      <c r="DJ30" s="60" t="s">
        <v>13</v>
      </c>
      <c r="DK30" s="60"/>
      <c r="DL30" s="60" t="s">
        <v>11</v>
      </c>
      <c r="DM30" s="60" t="s">
        <v>12</v>
      </c>
      <c r="DN30" s="61" t="s">
        <v>14</v>
      </c>
      <c r="DP30" s="59" t="s">
        <v>45</v>
      </c>
      <c r="DQ30" s="60" t="s">
        <v>13</v>
      </c>
      <c r="DR30" s="60"/>
      <c r="DS30" s="60" t="s">
        <v>11</v>
      </c>
      <c r="DT30" s="60" t="s">
        <v>11</v>
      </c>
      <c r="DU30" s="60" t="s">
        <v>11</v>
      </c>
      <c r="DV30" s="85" t="s">
        <v>14</v>
      </c>
      <c r="DW30" s="61" t="s">
        <v>14</v>
      </c>
      <c r="DY30" s="59" t="s">
        <v>45</v>
      </c>
      <c r="DZ30" s="60" t="s">
        <v>13</v>
      </c>
      <c r="EA30" s="60"/>
      <c r="EB30" s="60" t="s">
        <v>11</v>
      </c>
      <c r="EC30" s="60" t="s">
        <v>12</v>
      </c>
      <c r="ED30" s="61" t="s">
        <v>14</v>
      </c>
      <c r="EF30" s="59" t="s">
        <v>45</v>
      </c>
      <c r="EG30" s="60" t="s">
        <v>13</v>
      </c>
      <c r="EH30" s="60"/>
      <c r="EI30" s="60" t="s">
        <v>11</v>
      </c>
      <c r="EJ30" s="60" t="s">
        <v>11</v>
      </c>
      <c r="EK30" s="60" t="s">
        <v>11</v>
      </c>
      <c r="EL30" s="85" t="s">
        <v>14</v>
      </c>
      <c r="EM30" s="61" t="s">
        <v>14</v>
      </c>
    </row>
    <row r="31" spans="1:143" ht="20.25" customHeight="1">
      <c r="A31" s="62" t="s">
        <v>44</v>
      </c>
      <c r="B31" s="63"/>
      <c r="C31" s="63"/>
      <c r="D31" s="63"/>
      <c r="E31" s="64">
        <f>+SUM(E32:E81)</f>
        <v>2686183.9587000008</v>
      </c>
      <c r="F31" s="65">
        <f>+SUM(F32:F81)</f>
        <v>440785738.51290005</v>
      </c>
      <c r="H31" s="62" t="s">
        <v>44</v>
      </c>
      <c r="I31" s="63"/>
      <c r="J31" s="63"/>
      <c r="K31" s="63"/>
      <c r="L31" s="64"/>
      <c r="M31" s="63"/>
      <c r="N31" s="86">
        <f>+SUM(N32:N43)</f>
        <v>-229580.55395679816</v>
      </c>
      <c r="O31" s="65">
        <f>+SUM(O32:O43)</f>
        <v>607400208.38801563</v>
      </c>
      <c r="Q31" s="62" t="s">
        <v>44</v>
      </c>
      <c r="R31" s="63"/>
      <c r="S31" s="63"/>
      <c r="T31" s="63"/>
      <c r="U31" s="64">
        <f>+SUM(U32:U81)</f>
        <v>2259805.5525571429</v>
      </c>
      <c r="V31" s="65">
        <f>+SUM(V32:V81)</f>
        <v>419569258.98615164</v>
      </c>
      <c r="X31" s="62" t="s">
        <v>44</v>
      </c>
      <c r="Y31" s="63"/>
      <c r="Z31" s="63"/>
      <c r="AA31" s="63"/>
      <c r="AB31" s="64"/>
      <c r="AC31" s="63"/>
      <c r="AD31" s="86">
        <f>+SUM(AD32:AD43)</f>
        <v>-590081.9600799398</v>
      </c>
      <c r="AE31" s="65">
        <f>+SUM(AE32:AE43)</f>
        <v>628395323.72020543</v>
      </c>
      <c r="AG31" s="62" t="s">
        <v>44</v>
      </c>
      <c r="AH31" s="63"/>
      <c r="AI31" s="63"/>
      <c r="AJ31" s="63"/>
      <c r="AK31" s="64">
        <f>+SUM(AK32:AK81)</f>
        <v>1715274.0941096384</v>
      </c>
      <c r="AL31" s="65">
        <f>+SUM(AL32:AL81)</f>
        <v>365724617.18429893</v>
      </c>
      <c r="AN31" s="62" t="s">
        <v>44</v>
      </c>
      <c r="AO31" s="63"/>
      <c r="AP31" s="63"/>
      <c r="AQ31" s="63"/>
      <c r="AR31" s="64"/>
      <c r="AS31" s="63"/>
      <c r="AT31" s="86">
        <f>+SUM(AT32:AT43)</f>
        <v>-843450.51242258702</v>
      </c>
      <c r="AU31" s="65">
        <f>+SUM(AU32:AU43)</f>
        <v>611238876.59663773</v>
      </c>
      <c r="AW31" s="62" t="s">
        <v>44</v>
      </c>
      <c r="AX31" s="63"/>
      <c r="AY31" s="63"/>
      <c r="AZ31" s="63"/>
      <c r="BA31" s="64">
        <f>+SUM(BA32:BA81)</f>
        <v>1318219.9056583329</v>
      </c>
      <c r="BB31" s="65">
        <f>+SUM(BB32:BB81)</f>
        <v>307547583.27896845</v>
      </c>
      <c r="BD31" s="62" t="s">
        <v>44</v>
      </c>
      <c r="BE31" s="63"/>
      <c r="BF31" s="63"/>
      <c r="BG31" s="63"/>
      <c r="BH31" s="64"/>
      <c r="BI31" s="63"/>
      <c r="BJ31" s="86">
        <f>+SUM(BJ32:BJ43)</f>
        <v>-1140185.0491225766</v>
      </c>
      <c r="BK31" s="65">
        <f>+SUM(BK32:BK43)</f>
        <v>566587824.1584692</v>
      </c>
      <c r="BM31" s="62" t="s">
        <v>44</v>
      </c>
      <c r="BN31" s="63"/>
      <c r="BO31" s="63"/>
      <c r="BP31" s="63"/>
      <c r="BQ31" s="64">
        <f>+SUM(BQ32:BQ81)</f>
        <v>1070434.2091060148</v>
      </c>
      <c r="BR31" s="65">
        <f>+SUM(BR32:BR81)</f>
        <v>263157506.63967076</v>
      </c>
      <c r="BT31" s="62" t="s">
        <v>44</v>
      </c>
      <c r="BU31" s="63"/>
      <c r="BV31" s="63"/>
      <c r="BW31" s="63"/>
      <c r="BX31" s="64"/>
      <c r="BY31" s="63"/>
      <c r="BZ31" s="86">
        <f>+SUM(BZ32:BZ43)</f>
        <v>-1554522.4099833576</v>
      </c>
      <c r="CA31" s="65">
        <f>+SUM(CA32:CA43)</f>
        <v>497086856.1197778</v>
      </c>
      <c r="CC31" s="62" t="s">
        <v>44</v>
      </c>
      <c r="CD31" s="63"/>
      <c r="CE31" s="63"/>
      <c r="CF31" s="63"/>
      <c r="CG31" s="64">
        <f>+SUM(CG32:CG81)</f>
        <v>777965.84596229508</v>
      </c>
      <c r="CH31" s="65">
        <f>+SUM(CH32:CH81)</f>
        <v>202768353.25377396</v>
      </c>
      <c r="CJ31" s="62" t="s">
        <v>44</v>
      </c>
      <c r="CK31" s="63"/>
      <c r="CL31" s="63"/>
      <c r="CM31" s="63"/>
      <c r="CN31" s="64"/>
      <c r="CO31" s="63"/>
      <c r="CP31" s="86">
        <f>+SUM(CP32:CP43)</f>
        <v>-2189827.7532906979</v>
      </c>
      <c r="CQ31" s="65">
        <f>+SUM(CQ32:CQ43)</f>
        <v>384229098.87130123</v>
      </c>
      <c r="CS31" s="62" t="s">
        <v>44</v>
      </c>
      <c r="CT31" s="63"/>
      <c r="CU31" s="63"/>
      <c r="CV31" s="63"/>
      <c r="CW31" s="64">
        <f>+SUM(CW32:CW81)</f>
        <v>503066.25374947017</v>
      </c>
      <c r="CX31" s="65">
        <f>+SUM(CX32:CX81)</f>
        <v>138115619.82854879</v>
      </c>
      <c r="CZ31" s="62" t="s">
        <v>44</v>
      </c>
      <c r="DA31" s="63"/>
      <c r="DB31" s="63"/>
      <c r="DC31" s="63"/>
      <c r="DD31" s="64"/>
      <c r="DE31" s="63"/>
      <c r="DF31" s="86">
        <f>+SUM(DF32:DF43)</f>
        <v>-2784821.5367815183</v>
      </c>
      <c r="DG31" s="65">
        <f>+SUM(DG32:DG43)</f>
        <v>247380528.66841251</v>
      </c>
      <c r="DI31" s="62" t="s">
        <v>44</v>
      </c>
      <c r="DJ31" s="63"/>
      <c r="DK31" s="63"/>
      <c r="DL31" s="63"/>
      <c r="DM31" s="64">
        <f>+SUM(DM32:DM81)</f>
        <v>427530.78021351353</v>
      </c>
      <c r="DN31" s="65">
        <f>+SUM(DN32:DN81)</f>
        <v>119011426.95501928</v>
      </c>
      <c r="DP31" s="62" t="s">
        <v>44</v>
      </c>
      <c r="DQ31" s="63"/>
      <c r="DR31" s="63"/>
      <c r="DS31" s="63"/>
      <c r="DT31" s="64"/>
      <c r="DU31" s="63"/>
      <c r="DV31" s="86">
        <f>+SUM(DV32:DV43)</f>
        <v>-3103485.7274550796</v>
      </c>
      <c r="DW31" s="65">
        <f>+SUM(DW32:DW43)</f>
        <v>174087764.81349334</v>
      </c>
      <c r="DY31" s="62" t="s">
        <v>44</v>
      </c>
      <c r="DZ31" s="63"/>
      <c r="EA31" s="63"/>
      <c r="EB31" s="63"/>
      <c r="EC31" s="64">
        <f>+SUM(EC32:EC81)</f>
        <v>267106.47244108818</v>
      </c>
      <c r="ED31" s="65">
        <f>+SUM(ED32:ED81)</f>
        <v>76522227.584598973</v>
      </c>
      <c r="EF31" s="62" t="s">
        <v>44</v>
      </c>
      <c r="EG31" s="63"/>
      <c r="EH31" s="63"/>
      <c r="EI31" s="63"/>
      <c r="EJ31" s="64"/>
      <c r="EK31" s="63"/>
      <c r="EL31" s="86">
        <f>+SUM(EL32:EL43)</f>
        <v>-3538689.9650035426</v>
      </c>
      <c r="EM31" s="65">
        <f>+SUM(EM32:EM43)</f>
        <v>73990790.177346841</v>
      </c>
    </row>
    <row r="32" spans="1:143">
      <c r="A32" s="25">
        <v>1</v>
      </c>
      <c r="B32" s="51">
        <f t="shared" ref="B32:B63" si="0">h/2-($A32-0.5)*G$24</f>
        <v>296.7</v>
      </c>
      <c r="C32" s="74">
        <f>D$25+D$26*B32</f>
        <v>3.2669999999999995E-3</v>
      </c>
      <c r="D32" s="52">
        <f t="shared" ref="D32:D81" si="1">+IF(C32&gt;=0,IF(C32&lt;=eco,1-(1-C32/eco)^n,1),0)*0.85*fck</f>
        <v>25.5</v>
      </c>
      <c r="E32" s="53">
        <f t="shared" ref="E32:E63" si="2">+D32*G$26</f>
        <v>67320</v>
      </c>
      <c r="F32" s="54">
        <f t="shared" ref="F32:F63" si="3">+E32*B32</f>
        <v>19973844</v>
      </c>
      <c r="H32" s="25">
        <v>1</v>
      </c>
      <c r="I32" s="51">
        <f>Input!$E10</f>
        <v>230</v>
      </c>
      <c r="J32" s="74">
        <f>D$25+D$26*I32</f>
        <v>2.5999999999999999E-3</v>
      </c>
      <c r="K32" s="52">
        <f t="shared" ref="K32:K43" si="4">J32*Es</f>
        <v>520</v>
      </c>
      <c r="L32" s="52">
        <f t="shared" ref="L32:L43" si="5">+IF(K32&gt;=0,IF(J32&lt;=eco,1-(1-J32/eco)^n,1),0)*0.85*fck</f>
        <v>25.5</v>
      </c>
      <c r="M32" s="83">
        <f t="shared" ref="M32:M43" si="6">MAX(MIN(K32,fy),-fy)-IF(K32&gt;=0,L32,0)</f>
        <v>374.5</v>
      </c>
      <c r="N32" s="93">
        <f>IF(AND(ISNUMBER(Input!$D10),ISNUMBER(Input!$E10)),M32*As,0)</f>
        <v>301190.77088496066</v>
      </c>
      <c r="O32" s="54">
        <f>N32*I32</f>
        <v>69273877.303540945</v>
      </c>
      <c r="Q32" s="25">
        <v>1</v>
      </c>
      <c r="R32" s="51">
        <f t="shared" ref="R32:R63" si="7">h/2-($Q32-0.5)*W$24</f>
        <v>297.22380952380951</v>
      </c>
      <c r="S32" s="74">
        <f>T$25+T$26*R32</f>
        <v>3.2669999999999995E-3</v>
      </c>
      <c r="T32" s="52">
        <f t="shared" ref="T32:T81" si="8">+IF(S32&gt;=0,IF(S32&lt;=eco,1-(1-S32/eco)^n,1),0)*0.85*fck</f>
        <v>25.5</v>
      </c>
      <c r="U32" s="53">
        <f t="shared" ref="U32:U63" si="9">+T32*W$26</f>
        <v>56634.285714285717</v>
      </c>
      <c r="V32" s="54">
        <f t="shared" ref="V32:V63" si="10">+U32*R32</f>
        <v>16833058.149659865</v>
      </c>
      <c r="X32" s="25">
        <v>1</v>
      </c>
      <c r="Y32" s="51">
        <f>Input!$E10</f>
        <v>230</v>
      </c>
      <c r="Z32" s="74">
        <f>T$25+T$26*Y32</f>
        <v>2.4679245283018869E-3</v>
      </c>
      <c r="AA32" s="52">
        <f t="shared" ref="AA32:AA43" si="11">Z32*Es</f>
        <v>493.58490566037739</v>
      </c>
      <c r="AB32" s="52">
        <f t="shared" ref="AB32:AB43" si="12">+IF(AA32&gt;=0,IF(Z32&lt;=eco,1-(1-Z32/eco)^n,1),0)*0.85*fck</f>
        <v>25.5</v>
      </c>
      <c r="AC32" s="83">
        <f t="shared" ref="AC32:AC43" si="13">MAX(MIN(AA32,fy),-fy)-IF(AA32&gt;=0,AB32,0)</f>
        <v>374.5</v>
      </c>
      <c r="AD32" s="93">
        <f>IF(AND(ISNUMBER(Input!$D10),ISNUMBER(Input!$E10)),AC32*As,0)</f>
        <v>301190.77088496066</v>
      </c>
      <c r="AE32" s="54">
        <f>AD32*Y32</f>
        <v>69273877.303540945</v>
      </c>
      <c r="AG32" s="25">
        <v>1</v>
      </c>
      <c r="AH32" s="51">
        <f t="shared" ref="AH32:AH63" si="14">h/2-($AG32-0.5)*AM$24</f>
        <v>297.89277108433737</v>
      </c>
      <c r="AI32" s="74">
        <f>AJ$25+AJ$26*AH32</f>
        <v>3.2670000000000008E-3</v>
      </c>
      <c r="AJ32" s="52">
        <f t="shared" ref="AJ32:AJ81" si="15">+IF(AI32&gt;=0,IF(AI32&lt;=eco,1-(1-AI32/eco)^n,1),0)*0.85*fck</f>
        <v>25.5</v>
      </c>
      <c r="AK32" s="53">
        <f t="shared" ref="AK32:AK63" si="16">+AJ32*AM$26</f>
        <v>42987.469879518074</v>
      </c>
      <c r="AL32" s="54">
        <f t="shared" ref="AL32:AL63" si="17">+AK32*AH32</f>
        <v>12805656.524314126</v>
      </c>
      <c r="AN32" s="25">
        <v>1</v>
      </c>
      <c r="AO32" s="51">
        <f>Input!$E10</f>
        <v>230</v>
      </c>
      <c r="AP32" s="74">
        <f>AJ$25+AJ$26*AO32</f>
        <v>2.2037735849056604E-3</v>
      </c>
      <c r="AQ32" s="52">
        <f t="shared" ref="AQ32:AQ43" si="18">AP32*Es</f>
        <v>440.75471698113205</v>
      </c>
      <c r="AR32" s="52">
        <f t="shared" ref="AR32:AR43" si="19">+IF(AQ32&gt;=0,IF(AP32&lt;=eco,1-(1-AP32/eco)^n,1),0)*0.85*fck</f>
        <v>25.5</v>
      </c>
      <c r="AS32" s="83">
        <f t="shared" ref="AS32:AS43" si="20">MAX(MIN(AQ32,fy),-fy)-IF(AQ32&gt;=0,AR32,0)</f>
        <v>374.5</v>
      </c>
      <c r="AT32" s="93">
        <f>IF(AND(ISNUMBER(Input!$D10),ISNUMBER(Input!$E10)),AS32*As,0)</f>
        <v>301190.77088496066</v>
      </c>
      <c r="AU32" s="54">
        <f>AT32*AO32</f>
        <v>69273877.303540945</v>
      </c>
      <c r="AW32" s="25">
        <v>1</v>
      </c>
      <c r="AX32" s="51">
        <f t="shared" ref="AX32:AX63" si="21">h/2-($AW32-0.5)*BC$24</f>
        <v>298.38055555555553</v>
      </c>
      <c r="AY32" s="74">
        <f>AZ$25+AZ$26*AX32</f>
        <v>3.2669999999999999E-3</v>
      </c>
      <c r="AZ32" s="52">
        <f t="shared" ref="AZ32:AZ81" si="22">+IF(AY32&gt;=0,IF(AY32&lt;=eco,1-(1-AY32/eco)^n,1),0)*0.85*fck</f>
        <v>25.5</v>
      </c>
      <c r="BA32" s="53">
        <f t="shared" ref="BA32:BA63" si="23">+AZ32*BC$26</f>
        <v>33036.666666666664</v>
      </c>
      <c r="BB32" s="54">
        <f t="shared" ref="BB32:BB63" si="24">+BA32*AX32</f>
        <v>9857498.9537037015</v>
      </c>
      <c r="BD32" s="25">
        <v>1</v>
      </c>
      <c r="BE32" s="51">
        <f>Input!$E10</f>
        <v>230</v>
      </c>
      <c r="BF32" s="74">
        <f>AZ$25+AZ$26*BE32</f>
        <v>1.8735849056603776E-3</v>
      </c>
      <c r="BG32" s="52">
        <f t="shared" ref="BG32:BG43" si="25">BF32*Es</f>
        <v>374.71698113207555</v>
      </c>
      <c r="BH32" s="52">
        <f t="shared" ref="BH32:BH43" si="26">+IF(BG32&gt;=0,IF(BF32&lt;=eco,1-(1-BF32/eco)^n,1),0)*0.85*fck</f>
        <v>25.39812255250979</v>
      </c>
      <c r="BI32" s="83">
        <f t="shared" ref="BI32:BI43" si="27">MAX(MIN(BG32,fy),-fy)-IF(BG32&gt;=0,BH32,0)</f>
        <v>349.31885857956576</v>
      </c>
      <c r="BJ32" s="93">
        <f>IF(AND(ISNUMBER(Input!$D10),ISNUMBER(Input!$E10)),BI32*As,0)</f>
        <v>280938.89532772754</v>
      </c>
      <c r="BK32" s="54">
        <f>BJ32*BE32</f>
        <v>64615945.925377332</v>
      </c>
      <c r="BM32" s="25">
        <v>1</v>
      </c>
      <c r="BN32" s="51">
        <f t="shared" ref="BN32:BN63" si="28">h/2-($AW32-0.5)*BS$24</f>
        <v>298.68496240601502</v>
      </c>
      <c r="BO32" s="74">
        <f>BP$25+BP$26*BN32</f>
        <v>3.2669999999999991E-3</v>
      </c>
      <c r="BP32" s="52">
        <f t="shared" ref="BP32:BP81" si="29">+IF(BO32&gt;=0,IF(BO32&lt;=eco,1-(1-BO32/eco)^n,1),0)*0.85*fck</f>
        <v>25.5</v>
      </c>
      <c r="BQ32" s="53">
        <f t="shared" ref="BQ32:BQ63" si="30">+BP32*BS$26</f>
        <v>26826.766917293233</v>
      </c>
      <c r="BR32" s="54">
        <f t="shared" ref="BR32:BR63" si="31">+BQ32*BN32</f>
        <v>8012751.8681666562</v>
      </c>
      <c r="BT32" s="25">
        <v>1</v>
      </c>
      <c r="BU32" s="51">
        <f>Input!$E10</f>
        <v>230</v>
      </c>
      <c r="BV32" s="74">
        <f>BP$25+BP$26*BU32</f>
        <v>1.543396226415094E-3</v>
      </c>
      <c r="BW32" s="52">
        <f t="shared" ref="BW32:BW43" si="32">BV32*Es</f>
        <v>308.67924528301882</v>
      </c>
      <c r="BX32" s="52">
        <f t="shared" ref="BX32:BX43" si="33">+IF(BW32&gt;=0,IF(BV32&lt;=eco,1-(1-BV32/eco)^n,1),0)*0.85*fck</f>
        <v>24.170895336418649</v>
      </c>
      <c r="BY32" s="83">
        <f t="shared" ref="BY32:BY43" si="34">MAX(MIN(BW32,fy),-fy)-IF(BW32&gt;=0,BX32,0)</f>
        <v>284.50834994660016</v>
      </c>
      <c r="BZ32" s="93">
        <f>IF(AND(ISNUMBER(Input!$D10),ISNUMBER(Input!$E10)),BY32*As,0)</f>
        <v>228815.19157176142</v>
      </c>
      <c r="CA32" s="54">
        <f>BZ32*BU32</f>
        <v>52627494.061505124</v>
      </c>
      <c r="CC32" s="25">
        <v>1</v>
      </c>
      <c r="CD32" s="51">
        <f t="shared" ref="CD32:CD63" si="35">h/2-($CC32-0.5)*CI$24</f>
        <v>299.04426229508198</v>
      </c>
      <c r="CE32" s="74">
        <f>CF$25+CF$26*CD32</f>
        <v>3.2670000000000008E-3</v>
      </c>
      <c r="CF32" s="52">
        <f t="shared" ref="CF32:CF81" si="36">+IF(CE32&gt;=0,IF(CE32&lt;=eco,1-(1-CE32/eco)^n,1),0)*0.85*fck</f>
        <v>25.5</v>
      </c>
      <c r="CG32" s="53">
        <f t="shared" ref="CG32:CG63" si="37">+CF32*CI$26</f>
        <v>19497.049180327871</v>
      </c>
      <c r="CH32" s="54">
        <f t="shared" ref="CH32:CH63" si="38">+CG32*CD32</f>
        <v>5830480.6890620813</v>
      </c>
      <c r="CJ32" s="25">
        <v>1</v>
      </c>
      <c r="CK32" s="51">
        <f>Input!$E10</f>
        <v>230</v>
      </c>
      <c r="CL32" s="74">
        <f>CF$25+CF$26*CK32</f>
        <v>8.8301886792453016E-4</v>
      </c>
      <c r="CM32" s="52">
        <f t="shared" ref="CM32:CM43" si="39">CL32*Es</f>
        <v>176.60377358490604</v>
      </c>
      <c r="CN32" s="52">
        <f t="shared" ref="CN32:CN43" si="40">+IF(CM32&gt;=0,IF(CL32&lt;=eco,1-(1-CL32/eco)^n,1),0)*0.85*fck</f>
        <v>17.546251334994682</v>
      </c>
      <c r="CO32" s="83">
        <f t="shared" ref="CO32:CO43" si="41">MAX(MIN(CM32,fy),-fy)-IF(CM32&gt;=0,CN32,0)</f>
        <v>159.05752224991136</v>
      </c>
      <c r="CP32" s="93">
        <f>IF(AND(ISNUMBER(Input!$D10),ISNUMBER(Input!$E10)),CO32*As,0)</f>
        <v>127921.64951002024</v>
      </c>
      <c r="CQ32" s="54">
        <f>CP32*CK32</f>
        <v>29421979.387304656</v>
      </c>
      <c r="CS32" s="25">
        <v>1</v>
      </c>
      <c r="CT32" s="51">
        <f t="shared" ref="CT32:CT63" si="42">h/2-($CC32-0.5)*CY$24</f>
        <v>299.38197879858654</v>
      </c>
      <c r="CU32" s="74">
        <f>CV$25+CV$26*CT32</f>
        <v>3.2670000000000008E-3</v>
      </c>
      <c r="CV32" s="52">
        <f t="shared" ref="CV32:CV81" si="43">+IF(CU32&gt;=0,IF(CU32&lt;=eco,1-(1-CU32/eco)^n,1),0)*0.85*fck</f>
        <v>25.5</v>
      </c>
      <c r="CW32" s="53">
        <f t="shared" ref="CW32:CW63" si="44">+CV32*CY$26</f>
        <v>12607.632508833922</v>
      </c>
      <c r="CX32" s="54">
        <f t="shared" ref="CX32:CX63" si="45">+CW32*CT32</f>
        <v>3774497.9684600877</v>
      </c>
      <c r="CZ32" s="25">
        <v>1</v>
      </c>
      <c r="DA32" s="51">
        <f>Input!$E10</f>
        <v>230</v>
      </c>
      <c r="DB32" s="74">
        <f>CV$25+CV$26*DA32</f>
        <v>-4.3773584905660266E-4</v>
      </c>
      <c r="DC32" s="52">
        <f t="shared" ref="DC32:DC43" si="46">DB32*Es</f>
        <v>-87.547169811320529</v>
      </c>
      <c r="DD32" s="52">
        <f t="shared" ref="DD32:DD43" si="47">+IF(DC32&gt;=0,IF(DB32&lt;=eco,1-(1-DB32/eco)^n,1),0)*0.85*fck</f>
        <v>0</v>
      </c>
      <c r="DE32" s="83">
        <f t="shared" ref="DE32:DE43" si="48">MAX(MIN(DC32,fy),-fy)-IF(DC32&gt;=0,DD32,0)</f>
        <v>-87.547169811320529</v>
      </c>
      <c r="DF32" s="93">
        <f>IF(AND(ISNUMBER(Input!$D10),ISNUMBER(Input!$E10)),DE32*As,0)</f>
        <v>-70409.611653586602</v>
      </c>
      <c r="DG32" s="54">
        <f>DF32*DA32</f>
        <v>-16194210.680324918</v>
      </c>
      <c r="DI32" s="25">
        <v>1</v>
      </c>
      <c r="DJ32" s="51">
        <f t="shared" ref="DJ32:DJ63" si="49">h/2-($CC32-0.5)*DO$24</f>
        <v>299.4747747747748</v>
      </c>
      <c r="DK32" s="74">
        <f>DL$25+DL$26*DJ32</f>
        <v>3.2670000000000008E-3</v>
      </c>
      <c r="DL32" s="52">
        <f t="shared" ref="DL32:DL81" si="50">+IF(DK32&gt;=0,IF(DK32&lt;=eco,1-(1-DK32/eco)^n,1),0)*0.85*fck</f>
        <v>25.5</v>
      </c>
      <c r="DM32" s="53">
        <f t="shared" ref="DM32:DM63" si="51">+DL32*DO$26</f>
        <v>10714.594594594595</v>
      </c>
      <c r="DN32" s="54">
        <f t="shared" ref="DN32:DN63" si="52">+DM32*DJ32</f>
        <v>3208750.8030192358</v>
      </c>
      <c r="DP32" s="25">
        <v>1</v>
      </c>
      <c r="DQ32" s="51">
        <f>Input!$E10</f>
        <v>230</v>
      </c>
      <c r="DR32" s="74">
        <f>DL$25+DL$26*DQ32</f>
        <v>-1.0981132075471699E-3</v>
      </c>
      <c r="DS32" s="52">
        <f t="shared" ref="DS32:DS43" si="53">DR32*Es</f>
        <v>-219.62264150943398</v>
      </c>
      <c r="DT32" s="52">
        <f t="shared" ref="DT32:DT43" si="54">+IF(DS32&gt;=0,IF(DR32&lt;=eco,1-(1-DR32/eco)^n,1),0)*0.85*fck</f>
        <v>0</v>
      </c>
      <c r="DU32" s="83">
        <f t="shared" ref="DU32:DU43" si="55">MAX(MIN(DS32,fy),-fy)-IF(DS32&gt;=0,DT32,0)</f>
        <v>-219.62264150943398</v>
      </c>
      <c r="DV32" s="93">
        <f>IF(AND(ISNUMBER(Input!$D10),ISNUMBER(Input!$E10)),DU32*As,0)</f>
        <v>-176631.00854477377</v>
      </c>
      <c r="DW32" s="54">
        <f>DV32*DQ32</f>
        <v>-40625131.965297967</v>
      </c>
      <c r="DY32" s="25">
        <v>1</v>
      </c>
      <c r="DZ32" s="51">
        <f t="shared" ref="DZ32:DZ63" si="56">h/2-($CC32-0.5)*EE$24</f>
        <v>299.67185741088178</v>
      </c>
      <c r="EA32" s="74">
        <f>EB$25+EB$26*DZ32</f>
        <v>3.2669999999999991E-3</v>
      </c>
      <c r="EB32" s="52">
        <f t="shared" ref="EB32:EB81" si="57">+IF(EA32&gt;=0,IF(EA32&lt;=eco,1-(1-EA32/eco)^n,1),0)*0.85*fck</f>
        <v>25.5</v>
      </c>
      <c r="EC32" s="53">
        <f t="shared" ref="EC32:EC63" si="58">+EB32*EE$26</f>
        <v>6694.1088180112565</v>
      </c>
      <c r="ED32" s="54">
        <f t="shared" ref="ED32:ED63" si="59">+EC32*DZ32</f>
        <v>2006036.0232039958</v>
      </c>
      <c r="EF32" s="25">
        <v>1</v>
      </c>
      <c r="EG32" s="51">
        <f>Input!$E10</f>
        <v>230</v>
      </c>
      <c r="EH32" s="74">
        <f>EB$25+EB$26*EG32</f>
        <v>-3.7396226415094339E-3</v>
      </c>
      <c r="EI32" s="52">
        <f t="shared" ref="EI32:EI43" si="60">EH32*Es</f>
        <v>-747.92452830188677</v>
      </c>
      <c r="EJ32" s="52">
        <f t="shared" ref="EJ32:EJ43" si="61">+IF(EI32&gt;=0,IF(EH32&lt;=eco,1-(1-EH32/eco)^n,1),0)*0.85*fck</f>
        <v>0</v>
      </c>
      <c r="EK32" s="83">
        <f t="shared" ref="EK32:EK43" si="62">MAX(MIN(EI32,fy),-fy)-IF(EI32&gt;=0,EJ32,0)</f>
        <v>-400</v>
      </c>
      <c r="EL32" s="93">
        <f>IF(AND(ISNUMBER(Input!$D10),ISNUMBER(Input!$E10)),EK32*As,0)</f>
        <v>-321699.08772759483</v>
      </c>
      <c r="EM32" s="54">
        <f>EL32*EG32</f>
        <v>-73990790.177346811</v>
      </c>
    </row>
    <row r="33" spans="1:143">
      <c r="A33" s="25">
        <v>2</v>
      </c>
      <c r="B33" s="51">
        <f t="shared" si="0"/>
        <v>290.10000000000002</v>
      </c>
      <c r="C33" s="74">
        <f t="shared" ref="C33:C81" si="63">D$25+D$26*B33</f>
        <v>3.2009999999999999E-3</v>
      </c>
      <c r="D33" s="52">
        <f t="shared" si="1"/>
        <v>25.5</v>
      </c>
      <c r="E33" s="53">
        <f t="shared" si="2"/>
        <v>67320</v>
      </c>
      <c r="F33" s="54">
        <f t="shared" si="3"/>
        <v>19529532</v>
      </c>
      <c r="H33" s="25">
        <v>2</v>
      </c>
      <c r="I33" s="51">
        <f>Input!$E11</f>
        <v>230</v>
      </c>
      <c r="J33" s="74">
        <f t="shared" ref="J33:J43" si="64">D$25+D$26*I33</f>
        <v>2.5999999999999999E-3</v>
      </c>
      <c r="K33" s="52">
        <f t="shared" si="4"/>
        <v>520</v>
      </c>
      <c r="L33" s="52">
        <f t="shared" si="5"/>
        <v>25.5</v>
      </c>
      <c r="M33" s="83">
        <f t="shared" si="6"/>
        <v>374.5</v>
      </c>
      <c r="N33" s="93">
        <f>IF(AND(ISNUMBER(Input!$D11),ISNUMBER(Input!$E11)),M33*As,0)</f>
        <v>301190.77088496066</v>
      </c>
      <c r="O33" s="54">
        <f t="shared" ref="O33:O43" si="65">N33*I33</f>
        <v>69273877.303540945</v>
      </c>
      <c r="Q33" s="25">
        <v>2</v>
      </c>
      <c r="R33" s="51">
        <f t="shared" si="7"/>
        <v>291.67142857142858</v>
      </c>
      <c r="S33" s="74">
        <f t="shared" ref="S33:S81" si="66">T$25+T$26*R33</f>
        <v>3.2009999999999999E-3</v>
      </c>
      <c r="T33" s="52">
        <f t="shared" si="8"/>
        <v>25.5</v>
      </c>
      <c r="U33" s="53">
        <f t="shared" si="9"/>
        <v>56634.285714285717</v>
      </c>
      <c r="V33" s="54">
        <f t="shared" si="10"/>
        <v>16518603.020408165</v>
      </c>
      <c r="X33" s="25">
        <v>2</v>
      </c>
      <c r="Y33" s="51">
        <f>Input!$E11</f>
        <v>230</v>
      </c>
      <c r="Z33" s="74">
        <f t="shared" ref="Z33:Z43" si="67">T$25+T$26*Y33</f>
        <v>2.4679245283018869E-3</v>
      </c>
      <c r="AA33" s="52">
        <f t="shared" si="11"/>
        <v>493.58490566037739</v>
      </c>
      <c r="AB33" s="52">
        <f t="shared" si="12"/>
        <v>25.5</v>
      </c>
      <c r="AC33" s="83">
        <f t="shared" si="13"/>
        <v>374.5</v>
      </c>
      <c r="AD33" s="93">
        <f>IF(AND(ISNUMBER(Input!$D11),ISNUMBER(Input!$E11)),AC33*As,0)</f>
        <v>301190.77088496066</v>
      </c>
      <c r="AE33" s="54">
        <f t="shared" ref="AE33:AE43" si="68">AD33*Y33</f>
        <v>69273877.303540945</v>
      </c>
      <c r="AG33" s="25">
        <v>2</v>
      </c>
      <c r="AH33" s="51">
        <f t="shared" si="14"/>
        <v>293.67831325301205</v>
      </c>
      <c r="AI33" s="74">
        <f t="shared" ref="AI33:AI81" si="69">AJ$25+AJ$26*AH33</f>
        <v>3.2010000000000007E-3</v>
      </c>
      <c r="AJ33" s="52">
        <f t="shared" si="15"/>
        <v>25.5</v>
      </c>
      <c r="AK33" s="53">
        <f t="shared" si="16"/>
        <v>42987.469879518074</v>
      </c>
      <c r="AL33" s="54">
        <f t="shared" si="17"/>
        <v>12624487.645231528</v>
      </c>
      <c r="AN33" s="25">
        <v>2</v>
      </c>
      <c r="AO33" s="51">
        <f>Input!$E11</f>
        <v>230</v>
      </c>
      <c r="AP33" s="74">
        <f t="shared" ref="AP33:AP43" si="70">AJ$25+AJ$26*AO33</f>
        <v>2.2037735849056604E-3</v>
      </c>
      <c r="AQ33" s="52">
        <f t="shared" si="18"/>
        <v>440.75471698113205</v>
      </c>
      <c r="AR33" s="52">
        <f t="shared" si="19"/>
        <v>25.5</v>
      </c>
      <c r="AS33" s="83">
        <f t="shared" si="20"/>
        <v>374.5</v>
      </c>
      <c r="AT33" s="93">
        <f>IF(AND(ISNUMBER(Input!$D11),ISNUMBER(Input!$E11)),AS33*As,0)</f>
        <v>301190.77088496066</v>
      </c>
      <c r="AU33" s="54">
        <f t="shared" ref="AU33:AU43" si="71">AT33*AO33</f>
        <v>69273877.303540945</v>
      </c>
      <c r="AW33" s="25">
        <v>2</v>
      </c>
      <c r="AX33" s="51">
        <f t="shared" si="21"/>
        <v>295.14166666666665</v>
      </c>
      <c r="AY33" s="74">
        <f t="shared" ref="AY33:AY81" si="72">AZ$25+AZ$26*AX33</f>
        <v>3.2009999999999999E-3</v>
      </c>
      <c r="AZ33" s="52">
        <f t="shared" si="22"/>
        <v>25.5</v>
      </c>
      <c r="BA33" s="53">
        <f t="shared" si="23"/>
        <v>33036.666666666664</v>
      </c>
      <c r="BB33" s="54">
        <f t="shared" si="24"/>
        <v>9750496.8611111101</v>
      </c>
      <c r="BD33" s="25">
        <v>2</v>
      </c>
      <c r="BE33" s="51">
        <f>Input!$E11</f>
        <v>230</v>
      </c>
      <c r="BF33" s="74">
        <f t="shared" ref="BF33:BF43" si="73">AZ$25+AZ$26*BE33</f>
        <v>1.8735849056603776E-3</v>
      </c>
      <c r="BG33" s="52">
        <f t="shared" si="25"/>
        <v>374.71698113207555</v>
      </c>
      <c r="BH33" s="52">
        <f t="shared" si="26"/>
        <v>25.39812255250979</v>
      </c>
      <c r="BI33" s="83">
        <f t="shared" si="27"/>
        <v>349.31885857956576</v>
      </c>
      <c r="BJ33" s="93">
        <f>IF(AND(ISNUMBER(Input!$D11),ISNUMBER(Input!$E11)),BI33*As,0)</f>
        <v>280938.89532772754</v>
      </c>
      <c r="BK33" s="54">
        <f t="shared" ref="BK33:BK43" si="74">BJ33*BE33</f>
        <v>64615945.925377332</v>
      </c>
      <c r="BM33" s="25">
        <v>2</v>
      </c>
      <c r="BN33" s="51">
        <f t="shared" si="28"/>
        <v>296.05488721804511</v>
      </c>
      <c r="BO33" s="74">
        <f t="shared" ref="BO33:BO81" si="75">BP$25+BP$26*BN33</f>
        <v>3.2009999999999999E-3</v>
      </c>
      <c r="BP33" s="52">
        <f t="shared" si="29"/>
        <v>25.5</v>
      </c>
      <c r="BQ33" s="53">
        <f t="shared" si="30"/>
        <v>26826.766917293233</v>
      </c>
      <c r="BR33" s="54">
        <f t="shared" si="31"/>
        <v>7942195.4541240316</v>
      </c>
      <c r="BT33" s="25">
        <v>2</v>
      </c>
      <c r="BU33" s="51">
        <f>Input!$E11</f>
        <v>230</v>
      </c>
      <c r="BV33" s="74">
        <f t="shared" ref="BV33:BV43" si="76">BP$25+BP$26*BU33</f>
        <v>1.543396226415094E-3</v>
      </c>
      <c r="BW33" s="52">
        <f t="shared" si="32"/>
        <v>308.67924528301882</v>
      </c>
      <c r="BX33" s="52">
        <f t="shared" si="33"/>
        <v>24.170895336418649</v>
      </c>
      <c r="BY33" s="83">
        <f t="shared" si="34"/>
        <v>284.50834994660016</v>
      </c>
      <c r="BZ33" s="93">
        <f>IF(AND(ISNUMBER(Input!$D11),ISNUMBER(Input!$E11)),BY33*As,0)</f>
        <v>228815.19157176142</v>
      </c>
      <c r="CA33" s="54">
        <f t="shared" ref="CA33:CA43" si="77">BZ33*BU33</f>
        <v>52627494.061505124</v>
      </c>
      <c r="CC33" s="25">
        <v>2</v>
      </c>
      <c r="CD33" s="51">
        <f t="shared" si="35"/>
        <v>297.13278688524588</v>
      </c>
      <c r="CE33" s="74">
        <f t="shared" ref="CE33:CE81" si="78">CF$25+CF$26*CD33</f>
        <v>3.2010000000000007E-3</v>
      </c>
      <c r="CF33" s="52">
        <f t="shared" si="36"/>
        <v>25.5</v>
      </c>
      <c r="CG33" s="53">
        <f t="shared" si="37"/>
        <v>19497.049180327871</v>
      </c>
      <c r="CH33" s="54">
        <f t="shared" si="38"/>
        <v>5793212.5589895193</v>
      </c>
      <c r="CJ33" s="25">
        <v>2</v>
      </c>
      <c r="CK33" s="51">
        <f>Input!$E11</f>
        <v>230</v>
      </c>
      <c r="CL33" s="74">
        <f t="shared" ref="CL33:CL43" si="79">CF$25+CF$26*CK33</f>
        <v>8.8301886792453016E-4</v>
      </c>
      <c r="CM33" s="52">
        <f t="shared" si="39"/>
        <v>176.60377358490604</v>
      </c>
      <c r="CN33" s="52">
        <f t="shared" si="40"/>
        <v>17.546251334994682</v>
      </c>
      <c r="CO33" s="83">
        <f t="shared" si="41"/>
        <v>159.05752224991136</v>
      </c>
      <c r="CP33" s="93">
        <f>IF(AND(ISNUMBER(Input!$D11),ISNUMBER(Input!$E11)),CO33*As,0)</f>
        <v>127921.64951002024</v>
      </c>
      <c r="CQ33" s="54">
        <f t="shared" ref="CQ33:CQ43" si="80">CP33*CK33</f>
        <v>29421979.387304656</v>
      </c>
      <c r="CS33" s="25">
        <v>2</v>
      </c>
      <c r="CT33" s="51">
        <f t="shared" si="42"/>
        <v>298.14593639575969</v>
      </c>
      <c r="CU33" s="74">
        <f t="shared" ref="CU33:CU81" si="81">CV$25+CV$26*CT33</f>
        <v>3.2010000000000007E-3</v>
      </c>
      <c r="CV33" s="52">
        <f t="shared" si="43"/>
        <v>25.5</v>
      </c>
      <c r="CW33" s="53">
        <f t="shared" si="44"/>
        <v>12607.632508833922</v>
      </c>
      <c r="CX33" s="54">
        <f t="shared" si="45"/>
        <v>3758914.4000799106</v>
      </c>
      <c r="CZ33" s="25">
        <v>2</v>
      </c>
      <c r="DA33" s="51">
        <f>Input!$E11</f>
        <v>230</v>
      </c>
      <c r="DB33" s="74">
        <f t="shared" ref="DB33:DB43" si="82">CV$25+CV$26*DA33</f>
        <v>-4.3773584905660266E-4</v>
      </c>
      <c r="DC33" s="52">
        <f t="shared" si="46"/>
        <v>-87.547169811320529</v>
      </c>
      <c r="DD33" s="52">
        <f t="shared" si="47"/>
        <v>0</v>
      </c>
      <c r="DE33" s="83">
        <f t="shared" si="48"/>
        <v>-87.547169811320529</v>
      </c>
      <c r="DF33" s="93">
        <f>IF(AND(ISNUMBER(Input!$D11),ISNUMBER(Input!$E11)),DE33*As,0)</f>
        <v>-70409.611653586602</v>
      </c>
      <c r="DG33" s="54">
        <f t="shared" ref="DG33:DG43" si="83">DF33*DA33</f>
        <v>-16194210.680324918</v>
      </c>
      <c r="DI33" s="25">
        <v>2</v>
      </c>
      <c r="DJ33" s="51">
        <f t="shared" si="49"/>
        <v>298.42432432432435</v>
      </c>
      <c r="DK33" s="74">
        <f t="shared" ref="DK33:DK81" si="84">DL$25+DL$26*DJ33</f>
        <v>3.2010000000000007E-3</v>
      </c>
      <c r="DL33" s="52">
        <f t="shared" si="50"/>
        <v>25.5</v>
      </c>
      <c r="DM33" s="53">
        <f t="shared" si="51"/>
        <v>10714.594594594595</v>
      </c>
      <c r="DN33" s="54">
        <f t="shared" si="52"/>
        <v>3197495.6523009501</v>
      </c>
      <c r="DP33" s="25">
        <v>2</v>
      </c>
      <c r="DQ33" s="51">
        <f>Input!$E11</f>
        <v>230</v>
      </c>
      <c r="DR33" s="74">
        <f t="shared" ref="DR33:DR43" si="85">DL$25+DL$26*DQ33</f>
        <v>-1.0981132075471699E-3</v>
      </c>
      <c r="DS33" s="52">
        <f t="shared" si="53"/>
        <v>-219.62264150943398</v>
      </c>
      <c r="DT33" s="52">
        <f t="shared" si="54"/>
        <v>0</v>
      </c>
      <c r="DU33" s="83">
        <f t="shared" si="55"/>
        <v>-219.62264150943398</v>
      </c>
      <c r="DV33" s="93">
        <f>IF(AND(ISNUMBER(Input!$D11),ISNUMBER(Input!$E11)),DU33*As,0)</f>
        <v>-176631.00854477377</v>
      </c>
      <c r="DW33" s="54">
        <f t="shared" ref="DW33:DW43" si="86">DV33*DQ33</f>
        <v>-40625131.965297967</v>
      </c>
      <c r="DY33" s="25">
        <v>2</v>
      </c>
      <c r="DZ33" s="51">
        <f t="shared" si="56"/>
        <v>299.01557223264541</v>
      </c>
      <c r="EA33" s="74">
        <f t="shared" ref="EA33:EA81" si="87">EB$25+EB$26*DZ33</f>
        <v>3.200999999999999E-3</v>
      </c>
      <c r="EB33" s="52">
        <f t="shared" si="57"/>
        <v>25.5</v>
      </c>
      <c r="EC33" s="53">
        <f t="shared" si="58"/>
        <v>6694.1088180112565</v>
      </c>
      <c r="ED33" s="54">
        <f t="shared" si="59"/>
        <v>2001642.7788052335</v>
      </c>
      <c r="EF33" s="25">
        <v>2</v>
      </c>
      <c r="EG33" s="51">
        <f>Input!$E11</f>
        <v>230</v>
      </c>
      <c r="EH33" s="74">
        <f t="shared" ref="EH33:EH43" si="88">EB$25+EB$26*EG33</f>
        <v>-3.7396226415094339E-3</v>
      </c>
      <c r="EI33" s="52">
        <f t="shared" si="60"/>
        <v>-747.92452830188677</v>
      </c>
      <c r="EJ33" s="52">
        <f t="shared" si="61"/>
        <v>0</v>
      </c>
      <c r="EK33" s="83">
        <f t="shared" si="62"/>
        <v>-400</v>
      </c>
      <c r="EL33" s="93">
        <f>IF(AND(ISNUMBER(Input!$D11),ISNUMBER(Input!$E11)),EK33*As,0)</f>
        <v>-321699.08772759483</v>
      </c>
      <c r="EM33" s="54">
        <f t="shared" ref="EM33:EM43" si="89">EL33*EG33</f>
        <v>-73990790.177346811</v>
      </c>
    </row>
    <row r="34" spans="1:143">
      <c r="A34" s="25">
        <v>3</v>
      </c>
      <c r="B34" s="51">
        <f t="shared" si="0"/>
        <v>283.5</v>
      </c>
      <c r="C34" s="74">
        <f t="shared" si="63"/>
        <v>3.1349999999999998E-3</v>
      </c>
      <c r="D34" s="52">
        <f t="shared" si="1"/>
        <v>25.5</v>
      </c>
      <c r="E34" s="53">
        <f t="shared" si="2"/>
        <v>67320</v>
      </c>
      <c r="F34" s="54">
        <f t="shared" si="3"/>
        <v>19085220</v>
      </c>
      <c r="H34" s="25">
        <v>3</v>
      </c>
      <c r="I34" s="51">
        <f>Input!$E12</f>
        <v>230</v>
      </c>
      <c r="J34" s="74">
        <f t="shared" si="64"/>
        <v>2.5999999999999999E-3</v>
      </c>
      <c r="K34" s="52">
        <f t="shared" si="4"/>
        <v>520</v>
      </c>
      <c r="L34" s="52">
        <f t="shared" si="5"/>
        <v>25.5</v>
      </c>
      <c r="M34" s="83">
        <f t="shared" si="6"/>
        <v>374.5</v>
      </c>
      <c r="N34" s="93">
        <f>IF(AND(ISNUMBER(Input!$D12),ISNUMBER(Input!$E12)),M34*As,0)</f>
        <v>301190.77088496066</v>
      </c>
      <c r="O34" s="54">
        <f t="shared" si="65"/>
        <v>69273877.303540945</v>
      </c>
      <c r="Q34" s="25">
        <v>3</v>
      </c>
      <c r="R34" s="51">
        <f t="shared" si="7"/>
        <v>286.11904761904759</v>
      </c>
      <c r="S34" s="74">
        <f t="shared" si="66"/>
        <v>3.1349999999999998E-3</v>
      </c>
      <c r="T34" s="52">
        <f t="shared" si="8"/>
        <v>25.5</v>
      </c>
      <c r="U34" s="53">
        <f t="shared" si="9"/>
        <v>56634.285714285717</v>
      </c>
      <c r="V34" s="54">
        <f t="shared" si="10"/>
        <v>16204147.891156461</v>
      </c>
      <c r="X34" s="25">
        <v>3</v>
      </c>
      <c r="Y34" s="51">
        <f>Input!$E12</f>
        <v>230</v>
      </c>
      <c r="Z34" s="74">
        <f t="shared" si="67"/>
        <v>2.4679245283018869E-3</v>
      </c>
      <c r="AA34" s="52">
        <f t="shared" si="11"/>
        <v>493.58490566037739</v>
      </c>
      <c r="AB34" s="52">
        <f t="shared" si="12"/>
        <v>25.5</v>
      </c>
      <c r="AC34" s="83">
        <f t="shared" si="13"/>
        <v>374.5</v>
      </c>
      <c r="AD34" s="93">
        <f>IF(AND(ISNUMBER(Input!$D12),ISNUMBER(Input!$E12)),AC34*As,0)</f>
        <v>301190.77088496066</v>
      </c>
      <c r="AE34" s="54">
        <f t="shared" si="68"/>
        <v>69273877.303540945</v>
      </c>
      <c r="AG34" s="25">
        <v>3</v>
      </c>
      <c r="AH34" s="51">
        <f t="shared" si="14"/>
        <v>289.46385542168673</v>
      </c>
      <c r="AI34" s="74">
        <f t="shared" si="69"/>
        <v>3.1350000000000006E-3</v>
      </c>
      <c r="AJ34" s="52">
        <f t="shared" si="15"/>
        <v>25.5</v>
      </c>
      <c r="AK34" s="53">
        <f t="shared" si="16"/>
        <v>42987.469879518074</v>
      </c>
      <c r="AL34" s="54">
        <f t="shared" si="17"/>
        <v>12443318.766148932</v>
      </c>
      <c r="AN34" s="25">
        <v>3</v>
      </c>
      <c r="AO34" s="51">
        <f>Input!$E12</f>
        <v>230</v>
      </c>
      <c r="AP34" s="74">
        <f t="shared" si="70"/>
        <v>2.2037735849056604E-3</v>
      </c>
      <c r="AQ34" s="52">
        <f t="shared" si="18"/>
        <v>440.75471698113205</v>
      </c>
      <c r="AR34" s="52">
        <f t="shared" si="19"/>
        <v>25.5</v>
      </c>
      <c r="AS34" s="83">
        <f t="shared" si="20"/>
        <v>374.5</v>
      </c>
      <c r="AT34" s="93">
        <f>IF(AND(ISNUMBER(Input!$D12),ISNUMBER(Input!$E12)),AS34*As,0)</f>
        <v>301190.77088496066</v>
      </c>
      <c r="AU34" s="54">
        <f t="shared" si="71"/>
        <v>69273877.303540945</v>
      </c>
      <c r="AW34" s="25">
        <v>3</v>
      </c>
      <c r="AX34" s="51">
        <f t="shared" si="21"/>
        <v>291.90277777777777</v>
      </c>
      <c r="AY34" s="74">
        <f t="shared" si="72"/>
        <v>3.1349999999999998E-3</v>
      </c>
      <c r="AZ34" s="52">
        <f t="shared" si="22"/>
        <v>25.5</v>
      </c>
      <c r="BA34" s="53">
        <f t="shared" si="23"/>
        <v>33036.666666666664</v>
      </c>
      <c r="BB34" s="54">
        <f t="shared" si="24"/>
        <v>9643494.7685185168</v>
      </c>
      <c r="BD34" s="25">
        <v>3</v>
      </c>
      <c r="BE34" s="51">
        <f>Input!$E12</f>
        <v>230</v>
      </c>
      <c r="BF34" s="74">
        <f t="shared" si="73"/>
        <v>1.8735849056603776E-3</v>
      </c>
      <c r="BG34" s="52">
        <f t="shared" si="25"/>
        <v>374.71698113207555</v>
      </c>
      <c r="BH34" s="52">
        <f t="shared" si="26"/>
        <v>25.39812255250979</v>
      </c>
      <c r="BI34" s="83">
        <f t="shared" si="27"/>
        <v>349.31885857956576</v>
      </c>
      <c r="BJ34" s="93">
        <f>IF(AND(ISNUMBER(Input!$D12),ISNUMBER(Input!$E12)),BI34*As,0)</f>
        <v>280938.89532772754</v>
      </c>
      <c r="BK34" s="54">
        <f t="shared" si="74"/>
        <v>64615945.925377332</v>
      </c>
      <c r="BM34" s="25">
        <v>3</v>
      </c>
      <c r="BN34" s="51">
        <f t="shared" si="28"/>
        <v>293.4248120300752</v>
      </c>
      <c r="BO34" s="74">
        <f t="shared" si="75"/>
        <v>3.1350000000000006E-3</v>
      </c>
      <c r="BP34" s="52">
        <f t="shared" si="29"/>
        <v>25.5</v>
      </c>
      <c r="BQ34" s="53">
        <f t="shared" si="30"/>
        <v>26826.766917293233</v>
      </c>
      <c r="BR34" s="54">
        <f t="shared" si="31"/>
        <v>7871639.0400814069</v>
      </c>
      <c r="BT34" s="25">
        <v>3</v>
      </c>
      <c r="BU34" s="51">
        <f>Input!$E12</f>
        <v>230</v>
      </c>
      <c r="BV34" s="74">
        <f t="shared" si="76"/>
        <v>1.543396226415094E-3</v>
      </c>
      <c r="BW34" s="52">
        <f t="shared" si="32"/>
        <v>308.67924528301882</v>
      </c>
      <c r="BX34" s="52">
        <f t="shared" si="33"/>
        <v>24.170895336418649</v>
      </c>
      <c r="BY34" s="83">
        <f t="shared" si="34"/>
        <v>284.50834994660016</v>
      </c>
      <c r="BZ34" s="93">
        <f>IF(AND(ISNUMBER(Input!$D12),ISNUMBER(Input!$E12)),BY34*As,0)</f>
        <v>228815.19157176142</v>
      </c>
      <c r="CA34" s="54">
        <f t="shared" si="77"/>
        <v>52627494.061505124</v>
      </c>
      <c r="CC34" s="25">
        <v>3</v>
      </c>
      <c r="CD34" s="51">
        <f t="shared" si="35"/>
        <v>295.22131147540983</v>
      </c>
      <c r="CE34" s="74">
        <f t="shared" si="78"/>
        <v>3.1350000000000006E-3</v>
      </c>
      <c r="CF34" s="52">
        <f t="shared" si="36"/>
        <v>25.5</v>
      </c>
      <c r="CG34" s="53">
        <f t="shared" si="37"/>
        <v>19497.049180327871</v>
      </c>
      <c r="CH34" s="54">
        <f t="shared" si="38"/>
        <v>5755944.4289169582</v>
      </c>
      <c r="CJ34" s="25">
        <v>3</v>
      </c>
      <c r="CK34" s="51">
        <f>Input!$E12</f>
        <v>230</v>
      </c>
      <c r="CL34" s="74">
        <f t="shared" si="79"/>
        <v>8.8301886792453016E-4</v>
      </c>
      <c r="CM34" s="52">
        <f t="shared" si="39"/>
        <v>176.60377358490604</v>
      </c>
      <c r="CN34" s="52">
        <f t="shared" si="40"/>
        <v>17.546251334994682</v>
      </c>
      <c r="CO34" s="83">
        <f t="shared" si="41"/>
        <v>159.05752224991136</v>
      </c>
      <c r="CP34" s="93">
        <f>IF(AND(ISNUMBER(Input!$D12),ISNUMBER(Input!$E12)),CO34*As,0)</f>
        <v>127921.64951002024</v>
      </c>
      <c r="CQ34" s="54">
        <f t="shared" si="80"/>
        <v>29421979.387304656</v>
      </c>
      <c r="CS34" s="25">
        <v>3</v>
      </c>
      <c r="CT34" s="51">
        <f t="shared" si="42"/>
        <v>296.90989399293284</v>
      </c>
      <c r="CU34" s="74">
        <f t="shared" si="81"/>
        <v>3.1350000000000006E-3</v>
      </c>
      <c r="CV34" s="52">
        <f t="shared" si="43"/>
        <v>25.5</v>
      </c>
      <c r="CW34" s="53">
        <f t="shared" si="44"/>
        <v>12607.632508833922</v>
      </c>
      <c r="CX34" s="54">
        <f t="shared" si="45"/>
        <v>3743330.8316997336</v>
      </c>
      <c r="CZ34" s="25">
        <v>3</v>
      </c>
      <c r="DA34" s="51">
        <f>Input!$E12</f>
        <v>230</v>
      </c>
      <c r="DB34" s="74">
        <f t="shared" si="82"/>
        <v>-4.3773584905660266E-4</v>
      </c>
      <c r="DC34" s="52">
        <f t="shared" si="46"/>
        <v>-87.547169811320529</v>
      </c>
      <c r="DD34" s="52">
        <f t="shared" si="47"/>
        <v>0</v>
      </c>
      <c r="DE34" s="83">
        <f t="shared" si="48"/>
        <v>-87.547169811320529</v>
      </c>
      <c r="DF34" s="93">
        <f>IF(AND(ISNUMBER(Input!$D12),ISNUMBER(Input!$E12)),DE34*As,0)</f>
        <v>-70409.611653586602</v>
      </c>
      <c r="DG34" s="54">
        <f t="shared" si="83"/>
        <v>-16194210.680324918</v>
      </c>
      <c r="DI34" s="25">
        <v>3</v>
      </c>
      <c r="DJ34" s="51">
        <f t="shared" si="49"/>
        <v>297.37387387387389</v>
      </c>
      <c r="DK34" s="74">
        <f t="shared" si="84"/>
        <v>3.1350000000000006E-3</v>
      </c>
      <c r="DL34" s="52">
        <f t="shared" si="50"/>
        <v>25.5</v>
      </c>
      <c r="DM34" s="53">
        <f t="shared" si="51"/>
        <v>10714.594594594595</v>
      </c>
      <c r="DN34" s="54">
        <f t="shared" si="52"/>
        <v>3186240.501582664</v>
      </c>
      <c r="DP34" s="25">
        <v>3</v>
      </c>
      <c r="DQ34" s="51">
        <f>Input!$E12</f>
        <v>230</v>
      </c>
      <c r="DR34" s="74">
        <f t="shared" si="85"/>
        <v>-1.0981132075471699E-3</v>
      </c>
      <c r="DS34" s="52">
        <f t="shared" si="53"/>
        <v>-219.62264150943398</v>
      </c>
      <c r="DT34" s="52">
        <f t="shared" si="54"/>
        <v>0</v>
      </c>
      <c r="DU34" s="83">
        <f t="shared" si="55"/>
        <v>-219.62264150943398</v>
      </c>
      <c r="DV34" s="93">
        <f>IF(AND(ISNUMBER(Input!$D12),ISNUMBER(Input!$E12)),DU34*As,0)</f>
        <v>-176631.00854477377</v>
      </c>
      <c r="DW34" s="54">
        <f t="shared" si="86"/>
        <v>-40625131.965297967</v>
      </c>
      <c r="DY34" s="25">
        <v>3</v>
      </c>
      <c r="DZ34" s="51">
        <f t="shared" si="56"/>
        <v>298.35928705440898</v>
      </c>
      <c r="EA34" s="74">
        <f t="shared" si="87"/>
        <v>3.1349999999999989E-3</v>
      </c>
      <c r="EB34" s="52">
        <f t="shared" si="57"/>
        <v>25.5</v>
      </c>
      <c r="EC34" s="53">
        <f t="shared" si="58"/>
        <v>6694.1088180112565</v>
      </c>
      <c r="ED34" s="54">
        <f t="shared" si="59"/>
        <v>1997249.5344064708</v>
      </c>
      <c r="EF34" s="25">
        <v>3</v>
      </c>
      <c r="EG34" s="51">
        <f>Input!$E12</f>
        <v>230</v>
      </c>
      <c r="EH34" s="74">
        <f t="shared" si="88"/>
        <v>-3.7396226415094339E-3</v>
      </c>
      <c r="EI34" s="52">
        <f t="shared" si="60"/>
        <v>-747.92452830188677</v>
      </c>
      <c r="EJ34" s="52">
        <f t="shared" si="61"/>
        <v>0</v>
      </c>
      <c r="EK34" s="83">
        <f t="shared" si="62"/>
        <v>-400</v>
      </c>
      <c r="EL34" s="93">
        <f>IF(AND(ISNUMBER(Input!$D12),ISNUMBER(Input!$E12)),EK34*As,0)</f>
        <v>-321699.08772759483</v>
      </c>
      <c r="EM34" s="54">
        <f t="shared" si="89"/>
        <v>-73990790.177346811</v>
      </c>
    </row>
    <row r="35" spans="1:143">
      <c r="A35" s="25">
        <v>4</v>
      </c>
      <c r="B35" s="51">
        <f t="shared" si="0"/>
        <v>276.89999999999998</v>
      </c>
      <c r="C35" s="74">
        <f t="shared" si="63"/>
        <v>3.0689999999999992E-3</v>
      </c>
      <c r="D35" s="52">
        <f t="shared" si="1"/>
        <v>25.5</v>
      </c>
      <c r="E35" s="53">
        <f t="shared" si="2"/>
        <v>67320</v>
      </c>
      <c r="F35" s="54">
        <f t="shared" si="3"/>
        <v>18640908</v>
      </c>
      <c r="H35" s="25">
        <v>4</v>
      </c>
      <c r="I35" s="51">
        <f>Input!$E13</f>
        <v>0</v>
      </c>
      <c r="J35" s="74">
        <f t="shared" si="64"/>
        <v>3.0000000000000003E-4</v>
      </c>
      <c r="K35" s="52">
        <f t="shared" si="4"/>
        <v>60.000000000000007</v>
      </c>
      <c r="L35" s="52">
        <f t="shared" si="5"/>
        <v>7.0762500000000017</v>
      </c>
      <c r="M35" s="83">
        <f t="shared" si="6"/>
        <v>52.923750000000005</v>
      </c>
      <c r="N35" s="93">
        <f>IF(AND(ISNUMBER(Input!$D13),ISNUMBER(Input!$E13)),M35*As,0)</f>
        <v>0</v>
      </c>
      <c r="O35" s="54">
        <f t="shared" si="65"/>
        <v>0</v>
      </c>
      <c r="Q35" s="25">
        <v>4</v>
      </c>
      <c r="R35" s="51">
        <f t="shared" si="7"/>
        <v>280.56666666666666</v>
      </c>
      <c r="S35" s="74">
        <f t="shared" si="66"/>
        <v>3.0689999999999997E-3</v>
      </c>
      <c r="T35" s="52">
        <f t="shared" si="8"/>
        <v>25.5</v>
      </c>
      <c r="U35" s="53">
        <f t="shared" si="9"/>
        <v>56634.285714285717</v>
      </c>
      <c r="V35" s="54">
        <f t="shared" si="10"/>
        <v>15889692.761904763</v>
      </c>
      <c r="X35" s="25">
        <v>4</v>
      </c>
      <c r="Y35" s="51">
        <f>Input!$E13</f>
        <v>0</v>
      </c>
      <c r="Z35" s="74">
        <f t="shared" si="67"/>
        <v>-2.6603773584905622E-4</v>
      </c>
      <c r="AA35" s="52">
        <f t="shared" si="11"/>
        <v>-53.207547169811242</v>
      </c>
      <c r="AB35" s="52">
        <f t="shared" si="12"/>
        <v>0</v>
      </c>
      <c r="AC35" s="83">
        <f t="shared" si="13"/>
        <v>-53.207547169811242</v>
      </c>
      <c r="AD35" s="93">
        <f>IF(AND(ISNUMBER(Input!$D13),ISNUMBER(Input!$E13)),AC35*As,0)</f>
        <v>0</v>
      </c>
      <c r="AE35" s="54">
        <f t="shared" si="68"/>
        <v>0</v>
      </c>
      <c r="AG35" s="25">
        <v>4</v>
      </c>
      <c r="AH35" s="51">
        <f t="shared" si="14"/>
        <v>285.24939759036147</v>
      </c>
      <c r="AI35" s="74">
        <f t="shared" si="69"/>
        <v>3.0690000000000005E-3</v>
      </c>
      <c r="AJ35" s="52">
        <f t="shared" si="15"/>
        <v>25.5</v>
      </c>
      <c r="AK35" s="53">
        <f t="shared" si="16"/>
        <v>42987.469879518074</v>
      </c>
      <c r="AL35" s="54">
        <f t="shared" si="17"/>
        <v>12262149.887066338</v>
      </c>
      <c r="AN35" s="25">
        <v>4</v>
      </c>
      <c r="AO35" s="51">
        <f>Input!$E13</f>
        <v>0</v>
      </c>
      <c r="AP35" s="74">
        <f t="shared" si="70"/>
        <v>-1.3981132075471701E-3</v>
      </c>
      <c r="AQ35" s="52">
        <f t="shared" si="18"/>
        <v>-279.622641509434</v>
      </c>
      <c r="AR35" s="52">
        <f t="shared" si="19"/>
        <v>0</v>
      </c>
      <c r="AS35" s="83">
        <f t="shared" si="20"/>
        <v>-279.622641509434</v>
      </c>
      <c r="AT35" s="93">
        <f>IF(AND(ISNUMBER(Input!$D13),ISNUMBER(Input!$E13)),AS35*As,0)</f>
        <v>0</v>
      </c>
      <c r="AU35" s="54">
        <f t="shared" si="71"/>
        <v>0</v>
      </c>
      <c r="AW35" s="25">
        <v>4</v>
      </c>
      <c r="AX35" s="51">
        <f t="shared" si="21"/>
        <v>288.66388888888889</v>
      </c>
      <c r="AY35" s="74">
        <f t="shared" si="72"/>
        <v>3.0690000000000005E-3</v>
      </c>
      <c r="AZ35" s="52">
        <f t="shared" si="22"/>
        <v>25.5</v>
      </c>
      <c r="BA35" s="53">
        <f t="shared" si="23"/>
        <v>33036.666666666664</v>
      </c>
      <c r="BB35" s="54">
        <f t="shared" si="24"/>
        <v>9536492.6759259254</v>
      </c>
      <c r="BD35" s="25">
        <v>4</v>
      </c>
      <c r="BE35" s="51">
        <f>Input!$E13</f>
        <v>0</v>
      </c>
      <c r="BF35" s="74">
        <f t="shared" si="73"/>
        <v>-2.8132075471698119E-3</v>
      </c>
      <c r="BG35" s="52">
        <f t="shared" si="25"/>
        <v>-562.64150943396237</v>
      </c>
      <c r="BH35" s="52">
        <f t="shared" si="26"/>
        <v>0</v>
      </c>
      <c r="BI35" s="83">
        <f t="shared" si="27"/>
        <v>-400</v>
      </c>
      <c r="BJ35" s="93">
        <f>IF(AND(ISNUMBER(Input!$D13),ISNUMBER(Input!$E13)),BI35*As,0)</f>
        <v>0</v>
      </c>
      <c r="BK35" s="54">
        <f t="shared" si="74"/>
        <v>0</v>
      </c>
      <c r="BM35" s="25">
        <v>4</v>
      </c>
      <c r="BN35" s="51">
        <f t="shared" si="28"/>
        <v>290.79473684210524</v>
      </c>
      <c r="BO35" s="74">
        <f t="shared" si="75"/>
        <v>3.0689999999999997E-3</v>
      </c>
      <c r="BP35" s="52">
        <f t="shared" si="29"/>
        <v>25.5</v>
      </c>
      <c r="BQ35" s="53">
        <f t="shared" si="30"/>
        <v>26826.766917293233</v>
      </c>
      <c r="BR35" s="54">
        <f t="shared" si="31"/>
        <v>7801082.6260387804</v>
      </c>
      <c r="BT35" s="25">
        <v>4</v>
      </c>
      <c r="BU35" s="51">
        <f>Input!$E13</f>
        <v>0</v>
      </c>
      <c r="BV35" s="74">
        <f t="shared" si="76"/>
        <v>-4.2283018867924531E-3</v>
      </c>
      <c r="BW35" s="52">
        <f t="shared" si="32"/>
        <v>-845.66037735849068</v>
      </c>
      <c r="BX35" s="52">
        <f t="shared" si="33"/>
        <v>0</v>
      </c>
      <c r="BY35" s="83">
        <f t="shared" si="34"/>
        <v>-400</v>
      </c>
      <c r="BZ35" s="93">
        <f>IF(AND(ISNUMBER(Input!$D13),ISNUMBER(Input!$E13)),BY35*As,0)</f>
        <v>0</v>
      </c>
      <c r="CA35" s="54">
        <f t="shared" si="77"/>
        <v>0</v>
      </c>
      <c r="CC35" s="25">
        <v>4</v>
      </c>
      <c r="CD35" s="51">
        <f t="shared" si="35"/>
        <v>293.30983606557379</v>
      </c>
      <c r="CE35" s="74">
        <f t="shared" si="78"/>
        <v>3.0690000000000023E-3</v>
      </c>
      <c r="CF35" s="52">
        <f t="shared" si="36"/>
        <v>25.5</v>
      </c>
      <c r="CG35" s="53">
        <f t="shared" si="37"/>
        <v>19497.049180327871</v>
      </c>
      <c r="CH35" s="54">
        <f t="shared" si="38"/>
        <v>5718676.298844398</v>
      </c>
      <c r="CJ35" s="25">
        <v>4</v>
      </c>
      <c r="CK35" s="51">
        <f>Input!$E13</f>
        <v>0</v>
      </c>
      <c r="CL35" s="74">
        <f t="shared" si="79"/>
        <v>-7.0584905660377346E-3</v>
      </c>
      <c r="CM35" s="52">
        <f t="shared" si="39"/>
        <v>-1411.6981132075468</v>
      </c>
      <c r="CN35" s="52">
        <f t="shared" si="40"/>
        <v>0</v>
      </c>
      <c r="CO35" s="83">
        <f t="shared" si="41"/>
        <v>-400</v>
      </c>
      <c r="CP35" s="93">
        <f>IF(AND(ISNUMBER(Input!$D13),ISNUMBER(Input!$E13)),CO35*As,0)</f>
        <v>0</v>
      </c>
      <c r="CQ35" s="54">
        <f t="shared" si="80"/>
        <v>0</v>
      </c>
      <c r="CS35" s="25">
        <v>4</v>
      </c>
      <c r="CT35" s="51">
        <f t="shared" si="42"/>
        <v>295.67385159010598</v>
      </c>
      <c r="CU35" s="74">
        <f t="shared" si="81"/>
        <v>3.0690000000000005E-3</v>
      </c>
      <c r="CV35" s="52">
        <f t="shared" si="43"/>
        <v>25.5</v>
      </c>
      <c r="CW35" s="53">
        <f t="shared" si="44"/>
        <v>12607.632508833922</v>
      </c>
      <c r="CX35" s="54">
        <f t="shared" si="45"/>
        <v>3727747.2633195566</v>
      </c>
      <c r="CZ35" s="25">
        <v>4</v>
      </c>
      <c r="DA35" s="51">
        <f>Input!$E13</f>
        <v>0</v>
      </c>
      <c r="DB35" s="74">
        <f t="shared" si="82"/>
        <v>-1.2718867924528301E-2</v>
      </c>
      <c r="DC35" s="52">
        <f t="shared" si="46"/>
        <v>-2543.7735849056603</v>
      </c>
      <c r="DD35" s="52">
        <f t="shared" si="47"/>
        <v>0</v>
      </c>
      <c r="DE35" s="83">
        <f t="shared" si="48"/>
        <v>-400</v>
      </c>
      <c r="DF35" s="93">
        <f>IF(AND(ISNUMBER(Input!$D13),ISNUMBER(Input!$E13)),DE35*As,0)</f>
        <v>0</v>
      </c>
      <c r="DG35" s="54">
        <f t="shared" si="83"/>
        <v>0</v>
      </c>
      <c r="DI35" s="25">
        <v>4</v>
      </c>
      <c r="DJ35" s="51">
        <f t="shared" si="49"/>
        <v>296.32342342342343</v>
      </c>
      <c r="DK35" s="74">
        <f t="shared" si="84"/>
        <v>3.0690000000000005E-3</v>
      </c>
      <c r="DL35" s="52">
        <f t="shared" si="50"/>
        <v>25.5</v>
      </c>
      <c r="DM35" s="53">
        <f t="shared" si="51"/>
        <v>10714.594594594595</v>
      </c>
      <c r="DN35" s="54">
        <f t="shared" si="52"/>
        <v>3174985.3508643783</v>
      </c>
      <c r="DP35" s="25">
        <v>4</v>
      </c>
      <c r="DQ35" s="51">
        <f>Input!$E13</f>
        <v>0</v>
      </c>
      <c r="DR35" s="74">
        <f t="shared" si="85"/>
        <v>-1.5549056603773584E-2</v>
      </c>
      <c r="DS35" s="52">
        <f t="shared" si="53"/>
        <v>-3109.8113207547167</v>
      </c>
      <c r="DT35" s="52">
        <f t="shared" si="54"/>
        <v>0</v>
      </c>
      <c r="DU35" s="83">
        <f t="shared" si="55"/>
        <v>-400</v>
      </c>
      <c r="DV35" s="93">
        <f>IF(AND(ISNUMBER(Input!$D13),ISNUMBER(Input!$E13)),DU35*As,0)</f>
        <v>0</v>
      </c>
      <c r="DW35" s="54">
        <f t="shared" si="86"/>
        <v>0</v>
      </c>
      <c r="DY35" s="25">
        <v>4</v>
      </c>
      <c r="DZ35" s="51">
        <f t="shared" si="56"/>
        <v>297.70300187617261</v>
      </c>
      <c r="EA35" s="74">
        <f t="shared" si="87"/>
        <v>3.0689999999999988E-3</v>
      </c>
      <c r="EB35" s="52">
        <f t="shared" si="57"/>
        <v>25.5</v>
      </c>
      <c r="EC35" s="53">
        <f t="shared" si="58"/>
        <v>6694.1088180112565</v>
      </c>
      <c r="ED35" s="54">
        <f t="shared" si="59"/>
        <v>1992856.2900077086</v>
      </c>
      <c r="EF35" s="25">
        <v>4</v>
      </c>
      <c r="EG35" s="51">
        <f>Input!$E13</f>
        <v>0</v>
      </c>
      <c r="EH35" s="74">
        <f t="shared" si="88"/>
        <v>-2.6869811320754722E-2</v>
      </c>
      <c r="EI35" s="52">
        <f t="shared" si="60"/>
        <v>-5373.9622641509441</v>
      </c>
      <c r="EJ35" s="52">
        <f t="shared" si="61"/>
        <v>0</v>
      </c>
      <c r="EK35" s="83">
        <f t="shared" si="62"/>
        <v>-400</v>
      </c>
      <c r="EL35" s="93">
        <f>IF(AND(ISNUMBER(Input!$D13),ISNUMBER(Input!$E13)),EK35*As,0)</f>
        <v>0</v>
      </c>
      <c r="EM35" s="54">
        <f t="shared" si="89"/>
        <v>0</v>
      </c>
    </row>
    <row r="36" spans="1:143">
      <c r="A36" s="25">
        <v>5</v>
      </c>
      <c r="B36" s="51">
        <f t="shared" si="0"/>
        <v>270.3</v>
      </c>
      <c r="C36" s="74">
        <f t="shared" si="63"/>
        <v>3.0029999999999996E-3</v>
      </c>
      <c r="D36" s="52">
        <f t="shared" si="1"/>
        <v>25.5</v>
      </c>
      <c r="E36" s="53">
        <f t="shared" si="2"/>
        <v>67320</v>
      </c>
      <c r="F36" s="54">
        <f t="shared" si="3"/>
        <v>18196596</v>
      </c>
      <c r="H36" s="25">
        <v>5</v>
      </c>
      <c r="I36" s="51">
        <f>Input!$E14</f>
        <v>-230</v>
      </c>
      <c r="J36" s="74">
        <f t="shared" si="64"/>
        <v>-2E-3</v>
      </c>
      <c r="K36" s="52">
        <f t="shared" si="4"/>
        <v>-400</v>
      </c>
      <c r="L36" s="52">
        <f t="shared" si="5"/>
        <v>0</v>
      </c>
      <c r="M36" s="83">
        <f t="shared" si="6"/>
        <v>-400</v>
      </c>
      <c r="N36" s="93">
        <f>IF(AND(ISNUMBER(Input!$D14),ISNUMBER(Input!$E14)),M36*As,0)</f>
        <v>-321699.08772759483</v>
      </c>
      <c r="O36" s="54">
        <f t="shared" si="65"/>
        <v>73990790.177346811</v>
      </c>
      <c r="Q36" s="25">
        <v>5</v>
      </c>
      <c r="R36" s="51">
        <f t="shared" si="7"/>
        <v>275.01428571428573</v>
      </c>
      <c r="S36" s="74">
        <f t="shared" si="66"/>
        <v>3.003E-3</v>
      </c>
      <c r="T36" s="52">
        <f t="shared" si="8"/>
        <v>25.5</v>
      </c>
      <c r="U36" s="53">
        <f t="shared" si="9"/>
        <v>56634.285714285717</v>
      </c>
      <c r="V36" s="54">
        <f t="shared" si="10"/>
        <v>15575237.632653063</v>
      </c>
      <c r="X36" s="25">
        <v>5</v>
      </c>
      <c r="Y36" s="51">
        <f>Input!$E14</f>
        <v>-230</v>
      </c>
      <c r="Z36" s="74">
        <f t="shared" si="67"/>
        <v>-2.9999999999999996E-3</v>
      </c>
      <c r="AA36" s="52">
        <f t="shared" si="11"/>
        <v>-599.99999999999989</v>
      </c>
      <c r="AB36" s="52">
        <f t="shared" si="12"/>
        <v>0</v>
      </c>
      <c r="AC36" s="83">
        <f t="shared" si="13"/>
        <v>-400</v>
      </c>
      <c r="AD36" s="93">
        <f>IF(AND(ISNUMBER(Input!$D14),ISNUMBER(Input!$E14)),AC36*As,0)</f>
        <v>-321699.08772759483</v>
      </c>
      <c r="AE36" s="54">
        <f t="shared" si="68"/>
        <v>73990790.177346811</v>
      </c>
      <c r="AG36" s="25">
        <v>5</v>
      </c>
      <c r="AH36" s="51">
        <f t="shared" si="14"/>
        <v>281.03493975903615</v>
      </c>
      <c r="AI36" s="74">
        <f t="shared" si="69"/>
        <v>3.0030000000000005E-3</v>
      </c>
      <c r="AJ36" s="52">
        <f t="shared" si="15"/>
        <v>25.5</v>
      </c>
      <c r="AK36" s="53">
        <f t="shared" si="16"/>
        <v>42987.469879518074</v>
      </c>
      <c r="AL36" s="54">
        <f t="shared" si="17"/>
        <v>12080981.007983742</v>
      </c>
      <c r="AN36" s="25">
        <v>5</v>
      </c>
      <c r="AO36" s="51">
        <f>Input!$E14</f>
        <v>-230</v>
      </c>
      <c r="AP36" s="74">
        <f t="shared" si="70"/>
        <v>-5.000000000000001E-3</v>
      </c>
      <c r="AQ36" s="52">
        <f t="shared" si="18"/>
        <v>-1000.0000000000002</v>
      </c>
      <c r="AR36" s="52">
        <f t="shared" si="19"/>
        <v>0</v>
      </c>
      <c r="AS36" s="83">
        <f t="shared" si="20"/>
        <v>-400</v>
      </c>
      <c r="AT36" s="93">
        <f>IF(AND(ISNUMBER(Input!$D14),ISNUMBER(Input!$E14)),AS36*As,0)</f>
        <v>-321699.08772759483</v>
      </c>
      <c r="AU36" s="54">
        <f t="shared" si="71"/>
        <v>73990790.177346811</v>
      </c>
      <c r="AW36" s="25">
        <v>5</v>
      </c>
      <c r="AX36" s="51">
        <f t="shared" si="21"/>
        <v>285.42500000000001</v>
      </c>
      <c r="AY36" s="74">
        <f t="shared" si="72"/>
        <v>3.0030000000000005E-3</v>
      </c>
      <c r="AZ36" s="52">
        <f t="shared" si="22"/>
        <v>25.5</v>
      </c>
      <c r="BA36" s="53">
        <f t="shared" si="23"/>
        <v>33036.666666666664</v>
      </c>
      <c r="BB36" s="54">
        <f t="shared" si="24"/>
        <v>9429490.5833333321</v>
      </c>
      <c r="BD36" s="25">
        <v>5</v>
      </c>
      <c r="BE36" s="51">
        <f>Input!$E14</f>
        <v>-230</v>
      </c>
      <c r="BF36" s="74">
        <f t="shared" si="73"/>
        <v>-7.5000000000000015E-3</v>
      </c>
      <c r="BG36" s="52">
        <f t="shared" si="25"/>
        <v>-1500.0000000000002</v>
      </c>
      <c r="BH36" s="52">
        <f t="shared" si="26"/>
        <v>0</v>
      </c>
      <c r="BI36" s="83">
        <f t="shared" si="27"/>
        <v>-400</v>
      </c>
      <c r="BJ36" s="93">
        <f>IF(AND(ISNUMBER(Input!$D14),ISNUMBER(Input!$E14)),BI36*As,0)</f>
        <v>-321699.08772759483</v>
      </c>
      <c r="BK36" s="54">
        <f t="shared" si="74"/>
        <v>73990790.177346811</v>
      </c>
      <c r="BM36" s="25">
        <v>5</v>
      </c>
      <c r="BN36" s="51">
        <f t="shared" si="28"/>
        <v>288.16466165413533</v>
      </c>
      <c r="BO36" s="74">
        <f t="shared" si="75"/>
        <v>3.0029999999999996E-3</v>
      </c>
      <c r="BP36" s="52">
        <f t="shared" si="29"/>
        <v>25.5</v>
      </c>
      <c r="BQ36" s="53">
        <f t="shared" si="30"/>
        <v>26826.766917293233</v>
      </c>
      <c r="BR36" s="54">
        <f t="shared" si="31"/>
        <v>7730526.2119961558</v>
      </c>
      <c r="BT36" s="25">
        <v>5</v>
      </c>
      <c r="BU36" s="51">
        <f>Input!$E14</f>
        <v>-230</v>
      </c>
      <c r="BV36" s="74">
        <f t="shared" si="76"/>
        <v>-0.01</v>
      </c>
      <c r="BW36" s="52">
        <f t="shared" si="32"/>
        <v>-2000</v>
      </c>
      <c r="BX36" s="52">
        <f t="shared" si="33"/>
        <v>0</v>
      </c>
      <c r="BY36" s="83">
        <f t="shared" si="34"/>
        <v>-400</v>
      </c>
      <c r="BZ36" s="93">
        <f>IF(AND(ISNUMBER(Input!$D14),ISNUMBER(Input!$E14)),BY36*As,0)</f>
        <v>-321699.08772759483</v>
      </c>
      <c r="CA36" s="54">
        <f t="shared" si="77"/>
        <v>73990790.177346811</v>
      </c>
      <c r="CC36" s="25">
        <v>5</v>
      </c>
      <c r="CD36" s="51">
        <f t="shared" si="35"/>
        <v>291.39836065573769</v>
      </c>
      <c r="CE36" s="74">
        <f t="shared" si="78"/>
        <v>3.0030000000000005E-3</v>
      </c>
      <c r="CF36" s="52">
        <f t="shared" si="36"/>
        <v>25.5</v>
      </c>
      <c r="CG36" s="53">
        <f t="shared" si="37"/>
        <v>19497.049180327871</v>
      </c>
      <c r="CH36" s="54">
        <f t="shared" si="38"/>
        <v>5681408.168771836</v>
      </c>
      <c r="CJ36" s="25">
        <v>5</v>
      </c>
      <c r="CK36" s="51">
        <f>Input!$E14</f>
        <v>-230</v>
      </c>
      <c r="CL36" s="74">
        <f t="shared" si="79"/>
        <v>-1.4999999999999999E-2</v>
      </c>
      <c r="CM36" s="52">
        <f t="shared" si="39"/>
        <v>-3000</v>
      </c>
      <c r="CN36" s="52">
        <f t="shared" si="40"/>
        <v>0</v>
      </c>
      <c r="CO36" s="83">
        <f t="shared" si="41"/>
        <v>-400</v>
      </c>
      <c r="CP36" s="93">
        <f>IF(AND(ISNUMBER(Input!$D14),ISNUMBER(Input!$E14)),CO36*As,0)</f>
        <v>-321699.08772759483</v>
      </c>
      <c r="CQ36" s="54">
        <f t="shared" si="80"/>
        <v>73990790.177346811</v>
      </c>
      <c r="CS36" s="25">
        <v>5</v>
      </c>
      <c r="CT36" s="51">
        <f t="shared" si="42"/>
        <v>294.43780918727913</v>
      </c>
      <c r="CU36" s="74">
        <f t="shared" si="81"/>
        <v>3.0030000000000005E-3</v>
      </c>
      <c r="CV36" s="52">
        <f t="shared" si="43"/>
        <v>25.5</v>
      </c>
      <c r="CW36" s="53">
        <f t="shared" si="44"/>
        <v>12607.632508833922</v>
      </c>
      <c r="CX36" s="54">
        <f t="shared" si="45"/>
        <v>3712163.6949393796</v>
      </c>
      <c r="CZ36" s="25">
        <v>5</v>
      </c>
      <c r="DA36" s="51">
        <f>Input!$E14</f>
        <v>-230</v>
      </c>
      <c r="DB36" s="74">
        <f t="shared" si="82"/>
        <v>-2.5000000000000001E-2</v>
      </c>
      <c r="DC36" s="52">
        <f t="shared" si="46"/>
        <v>-5000</v>
      </c>
      <c r="DD36" s="52">
        <f t="shared" si="47"/>
        <v>0</v>
      </c>
      <c r="DE36" s="83">
        <f t="shared" si="48"/>
        <v>-400</v>
      </c>
      <c r="DF36" s="93">
        <f>IF(AND(ISNUMBER(Input!$D14),ISNUMBER(Input!$E14)),DE36*As,0)</f>
        <v>-321699.08772759483</v>
      </c>
      <c r="DG36" s="54">
        <f t="shared" si="83"/>
        <v>73990790.177346811</v>
      </c>
      <c r="DI36" s="25">
        <v>5</v>
      </c>
      <c r="DJ36" s="51">
        <f t="shared" si="49"/>
        <v>295.27297297297298</v>
      </c>
      <c r="DK36" s="74">
        <f t="shared" si="84"/>
        <v>3.0030000000000005E-3</v>
      </c>
      <c r="DL36" s="52">
        <f t="shared" si="50"/>
        <v>25.5</v>
      </c>
      <c r="DM36" s="53">
        <f t="shared" si="51"/>
        <v>10714.594594594595</v>
      </c>
      <c r="DN36" s="54">
        <f t="shared" si="52"/>
        <v>3163730.2001460921</v>
      </c>
      <c r="DP36" s="25">
        <v>5</v>
      </c>
      <c r="DQ36" s="51">
        <f>Input!$E14</f>
        <v>-230</v>
      </c>
      <c r="DR36" s="74">
        <f t="shared" si="85"/>
        <v>-0.03</v>
      </c>
      <c r="DS36" s="52">
        <f t="shared" si="53"/>
        <v>-6000</v>
      </c>
      <c r="DT36" s="52">
        <f t="shared" si="54"/>
        <v>0</v>
      </c>
      <c r="DU36" s="83">
        <f t="shared" si="55"/>
        <v>-400</v>
      </c>
      <c r="DV36" s="93">
        <f>IF(AND(ISNUMBER(Input!$D14),ISNUMBER(Input!$E14)),DU36*As,0)</f>
        <v>-321699.08772759483</v>
      </c>
      <c r="DW36" s="54">
        <f t="shared" si="86"/>
        <v>73990790.177346811</v>
      </c>
      <c r="DY36" s="25">
        <v>5</v>
      </c>
      <c r="DZ36" s="51">
        <f t="shared" si="56"/>
        <v>297.04671669793623</v>
      </c>
      <c r="EA36" s="74">
        <f t="shared" si="87"/>
        <v>3.0030000000000022E-3</v>
      </c>
      <c r="EB36" s="52">
        <f t="shared" si="57"/>
        <v>25.5</v>
      </c>
      <c r="EC36" s="53">
        <f t="shared" si="58"/>
        <v>6694.1088180112565</v>
      </c>
      <c r="ED36" s="54">
        <f t="shared" si="59"/>
        <v>1988463.0456089466</v>
      </c>
      <c r="EF36" s="25">
        <v>5</v>
      </c>
      <c r="EG36" s="51">
        <f>Input!$E14</f>
        <v>-230</v>
      </c>
      <c r="EH36" s="74">
        <f t="shared" si="88"/>
        <v>-5.000000000000001E-2</v>
      </c>
      <c r="EI36" s="52">
        <f t="shared" si="60"/>
        <v>-10000.000000000002</v>
      </c>
      <c r="EJ36" s="52">
        <f t="shared" si="61"/>
        <v>0</v>
      </c>
      <c r="EK36" s="83">
        <f t="shared" si="62"/>
        <v>-400</v>
      </c>
      <c r="EL36" s="93">
        <f>IF(AND(ISNUMBER(Input!$D14),ISNUMBER(Input!$E14)),EK36*As,0)</f>
        <v>-321699.08772759483</v>
      </c>
      <c r="EM36" s="54">
        <f t="shared" si="89"/>
        <v>73990790.177346811</v>
      </c>
    </row>
    <row r="37" spans="1:143">
      <c r="A37" s="25">
        <v>6</v>
      </c>
      <c r="B37" s="51">
        <f t="shared" si="0"/>
        <v>263.7</v>
      </c>
      <c r="C37" s="74">
        <f t="shared" si="63"/>
        <v>2.9369999999999995E-3</v>
      </c>
      <c r="D37" s="52">
        <f t="shared" si="1"/>
        <v>25.5</v>
      </c>
      <c r="E37" s="53">
        <f t="shared" si="2"/>
        <v>67320</v>
      </c>
      <c r="F37" s="54">
        <f t="shared" si="3"/>
        <v>17752284</v>
      </c>
      <c r="H37" s="25">
        <v>6</v>
      </c>
      <c r="I37" s="51">
        <f>Input!$E15</f>
        <v>-230</v>
      </c>
      <c r="J37" s="74">
        <f t="shared" si="64"/>
        <v>-2E-3</v>
      </c>
      <c r="K37" s="52">
        <f t="shared" si="4"/>
        <v>-400</v>
      </c>
      <c r="L37" s="52">
        <f t="shared" si="5"/>
        <v>0</v>
      </c>
      <c r="M37" s="83">
        <f t="shared" si="6"/>
        <v>-400</v>
      </c>
      <c r="N37" s="93">
        <f>IF(AND(ISNUMBER(Input!$D15),ISNUMBER(Input!$E15)),M37*As,0)</f>
        <v>-321699.08772759483</v>
      </c>
      <c r="O37" s="54">
        <f t="shared" si="65"/>
        <v>73990790.177346811</v>
      </c>
      <c r="Q37" s="25">
        <v>6</v>
      </c>
      <c r="R37" s="51">
        <f t="shared" si="7"/>
        <v>269.46190476190475</v>
      </c>
      <c r="S37" s="74">
        <f t="shared" si="66"/>
        <v>2.9369999999999999E-3</v>
      </c>
      <c r="T37" s="52">
        <f t="shared" si="8"/>
        <v>25.5</v>
      </c>
      <c r="U37" s="53">
        <f t="shared" si="9"/>
        <v>56634.285714285717</v>
      </c>
      <c r="V37" s="54">
        <f t="shared" si="10"/>
        <v>15260782.503401361</v>
      </c>
      <c r="X37" s="25">
        <v>6</v>
      </c>
      <c r="Y37" s="51">
        <f>Input!$E15</f>
        <v>-230</v>
      </c>
      <c r="Z37" s="74">
        <f t="shared" si="67"/>
        <v>-2.9999999999999996E-3</v>
      </c>
      <c r="AA37" s="52">
        <f t="shared" si="11"/>
        <v>-599.99999999999989</v>
      </c>
      <c r="AB37" s="52">
        <f t="shared" si="12"/>
        <v>0</v>
      </c>
      <c r="AC37" s="83">
        <f t="shared" si="13"/>
        <v>-400</v>
      </c>
      <c r="AD37" s="93">
        <f>IF(AND(ISNUMBER(Input!$D15),ISNUMBER(Input!$E15)),AC37*As,0)</f>
        <v>-321699.08772759483</v>
      </c>
      <c r="AE37" s="54">
        <f t="shared" si="68"/>
        <v>73990790.177346811</v>
      </c>
      <c r="AG37" s="25">
        <v>6</v>
      </c>
      <c r="AH37" s="51">
        <f t="shared" si="14"/>
        <v>276.82048192771083</v>
      </c>
      <c r="AI37" s="74">
        <f t="shared" si="69"/>
        <v>2.9370000000000004E-3</v>
      </c>
      <c r="AJ37" s="52">
        <f t="shared" si="15"/>
        <v>25.5</v>
      </c>
      <c r="AK37" s="53">
        <f t="shared" si="16"/>
        <v>42987.469879518074</v>
      </c>
      <c r="AL37" s="54">
        <f t="shared" si="17"/>
        <v>11899812.128901146</v>
      </c>
      <c r="AN37" s="25">
        <v>6</v>
      </c>
      <c r="AO37" s="51">
        <f>Input!$E15</f>
        <v>-230</v>
      </c>
      <c r="AP37" s="74">
        <f t="shared" si="70"/>
        <v>-5.000000000000001E-3</v>
      </c>
      <c r="AQ37" s="52">
        <f t="shared" si="18"/>
        <v>-1000.0000000000002</v>
      </c>
      <c r="AR37" s="52">
        <f t="shared" si="19"/>
        <v>0</v>
      </c>
      <c r="AS37" s="83">
        <f t="shared" si="20"/>
        <v>-400</v>
      </c>
      <c r="AT37" s="93">
        <f>IF(AND(ISNUMBER(Input!$D15),ISNUMBER(Input!$E15)),AS37*As,0)</f>
        <v>-321699.08772759483</v>
      </c>
      <c r="AU37" s="54">
        <f t="shared" si="71"/>
        <v>73990790.177346811</v>
      </c>
      <c r="AW37" s="25">
        <v>6</v>
      </c>
      <c r="AX37" s="51">
        <f t="shared" si="21"/>
        <v>282.18611111111113</v>
      </c>
      <c r="AY37" s="74">
        <f t="shared" si="72"/>
        <v>2.9370000000000004E-3</v>
      </c>
      <c r="AZ37" s="52">
        <f t="shared" si="22"/>
        <v>25.5</v>
      </c>
      <c r="BA37" s="53">
        <f t="shared" si="23"/>
        <v>33036.666666666664</v>
      </c>
      <c r="BB37" s="54">
        <f t="shared" si="24"/>
        <v>9322488.4907407407</v>
      </c>
      <c r="BD37" s="25">
        <v>6</v>
      </c>
      <c r="BE37" s="51">
        <f>Input!$E15</f>
        <v>-230</v>
      </c>
      <c r="BF37" s="74">
        <f t="shared" si="73"/>
        <v>-7.5000000000000015E-3</v>
      </c>
      <c r="BG37" s="52">
        <f t="shared" si="25"/>
        <v>-1500.0000000000002</v>
      </c>
      <c r="BH37" s="52">
        <f t="shared" si="26"/>
        <v>0</v>
      </c>
      <c r="BI37" s="83">
        <f t="shared" si="27"/>
        <v>-400</v>
      </c>
      <c r="BJ37" s="93">
        <f>IF(AND(ISNUMBER(Input!$D15),ISNUMBER(Input!$E15)),BI37*As,0)</f>
        <v>-321699.08772759483</v>
      </c>
      <c r="BK37" s="54">
        <f t="shared" si="74"/>
        <v>73990790.177346811</v>
      </c>
      <c r="BM37" s="25">
        <v>6</v>
      </c>
      <c r="BN37" s="51">
        <f t="shared" si="28"/>
        <v>285.53458646616542</v>
      </c>
      <c r="BO37" s="74">
        <f t="shared" si="75"/>
        <v>2.9370000000000004E-3</v>
      </c>
      <c r="BP37" s="52">
        <f t="shared" si="29"/>
        <v>25.5</v>
      </c>
      <c r="BQ37" s="53">
        <f t="shared" si="30"/>
        <v>26826.766917293233</v>
      </c>
      <c r="BR37" s="54">
        <f t="shared" si="31"/>
        <v>7659969.7979535302</v>
      </c>
      <c r="BT37" s="25">
        <v>6</v>
      </c>
      <c r="BU37" s="51">
        <f>Input!$E15</f>
        <v>-230</v>
      </c>
      <c r="BV37" s="74">
        <f t="shared" si="76"/>
        <v>-0.01</v>
      </c>
      <c r="BW37" s="52">
        <f t="shared" si="32"/>
        <v>-2000</v>
      </c>
      <c r="BX37" s="52">
        <f t="shared" si="33"/>
        <v>0</v>
      </c>
      <c r="BY37" s="83">
        <f t="shared" si="34"/>
        <v>-400</v>
      </c>
      <c r="BZ37" s="93">
        <f>IF(AND(ISNUMBER(Input!$D15),ISNUMBER(Input!$E15)),BY37*As,0)</f>
        <v>-321699.08772759483</v>
      </c>
      <c r="CA37" s="54">
        <f t="shared" si="77"/>
        <v>73990790.177346811</v>
      </c>
      <c r="CC37" s="25">
        <v>6</v>
      </c>
      <c r="CD37" s="51">
        <f t="shared" si="35"/>
        <v>289.48688524590165</v>
      </c>
      <c r="CE37" s="74">
        <f t="shared" si="78"/>
        <v>2.9370000000000021E-3</v>
      </c>
      <c r="CF37" s="52">
        <f t="shared" si="36"/>
        <v>25.5</v>
      </c>
      <c r="CG37" s="53">
        <f t="shared" si="37"/>
        <v>19497.049180327871</v>
      </c>
      <c r="CH37" s="54">
        <f t="shared" si="38"/>
        <v>5644140.0386992749</v>
      </c>
      <c r="CJ37" s="25">
        <v>6</v>
      </c>
      <c r="CK37" s="51">
        <f>Input!$E15</f>
        <v>-230</v>
      </c>
      <c r="CL37" s="74">
        <f t="shared" si="79"/>
        <v>-1.4999999999999999E-2</v>
      </c>
      <c r="CM37" s="52">
        <f t="shared" si="39"/>
        <v>-3000</v>
      </c>
      <c r="CN37" s="52">
        <f t="shared" si="40"/>
        <v>0</v>
      </c>
      <c r="CO37" s="83">
        <f t="shared" si="41"/>
        <v>-400</v>
      </c>
      <c r="CP37" s="93">
        <f>IF(AND(ISNUMBER(Input!$D15),ISNUMBER(Input!$E15)),CO37*As,0)</f>
        <v>-321699.08772759483</v>
      </c>
      <c r="CQ37" s="54">
        <f t="shared" si="80"/>
        <v>73990790.177346811</v>
      </c>
      <c r="CS37" s="25">
        <v>6</v>
      </c>
      <c r="CT37" s="51">
        <f t="shared" si="42"/>
        <v>293.20176678445227</v>
      </c>
      <c r="CU37" s="74">
        <f t="shared" si="81"/>
        <v>2.9370000000000004E-3</v>
      </c>
      <c r="CV37" s="52">
        <f t="shared" si="43"/>
        <v>25.5</v>
      </c>
      <c r="CW37" s="53">
        <f t="shared" si="44"/>
        <v>12607.632508833922</v>
      </c>
      <c r="CX37" s="54">
        <f t="shared" si="45"/>
        <v>3696580.1265592026</v>
      </c>
      <c r="CZ37" s="25">
        <v>6</v>
      </c>
      <c r="DA37" s="51">
        <f>Input!$E15</f>
        <v>-230</v>
      </c>
      <c r="DB37" s="74">
        <f t="shared" si="82"/>
        <v>-2.5000000000000001E-2</v>
      </c>
      <c r="DC37" s="52">
        <f t="shared" si="46"/>
        <v>-5000</v>
      </c>
      <c r="DD37" s="52">
        <f t="shared" si="47"/>
        <v>0</v>
      </c>
      <c r="DE37" s="83">
        <f t="shared" si="48"/>
        <v>-400</v>
      </c>
      <c r="DF37" s="93">
        <f>IF(AND(ISNUMBER(Input!$D15),ISNUMBER(Input!$E15)),DE37*As,0)</f>
        <v>-321699.08772759483</v>
      </c>
      <c r="DG37" s="54">
        <f t="shared" si="83"/>
        <v>73990790.177346811</v>
      </c>
      <c r="DI37" s="25">
        <v>6</v>
      </c>
      <c r="DJ37" s="51">
        <f t="shared" si="49"/>
        <v>294.22252252252252</v>
      </c>
      <c r="DK37" s="74">
        <f t="shared" si="84"/>
        <v>2.9370000000000004E-3</v>
      </c>
      <c r="DL37" s="52">
        <f t="shared" si="50"/>
        <v>25.5</v>
      </c>
      <c r="DM37" s="53">
        <f t="shared" si="51"/>
        <v>10714.594594594595</v>
      </c>
      <c r="DN37" s="54">
        <f t="shared" si="52"/>
        <v>3152475.0494278064</v>
      </c>
      <c r="DP37" s="25">
        <v>6</v>
      </c>
      <c r="DQ37" s="51">
        <f>Input!$E15</f>
        <v>-230</v>
      </c>
      <c r="DR37" s="74">
        <f t="shared" si="85"/>
        <v>-0.03</v>
      </c>
      <c r="DS37" s="52">
        <f t="shared" si="53"/>
        <v>-6000</v>
      </c>
      <c r="DT37" s="52">
        <f t="shared" si="54"/>
        <v>0</v>
      </c>
      <c r="DU37" s="83">
        <f t="shared" si="55"/>
        <v>-400</v>
      </c>
      <c r="DV37" s="93">
        <f>IF(AND(ISNUMBER(Input!$D15),ISNUMBER(Input!$E15)),DU37*As,0)</f>
        <v>-321699.08772759483</v>
      </c>
      <c r="DW37" s="54">
        <f t="shared" si="86"/>
        <v>73990790.177346811</v>
      </c>
      <c r="DY37" s="25">
        <v>6</v>
      </c>
      <c r="DZ37" s="51">
        <f t="shared" si="56"/>
        <v>296.3904315196998</v>
      </c>
      <c r="EA37" s="74">
        <f t="shared" si="87"/>
        <v>2.9369999999999986E-3</v>
      </c>
      <c r="EB37" s="52">
        <f t="shared" si="57"/>
        <v>25.5</v>
      </c>
      <c r="EC37" s="53">
        <f t="shared" si="58"/>
        <v>6694.1088180112565</v>
      </c>
      <c r="ED37" s="54">
        <f t="shared" si="59"/>
        <v>1984069.8012101839</v>
      </c>
      <c r="EF37" s="25">
        <v>6</v>
      </c>
      <c r="EG37" s="51">
        <f>Input!$E15</f>
        <v>-230</v>
      </c>
      <c r="EH37" s="74">
        <f t="shared" si="88"/>
        <v>-5.000000000000001E-2</v>
      </c>
      <c r="EI37" s="52">
        <f t="shared" si="60"/>
        <v>-10000.000000000002</v>
      </c>
      <c r="EJ37" s="52">
        <f t="shared" si="61"/>
        <v>0</v>
      </c>
      <c r="EK37" s="83">
        <f t="shared" si="62"/>
        <v>-400</v>
      </c>
      <c r="EL37" s="93">
        <f>IF(AND(ISNUMBER(Input!$D15),ISNUMBER(Input!$E15)),EK37*As,0)</f>
        <v>-321699.08772759483</v>
      </c>
      <c r="EM37" s="54">
        <f t="shared" si="89"/>
        <v>73990790.177346811</v>
      </c>
    </row>
    <row r="38" spans="1:143">
      <c r="A38" s="25">
        <v>7</v>
      </c>
      <c r="B38" s="51">
        <f t="shared" si="0"/>
        <v>257.10000000000002</v>
      </c>
      <c r="C38" s="74">
        <f t="shared" si="63"/>
        <v>2.8709999999999999E-3</v>
      </c>
      <c r="D38" s="52">
        <f t="shared" si="1"/>
        <v>25.5</v>
      </c>
      <c r="E38" s="53">
        <f t="shared" si="2"/>
        <v>67320</v>
      </c>
      <c r="F38" s="54">
        <f t="shared" si="3"/>
        <v>17307972</v>
      </c>
      <c r="H38" s="25">
        <v>7</v>
      </c>
      <c r="I38" s="51">
        <f>Input!$E16</f>
        <v>-230</v>
      </c>
      <c r="J38" s="74">
        <f t="shared" si="64"/>
        <v>-2E-3</v>
      </c>
      <c r="K38" s="52">
        <f t="shared" si="4"/>
        <v>-400</v>
      </c>
      <c r="L38" s="52">
        <f t="shared" si="5"/>
        <v>0</v>
      </c>
      <c r="M38" s="83">
        <f t="shared" si="6"/>
        <v>-400</v>
      </c>
      <c r="N38" s="93">
        <f>IF(AND(ISNUMBER(Input!$D16),ISNUMBER(Input!$E16)),M38*As,0)</f>
        <v>-321699.08772759483</v>
      </c>
      <c r="O38" s="54">
        <f t="shared" si="65"/>
        <v>73990790.177346811</v>
      </c>
      <c r="Q38" s="25">
        <v>7</v>
      </c>
      <c r="R38" s="51">
        <f t="shared" si="7"/>
        <v>263.90952380952382</v>
      </c>
      <c r="S38" s="74">
        <f t="shared" si="66"/>
        <v>2.8709999999999999E-3</v>
      </c>
      <c r="T38" s="52">
        <f t="shared" si="8"/>
        <v>25.5</v>
      </c>
      <c r="U38" s="53">
        <f t="shared" si="9"/>
        <v>56634.285714285717</v>
      </c>
      <c r="V38" s="54">
        <f t="shared" si="10"/>
        <v>14946327.374149662</v>
      </c>
      <c r="X38" s="25">
        <v>7</v>
      </c>
      <c r="Y38" s="51">
        <f>Input!$E16</f>
        <v>-230</v>
      </c>
      <c r="Z38" s="74">
        <f t="shared" si="67"/>
        <v>-2.9999999999999996E-3</v>
      </c>
      <c r="AA38" s="52">
        <f t="shared" si="11"/>
        <v>-599.99999999999989</v>
      </c>
      <c r="AB38" s="52">
        <f t="shared" si="12"/>
        <v>0</v>
      </c>
      <c r="AC38" s="83">
        <f t="shared" si="13"/>
        <v>-400</v>
      </c>
      <c r="AD38" s="93">
        <f>IF(AND(ISNUMBER(Input!$D16),ISNUMBER(Input!$E16)),AC38*As,0)</f>
        <v>-321699.08772759483</v>
      </c>
      <c r="AE38" s="54">
        <f t="shared" si="68"/>
        <v>73990790.177346811</v>
      </c>
      <c r="AG38" s="25">
        <v>7</v>
      </c>
      <c r="AH38" s="51">
        <f t="shared" si="14"/>
        <v>272.60602409638557</v>
      </c>
      <c r="AI38" s="74">
        <f t="shared" si="69"/>
        <v>2.8710000000000012E-3</v>
      </c>
      <c r="AJ38" s="52">
        <f t="shared" si="15"/>
        <v>25.5</v>
      </c>
      <c r="AK38" s="53">
        <f t="shared" si="16"/>
        <v>42987.469879518074</v>
      </c>
      <c r="AL38" s="54">
        <f t="shared" si="17"/>
        <v>11718643.249818552</v>
      </c>
      <c r="AN38" s="25">
        <v>7</v>
      </c>
      <c r="AO38" s="51">
        <f>Input!$E16</f>
        <v>-230</v>
      </c>
      <c r="AP38" s="74">
        <f t="shared" si="70"/>
        <v>-5.000000000000001E-3</v>
      </c>
      <c r="AQ38" s="52">
        <f t="shared" si="18"/>
        <v>-1000.0000000000002</v>
      </c>
      <c r="AR38" s="52">
        <f t="shared" si="19"/>
        <v>0</v>
      </c>
      <c r="AS38" s="83">
        <f t="shared" si="20"/>
        <v>-400</v>
      </c>
      <c r="AT38" s="93">
        <f>IF(AND(ISNUMBER(Input!$D16),ISNUMBER(Input!$E16)),AS38*As,0)</f>
        <v>-321699.08772759483</v>
      </c>
      <c r="AU38" s="54">
        <f t="shared" si="71"/>
        <v>73990790.177346811</v>
      </c>
      <c r="AW38" s="25">
        <v>7</v>
      </c>
      <c r="AX38" s="51">
        <f t="shared" si="21"/>
        <v>278.94722222222225</v>
      </c>
      <c r="AY38" s="74">
        <f t="shared" si="72"/>
        <v>2.8710000000000012E-3</v>
      </c>
      <c r="AZ38" s="52">
        <f t="shared" si="22"/>
        <v>25.5</v>
      </c>
      <c r="BA38" s="53">
        <f t="shared" si="23"/>
        <v>33036.666666666664</v>
      </c>
      <c r="BB38" s="54">
        <f t="shared" si="24"/>
        <v>9215486.3981481493</v>
      </c>
      <c r="BD38" s="25">
        <v>7</v>
      </c>
      <c r="BE38" s="51">
        <f>Input!$E16</f>
        <v>-230</v>
      </c>
      <c r="BF38" s="74">
        <f t="shared" si="73"/>
        <v>-7.5000000000000015E-3</v>
      </c>
      <c r="BG38" s="52">
        <f t="shared" si="25"/>
        <v>-1500.0000000000002</v>
      </c>
      <c r="BH38" s="52">
        <f t="shared" si="26"/>
        <v>0</v>
      </c>
      <c r="BI38" s="83">
        <f t="shared" si="27"/>
        <v>-400</v>
      </c>
      <c r="BJ38" s="93">
        <f>IF(AND(ISNUMBER(Input!$D16),ISNUMBER(Input!$E16)),BI38*As,0)</f>
        <v>-321699.08772759483</v>
      </c>
      <c r="BK38" s="54">
        <f t="shared" si="74"/>
        <v>73990790.177346811</v>
      </c>
      <c r="BM38" s="25">
        <v>7</v>
      </c>
      <c r="BN38" s="51">
        <f t="shared" si="28"/>
        <v>282.90451127819551</v>
      </c>
      <c r="BO38" s="74">
        <f t="shared" si="75"/>
        <v>2.8710000000000003E-3</v>
      </c>
      <c r="BP38" s="52">
        <f t="shared" si="29"/>
        <v>25.5</v>
      </c>
      <c r="BQ38" s="53">
        <f t="shared" si="30"/>
        <v>26826.766917293233</v>
      </c>
      <c r="BR38" s="54">
        <f t="shared" si="31"/>
        <v>7589413.3839109056</v>
      </c>
      <c r="BT38" s="25">
        <v>7</v>
      </c>
      <c r="BU38" s="51">
        <f>Input!$E16</f>
        <v>-230</v>
      </c>
      <c r="BV38" s="74">
        <f t="shared" si="76"/>
        <v>-0.01</v>
      </c>
      <c r="BW38" s="52">
        <f t="shared" si="32"/>
        <v>-2000</v>
      </c>
      <c r="BX38" s="52">
        <f t="shared" si="33"/>
        <v>0</v>
      </c>
      <c r="BY38" s="83">
        <f t="shared" si="34"/>
        <v>-400</v>
      </c>
      <c r="BZ38" s="93">
        <f>IF(AND(ISNUMBER(Input!$D16),ISNUMBER(Input!$E16)),BY38*As,0)</f>
        <v>-321699.08772759483</v>
      </c>
      <c r="CA38" s="54">
        <f t="shared" si="77"/>
        <v>73990790.177346811</v>
      </c>
      <c r="CC38" s="25">
        <v>7</v>
      </c>
      <c r="CD38" s="51">
        <f t="shared" si="35"/>
        <v>287.57540983606555</v>
      </c>
      <c r="CE38" s="74">
        <f t="shared" si="78"/>
        <v>2.8710000000000003E-3</v>
      </c>
      <c r="CF38" s="52">
        <f t="shared" si="36"/>
        <v>25.5</v>
      </c>
      <c r="CG38" s="53">
        <f t="shared" si="37"/>
        <v>19497.049180327871</v>
      </c>
      <c r="CH38" s="54">
        <f t="shared" si="38"/>
        <v>5606871.9086267138</v>
      </c>
      <c r="CJ38" s="25">
        <v>7</v>
      </c>
      <c r="CK38" s="51">
        <f>Input!$E16</f>
        <v>-230</v>
      </c>
      <c r="CL38" s="74">
        <f t="shared" si="79"/>
        <v>-1.4999999999999999E-2</v>
      </c>
      <c r="CM38" s="52">
        <f t="shared" si="39"/>
        <v>-3000</v>
      </c>
      <c r="CN38" s="52">
        <f t="shared" si="40"/>
        <v>0</v>
      </c>
      <c r="CO38" s="83">
        <f t="shared" si="41"/>
        <v>-400</v>
      </c>
      <c r="CP38" s="93">
        <f>IF(AND(ISNUMBER(Input!$D16),ISNUMBER(Input!$E16)),CO38*As,0)</f>
        <v>-321699.08772759483</v>
      </c>
      <c r="CQ38" s="54">
        <f t="shared" si="80"/>
        <v>73990790.177346811</v>
      </c>
      <c r="CS38" s="25">
        <v>7</v>
      </c>
      <c r="CT38" s="51">
        <f t="shared" si="42"/>
        <v>291.96572438162542</v>
      </c>
      <c r="CU38" s="74">
        <f t="shared" si="81"/>
        <v>2.8710000000000003E-3</v>
      </c>
      <c r="CV38" s="52">
        <f t="shared" si="43"/>
        <v>25.5</v>
      </c>
      <c r="CW38" s="53">
        <f t="shared" si="44"/>
        <v>12607.632508833922</v>
      </c>
      <c r="CX38" s="54">
        <f t="shared" si="45"/>
        <v>3680996.5581790255</v>
      </c>
      <c r="CZ38" s="25">
        <v>7</v>
      </c>
      <c r="DA38" s="51">
        <f>Input!$E16</f>
        <v>-230</v>
      </c>
      <c r="DB38" s="74">
        <f t="shared" si="82"/>
        <v>-2.5000000000000001E-2</v>
      </c>
      <c r="DC38" s="52">
        <f t="shared" si="46"/>
        <v>-5000</v>
      </c>
      <c r="DD38" s="52">
        <f t="shared" si="47"/>
        <v>0</v>
      </c>
      <c r="DE38" s="83">
        <f t="shared" si="48"/>
        <v>-400</v>
      </c>
      <c r="DF38" s="93">
        <f>IF(AND(ISNUMBER(Input!$D16),ISNUMBER(Input!$E16)),DE38*As,0)</f>
        <v>-321699.08772759483</v>
      </c>
      <c r="DG38" s="54">
        <f t="shared" si="83"/>
        <v>73990790.177346811</v>
      </c>
      <c r="DI38" s="25">
        <v>7</v>
      </c>
      <c r="DJ38" s="51">
        <f t="shared" si="49"/>
        <v>293.17207207207207</v>
      </c>
      <c r="DK38" s="74">
        <f t="shared" si="84"/>
        <v>2.8710000000000003E-3</v>
      </c>
      <c r="DL38" s="52">
        <f t="shared" si="50"/>
        <v>25.5</v>
      </c>
      <c r="DM38" s="53">
        <f t="shared" si="51"/>
        <v>10714.594594594595</v>
      </c>
      <c r="DN38" s="54">
        <f t="shared" si="52"/>
        <v>3141219.8987095202</v>
      </c>
      <c r="DP38" s="25">
        <v>7</v>
      </c>
      <c r="DQ38" s="51">
        <f>Input!$E16</f>
        <v>-230</v>
      </c>
      <c r="DR38" s="74">
        <f t="shared" si="85"/>
        <v>-0.03</v>
      </c>
      <c r="DS38" s="52">
        <f t="shared" si="53"/>
        <v>-6000</v>
      </c>
      <c r="DT38" s="52">
        <f t="shared" si="54"/>
        <v>0</v>
      </c>
      <c r="DU38" s="83">
        <f t="shared" si="55"/>
        <v>-400</v>
      </c>
      <c r="DV38" s="93">
        <f>IF(AND(ISNUMBER(Input!$D16),ISNUMBER(Input!$E16)),DU38*As,0)</f>
        <v>-321699.08772759483</v>
      </c>
      <c r="DW38" s="54">
        <f t="shared" si="86"/>
        <v>73990790.177346811</v>
      </c>
      <c r="DY38" s="25">
        <v>7</v>
      </c>
      <c r="DZ38" s="51">
        <f t="shared" si="56"/>
        <v>295.73414634146343</v>
      </c>
      <c r="EA38" s="74">
        <f t="shared" si="87"/>
        <v>2.871000000000002E-3</v>
      </c>
      <c r="EB38" s="52">
        <f t="shared" si="57"/>
        <v>25.5</v>
      </c>
      <c r="EC38" s="53">
        <f t="shared" si="58"/>
        <v>6694.1088180112565</v>
      </c>
      <c r="ED38" s="54">
        <f t="shared" si="59"/>
        <v>1979676.5568114216</v>
      </c>
      <c r="EF38" s="25">
        <v>7</v>
      </c>
      <c r="EG38" s="51">
        <f>Input!$E16</f>
        <v>-230</v>
      </c>
      <c r="EH38" s="74">
        <f t="shared" si="88"/>
        <v>-5.000000000000001E-2</v>
      </c>
      <c r="EI38" s="52">
        <f t="shared" si="60"/>
        <v>-10000.000000000002</v>
      </c>
      <c r="EJ38" s="52">
        <f t="shared" si="61"/>
        <v>0</v>
      </c>
      <c r="EK38" s="83">
        <f t="shared" si="62"/>
        <v>-400</v>
      </c>
      <c r="EL38" s="93">
        <f>IF(AND(ISNUMBER(Input!$D16),ISNUMBER(Input!$E16)),EK38*As,0)</f>
        <v>-321699.08772759483</v>
      </c>
      <c r="EM38" s="54">
        <f t="shared" si="89"/>
        <v>73990790.177346811</v>
      </c>
    </row>
    <row r="39" spans="1:143">
      <c r="A39" s="25">
        <v>8</v>
      </c>
      <c r="B39" s="51">
        <f t="shared" si="0"/>
        <v>250.5</v>
      </c>
      <c r="C39" s="74">
        <f t="shared" si="63"/>
        <v>2.8049999999999998E-3</v>
      </c>
      <c r="D39" s="52">
        <f t="shared" si="1"/>
        <v>25.5</v>
      </c>
      <c r="E39" s="53">
        <f t="shared" si="2"/>
        <v>67320</v>
      </c>
      <c r="F39" s="54">
        <f t="shared" si="3"/>
        <v>16863660</v>
      </c>
      <c r="H39" s="25">
        <v>8</v>
      </c>
      <c r="I39" s="51">
        <f>Input!$E17</f>
        <v>-230</v>
      </c>
      <c r="J39" s="74">
        <f t="shared" si="64"/>
        <v>-2E-3</v>
      </c>
      <c r="K39" s="52">
        <f t="shared" si="4"/>
        <v>-400</v>
      </c>
      <c r="L39" s="52">
        <f t="shared" si="5"/>
        <v>0</v>
      </c>
      <c r="M39" s="83">
        <f t="shared" si="6"/>
        <v>-400</v>
      </c>
      <c r="N39" s="93">
        <f>IF(AND(ISNUMBER(Input!$D17),ISNUMBER(Input!$E17)),M39*As,0)</f>
        <v>-321699.08772759483</v>
      </c>
      <c r="O39" s="54">
        <f t="shared" si="65"/>
        <v>73990790.177346811</v>
      </c>
      <c r="Q39" s="25">
        <v>8</v>
      </c>
      <c r="R39" s="51">
        <f t="shared" si="7"/>
        <v>258.35714285714283</v>
      </c>
      <c r="S39" s="74">
        <f t="shared" si="66"/>
        <v>2.8049999999999998E-3</v>
      </c>
      <c r="T39" s="52">
        <f t="shared" si="8"/>
        <v>25.5</v>
      </c>
      <c r="U39" s="53">
        <f t="shared" si="9"/>
        <v>56634.285714285717</v>
      </c>
      <c r="V39" s="54">
        <f t="shared" si="10"/>
        <v>14631872.244897958</v>
      </c>
      <c r="X39" s="25">
        <v>8</v>
      </c>
      <c r="Y39" s="51">
        <f>Input!$E17</f>
        <v>-230</v>
      </c>
      <c r="Z39" s="74">
        <f t="shared" si="67"/>
        <v>-2.9999999999999996E-3</v>
      </c>
      <c r="AA39" s="52">
        <f t="shared" si="11"/>
        <v>-599.99999999999989</v>
      </c>
      <c r="AB39" s="52">
        <f t="shared" si="12"/>
        <v>0</v>
      </c>
      <c r="AC39" s="83">
        <f t="shared" si="13"/>
        <v>-400</v>
      </c>
      <c r="AD39" s="93">
        <f>IF(AND(ISNUMBER(Input!$D17),ISNUMBER(Input!$E17)),AC39*As,0)</f>
        <v>-321699.08772759483</v>
      </c>
      <c r="AE39" s="54">
        <f t="shared" si="68"/>
        <v>73990790.177346811</v>
      </c>
      <c r="AG39" s="25">
        <v>8</v>
      </c>
      <c r="AH39" s="51">
        <f t="shared" si="14"/>
        <v>268.39156626506025</v>
      </c>
      <c r="AI39" s="74">
        <f t="shared" si="69"/>
        <v>2.8050000000000002E-3</v>
      </c>
      <c r="AJ39" s="52">
        <f t="shared" si="15"/>
        <v>25.5</v>
      </c>
      <c r="AK39" s="53">
        <f t="shared" si="16"/>
        <v>42987.469879518074</v>
      </c>
      <c r="AL39" s="54">
        <f t="shared" si="17"/>
        <v>11537474.370735956</v>
      </c>
      <c r="AN39" s="25">
        <v>8</v>
      </c>
      <c r="AO39" s="51">
        <f>Input!$E17</f>
        <v>-230</v>
      </c>
      <c r="AP39" s="74">
        <f t="shared" si="70"/>
        <v>-5.000000000000001E-3</v>
      </c>
      <c r="AQ39" s="52">
        <f t="shared" si="18"/>
        <v>-1000.0000000000002</v>
      </c>
      <c r="AR39" s="52">
        <f t="shared" si="19"/>
        <v>0</v>
      </c>
      <c r="AS39" s="83">
        <f t="shared" si="20"/>
        <v>-400</v>
      </c>
      <c r="AT39" s="93">
        <f>IF(AND(ISNUMBER(Input!$D17),ISNUMBER(Input!$E17)),AS39*As,0)</f>
        <v>-321699.08772759483</v>
      </c>
      <c r="AU39" s="54">
        <f t="shared" si="71"/>
        <v>73990790.177346811</v>
      </c>
      <c r="AW39" s="25">
        <v>8</v>
      </c>
      <c r="AX39" s="51">
        <f t="shared" si="21"/>
        <v>275.70833333333331</v>
      </c>
      <c r="AY39" s="74">
        <f t="shared" si="72"/>
        <v>2.8050000000000002E-3</v>
      </c>
      <c r="AZ39" s="52">
        <f t="shared" si="22"/>
        <v>25.5</v>
      </c>
      <c r="BA39" s="53">
        <f t="shared" si="23"/>
        <v>33036.666666666664</v>
      </c>
      <c r="BB39" s="54">
        <f t="shared" si="24"/>
        <v>9108484.3055555541</v>
      </c>
      <c r="BD39" s="25">
        <v>8</v>
      </c>
      <c r="BE39" s="51">
        <f>Input!$E17</f>
        <v>-230</v>
      </c>
      <c r="BF39" s="74">
        <f t="shared" si="73"/>
        <v>-7.5000000000000015E-3</v>
      </c>
      <c r="BG39" s="52">
        <f t="shared" si="25"/>
        <v>-1500.0000000000002</v>
      </c>
      <c r="BH39" s="52">
        <f t="shared" si="26"/>
        <v>0</v>
      </c>
      <c r="BI39" s="83">
        <f t="shared" si="27"/>
        <v>-400</v>
      </c>
      <c r="BJ39" s="93">
        <f>IF(AND(ISNUMBER(Input!$D17),ISNUMBER(Input!$E17)),BI39*As,0)</f>
        <v>-321699.08772759483</v>
      </c>
      <c r="BK39" s="54">
        <f t="shared" si="74"/>
        <v>73990790.177346811</v>
      </c>
      <c r="BM39" s="25">
        <v>8</v>
      </c>
      <c r="BN39" s="51">
        <f t="shared" si="28"/>
        <v>280.27443609022555</v>
      </c>
      <c r="BO39" s="74">
        <f t="shared" si="75"/>
        <v>2.8049999999999993E-3</v>
      </c>
      <c r="BP39" s="52">
        <f t="shared" si="29"/>
        <v>25.5</v>
      </c>
      <c r="BQ39" s="53">
        <f t="shared" si="30"/>
        <v>26826.766917293233</v>
      </c>
      <c r="BR39" s="54">
        <f t="shared" si="31"/>
        <v>7518856.9698682791</v>
      </c>
      <c r="BT39" s="25">
        <v>8</v>
      </c>
      <c r="BU39" s="51">
        <f>Input!$E17</f>
        <v>-230</v>
      </c>
      <c r="BV39" s="74">
        <f t="shared" si="76"/>
        <v>-0.01</v>
      </c>
      <c r="BW39" s="52">
        <f t="shared" si="32"/>
        <v>-2000</v>
      </c>
      <c r="BX39" s="52">
        <f t="shared" si="33"/>
        <v>0</v>
      </c>
      <c r="BY39" s="83">
        <f t="shared" si="34"/>
        <v>-400</v>
      </c>
      <c r="BZ39" s="93">
        <f>IF(AND(ISNUMBER(Input!$D17),ISNUMBER(Input!$E17)),BY39*As,0)</f>
        <v>-321699.08772759483</v>
      </c>
      <c r="CA39" s="54">
        <f t="shared" si="77"/>
        <v>73990790.177346811</v>
      </c>
      <c r="CC39" s="25">
        <v>8</v>
      </c>
      <c r="CD39" s="51">
        <f t="shared" si="35"/>
        <v>285.6639344262295</v>
      </c>
      <c r="CE39" s="74">
        <f t="shared" si="78"/>
        <v>2.8050000000000002E-3</v>
      </c>
      <c r="CF39" s="52">
        <f t="shared" si="36"/>
        <v>25.5</v>
      </c>
      <c r="CG39" s="53">
        <f t="shared" si="37"/>
        <v>19497.049180327871</v>
      </c>
      <c r="CH39" s="54">
        <f t="shared" si="38"/>
        <v>5569603.7785541527</v>
      </c>
      <c r="CJ39" s="25">
        <v>8</v>
      </c>
      <c r="CK39" s="51">
        <f>Input!$E17</f>
        <v>-230</v>
      </c>
      <c r="CL39" s="74">
        <f t="shared" si="79"/>
        <v>-1.4999999999999999E-2</v>
      </c>
      <c r="CM39" s="52">
        <f t="shared" si="39"/>
        <v>-3000</v>
      </c>
      <c r="CN39" s="52">
        <f t="shared" si="40"/>
        <v>0</v>
      </c>
      <c r="CO39" s="83">
        <f t="shared" si="41"/>
        <v>-400</v>
      </c>
      <c r="CP39" s="93">
        <f>IF(AND(ISNUMBER(Input!$D17),ISNUMBER(Input!$E17)),CO39*As,0)</f>
        <v>-321699.08772759483</v>
      </c>
      <c r="CQ39" s="54">
        <f t="shared" si="80"/>
        <v>73990790.177346811</v>
      </c>
      <c r="CS39" s="25">
        <v>8</v>
      </c>
      <c r="CT39" s="51">
        <f t="shared" si="42"/>
        <v>290.72968197879857</v>
      </c>
      <c r="CU39" s="74">
        <f t="shared" si="81"/>
        <v>2.8050000000000002E-3</v>
      </c>
      <c r="CV39" s="52">
        <f t="shared" si="43"/>
        <v>25.5</v>
      </c>
      <c r="CW39" s="53">
        <f t="shared" si="44"/>
        <v>12607.632508833922</v>
      </c>
      <c r="CX39" s="54">
        <f t="shared" si="45"/>
        <v>3665412.9897988485</v>
      </c>
      <c r="CZ39" s="25">
        <v>8</v>
      </c>
      <c r="DA39" s="51">
        <f>Input!$E17</f>
        <v>-230</v>
      </c>
      <c r="DB39" s="74">
        <f t="shared" si="82"/>
        <v>-2.5000000000000001E-2</v>
      </c>
      <c r="DC39" s="52">
        <f t="shared" si="46"/>
        <v>-5000</v>
      </c>
      <c r="DD39" s="52">
        <f t="shared" si="47"/>
        <v>0</v>
      </c>
      <c r="DE39" s="83">
        <f t="shared" si="48"/>
        <v>-400</v>
      </c>
      <c r="DF39" s="93">
        <f>IF(AND(ISNUMBER(Input!$D17),ISNUMBER(Input!$E17)),DE39*As,0)</f>
        <v>-321699.08772759483</v>
      </c>
      <c r="DG39" s="54">
        <f t="shared" si="83"/>
        <v>73990790.177346811</v>
      </c>
      <c r="DI39" s="25">
        <v>8</v>
      </c>
      <c r="DJ39" s="51">
        <f t="shared" si="49"/>
        <v>292.12162162162161</v>
      </c>
      <c r="DK39" s="74">
        <f t="shared" si="84"/>
        <v>2.8050000000000002E-3</v>
      </c>
      <c r="DL39" s="52">
        <f t="shared" si="50"/>
        <v>25.5</v>
      </c>
      <c r="DM39" s="53">
        <f t="shared" si="51"/>
        <v>10714.594594594595</v>
      </c>
      <c r="DN39" s="54">
        <f t="shared" si="52"/>
        <v>3129964.7479912345</v>
      </c>
      <c r="DP39" s="25">
        <v>8</v>
      </c>
      <c r="DQ39" s="51">
        <f>Input!$E17</f>
        <v>-230</v>
      </c>
      <c r="DR39" s="74">
        <f t="shared" si="85"/>
        <v>-0.03</v>
      </c>
      <c r="DS39" s="52">
        <f t="shared" si="53"/>
        <v>-6000</v>
      </c>
      <c r="DT39" s="52">
        <f t="shared" si="54"/>
        <v>0</v>
      </c>
      <c r="DU39" s="83">
        <f t="shared" si="55"/>
        <v>-400</v>
      </c>
      <c r="DV39" s="93">
        <f>IF(AND(ISNUMBER(Input!$D17),ISNUMBER(Input!$E17)),DU39*As,0)</f>
        <v>-321699.08772759483</v>
      </c>
      <c r="DW39" s="54">
        <f t="shared" si="86"/>
        <v>73990790.177346811</v>
      </c>
      <c r="DY39" s="25">
        <v>8</v>
      </c>
      <c r="DZ39" s="51">
        <f t="shared" si="56"/>
        <v>295.077861163227</v>
      </c>
      <c r="EA39" s="74">
        <f t="shared" si="87"/>
        <v>2.8049999999999985E-3</v>
      </c>
      <c r="EB39" s="52">
        <f t="shared" si="57"/>
        <v>25.5</v>
      </c>
      <c r="EC39" s="53">
        <f t="shared" si="58"/>
        <v>6694.1088180112565</v>
      </c>
      <c r="ED39" s="54">
        <f t="shared" si="59"/>
        <v>1975283.3124126592</v>
      </c>
      <c r="EF39" s="25">
        <v>8</v>
      </c>
      <c r="EG39" s="51">
        <f>Input!$E17</f>
        <v>-230</v>
      </c>
      <c r="EH39" s="74">
        <f t="shared" si="88"/>
        <v>-5.000000000000001E-2</v>
      </c>
      <c r="EI39" s="52">
        <f t="shared" si="60"/>
        <v>-10000.000000000002</v>
      </c>
      <c r="EJ39" s="52">
        <f t="shared" si="61"/>
        <v>0</v>
      </c>
      <c r="EK39" s="83">
        <f t="shared" si="62"/>
        <v>-400</v>
      </c>
      <c r="EL39" s="93">
        <f>IF(AND(ISNUMBER(Input!$D17),ISNUMBER(Input!$E17)),EK39*As,0)</f>
        <v>-321699.08772759483</v>
      </c>
      <c r="EM39" s="54">
        <f t="shared" si="89"/>
        <v>73990790.177346811</v>
      </c>
    </row>
    <row r="40" spans="1:143">
      <c r="A40" s="25">
        <v>9</v>
      </c>
      <c r="B40" s="51">
        <f t="shared" si="0"/>
        <v>243.9</v>
      </c>
      <c r="C40" s="74">
        <f t="shared" si="63"/>
        <v>2.7389999999999997E-3</v>
      </c>
      <c r="D40" s="52">
        <f t="shared" si="1"/>
        <v>25.5</v>
      </c>
      <c r="E40" s="53">
        <f t="shared" si="2"/>
        <v>67320</v>
      </c>
      <c r="F40" s="54">
        <f t="shared" si="3"/>
        <v>16419348</v>
      </c>
      <c r="H40" s="25">
        <v>9</v>
      </c>
      <c r="I40" s="51">
        <f>Input!$E18</f>
        <v>130</v>
      </c>
      <c r="J40" s="74">
        <f t="shared" si="64"/>
        <v>1.5999999999999999E-3</v>
      </c>
      <c r="K40" s="52">
        <f t="shared" si="4"/>
        <v>320</v>
      </c>
      <c r="L40" s="52">
        <f t="shared" si="5"/>
        <v>24.479999999999997</v>
      </c>
      <c r="M40" s="83">
        <f t="shared" si="6"/>
        <v>295.52</v>
      </c>
      <c r="N40" s="93">
        <f>IF(AND(ISNUMBER(Input!$D18),ISNUMBER(Input!$E18)),M40*As,0)</f>
        <v>237671.28601314704</v>
      </c>
      <c r="O40" s="54">
        <f t="shared" si="65"/>
        <v>30897267.181709114</v>
      </c>
      <c r="Q40" s="25">
        <v>9</v>
      </c>
      <c r="R40" s="51">
        <f t="shared" si="7"/>
        <v>252.8047619047619</v>
      </c>
      <c r="S40" s="74">
        <f t="shared" si="66"/>
        <v>2.7390000000000001E-3</v>
      </c>
      <c r="T40" s="52">
        <f t="shared" si="8"/>
        <v>25.5</v>
      </c>
      <c r="U40" s="53">
        <f t="shared" si="9"/>
        <v>56634.285714285717</v>
      </c>
      <c r="V40" s="54">
        <f t="shared" si="10"/>
        <v>14317417.11564626</v>
      </c>
      <c r="X40" s="25">
        <v>9</v>
      </c>
      <c r="Y40" s="51">
        <f>Input!$E18</f>
        <v>130</v>
      </c>
      <c r="Z40" s="74">
        <f t="shared" si="67"/>
        <v>1.2792452830188681E-3</v>
      </c>
      <c r="AA40" s="52">
        <f t="shared" si="11"/>
        <v>255.84905660377362</v>
      </c>
      <c r="AB40" s="52">
        <f t="shared" si="12"/>
        <v>22.188268066927733</v>
      </c>
      <c r="AC40" s="83">
        <f t="shared" si="13"/>
        <v>233.66078853684587</v>
      </c>
      <c r="AD40" s="93">
        <f>IF(AND(ISNUMBER(Input!$D18),ISNUMBER(Input!$E18)),AC40*As,0)</f>
        <v>187921.15627503442</v>
      </c>
      <c r="AE40" s="54">
        <f t="shared" si="68"/>
        <v>24429750.315754473</v>
      </c>
      <c r="AG40" s="25">
        <v>9</v>
      </c>
      <c r="AH40" s="51">
        <f t="shared" si="14"/>
        <v>264.17710843373493</v>
      </c>
      <c r="AI40" s="74">
        <f t="shared" si="69"/>
        <v>2.7390000000000001E-3</v>
      </c>
      <c r="AJ40" s="52">
        <f t="shared" si="15"/>
        <v>25.5</v>
      </c>
      <c r="AK40" s="53">
        <f t="shared" si="16"/>
        <v>42987.469879518074</v>
      </c>
      <c r="AL40" s="54">
        <f t="shared" si="17"/>
        <v>11356305.49165336</v>
      </c>
      <c r="AN40" s="25">
        <v>9</v>
      </c>
      <c r="AO40" s="51">
        <f>Input!$E18</f>
        <v>130</v>
      </c>
      <c r="AP40" s="74">
        <f t="shared" si="70"/>
        <v>6.3773584905660384E-4</v>
      </c>
      <c r="AQ40" s="52">
        <f t="shared" si="18"/>
        <v>127.54716981132077</v>
      </c>
      <c r="AR40" s="52">
        <f t="shared" si="19"/>
        <v>13.669506941972232</v>
      </c>
      <c r="AS40" s="83">
        <f t="shared" si="20"/>
        <v>113.87766286934854</v>
      </c>
      <c r="AT40" s="93">
        <f>IF(AND(ISNUMBER(Input!$D18),ISNUMBER(Input!$E18)),AS40*As,0)</f>
        <v>91585.850644050064</v>
      </c>
      <c r="AU40" s="54">
        <f t="shared" si="71"/>
        <v>11906160.583726509</v>
      </c>
      <c r="AW40" s="25">
        <v>9</v>
      </c>
      <c r="AX40" s="51">
        <f t="shared" si="21"/>
        <v>272.46944444444443</v>
      </c>
      <c r="AY40" s="74">
        <f t="shared" si="72"/>
        <v>2.7390000000000001E-3</v>
      </c>
      <c r="AZ40" s="52">
        <f t="shared" si="22"/>
        <v>25.5</v>
      </c>
      <c r="BA40" s="53">
        <f t="shared" si="23"/>
        <v>33036.666666666664</v>
      </c>
      <c r="BB40" s="54">
        <f t="shared" si="24"/>
        <v>9001482.2129629627</v>
      </c>
      <c r="BD40" s="25">
        <v>9</v>
      </c>
      <c r="BE40" s="51">
        <f>Input!$E18</f>
        <v>130</v>
      </c>
      <c r="BF40" s="74">
        <f t="shared" si="73"/>
        <v>-1.6415094339622665E-4</v>
      </c>
      <c r="BG40" s="52">
        <f t="shared" si="25"/>
        <v>-32.830188679245332</v>
      </c>
      <c r="BH40" s="52">
        <f t="shared" si="26"/>
        <v>0</v>
      </c>
      <c r="BI40" s="83">
        <f t="shared" si="27"/>
        <v>-32.830188679245332</v>
      </c>
      <c r="BJ40" s="93">
        <f>IF(AND(ISNUMBER(Input!$D18),ISNUMBER(Input!$E18)),BI40*As,0)</f>
        <v>-26403.604370095087</v>
      </c>
      <c r="BK40" s="54">
        <f t="shared" si="74"/>
        <v>-3432468.5681123612</v>
      </c>
      <c r="BM40" s="25">
        <v>9</v>
      </c>
      <c r="BN40" s="51">
        <f t="shared" si="28"/>
        <v>277.64436090225564</v>
      </c>
      <c r="BO40" s="74">
        <f t="shared" si="75"/>
        <v>2.7390000000000001E-3</v>
      </c>
      <c r="BP40" s="52">
        <f t="shared" si="29"/>
        <v>25.5</v>
      </c>
      <c r="BQ40" s="53">
        <f t="shared" si="30"/>
        <v>26826.766917293233</v>
      </c>
      <c r="BR40" s="54">
        <f t="shared" si="31"/>
        <v>7448300.5558256544</v>
      </c>
      <c r="BT40" s="25">
        <v>9</v>
      </c>
      <c r="BU40" s="51">
        <f>Input!$E18</f>
        <v>130</v>
      </c>
      <c r="BV40" s="74">
        <f t="shared" si="76"/>
        <v>-9.6603773584905692E-4</v>
      </c>
      <c r="BW40" s="52">
        <f t="shared" si="32"/>
        <v>-193.20754716981139</v>
      </c>
      <c r="BX40" s="52">
        <f t="shared" si="33"/>
        <v>0</v>
      </c>
      <c r="BY40" s="83">
        <f t="shared" si="34"/>
        <v>-193.20754716981139</v>
      </c>
      <c r="BZ40" s="93">
        <f>IF(AND(ISNUMBER(Input!$D18),ISNUMBER(Input!$E18)),BY40*As,0)</f>
        <v>-155386.72916653642</v>
      </c>
      <c r="CA40" s="54">
        <f t="shared" si="77"/>
        <v>-20200274.791649733</v>
      </c>
      <c r="CC40" s="25">
        <v>9</v>
      </c>
      <c r="CD40" s="51">
        <f t="shared" si="35"/>
        <v>283.75245901639346</v>
      </c>
      <c r="CE40" s="74">
        <f t="shared" si="78"/>
        <v>2.7390000000000018E-3</v>
      </c>
      <c r="CF40" s="52">
        <f t="shared" si="36"/>
        <v>25.5</v>
      </c>
      <c r="CG40" s="53">
        <f t="shared" si="37"/>
        <v>19497.049180327871</v>
      </c>
      <c r="CH40" s="54">
        <f t="shared" si="38"/>
        <v>5532335.6484815916</v>
      </c>
      <c r="CJ40" s="25">
        <v>9</v>
      </c>
      <c r="CK40" s="51">
        <f>Input!$E18</f>
        <v>130</v>
      </c>
      <c r="CL40" s="74">
        <f t="shared" si="79"/>
        <v>-2.5698113207547162E-3</v>
      </c>
      <c r="CM40" s="52">
        <f t="shared" si="39"/>
        <v>-513.96226415094327</v>
      </c>
      <c r="CN40" s="52">
        <f t="shared" si="40"/>
        <v>0</v>
      </c>
      <c r="CO40" s="83">
        <f t="shared" si="41"/>
        <v>-400</v>
      </c>
      <c r="CP40" s="93">
        <f>IF(AND(ISNUMBER(Input!$D18),ISNUMBER(Input!$E18)),CO40*As,0)</f>
        <v>-321699.08772759483</v>
      </c>
      <c r="CQ40" s="54">
        <f t="shared" si="80"/>
        <v>-41820881.404587328</v>
      </c>
      <c r="CS40" s="25">
        <v>9</v>
      </c>
      <c r="CT40" s="51">
        <f t="shared" si="42"/>
        <v>289.49363957597171</v>
      </c>
      <c r="CU40" s="74">
        <f t="shared" si="81"/>
        <v>2.7390000000000001E-3</v>
      </c>
      <c r="CV40" s="52">
        <f t="shared" si="43"/>
        <v>25.5</v>
      </c>
      <c r="CW40" s="53">
        <f t="shared" si="44"/>
        <v>12607.632508833922</v>
      </c>
      <c r="CX40" s="54">
        <f t="shared" si="45"/>
        <v>3649829.4214186715</v>
      </c>
      <c r="CZ40" s="25">
        <v>9</v>
      </c>
      <c r="DA40" s="51">
        <f>Input!$E18</f>
        <v>130</v>
      </c>
      <c r="DB40" s="74">
        <f t="shared" si="82"/>
        <v>-5.7773584905660364E-3</v>
      </c>
      <c r="DC40" s="52">
        <f t="shared" si="46"/>
        <v>-1155.4716981132074</v>
      </c>
      <c r="DD40" s="52">
        <f t="shared" si="47"/>
        <v>0</v>
      </c>
      <c r="DE40" s="83">
        <f t="shared" si="48"/>
        <v>-400</v>
      </c>
      <c r="DF40" s="93">
        <f>IF(AND(ISNUMBER(Input!$D18),ISNUMBER(Input!$E18)),DE40*As,0)</f>
        <v>-321699.08772759483</v>
      </c>
      <c r="DG40" s="54">
        <f t="shared" si="83"/>
        <v>-41820881.404587328</v>
      </c>
      <c r="DI40" s="25">
        <v>9</v>
      </c>
      <c r="DJ40" s="51">
        <f t="shared" si="49"/>
        <v>291.07117117117116</v>
      </c>
      <c r="DK40" s="74">
        <f t="shared" si="84"/>
        <v>2.7390000000000001E-3</v>
      </c>
      <c r="DL40" s="52">
        <f t="shared" si="50"/>
        <v>25.5</v>
      </c>
      <c r="DM40" s="53">
        <f t="shared" si="51"/>
        <v>10714.594594594595</v>
      </c>
      <c r="DN40" s="54">
        <f t="shared" si="52"/>
        <v>3118709.5972729488</v>
      </c>
      <c r="DP40" s="25">
        <v>9</v>
      </c>
      <c r="DQ40" s="51">
        <f>Input!$E18</f>
        <v>130</v>
      </c>
      <c r="DR40" s="74">
        <f t="shared" si="85"/>
        <v>-7.3811320754716969E-3</v>
      </c>
      <c r="DS40" s="52">
        <f t="shared" si="53"/>
        <v>-1476.2264150943395</v>
      </c>
      <c r="DT40" s="52">
        <f t="shared" si="54"/>
        <v>0</v>
      </c>
      <c r="DU40" s="83">
        <f t="shared" si="55"/>
        <v>-400</v>
      </c>
      <c r="DV40" s="93">
        <f>IF(AND(ISNUMBER(Input!$D18),ISNUMBER(Input!$E18)),DU40*As,0)</f>
        <v>-321699.08772759483</v>
      </c>
      <c r="DW40" s="54">
        <f t="shared" si="86"/>
        <v>-41820881.404587328</v>
      </c>
      <c r="DY40" s="25">
        <v>9</v>
      </c>
      <c r="DZ40" s="51">
        <f t="shared" si="56"/>
        <v>294.42157598499062</v>
      </c>
      <c r="EA40" s="74">
        <f t="shared" si="87"/>
        <v>2.7390000000000018E-3</v>
      </c>
      <c r="EB40" s="52">
        <f t="shared" si="57"/>
        <v>25.5</v>
      </c>
      <c r="EC40" s="53">
        <f t="shared" si="58"/>
        <v>6694.1088180112565</v>
      </c>
      <c r="ED40" s="54">
        <f t="shared" si="59"/>
        <v>1970890.0680138969</v>
      </c>
      <c r="EF40" s="25">
        <v>9</v>
      </c>
      <c r="EG40" s="51">
        <f>Input!$E18</f>
        <v>130</v>
      </c>
      <c r="EH40" s="74">
        <f t="shared" si="88"/>
        <v>-1.3796226415094343E-2</v>
      </c>
      <c r="EI40" s="52">
        <f t="shared" si="60"/>
        <v>-2759.2452830188686</v>
      </c>
      <c r="EJ40" s="52">
        <f t="shared" si="61"/>
        <v>0</v>
      </c>
      <c r="EK40" s="83">
        <f t="shared" si="62"/>
        <v>-400</v>
      </c>
      <c r="EL40" s="93">
        <f>IF(AND(ISNUMBER(Input!$D18),ISNUMBER(Input!$E18)),EK40*As,0)</f>
        <v>-321699.08772759483</v>
      </c>
      <c r="EM40" s="54">
        <f t="shared" si="89"/>
        <v>-41820881.404587328</v>
      </c>
    </row>
    <row r="41" spans="1:143">
      <c r="A41" s="25">
        <v>10</v>
      </c>
      <c r="B41" s="51">
        <f t="shared" si="0"/>
        <v>237.3</v>
      </c>
      <c r="C41" s="74">
        <f t="shared" si="63"/>
        <v>2.673E-3</v>
      </c>
      <c r="D41" s="52">
        <f t="shared" si="1"/>
        <v>25.5</v>
      </c>
      <c r="E41" s="53">
        <f t="shared" si="2"/>
        <v>67320</v>
      </c>
      <c r="F41" s="54">
        <f t="shared" si="3"/>
        <v>15975036</v>
      </c>
      <c r="H41" s="25">
        <v>10</v>
      </c>
      <c r="I41" s="51">
        <f>Input!$E19</f>
        <v>130</v>
      </c>
      <c r="J41" s="74">
        <f t="shared" si="64"/>
        <v>1.5999999999999999E-3</v>
      </c>
      <c r="K41" s="52">
        <f t="shared" si="4"/>
        <v>320</v>
      </c>
      <c r="L41" s="52">
        <f t="shared" si="5"/>
        <v>24.479999999999997</v>
      </c>
      <c r="M41" s="83">
        <f t="shared" si="6"/>
        <v>295.52</v>
      </c>
      <c r="N41" s="93">
        <f>IF(AND(ISNUMBER(Input!$D19),ISNUMBER(Input!$E19)),M41*As,0)</f>
        <v>237671.28601314704</v>
      </c>
      <c r="O41" s="54">
        <f t="shared" si="65"/>
        <v>30897267.181709114</v>
      </c>
      <c r="Q41" s="25">
        <v>10</v>
      </c>
      <c r="R41" s="51">
        <f t="shared" si="7"/>
        <v>247.25238095238095</v>
      </c>
      <c r="S41" s="74">
        <f t="shared" si="66"/>
        <v>2.673E-3</v>
      </c>
      <c r="T41" s="52">
        <f t="shared" si="8"/>
        <v>25.5</v>
      </c>
      <c r="U41" s="53">
        <f t="shared" si="9"/>
        <v>56634.285714285717</v>
      </c>
      <c r="V41" s="54">
        <f t="shared" si="10"/>
        <v>14002961.986394558</v>
      </c>
      <c r="X41" s="25">
        <v>10</v>
      </c>
      <c r="Y41" s="51">
        <f>Input!$E19</f>
        <v>130</v>
      </c>
      <c r="Z41" s="74">
        <f t="shared" si="67"/>
        <v>1.2792452830188681E-3</v>
      </c>
      <c r="AA41" s="52">
        <f t="shared" si="11"/>
        <v>255.84905660377362</v>
      </c>
      <c r="AB41" s="52">
        <f t="shared" si="12"/>
        <v>22.188268066927733</v>
      </c>
      <c r="AC41" s="83">
        <f t="shared" si="13"/>
        <v>233.66078853684587</v>
      </c>
      <c r="AD41" s="93">
        <f>IF(AND(ISNUMBER(Input!$D19),ISNUMBER(Input!$E19)),AC41*As,0)</f>
        <v>187921.15627503442</v>
      </c>
      <c r="AE41" s="54">
        <f t="shared" si="68"/>
        <v>24429750.315754473</v>
      </c>
      <c r="AG41" s="25">
        <v>10</v>
      </c>
      <c r="AH41" s="51">
        <f t="shared" si="14"/>
        <v>259.96265060240967</v>
      </c>
      <c r="AI41" s="74">
        <f t="shared" si="69"/>
        <v>2.6730000000000009E-3</v>
      </c>
      <c r="AJ41" s="52">
        <f t="shared" si="15"/>
        <v>25.5</v>
      </c>
      <c r="AK41" s="53">
        <f t="shared" si="16"/>
        <v>42987.469879518074</v>
      </c>
      <c r="AL41" s="54">
        <f t="shared" si="17"/>
        <v>11175136.612570766</v>
      </c>
      <c r="AN41" s="25">
        <v>10</v>
      </c>
      <c r="AO41" s="51">
        <f>Input!$E19</f>
        <v>130</v>
      </c>
      <c r="AP41" s="74">
        <f t="shared" si="70"/>
        <v>6.3773584905660384E-4</v>
      </c>
      <c r="AQ41" s="52">
        <f t="shared" si="18"/>
        <v>127.54716981132077</v>
      </c>
      <c r="AR41" s="52">
        <f t="shared" si="19"/>
        <v>13.669506941972232</v>
      </c>
      <c r="AS41" s="83">
        <f t="shared" si="20"/>
        <v>113.87766286934854</v>
      </c>
      <c r="AT41" s="93">
        <f>IF(AND(ISNUMBER(Input!$D19),ISNUMBER(Input!$E19)),AS41*As,0)</f>
        <v>91585.850644050064</v>
      </c>
      <c r="AU41" s="54">
        <f t="shared" si="71"/>
        <v>11906160.583726509</v>
      </c>
      <c r="AW41" s="25">
        <v>10</v>
      </c>
      <c r="AX41" s="51">
        <f t="shared" si="21"/>
        <v>269.23055555555555</v>
      </c>
      <c r="AY41" s="74">
        <f t="shared" si="72"/>
        <v>2.673E-3</v>
      </c>
      <c r="AZ41" s="52">
        <f t="shared" si="22"/>
        <v>25.5</v>
      </c>
      <c r="BA41" s="53">
        <f t="shared" si="23"/>
        <v>33036.666666666664</v>
      </c>
      <c r="BB41" s="54">
        <f t="shared" si="24"/>
        <v>8894480.1203703694</v>
      </c>
      <c r="BD41" s="25">
        <v>10</v>
      </c>
      <c r="BE41" s="51">
        <f>Input!$E19</f>
        <v>130</v>
      </c>
      <c r="BF41" s="74">
        <f t="shared" si="73"/>
        <v>-1.6415094339622665E-4</v>
      </c>
      <c r="BG41" s="52">
        <f t="shared" si="25"/>
        <v>-32.830188679245332</v>
      </c>
      <c r="BH41" s="52">
        <f t="shared" si="26"/>
        <v>0</v>
      </c>
      <c r="BI41" s="83">
        <f t="shared" si="27"/>
        <v>-32.830188679245332</v>
      </c>
      <c r="BJ41" s="93">
        <f>IF(AND(ISNUMBER(Input!$D19),ISNUMBER(Input!$E19)),BI41*As,0)</f>
        <v>-26403.604370095087</v>
      </c>
      <c r="BK41" s="54">
        <f t="shared" si="74"/>
        <v>-3432468.5681123612</v>
      </c>
      <c r="BM41" s="25">
        <v>10</v>
      </c>
      <c r="BN41" s="51">
        <f t="shared" si="28"/>
        <v>275.01428571428573</v>
      </c>
      <c r="BO41" s="74">
        <f t="shared" si="75"/>
        <v>2.673E-3</v>
      </c>
      <c r="BP41" s="52">
        <f t="shared" si="29"/>
        <v>25.5</v>
      </c>
      <c r="BQ41" s="53">
        <f t="shared" si="30"/>
        <v>26826.766917293233</v>
      </c>
      <c r="BR41" s="54">
        <f t="shared" si="31"/>
        <v>7377744.1417830298</v>
      </c>
      <c r="BT41" s="25">
        <v>10</v>
      </c>
      <c r="BU41" s="51">
        <f>Input!$E19</f>
        <v>130</v>
      </c>
      <c r="BV41" s="74">
        <f t="shared" si="76"/>
        <v>-9.6603773584905692E-4</v>
      </c>
      <c r="BW41" s="52">
        <f t="shared" si="32"/>
        <v>-193.20754716981139</v>
      </c>
      <c r="BX41" s="52">
        <f t="shared" si="33"/>
        <v>0</v>
      </c>
      <c r="BY41" s="83">
        <f t="shared" si="34"/>
        <v>-193.20754716981139</v>
      </c>
      <c r="BZ41" s="93">
        <f>IF(AND(ISNUMBER(Input!$D19),ISNUMBER(Input!$E19)),BY41*As,0)</f>
        <v>-155386.72916653642</v>
      </c>
      <c r="CA41" s="54">
        <f t="shared" si="77"/>
        <v>-20200274.791649733</v>
      </c>
      <c r="CC41" s="25">
        <v>10</v>
      </c>
      <c r="CD41" s="51">
        <f t="shared" si="35"/>
        <v>281.84098360655736</v>
      </c>
      <c r="CE41" s="74">
        <f t="shared" si="78"/>
        <v>2.673E-3</v>
      </c>
      <c r="CF41" s="52">
        <f t="shared" si="36"/>
        <v>25.5</v>
      </c>
      <c r="CG41" s="53">
        <f t="shared" si="37"/>
        <v>19497.049180327871</v>
      </c>
      <c r="CH41" s="54">
        <f t="shared" si="38"/>
        <v>5495067.5184090305</v>
      </c>
      <c r="CJ41" s="25">
        <v>10</v>
      </c>
      <c r="CK41" s="51">
        <f>Input!$E19</f>
        <v>130</v>
      </c>
      <c r="CL41" s="74">
        <f t="shared" si="79"/>
        <v>-2.5698113207547162E-3</v>
      </c>
      <c r="CM41" s="52">
        <f t="shared" si="39"/>
        <v>-513.96226415094327</v>
      </c>
      <c r="CN41" s="52">
        <f t="shared" si="40"/>
        <v>0</v>
      </c>
      <c r="CO41" s="83">
        <f t="shared" si="41"/>
        <v>-400</v>
      </c>
      <c r="CP41" s="93">
        <f>IF(AND(ISNUMBER(Input!$D19),ISNUMBER(Input!$E19)),CO41*As,0)</f>
        <v>-321699.08772759483</v>
      </c>
      <c r="CQ41" s="54">
        <f t="shared" si="80"/>
        <v>-41820881.404587328</v>
      </c>
      <c r="CS41" s="25">
        <v>10</v>
      </c>
      <c r="CT41" s="51">
        <f t="shared" si="42"/>
        <v>288.25759717314486</v>
      </c>
      <c r="CU41" s="74">
        <f t="shared" si="81"/>
        <v>2.6730000000000018E-3</v>
      </c>
      <c r="CV41" s="52">
        <f t="shared" si="43"/>
        <v>25.5</v>
      </c>
      <c r="CW41" s="53">
        <f t="shared" si="44"/>
        <v>12607.632508833922</v>
      </c>
      <c r="CX41" s="54">
        <f t="shared" si="45"/>
        <v>3634245.8530384945</v>
      </c>
      <c r="CZ41" s="25">
        <v>10</v>
      </c>
      <c r="DA41" s="51">
        <f>Input!$E19</f>
        <v>130</v>
      </c>
      <c r="DB41" s="74">
        <f t="shared" si="82"/>
        <v>-5.7773584905660364E-3</v>
      </c>
      <c r="DC41" s="52">
        <f t="shared" si="46"/>
        <v>-1155.4716981132074</v>
      </c>
      <c r="DD41" s="52">
        <f t="shared" si="47"/>
        <v>0</v>
      </c>
      <c r="DE41" s="83">
        <f t="shared" si="48"/>
        <v>-400</v>
      </c>
      <c r="DF41" s="93">
        <f>IF(AND(ISNUMBER(Input!$D19),ISNUMBER(Input!$E19)),DE41*As,0)</f>
        <v>-321699.08772759483</v>
      </c>
      <c r="DG41" s="54">
        <f t="shared" si="83"/>
        <v>-41820881.404587328</v>
      </c>
      <c r="DI41" s="25">
        <v>10</v>
      </c>
      <c r="DJ41" s="51">
        <f t="shared" si="49"/>
        <v>290.0207207207207</v>
      </c>
      <c r="DK41" s="74">
        <f t="shared" si="84"/>
        <v>2.6729999999999966E-3</v>
      </c>
      <c r="DL41" s="52">
        <f t="shared" si="50"/>
        <v>25.5</v>
      </c>
      <c r="DM41" s="53">
        <f t="shared" si="51"/>
        <v>10714.594594594595</v>
      </c>
      <c r="DN41" s="54">
        <f t="shared" si="52"/>
        <v>3107454.4465546627</v>
      </c>
      <c r="DP41" s="25">
        <v>10</v>
      </c>
      <c r="DQ41" s="51">
        <f>Input!$E19</f>
        <v>130</v>
      </c>
      <c r="DR41" s="74">
        <f t="shared" si="85"/>
        <v>-7.3811320754716969E-3</v>
      </c>
      <c r="DS41" s="52">
        <f t="shared" si="53"/>
        <v>-1476.2264150943395</v>
      </c>
      <c r="DT41" s="52">
        <f t="shared" si="54"/>
        <v>0</v>
      </c>
      <c r="DU41" s="83">
        <f t="shared" si="55"/>
        <v>-400</v>
      </c>
      <c r="DV41" s="93">
        <f>IF(AND(ISNUMBER(Input!$D19),ISNUMBER(Input!$E19)),DU41*As,0)</f>
        <v>-321699.08772759483</v>
      </c>
      <c r="DW41" s="54">
        <f t="shared" si="86"/>
        <v>-41820881.404587328</v>
      </c>
      <c r="DY41" s="25">
        <v>10</v>
      </c>
      <c r="DZ41" s="51">
        <f t="shared" si="56"/>
        <v>293.76529080675425</v>
      </c>
      <c r="EA41" s="74">
        <f t="shared" si="87"/>
        <v>2.6730000000000018E-3</v>
      </c>
      <c r="EB41" s="52">
        <f t="shared" si="57"/>
        <v>25.5</v>
      </c>
      <c r="EC41" s="53">
        <f t="shared" si="58"/>
        <v>6694.1088180112565</v>
      </c>
      <c r="ED41" s="54">
        <f t="shared" si="59"/>
        <v>1966496.8236151347</v>
      </c>
      <c r="EF41" s="25">
        <v>10</v>
      </c>
      <c r="EG41" s="51">
        <f>Input!$E19</f>
        <v>130</v>
      </c>
      <c r="EH41" s="74">
        <f t="shared" si="88"/>
        <v>-1.3796226415094343E-2</v>
      </c>
      <c r="EI41" s="52">
        <f t="shared" si="60"/>
        <v>-2759.2452830188686</v>
      </c>
      <c r="EJ41" s="52">
        <f t="shared" si="61"/>
        <v>0</v>
      </c>
      <c r="EK41" s="83">
        <f t="shared" si="62"/>
        <v>-400</v>
      </c>
      <c r="EL41" s="93">
        <f>IF(AND(ISNUMBER(Input!$D19),ISNUMBER(Input!$E19)),EK41*As,0)</f>
        <v>-321699.08772759483</v>
      </c>
      <c r="EM41" s="54">
        <f t="shared" si="89"/>
        <v>-41820881.404587328</v>
      </c>
    </row>
    <row r="42" spans="1:143">
      <c r="A42" s="25">
        <v>11</v>
      </c>
      <c r="B42" s="51">
        <f t="shared" si="0"/>
        <v>230.7</v>
      </c>
      <c r="C42" s="74">
        <f t="shared" si="63"/>
        <v>2.6069999999999995E-3</v>
      </c>
      <c r="D42" s="52">
        <f t="shared" si="1"/>
        <v>25.5</v>
      </c>
      <c r="E42" s="53">
        <f t="shared" si="2"/>
        <v>67320</v>
      </c>
      <c r="F42" s="54">
        <f t="shared" si="3"/>
        <v>15530724</v>
      </c>
      <c r="H42" s="25">
        <v>11</v>
      </c>
      <c r="I42" s="51">
        <f>Input!$E20</f>
        <v>-130</v>
      </c>
      <c r="J42" s="74">
        <f t="shared" si="64"/>
        <v>-1E-3</v>
      </c>
      <c r="K42" s="52">
        <f t="shared" si="4"/>
        <v>-200</v>
      </c>
      <c r="L42" s="52">
        <f t="shared" si="5"/>
        <v>0</v>
      </c>
      <c r="M42" s="83">
        <f t="shared" si="6"/>
        <v>-200</v>
      </c>
      <c r="N42" s="93">
        <f>IF(AND(ISNUMBER(Input!$D20),ISNUMBER(Input!$E20)),M42*As,0)</f>
        <v>-160849.54386379741</v>
      </c>
      <c r="O42" s="54">
        <f t="shared" si="65"/>
        <v>20910440.702293664</v>
      </c>
      <c r="Q42" s="25">
        <v>11</v>
      </c>
      <c r="R42" s="51">
        <f t="shared" si="7"/>
        <v>241.7</v>
      </c>
      <c r="S42" s="74">
        <f t="shared" si="66"/>
        <v>2.6069999999999999E-3</v>
      </c>
      <c r="T42" s="52">
        <f t="shared" si="8"/>
        <v>25.5</v>
      </c>
      <c r="U42" s="53">
        <f t="shared" si="9"/>
        <v>56634.285714285717</v>
      </c>
      <c r="V42" s="54">
        <f t="shared" si="10"/>
        <v>13688506.857142856</v>
      </c>
      <c r="X42" s="25">
        <v>11</v>
      </c>
      <c r="Y42" s="51">
        <f>Input!$E20</f>
        <v>-130</v>
      </c>
      <c r="Z42" s="74">
        <f t="shared" si="67"/>
        <v>-1.8113207547169805E-3</v>
      </c>
      <c r="AA42" s="52">
        <f t="shared" si="11"/>
        <v>-362.26415094339609</v>
      </c>
      <c r="AB42" s="52">
        <f t="shared" si="12"/>
        <v>0</v>
      </c>
      <c r="AC42" s="83">
        <f t="shared" si="13"/>
        <v>-362.26415094339609</v>
      </c>
      <c r="AD42" s="93">
        <f>IF(AND(ISNUMBER(Input!$D20),ISNUMBER(Input!$E20)),AC42*As,0)</f>
        <v>-291350.11718725559</v>
      </c>
      <c r="AE42" s="54">
        <f t="shared" si="68"/>
        <v>37875515.234343223</v>
      </c>
      <c r="AG42" s="25">
        <v>11</v>
      </c>
      <c r="AH42" s="51">
        <f t="shared" si="14"/>
        <v>255.74819277108435</v>
      </c>
      <c r="AI42" s="74">
        <f t="shared" si="69"/>
        <v>2.6070000000000008E-3</v>
      </c>
      <c r="AJ42" s="52">
        <f t="shared" si="15"/>
        <v>25.5</v>
      </c>
      <c r="AK42" s="53">
        <f t="shared" si="16"/>
        <v>42987.469879518074</v>
      </c>
      <c r="AL42" s="54">
        <f t="shared" si="17"/>
        <v>10993967.73348817</v>
      </c>
      <c r="AN42" s="25">
        <v>11</v>
      </c>
      <c r="AO42" s="51">
        <f>Input!$E20</f>
        <v>-130</v>
      </c>
      <c r="AP42" s="74">
        <f t="shared" si="70"/>
        <v>-3.4339622641509438E-3</v>
      </c>
      <c r="AQ42" s="52">
        <f t="shared" si="18"/>
        <v>-686.79245283018872</v>
      </c>
      <c r="AR42" s="52">
        <f t="shared" si="19"/>
        <v>0</v>
      </c>
      <c r="AS42" s="83">
        <f t="shared" si="20"/>
        <v>-400</v>
      </c>
      <c r="AT42" s="93">
        <f>IF(AND(ISNUMBER(Input!$D20),ISNUMBER(Input!$E20)),AS42*As,0)</f>
        <v>-321699.08772759483</v>
      </c>
      <c r="AU42" s="54">
        <f t="shared" si="71"/>
        <v>41820881.404587328</v>
      </c>
      <c r="AW42" s="25">
        <v>11</v>
      </c>
      <c r="AX42" s="51">
        <f t="shared" si="21"/>
        <v>265.99166666666667</v>
      </c>
      <c r="AY42" s="74">
        <f t="shared" si="72"/>
        <v>2.6069999999999999E-3</v>
      </c>
      <c r="AZ42" s="52">
        <f t="shared" si="22"/>
        <v>25.5</v>
      </c>
      <c r="BA42" s="53">
        <f t="shared" si="23"/>
        <v>33036.666666666664</v>
      </c>
      <c r="BB42" s="54">
        <f t="shared" si="24"/>
        <v>8787478.027777778</v>
      </c>
      <c r="BD42" s="25">
        <v>11</v>
      </c>
      <c r="BE42" s="51">
        <f>Input!$E20</f>
        <v>-130</v>
      </c>
      <c r="BF42" s="74">
        <f t="shared" si="73"/>
        <v>-5.4622641509433972E-3</v>
      </c>
      <c r="BG42" s="52">
        <f t="shared" si="25"/>
        <v>-1092.4528301886794</v>
      </c>
      <c r="BH42" s="52">
        <f t="shared" si="26"/>
        <v>0</v>
      </c>
      <c r="BI42" s="83">
        <f t="shared" si="27"/>
        <v>-400</v>
      </c>
      <c r="BJ42" s="93">
        <f>IF(AND(ISNUMBER(Input!$D20),ISNUMBER(Input!$E20)),BI42*As,0)</f>
        <v>-321699.08772759483</v>
      </c>
      <c r="BK42" s="54">
        <f t="shared" si="74"/>
        <v>41820881.404587328</v>
      </c>
      <c r="BM42" s="25">
        <v>11</v>
      </c>
      <c r="BN42" s="51">
        <f t="shared" si="28"/>
        <v>272.38421052631577</v>
      </c>
      <c r="BO42" s="74">
        <f t="shared" si="75"/>
        <v>2.6069999999999991E-3</v>
      </c>
      <c r="BP42" s="52">
        <f t="shared" si="29"/>
        <v>25.5</v>
      </c>
      <c r="BQ42" s="53">
        <f t="shared" si="30"/>
        <v>26826.766917293233</v>
      </c>
      <c r="BR42" s="54">
        <f t="shared" si="31"/>
        <v>7307187.7277404033</v>
      </c>
      <c r="BT42" s="25">
        <v>11</v>
      </c>
      <c r="BU42" s="51">
        <f>Input!$E20</f>
        <v>-130</v>
      </c>
      <c r="BV42" s="74">
        <f t="shared" si="76"/>
        <v>-7.4905660377358498E-3</v>
      </c>
      <c r="BW42" s="52">
        <f t="shared" si="32"/>
        <v>-1498.1132075471698</v>
      </c>
      <c r="BX42" s="52">
        <f t="shared" si="33"/>
        <v>0</v>
      </c>
      <c r="BY42" s="83">
        <f t="shared" si="34"/>
        <v>-400</v>
      </c>
      <c r="BZ42" s="93">
        <f>IF(AND(ISNUMBER(Input!$D20),ISNUMBER(Input!$E20)),BY42*As,0)</f>
        <v>-321699.08772759483</v>
      </c>
      <c r="CA42" s="54">
        <f t="shared" si="77"/>
        <v>41820881.404587328</v>
      </c>
      <c r="CC42" s="25">
        <v>11</v>
      </c>
      <c r="CD42" s="51">
        <f t="shared" si="35"/>
        <v>279.92950819672132</v>
      </c>
      <c r="CE42" s="74">
        <f t="shared" si="78"/>
        <v>2.6070000000000017E-3</v>
      </c>
      <c r="CF42" s="52">
        <f t="shared" si="36"/>
        <v>25.5</v>
      </c>
      <c r="CG42" s="53">
        <f t="shared" si="37"/>
        <v>19497.049180327871</v>
      </c>
      <c r="CH42" s="54">
        <f t="shared" si="38"/>
        <v>5457799.3883364694</v>
      </c>
      <c r="CJ42" s="25">
        <v>11</v>
      </c>
      <c r="CK42" s="51">
        <f>Input!$E20</f>
        <v>-130</v>
      </c>
      <c r="CL42" s="74">
        <f t="shared" si="79"/>
        <v>-1.1547169811320753E-2</v>
      </c>
      <c r="CM42" s="52">
        <f t="shared" si="39"/>
        <v>-2309.4339622641505</v>
      </c>
      <c r="CN42" s="52">
        <f t="shared" si="40"/>
        <v>0</v>
      </c>
      <c r="CO42" s="83">
        <f t="shared" si="41"/>
        <v>-400</v>
      </c>
      <c r="CP42" s="93">
        <f>IF(AND(ISNUMBER(Input!$D20),ISNUMBER(Input!$E20)),CO42*As,0)</f>
        <v>-321699.08772759483</v>
      </c>
      <c r="CQ42" s="54">
        <f t="shared" si="80"/>
        <v>41820881.404587328</v>
      </c>
      <c r="CS42" s="25">
        <v>11</v>
      </c>
      <c r="CT42" s="51">
        <f t="shared" si="42"/>
        <v>287.02155477031801</v>
      </c>
      <c r="CU42" s="74">
        <f t="shared" si="81"/>
        <v>2.6070000000000017E-3</v>
      </c>
      <c r="CV42" s="52">
        <f t="shared" si="43"/>
        <v>25.5</v>
      </c>
      <c r="CW42" s="53">
        <f t="shared" si="44"/>
        <v>12607.632508833922</v>
      </c>
      <c r="CX42" s="54">
        <f t="shared" si="45"/>
        <v>3618662.2846583175</v>
      </c>
      <c r="CZ42" s="25">
        <v>11</v>
      </c>
      <c r="DA42" s="51">
        <f>Input!$E20</f>
        <v>-130</v>
      </c>
      <c r="DB42" s="74">
        <f t="shared" si="82"/>
        <v>-1.9660377358490567E-2</v>
      </c>
      <c r="DC42" s="52">
        <f t="shared" si="46"/>
        <v>-3932.0754716981132</v>
      </c>
      <c r="DD42" s="52">
        <f t="shared" si="47"/>
        <v>0</v>
      </c>
      <c r="DE42" s="83">
        <f t="shared" si="48"/>
        <v>-400</v>
      </c>
      <c r="DF42" s="93">
        <f>IF(AND(ISNUMBER(Input!$D20),ISNUMBER(Input!$E20)),DE42*As,0)</f>
        <v>-321699.08772759483</v>
      </c>
      <c r="DG42" s="54">
        <f t="shared" si="83"/>
        <v>41820881.404587328</v>
      </c>
      <c r="DI42" s="25">
        <v>11</v>
      </c>
      <c r="DJ42" s="51">
        <f t="shared" si="49"/>
        <v>288.97027027027025</v>
      </c>
      <c r="DK42" s="74">
        <f t="shared" si="84"/>
        <v>2.6069999999999965E-3</v>
      </c>
      <c r="DL42" s="52">
        <f t="shared" si="50"/>
        <v>25.5</v>
      </c>
      <c r="DM42" s="53">
        <f t="shared" si="51"/>
        <v>10714.594594594595</v>
      </c>
      <c r="DN42" s="54">
        <f t="shared" si="52"/>
        <v>3096199.295836377</v>
      </c>
      <c r="DP42" s="25">
        <v>11</v>
      </c>
      <c r="DQ42" s="51">
        <f>Input!$E20</f>
        <v>-130</v>
      </c>
      <c r="DR42" s="74">
        <f t="shared" si="85"/>
        <v>-2.371698113207547E-2</v>
      </c>
      <c r="DS42" s="52">
        <f t="shared" si="53"/>
        <v>-4743.3962264150941</v>
      </c>
      <c r="DT42" s="52">
        <f t="shared" si="54"/>
        <v>0</v>
      </c>
      <c r="DU42" s="83">
        <f t="shared" si="55"/>
        <v>-400</v>
      </c>
      <c r="DV42" s="93">
        <f>IF(AND(ISNUMBER(Input!$D20),ISNUMBER(Input!$E20)),DU42*As,0)</f>
        <v>-321699.08772759483</v>
      </c>
      <c r="DW42" s="54">
        <f t="shared" si="86"/>
        <v>41820881.404587328</v>
      </c>
      <c r="DY42" s="25">
        <v>11</v>
      </c>
      <c r="DZ42" s="51">
        <f t="shared" si="56"/>
        <v>293.10900562851782</v>
      </c>
      <c r="EA42" s="74">
        <f t="shared" si="87"/>
        <v>2.6069999999999982E-3</v>
      </c>
      <c r="EB42" s="52">
        <f t="shared" si="57"/>
        <v>25.5</v>
      </c>
      <c r="EC42" s="53">
        <f t="shared" si="58"/>
        <v>6694.1088180112565</v>
      </c>
      <c r="ED42" s="54">
        <f t="shared" si="59"/>
        <v>1962103.5792163722</v>
      </c>
      <c r="EF42" s="25">
        <v>11</v>
      </c>
      <c r="EG42" s="51">
        <f>Input!$E20</f>
        <v>-130</v>
      </c>
      <c r="EH42" s="74">
        <f t="shared" si="88"/>
        <v>-3.9943396226415101E-2</v>
      </c>
      <c r="EI42" s="52">
        <f t="shared" si="60"/>
        <v>-7988.6792452830205</v>
      </c>
      <c r="EJ42" s="52">
        <f t="shared" si="61"/>
        <v>0</v>
      </c>
      <c r="EK42" s="83">
        <f t="shared" si="62"/>
        <v>-400</v>
      </c>
      <c r="EL42" s="93">
        <f>IF(AND(ISNUMBER(Input!$D20),ISNUMBER(Input!$E20)),EK42*As,0)</f>
        <v>-321699.08772759483</v>
      </c>
      <c r="EM42" s="54">
        <f t="shared" si="89"/>
        <v>41820881.404587328</v>
      </c>
    </row>
    <row r="43" spans="1:143">
      <c r="A43" s="25">
        <v>12</v>
      </c>
      <c r="B43" s="51">
        <f t="shared" si="0"/>
        <v>224.10000000000002</v>
      </c>
      <c r="C43" s="74">
        <f t="shared" si="63"/>
        <v>2.5409999999999999E-3</v>
      </c>
      <c r="D43" s="52">
        <f t="shared" si="1"/>
        <v>25.5</v>
      </c>
      <c r="E43" s="53">
        <f t="shared" si="2"/>
        <v>67320</v>
      </c>
      <c r="F43" s="54">
        <f t="shared" si="3"/>
        <v>15086412.000000002</v>
      </c>
      <c r="H43" s="25">
        <v>12</v>
      </c>
      <c r="I43" s="51">
        <f>Input!$E21</f>
        <v>-130</v>
      </c>
      <c r="J43" s="74">
        <f t="shared" si="64"/>
        <v>-1E-3</v>
      </c>
      <c r="K43" s="52">
        <f t="shared" si="4"/>
        <v>-200</v>
      </c>
      <c r="L43" s="52">
        <f t="shared" si="5"/>
        <v>0</v>
      </c>
      <c r="M43" s="83">
        <f t="shared" si="6"/>
        <v>-200</v>
      </c>
      <c r="N43" s="93">
        <f>IF(AND(ISNUMBER(Input!$D21),ISNUMBER(Input!$E21)),M43*As,0)</f>
        <v>-160849.54386379741</v>
      </c>
      <c r="O43" s="54">
        <f t="shared" si="65"/>
        <v>20910440.702293664</v>
      </c>
      <c r="Q43" s="25">
        <v>12</v>
      </c>
      <c r="R43" s="51">
        <f t="shared" si="7"/>
        <v>236.14761904761903</v>
      </c>
      <c r="S43" s="74">
        <f t="shared" si="66"/>
        <v>2.5409999999999999E-3</v>
      </c>
      <c r="T43" s="52">
        <f t="shared" si="8"/>
        <v>25.5</v>
      </c>
      <c r="U43" s="53">
        <f t="shared" si="9"/>
        <v>56634.285714285717</v>
      </c>
      <c r="V43" s="54">
        <f t="shared" si="10"/>
        <v>13374051.727891156</v>
      </c>
      <c r="X43" s="25">
        <v>12</v>
      </c>
      <c r="Y43" s="51">
        <f>Input!$E21</f>
        <v>-130</v>
      </c>
      <c r="Z43" s="74">
        <f t="shared" si="67"/>
        <v>-1.8113207547169805E-3</v>
      </c>
      <c r="AA43" s="52">
        <f t="shared" si="11"/>
        <v>-362.26415094339609</v>
      </c>
      <c r="AB43" s="52">
        <f t="shared" si="12"/>
        <v>0</v>
      </c>
      <c r="AC43" s="83">
        <f t="shared" si="13"/>
        <v>-362.26415094339609</v>
      </c>
      <c r="AD43" s="93">
        <f>IF(AND(ISNUMBER(Input!$D21),ISNUMBER(Input!$E21)),AC43*As,0)</f>
        <v>-291350.11718725559</v>
      </c>
      <c r="AE43" s="54">
        <f t="shared" si="68"/>
        <v>37875515.234343223</v>
      </c>
      <c r="AG43" s="25">
        <v>12</v>
      </c>
      <c r="AH43" s="51">
        <f t="shared" si="14"/>
        <v>251.53373493975903</v>
      </c>
      <c r="AI43" s="74">
        <f t="shared" si="69"/>
        <v>2.5410000000000007E-3</v>
      </c>
      <c r="AJ43" s="52">
        <f t="shared" si="15"/>
        <v>25.5</v>
      </c>
      <c r="AK43" s="53">
        <f t="shared" si="16"/>
        <v>42987.469879518074</v>
      </c>
      <c r="AL43" s="54">
        <f t="shared" si="17"/>
        <v>10812798.854405575</v>
      </c>
      <c r="AN43" s="25">
        <v>12</v>
      </c>
      <c r="AO43" s="51">
        <f>Input!$E21</f>
        <v>-130</v>
      </c>
      <c r="AP43" s="74">
        <f t="shared" si="70"/>
        <v>-3.4339622641509438E-3</v>
      </c>
      <c r="AQ43" s="52">
        <f t="shared" si="18"/>
        <v>-686.79245283018872</v>
      </c>
      <c r="AR43" s="52">
        <f t="shared" si="19"/>
        <v>0</v>
      </c>
      <c r="AS43" s="83">
        <f t="shared" si="20"/>
        <v>-400</v>
      </c>
      <c r="AT43" s="93">
        <f>IF(AND(ISNUMBER(Input!$D21),ISNUMBER(Input!$E21)),AS43*As,0)</f>
        <v>-321699.08772759483</v>
      </c>
      <c r="AU43" s="54">
        <f t="shared" si="71"/>
        <v>41820881.404587328</v>
      </c>
      <c r="AW43" s="25">
        <v>12</v>
      </c>
      <c r="AX43" s="51">
        <f t="shared" si="21"/>
        <v>262.75277777777779</v>
      </c>
      <c r="AY43" s="74">
        <f t="shared" si="72"/>
        <v>2.5410000000000007E-3</v>
      </c>
      <c r="AZ43" s="52">
        <f t="shared" si="22"/>
        <v>25.5</v>
      </c>
      <c r="BA43" s="53">
        <f t="shared" si="23"/>
        <v>33036.666666666664</v>
      </c>
      <c r="BB43" s="54">
        <f t="shared" si="24"/>
        <v>8680475.9351851847</v>
      </c>
      <c r="BD43" s="25">
        <v>12</v>
      </c>
      <c r="BE43" s="51">
        <f>Input!$E21</f>
        <v>-130</v>
      </c>
      <c r="BF43" s="74">
        <f t="shared" si="73"/>
        <v>-5.4622641509433972E-3</v>
      </c>
      <c r="BG43" s="52">
        <f t="shared" si="25"/>
        <v>-1092.4528301886794</v>
      </c>
      <c r="BH43" s="52">
        <f t="shared" si="26"/>
        <v>0</v>
      </c>
      <c r="BI43" s="83">
        <f t="shared" si="27"/>
        <v>-400</v>
      </c>
      <c r="BJ43" s="93">
        <f>IF(AND(ISNUMBER(Input!$D21),ISNUMBER(Input!$E21)),BI43*As,0)</f>
        <v>-321699.08772759483</v>
      </c>
      <c r="BK43" s="54">
        <f t="shared" si="74"/>
        <v>41820881.404587328</v>
      </c>
      <c r="BM43" s="25">
        <v>12</v>
      </c>
      <c r="BN43" s="51">
        <f t="shared" si="28"/>
        <v>269.75413533834586</v>
      </c>
      <c r="BO43" s="74">
        <f t="shared" si="75"/>
        <v>2.5409999999999999E-3</v>
      </c>
      <c r="BP43" s="52">
        <f t="shared" si="29"/>
        <v>25.5</v>
      </c>
      <c r="BQ43" s="53">
        <f t="shared" si="30"/>
        <v>26826.766917293233</v>
      </c>
      <c r="BR43" s="54">
        <f t="shared" si="31"/>
        <v>7236631.3136977777</v>
      </c>
      <c r="BT43" s="25">
        <v>12</v>
      </c>
      <c r="BU43" s="51">
        <f>Input!$E21</f>
        <v>-130</v>
      </c>
      <c r="BV43" s="74">
        <f t="shared" si="76"/>
        <v>-7.4905660377358498E-3</v>
      </c>
      <c r="BW43" s="52">
        <f t="shared" si="32"/>
        <v>-1498.1132075471698</v>
      </c>
      <c r="BX43" s="52">
        <f t="shared" si="33"/>
        <v>0</v>
      </c>
      <c r="BY43" s="83">
        <f t="shared" si="34"/>
        <v>-400</v>
      </c>
      <c r="BZ43" s="93">
        <f>IF(AND(ISNUMBER(Input!$D21),ISNUMBER(Input!$E21)),BY43*As,0)</f>
        <v>-321699.08772759483</v>
      </c>
      <c r="CA43" s="54">
        <f t="shared" si="77"/>
        <v>41820881.404587328</v>
      </c>
      <c r="CC43" s="25">
        <v>12</v>
      </c>
      <c r="CD43" s="51">
        <f t="shared" si="35"/>
        <v>278.01803278688521</v>
      </c>
      <c r="CE43" s="74">
        <f t="shared" si="78"/>
        <v>2.5409999999999999E-3</v>
      </c>
      <c r="CF43" s="52">
        <f t="shared" si="36"/>
        <v>25.5</v>
      </c>
      <c r="CG43" s="53">
        <f t="shared" si="37"/>
        <v>19497.049180327871</v>
      </c>
      <c r="CH43" s="54">
        <f t="shared" si="38"/>
        <v>5420531.2582639074</v>
      </c>
      <c r="CJ43" s="25">
        <v>12</v>
      </c>
      <c r="CK43" s="51">
        <f>Input!$E21</f>
        <v>-130</v>
      </c>
      <c r="CL43" s="74">
        <f t="shared" si="79"/>
        <v>-1.1547169811320753E-2</v>
      </c>
      <c r="CM43" s="52">
        <f t="shared" si="39"/>
        <v>-2309.4339622641505</v>
      </c>
      <c r="CN43" s="52">
        <f t="shared" si="40"/>
        <v>0</v>
      </c>
      <c r="CO43" s="83">
        <f t="shared" si="41"/>
        <v>-400</v>
      </c>
      <c r="CP43" s="93">
        <f>IF(AND(ISNUMBER(Input!$D21),ISNUMBER(Input!$E21)),CO43*As,0)</f>
        <v>-321699.08772759483</v>
      </c>
      <c r="CQ43" s="54">
        <f t="shared" si="80"/>
        <v>41820881.404587328</v>
      </c>
      <c r="CS43" s="25">
        <v>12</v>
      </c>
      <c r="CT43" s="51">
        <f t="shared" si="42"/>
        <v>285.78551236749115</v>
      </c>
      <c r="CU43" s="74">
        <f t="shared" si="81"/>
        <v>2.5410000000000016E-3</v>
      </c>
      <c r="CV43" s="52">
        <f t="shared" si="43"/>
        <v>25.5</v>
      </c>
      <c r="CW43" s="53">
        <f t="shared" si="44"/>
        <v>12607.632508833922</v>
      </c>
      <c r="CX43" s="54">
        <f t="shared" si="45"/>
        <v>3603078.7162781404</v>
      </c>
      <c r="CZ43" s="25">
        <v>12</v>
      </c>
      <c r="DA43" s="51">
        <f>Input!$E21</f>
        <v>-130</v>
      </c>
      <c r="DB43" s="74">
        <f t="shared" si="82"/>
        <v>-1.9660377358490567E-2</v>
      </c>
      <c r="DC43" s="52">
        <f t="shared" si="46"/>
        <v>-3932.0754716981132</v>
      </c>
      <c r="DD43" s="52">
        <f t="shared" si="47"/>
        <v>0</v>
      </c>
      <c r="DE43" s="83">
        <f t="shared" si="48"/>
        <v>-400</v>
      </c>
      <c r="DF43" s="93">
        <f>IF(AND(ISNUMBER(Input!$D21),ISNUMBER(Input!$E21)),DE43*As,0)</f>
        <v>-321699.08772759483</v>
      </c>
      <c r="DG43" s="54">
        <f t="shared" si="83"/>
        <v>41820881.404587328</v>
      </c>
      <c r="DI43" s="25">
        <v>12</v>
      </c>
      <c r="DJ43" s="51">
        <f t="shared" si="49"/>
        <v>287.91981981981979</v>
      </c>
      <c r="DK43" s="74">
        <f t="shared" si="84"/>
        <v>2.5409999999999964E-3</v>
      </c>
      <c r="DL43" s="52">
        <f t="shared" si="50"/>
        <v>25.5</v>
      </c>
      <c r="DM43" s="53">
        <f t="shared" si="51"/>
        <v>10714.594594594595</v>
      </c>
      <c r="DN43" s="54">
        <f t="shared" si="52"/>
        <v>3084944.1451180908</v>
      </c>
      <c r="DP43" s="25">
        <v>12</v>
      </c>
      <c r="DQ43" s="51">
        <f>Input!$E21</f>
        <v>-130</v>
      </c>
      <c r="DR43" s="74">
        <f t="shared" si="85"/>
        <v>-2.371698113207547E-2</v>
      </c>
      <c r="DS43" s="52">
        <f t="shared" si="53"/>
        <v>-4743.3962264150941</v>
      </c>
      <c r="DT43" s="52">
        <f t="shared" si="54"/>
        <v>0</v>
      </c>
      <c r="DU43" s="83">
        <f t="shared" si="55"/>
        <v>-400</v>
      </c>
      <c r="DV43" s="93">
        <f>IF(AND(ISNUMBER(Input!$D21),ISNUMBER(Input!$E21)),DU43*As,0)</f>
        <v>-321699.08772759483</v>
      </c>
      <c r="DW43" s="54">
        <f t="shared" si="86"/>
        <v>41820881.404587328</v>
      </c>
      <c r="DY43" s="25">
        <v>12</v>
      </c>
      <c r="DZ43" s="51">
        <f t="shared" si="56"/>
        <v>292.45272045028145</v>
      </c>
      <c r="EA43" s="74">
        <f t="shared" si="87"/>
        <v>2.5410000000000016E-3</v>
      </c>
      <c r="EB43" s="52">
        <f t="shared" si="57"/>
        <v>25.5</v>
      </c>
      <c r="EC43" s="53">
        <f t="shared" si="58"/>
        <v>6694.1088180112565</v>
      </c>
      <c r="ED43" s="54">
        <f t="shared" si="59"/>
        <v>1957710.33481761</v>
      </c>
      <c r="EF43" s="25">
        <v>12</v>
      </c>
      <c r="EG43" s="51">
        <f>Input!$E21</f>
        <v>-130</v>
      </c>
      <c r="EH43" s="74">
        <f t="shared" si="88"/>
        <v>-3.9943396226415101E-2</v>
      </c>
      <c r="EI43" s="52">
        <f t="shared" si="60"/>
        <v>-7988.6792452830205</v>
      </c>
      <c r="EJ43" s="52">
        <f t="shared" si="61"/>
        <v>0</v>
      </c>
      <c r="EK43" s="83">
        <f t="shared" si="62"/>
        <v>-400</v>
      </c>
      <c r="EL43" s="93">
        <f>IF(AND(ISNUMBER(Input!$D21),ISNUMBER(Input!$E21)),EK43*As,0)</f>
        <v>-321699.08772759483</v>
      </c>
      <c r="EM43" s="54">
        <f t="shared" si="89"/>
        <v>41820881.404587328</v>
      </c>
    </row>
    <row r="44" spans="1:143">
      <c r="A44" s="25">
        <v>13</v>
      </c>
      <c r="B44" s="51">
        <f t="shared" si="0"/>
        <v>217.5</v>
      </c>
      <c r="C44" s="74">
        <f t="shared" si="63"/>
        <v>2.4749999999999998E-3</v>
      </c>
      <c r="D44" s="52">
        <f t="shared" si="1"/>
        <v>25.5</v>
      </c>
      <c r="E44" s="53">
        <f t="shared" si="2"/>
        <v>67320</v>
      </c>
      <c r="F44" s="54">
        <f t="shared" si="3"/>
        <v>14642100</v>
      </c>
      <c r="Q44" s="25">
        <v>13</v>
      </c>
      <c r="R44" s="51">
        <f t="shared" si="7"/>
        <v>230.59523809523807</v>
      </c>
      <c r="S44" s="74">
        <f t="shared" si="66"/>
        <v>2.4749999999999998E-3</v>
      </c>
      <c r="T44" s="52">
        <f t="shared" si="8"/>
        <v>25.5</v>
      </c>
      <c r="U44" s="53">
        <f t="shared" si="9"/>
        <v>56634.285714285717</v>
      </c>
      <c r="V44" s="54">
        <f t="shared" si="10"/>
        <v>13059596.598639455</v>
      </c>
      <c r="AG44" s="25">
        <v>13</v>
      </c>
      <c r="AH44" s="51">
        <f t="shared" si="14"/>
        <v>247.31927710843374</v>
      </c>
      <c r="AI44" s="74">
        <f t="shared" si="69"/>
        <v>2.4750000000000006E-3</v>
      </c>
      <c r="AJ44" s="52">
        <f t="shared" si="15"/>
        <v>25.5</v>
      </c>
      <c r="AK44" s="53">
        <f t="shared" si="16"/>
        <v>42987.469879518074</v>
      </c>
      <c r="AL44" s="54">
        <f t="shared" si="17"/>
        <v>10631629.975322979</v>
      </c>
      <c r="AW44" s="25">
        <v>13</v>
      </c>
      <c r="AX44" s="51">
        <f t="shared" si="21"/>
        <v>259.51388888888891</v>
      </c>
      <c r="AY44" s="74">
        <f t="shared" si="72"/>
        <v>2.4750000000000006E-3</v>
      </c>
      <c r="AZ44" s="52">
        <f t="shared" si="22"/>
        <v>25.5</v>
      </c>
      <c r="BA44" s="53">
        <f t="shared" si="23"/>
        <v>33036.666666666664</v>
      </c>
      <c r="BB44" s="54">
        <f t="shared" si="24"/>
        <v>8573473.8425925933</v>
      </c>
      <c r="BM44" s="25">
        <v>13</v>
      </c>
      <c r="BN44" s="51">
        <f t="shared" si="28"/>
        <v>267.12406015037595</v>
      </c>
      <c r="BO44" s="74">
        <f t="shared" si="75"/>
        <v>2.4750000000000006E-3</v>
      </c>
      <c r="BP44" s="52">
        <f t="shared" si="29"/>
        <v>25.5</v>
      </c>
      <c r="BQ44" s="53">
        <f t="shared" si="30"/>
        <v>26826.766917293233</v>
      </c>
      <c r="BR44" s="54">
        <f t="shared" si="31"/>
        <v>7166074.899655153</v>
      </c>
      <c r="CC44" s="25">
        <v>13</v>
      </c>
      <c r="CD44" s="51">
        <f t="shared" si="35"/>
        <v>276.10655737704917</v>
      </c>
      <c r="CE44" s="74">
        <f t="shared" si="78"/>
        <v>2.4750000000000015E-3</v>
      </c>
      <c r="CF44" s="52">
        <f t="shared" si="36"/>
        <v>25.5</v>
      </c>
      <c r="CG44" s="53">
        <f t="shared" si="37"/>
        <v>19497.049180327871</v>
      </c>
      <c r="CH44" s="54">
        <f t="shared" si="38"/>
        <v>5383263.1281913472</v>
      </c>
      <c r="CS44" s="25">
        <v>13</v>
      </c>
      <c r="CT44" s="51">
        <f t="shared" si="42"/>
        <v>284.5494699646643</v>
      </c>
      <c r="CU44" s="74">
        <f t="shared" si="81"/>
        <v>2.4750000000000015E-3</v>
      </c>
      <c r="CV44" s="52">
        <f t="shared" si="43"/>
        <v>25.5</v>
      </c>
      <c r="CW44" s="53">
        <f t="shared" si="44"/>
        <v>12607.632508833922</v>
      </c>
      <c r="CX44" s="54">
        <f t="shared" si="45"/>
        <v>3587495.1478979634</v>
      </c>
      <c r="DI44" s="25">
        <v>13</v>
      </c>
      <c r="DJ44" s="51">
        <f t="shared" si="49"/>
        <v>286.86936936936939</v>
      </c>
      <c r="DK44" s="74">
        <f t="shared" si="84"/>
        <v>2.4749999999999998E-3</v>
      </c>
      <c r="DL44" s="52">
        <f t="shared" si="50"/>
        <v>25.5</v>
      </c>
      <c r="DM44" s="53">
        <f t="shared" si="51"/>
        <v>10714.594594594595</v>
      </c>
      <c r="DN44" s="54">
        <f t="shared" si="52"/>
        <v>3073688.9943998056</v>
      </c>
      <c r="DY44" s="25">
        <v>13</v>
      </c>
      <c r="DZ44" s="51">
        <f t="shared" si="56"/>
        <v>291.79643527204502</v>
      </c>
      <c r="EA44" s="74">
        <f t="shared" si="87"/>
        <v>2.474999999999998E-3</v>
      </c>
      <c r="EB44" s="52">
        <f t="shared" si="57"/>
        <v>25.5</v>
      </c>
      <c r="EC44" s="53">
        <f t="shared" si="58"/>
        <v>6694.1088180112565</v>
      </c>
      <c r="ED44" s="54">
        <f t="shared" si="59"/>
        <v>1953317.0904188473</v>
      </c>
    </row>
    <row r="45" spans="1:143">
      <c r="A45" s="25">
        <v>14</v>
      </c>
      <c r="B45" s="51">
        <f t="shared" si="0"/>
        <v>210.9</v>
      </c>
      <c r="C45" s="74">
        <f t="shared" si="63"/>
        <v>2.4089999999999997E-3</v>
      </c>
      <c r="D45" s="52">
        <f t="shared" si="1"/>
        <v>25.5</v>
      </c>
      <c r="E45" s="53">
        <f t="shared" si="2"/>
        <v>67320</v>
      </c>
      <c r="F45" s="54">
        <f t="shared" si="3"/>
        <v>14197788</v>
      </c>
      <c r="Q45" s="25">
        <v>14</v>
      </c>
      <c r="R45" s="51">
        <f t="shared" si="7"/>
        <v>225.04285714285714</v>
      </c>
      <c r="S45" s="74">
        <f t="shared" si="66"/>
        <v>2.4090000000000001E-3</v>
      </c>
      <c r="T45" s="52">
        <f t="shared" si="8"/>
        <v>25.5</v>
      </c>
      <c r="U45" s="53">
        <f t="shared" si="9"/>
        <v>56634.285714285717</v>
      </c>
      <c r="V45" s="54">
        <f t="shared" si="10"/>
        <v>12745141.469387757</v>
      </c>
      <c r="AG45" s="25">
        <v>14</v>
      </c>
      <c r="AH45" s="51">
        <f t="shared" si="14"/>
        <v>243.10481927710845</v>
      </c>
      <c r="AI45" s="74">
        <f t="shared" si="69"/>
        <v>2.4090000000000006E-3</v>
      </c>
      <c r="AJ45" s="52">
        <f t="shared" si="15"/>
        <v>25.5</v>
      </c>
      <c r="AK45" s="53">
        <f t="shared" si="16"/>
        <v>42987.469879518074</v>
      </c>
      <c r="AL45" s="54">
        <f t="shared" si="17"/>
        <v>10450461.096240385</v>
      </c>
      <c r="AW45" s="25">
        <v>14</v>
      </c>
      <c r="AX45" s="51">
        <f t="shared" si="21"/>
        <v>256.27499999999998</v>
      </c>
      <c r="AY45" s="74">
        <f t="shared" si="72"/>
        <v>2.4089999999999997E-3</v>
      </c>
      <c r="AZ45" s="52">
        <f t="shared" si="22"/>
        <v>25.5</v>
      </c>
      <c r="BA45" s="53">
        <f t="shared" si="23"/>
        <v>33036.666666666664</v>
      </c>
      <c r="BB45" s="54">
        <f t="shared" si="24"/>
        <v>8466471.7499999981</v>
      </c>
      <c r="BM45" s="25">
        <v>14</v>
      </c>
      <c r="BN45" s="51">
        <f t="shared" si="28"/>
        <v>264.49398496240599</v>
      </c>
      <c r="BO45" s="74">
        <f t="shared" si="75"/>
        <v>2.4089999999999988E-3</v>
      </c>
      <c r="BP45" s="52">
        <f t="shared" si="29"/>
        <v>25.5</v>
      </c>
      <c r="BQ45" s="53">
        <f t="shared" si="30"/>
        <v>26826.766917293233</v>
      </c>
      <c r="BR45" s="54">
        <f t="shared" si="31"/>
        <v>7095518.4856125265</v>
      </c>
      <c r="CC45" s="25">
        <v>14</v>
      </c>
      <c r="CD45" s="51">
        <f t="shared" si="35"/>
        <v>274.19508196721313</v>
      </c>
      <c r="CE45" s="74">
        <f t="shared" si="78"/>
        <v>2.4090000000000014E-3</v>
      </c>
      <c r="CF45" s="52">
        <f t="shared" si="36"/>
        <v>25.5</v>
      </c>
      <c r="CG45" s="53">
        <f t="shared" si="37"/>
        <v>19497.049180327871</v>
      </c>
      <c r="CH45" s="54">
        <f t="shared" si="38"/>
        <v>5345994.9981187861</v>
      </c>
      <c r="CS45" s="25">
        <v>14</v>
      </c>
      <c r="CT45" s="51">
        <f t="shared" si="42"/>
        <v>283.31342756183744</v>
      </c>
      <c r="CU45" s="74">
        <f t="shared" si="81"/>
        <v>2.4090000000000014E-3</v>
      </c>
      <c r="CV45" s="52">
        <f t="shared" si="43"/>
        <v>25.5</v>
      </c>
      <c r="CW45" s="53">
        <f t="shared" si="44"/>
        <v>12607.632508833922</v>
      </c>
      <c r="CX45" s="54">
        <f t="shared" si="45"/>
        <v>3571911.5795177859</v>
      </c>
      <c r="DI45" s="25">
        <v>14</v>
      </c>
      <c r="DJ45" s="51">
        <f t="shared" si="49"/>
        <v>285.81891891891894</v>
      </c>
      <c r="DK45" s="74">
        <f t="shared" si="84"/>
        <v>2.4089999999999997E-3</v>
      </c>
      <c r="DL45" s="52">
        <f t="shared" si="50"/>
        <v>25.5</v>
      </c>
      <c r="DM45" s="53">
        <f t="shared" si="51"/>
        <v>10714.594594594595</v>
      </c>
      <c r="DN45" s="54">
        <f t="shared" si="52"/>
        <v>3062433.8436815199</v>
      </c>
      <c r="DY45" s="25">
        <v>14</v>
      </c>
      <c r="DZ45" s="51">
        <f t="shared" si="56"/>
        <v>291.14015009380864</v>
      </c>
      <c r="EA45" s="74">
        <f t="shared" si="87"/>
        <v>2.4090000000000014E-3</v>
      </c>
      <c r="EB45" s="52">
        <f t="shared" si="57"/>
        <v>25.5</v>
      </c>
      <c r="EC45" s="53">
        <f t="shared" si="58"/>
        <v>6694.1088180112565</v>
      </c>
      <c r="ED45" s="54">
        <f t="shared" si="59"/>
        <v>1948923.8460200853</v>
      </c>
    </row>
    <row r="46" spans="1:143">
      <c r="A46" s="25">
        <v>15</v>
      </c>
      <c r="B46" s="51">
        <f t="shared" si="0"/>
        <v>204.3</v>
      </c>
      <c r="C46" s="74">
        <f t="shared" si="63"/>
        <v>2.343E-3</v>
      </c>
      <c r="D46" s="52">
        <f t="shared" si="1"/>
        <v>25.5</v>
      </c>
      <c r="E46" s="53">
        <f t="shared" si="2"/>
        <v>67320</v>
      </c>
      <c r="F46" s="54">
        <f t="shared" si="3"/>
        <v>13753476</v>
      </c>
      <c r="Q46" s="25">
        <v>15</v>
      </c>
      <c r="R46" s="51">
        <f t="shared" si="7"/>
        <v>219.49047619047619</v>
      </c>
      <c r="S46" s="74">
        <f t="shared" si="66"/>
        <v>2.343E-3</v>
      </c>
      <c r="T46" s="52">
        <f t="shared" si="8"/>
        <v>25.5</v>
      </c>
      <c r="U46" s="53">
        <f t="shared" si="9"/>
        <v>56634.285714285717</v>
      </c>
      <c r="V46" s="54">
        <f t="shared" si="10"/>
        <v>12430686.340136055</v>
      </c>
      <c r="AG46" s="25">
        <v>15</v>
      </c>
      <c r="AH46" s="51">
        <f t="shared" si="14"/>
        <v>238.89036144578313</v>
      </c>
      <c r="AI46" s="74">
        <f t="shared" si="69"/>
        <v>2.3430000000000005E-3</v>
      </c>
      <c r="AJ46" s="52">
        <f t="shared" si="15"/>
        <v>25.5</v>
      </c>
      <c r="AK46" s="53">
        <f t="shared" si="16"/>
        <v>42987.469879518074</v>
      </c>
      <c r="AL46" s="54">
        <f t="shared" si="17"/>
        <v>10269292.217157789</v>
      </c>
      <c r="AW46" s="25">
        <v>15</v>
      </c>
      <c r="AX46" s="51">
        <f t="shared" si="21"/>
        <v>253.03611111111113</v>
      </c>
      <c r="AY46" s="74">
        <f t="shared" si="72"/>
        <v>2.3430000000000005E-3</v>
      </c>
      <c r="AZ46" s="52">
        <f t="shared" si="22"/>
        <v>25.5</v>
      </c>
      <c r="BA46" s="53">
        <f t="shared" si="23"/>
        <v>33036.666666666664</v>
      </c>
      <c r="BB46" s="54">
        <f t="shared" si="24"/>
        <v>8359469.6574074076</v>
      </c>
      <c r="BM46" s="25">
        <v>15</v>
      </c>
      <c r="BN46" s="51">
        <f t="shared" si="28"/>
        <v>261.86390977443608</v>
      </c>
      <c r="BO46" s="74">
        <f t="shared" si="75"/>
        <v>2.3429999999999996E-3</v>
      </c>
      <c r="BP46" s="52">
        <f t="shared" si="29"/>
        <v>25.5</v>
      </c>
      <c r="BQ46" s="53">
        <f t="shared" si="30"/>
        <v>26826.766917293233</v>
      </c>
      <c r="BR46" s="54">
        <f t="shared" si="31"/>
        <v>7024962.0715699019</v>
      </c>
      <c r="CC46" s="25">
        <v>15</v>
      </c>
      <c r="CD46" s="51">
        <f t="shared" si="35"/>
        <v>272.28360655737703</v>
      </c>
      <c r="CE46" s="74">
        <f t="shared" si="78"/>
        <v>2.3429999999999996E-3</v>
      </c>
      <c r="CF46" s="52">
        <f t="shared" si="36"/>
        <v>25.5</v>
      </c>
      <c r="CG46" s="53">
        <f t="shared" si="37"/>
        <v>19497.049180327871</v>
      </c>
      <c r="CH46" s="54">
        <f t="shared" si="38"/>
        <v>5308726.8680462241</v>
      </c>
      <c r="CS46" s="25">
        <v>15</v>
      </c>
      <c r="CT46" s="51">
        <f t="shared" si="42"/>
        <v>282.07738515901059</v>
      </c>
      <c r="CU46" s="74">
        <f t="shared" si="81"/>
        <v>2.3430000000000013E-3</v>
      </c>
      <c r="CV46" s="52">
        <f t="shared" si="43"/>
        <v>25.5</v>
      </c>
      <c r="CW46" s="53">
        <f t="shared" si="44"/>
        <v>12607.632508833922</v>
      </c>
      <c r="CX46" s="54">
        <f t="shared" si="45"/>
        <v>3556328.0111376089</v>
      </c>
      <c r="DI46" s="25">
        <v>15</v>
      </c>
      <c r="DJ46" s="51">
        <f t="shared" si="49"/>
        <v>284.76846846846848</v>
      </c>
      <c r="DK46" s="74">
        <f t="shared" si="84"/>
        <v>2.3429999999999996E-3</v>
      </c>
      <c r="DL46" s="52">
        <f t="shared" si="50"/>
        <v>25.5</v>
      </c>
      <c r="DM46" s="53">
        <f t="shared" si="51"/>
        <v>10714.594594594595</v>
      </c>
      <c r="DN46" s="54">
        <f t="shared" si="52"/>
        <v>3051178.6929632337</v>
      </c>
      <c r="DY46" s="25">
        <v>15</v>
      </c>
      <c r="DZ46" s="51">
        <f t="shared" si="56"/>
        <v>290.48386491557221</v>
      </c>
      <c r="EA46" s="74">
        <f t="shared" si="87"/>
        <v>2.3429999999999979E-3</v>
      </c>
      <c r="EB46" s="52">
        <f t="shared" si="57"/>
        <v>25.5</v>
      </c>
      <c r="EC46" s="53">
        <f t="shared" si="58"/>
        <v>6694.1088180112565</v>
      </c>
      <c r="ED46" s="54">
        <f t="shared" si="59"/>
        <v>1944530.6016213226</v>
      </c>
    </row>
    <row r="47" spans="1:143">
      <c r="A47" s="25">
        <v>16</v>
      </c>
      <c r="B47" s="51">
        <f t="shared" si="0"/>
        <v>197.7</v>
      </c>
      <c r="C47" s="74">
        <f t="shared" si="63"/>
        <v>2.2769999999999995E-3</v>
      </c>
      <c r="D47" s="52">
        <f t="shared" si="1"/>
        <v>25.5</v>
      </c>
      <c r="E47" s="53">
        <f t="shared" si="2"/>
        <v>67320</v>
      </c>
      <c r="F47" s="54">
        <f t="shared" si="3"/>
        <v>13309164</v>
      </c>
      <c r="Q47" s="25">
        <v>16</v>
      </c>
      <c r="R47" s="51">
        <f t="shared" si="7"/>
        <v>213.93809523809523</v>
      </c>
      <c r="S47" s="74">
        <f t="shared" si="66"/>
        <v>2.2769999999999999E-3</v>
      </c>
      <c r="T47" s="52">
        <f t="shared" si="8"/>
        <v>25.5</v>
      </c>
      <c r="U47" s="53">
        <f t="shared" si="9"/>
        <v>56634.285714285717</v>
      </c>
      <c r="V47" s="54">
        <f t="shared" si="10"/>
        <v>12116231.210884353</v>
      </c>
      <c r="AG47" s="25">
        <v>16</v>
      </c>
      <c r="AH47" s="51">
        <f t="shared" si="14"/>
        <v>234.67590361445781</v>
      </c>
      <c r="AI47" s="74">
        <f t="shared" si="69"/>
        <v>2.2769999999999995E-3</v>
      </c>
      <c r="AJ47" s="52">
        <f t="shared" si="15"/>
        <v>25.5</v>
      </c>
      <c r="AK47" s="53">
        <f t="shared" si="16"/>
        <v>42987.469879518074</v>
      </c>
      <c r="AL47" s="54">
        <f t="shared" si="17"/>
        <v>10088123.338075193</v>
      </c>
      <c r="AW47" s="25">
        <v>16</v>
      </c>
      <c r="AX47" s="51">
        <f t="shared" si="21"/>
        <v>249.79722222222222</v>
      </c>
      <c r="AY47" s="74">
        <f t="shared" si="72"/>
        <v>2.2770000000000004E-3</v>
      </c>
      <c r="AZ47" s="52">
        <f t="shared" si="22"/>
        <v>25.5</v>
      </c>
      <c r="BA47" s="53">
        <f t="shared" si="23"/>
        <v>33036.666666666664</v>
      </c>
      <c r="BB47" s="54">
        <f t="shared" si="24"/>
        <v>8252467.5648148144</v>
      </c>
      <c r="BM47" s="25">
        <v>16</v>
      </c>
      <c r="BN47" s="51">
        <f t="shared" si="28"/>
        <v>259.23383458646617</v>
      </c>
      <c r="BO47" s="74">
        <f t="shared" si="75"/>
        <v>2.2770000000000004E-3</v>
      </c>
      <c r="BP47" s="52">
        <f t="shared" si="29"/>
        <v>25.5</v>
      </c>
      <c r="BQ47" s="53">
        <f t="shared" si="30"/>
        <v>26826.766917293233</v>
      </c>
      <c r="BR47" s="54">
        <f t="shared" si="31"/>
        <v>6954405.6575272772</v>
      </c>
      <c r="CC47" s="25">
        <v>16</v>
      </c>
      <c r="CD47" s="51">
        <f t="shared" si="35"/>
        <v>270.37213114754098</v>
      </c>
      <c r="CE47" s="74">
        <f t="shared" si="78"/>
        <v>2.2770000000000012E-3</v>
      </c>
      <c r="CF47" s="52">
        <f t="shared" si="36"/>
        <v>25.5</v>
      </c>
      <c r="CG47" s="53">
        <f t="shared" si="37"/>
        <v>19497.049180327871</v>
      </c>
      <c r="CH47" s="54">
        <f t="shared" si="38"/>
        <v>5271458.737973664</v>
      </c>
      <c r="CS47" s="25">
        <v>16</v>
      </c>
      <c r="CT47" s="51">
        <f t="shared" si="42"/>
        <v>280.84134275618374</v>
      </c>
      <c r="CU47" s="74">
        <f t="shared" si="81"/>
        <v>2.2770000000000012E-3</v>
      </c>
      <c r="CV47" s="52">
        <f t="shared" si="43"/>
        <v>25.5</v>
      </c>
      <c r="CW47" s="53">
        <f t="shared" si="44"/>
        <v>12607.632508833922</v>
      </c>
      <c r="CX47" s="54">
        <f t="shared" si="45"/>
        <v>3540744.4427574319</v>
      </c>
      <c r="DI47" s="25">
        <v>16</v>
      </c>
      <c r="DJ47" s="51">
        <f t="shared" si="49"/>
        <v>283.71801801801803</v>
      </c>
      <c r="DK47" s="74">
        <f t="shared" si="84"/>
        <v>2.2769999999999995E-3</v>
      </c>
      <c r="DL47" s="52">
        <f t="shared" si="50"/>
        <v>25.5</v>
      </c>
      <c r="DM47" s="53">
        <f t="shared" si="51"/>
        <v>10714.594594594595</v>
      </c>
      <c r="DN47" s="54">
        <f t="shared" si="52"/>
        <v>3039923.542244948</v>
      </c>
      <c r="DY47" s="25">
        <v>16</v>
      </c>
      <c r="DZ47" s="51">
        <f t="shared" si="56"/>
        <v>289.82757973733584</v>
      </c>
      <c r="EA47" s="74">
        <f t="shared" si="87"/>
        <v>2.2770000000000012E-3</v>
      </c>
      <c r="EB47" s="52">
        <f t="shared" si="57"/>
        <v>25.5</v>
      </c>
      <c r="EC47" s="53">
        <f t="shared" si="58"/>
        <v>6694.1088180112565</v>
      </c>
      <c r="ED47" s="54">
        <f t="shared" si="59"/>
        <v>1940137.3572225603</v>
      </c>
    </row>
    <row r="48" spans="1:143">
      <c r="A48" s="25">
        <v>17</v>
      </c>
      <c r="B48" s="51">
        <f t="shared" si="0"/>
        <v>191.10000000000002</v>
      </c>
      <c r="C48" s="74">
        <f t="shared" si="63"/>
        <v>2.2110000000000003E-3</v>
      </c>
      <c r="D48" s="52">
        <f t="shared" si="1"/>
        <v>25.5</v>
      </c>
      <c r="E48" s="53">
        <f t="shared" si="2"/>
        <v>67320</v>
      </c>
      <c r="F48" s="54">
        <f t="shared" si="3"/>
        <v>12864852.000000002</v>
      </c>
      <c r="Q48" s="25">
        <v>17</v>
      </c>
      <c r="R48" s="51">
        <f t="shared" si="7"/>
        <v>208.38571428571427</v>
      </c>
      <c r="S48" s="74">
        <f t="shared" si="66"/>
        <v>2.2109999999999999E-3</v>
      </c>
      <c r="T48" s="52">
        <f t="shared" si="8"/>
        <v>25.5</v>
      </c>
      <c r="U48" s="53">
        <f t="shared" si="9"/>
        <v>56634.285714285717</v>
      </c>
      <c r="V48" s="54">
        <f t="shared" si="10"/>
        <v>11801776.081632653</v>
      </c>
      <c r="AG48" s="25">
        <v>17</v>
      </c>
      <c r="AH48" s="51">
        <f t="shared" si="14"/>
        <v>230.46144578313255</v>
      </c>
      <c r="AI48" s="74">
        <f t="shared" si="69"/>
        <v>2.2110000000000003E-3</v>
      </c>
      <c r="AJ48" s="52">
        <f t="shared" si="15"/>
        <v>25.5</v>
      </c>
      <c r="AK48" s="53">
        <f t="shared" si="16"/>
        <v>42987.469879518074</v>
      </c>
      <c r="AL48" s="54">
        <f t="shared" si="17"/>
        <v>9906954.4589925986</v>
      </c>
      <c r="AW48" s="25">
        <v>17</v>
      </c>
      <c r="AX48" s="51">
        <f t="shared" si="21"/>
        <v>246.55833333333334</v>
      </c>
      <c r="AY48" s="74">
        <f t="shared" si="72"/>
        <v>2.2110000000000003E-3</v>
      </c>
      <c r="AZ48" s="52">
        <f t="shared" si="22"/>
        <v>25.5</v>
      </c>
      <c r="BA48" s="53">
        <f t="shared" si="23"/>
        <v>33036.666666666664</v>
      </c>
      <c r="BB48" s="54">
        <f t="shared" si="24"/>
        <v>8145465.472222222</v>
      </c>
      <c r="BM48" s="25">
        <v>17</v>
      </c>
      <c r="BN48" s="51">
        <f t="shared" si="28"/>
        <v>256.60375939849627</v>
      </c>
      <c r="BO48" s="74">
        <f t="shared" si="75"/>
        <v>2.2110000000000003E-3</v>
      </c>
      <c r="BP48" s="52">
        <f t="shared" si="29"/>
        <v>25.5</v>
      </c>
      <c r="BQ48" s="53">
        <f t="shared" si="30"/>
        <v>26826.766917293233</v>
      </c>
      <c r="BR48" s="54">
        <f t="shared" si="31"/>
        <v>6883849.2434846517</v>
      </c>
      <c r="CC48" s="25">
        <v>17</v>
      </c>
      <c r="CD48" s="51">
        <f t="shared" si="35"/>
        <v>268.46065573770494</v>
      </c>
      <c r="CE48" s="74">
        <f t="shared" si="78"/>
        <v>2.2110000000000012E-3</v>
      </c>
      <c r="CF48" s="52">
        <f t="shared" si="36"/>
        <v>25.5</v>
      </c>
      <c r="CG48" s="53">
        <f t="shared" si="37"/>
        <v>19497.049180327871</v>
      </c>
      <c r="CH48" s="54">
        <f t="shared" si="38"/>
        <v>5234190.6079011029</v>
      </c>
      <c r="CS48" s="25">
        <v>17</v>
      </c>
      <c r="CT48" s="51">
        <f t="shared" si="42"/>
        <v>279.60530035335688</v>
      </c>
      <c r="CU48" s="74">
        <f t="shared" si="81"/>
        <v>2.2110000000000012E-3</v>
      </c>
      <c r="CV48" s="52">
        <f t="shared" si="43"/>
        <v>25.5</v>
      </c>
      <c r="CW48" s="53">
        <f t="shared" si="44"/>
        <v>12607.632508833922</v>
      </c>
      <c r="CX48" s="54">
        <f t="shared" si="45"/>
        <v>3525160.8743772549</v>
      </c>
      <c r="DI48" s="25">
        <v>17</v>
      </c>
      <c r="DJ48" s="51">
        <f t="shared" si="49"/>
        <v>282.66756756756757</v>
      </c>
      <c r="DK48" s="74">
        <f t="shared" si="84"/>
        <v>2.2109999999999994E-3</v>
      </c>
      <c r="DL48" s="52">
        <f t="shared" si="50"/>
        <v>25.5</v>
      </c>
      <c r="DM48" s="53">
        <f t="shared" si="51"/>
        <v>10714.594594594595</v>
      </c>
      <c r="DN48" s="54">
        <f t="shared" si="52"/>
        <v>3028668.3915266618</v>
      </c>
      <c r="DY48" s="25">
        <v>17</v>
      </c>
      <c r="DZ48" s="51">
        <f t="shared" si="56"/>
        <v>289.17129455909947</v>
      </c>
      <c r="EA48" s="74">
        <f t="shared" si="87"/>
        <v>2.2110000000000012E-3</v>
      </c>
      <c r="EB48" s="52">
        <f t="shared" si="57"/>
        <v>25.5</v>
      </c>
      <c r="EC48" s="53">
        <f t="shared" si="58"/>
        <v>6694.1088180112565</v>
      </c>
      <c r="ED48" s="54">
        <f t="shared" si="59"/>
        <v>1935744.1128237983</v>
      </c>
    </row>
    <row r="49" spans="1:134">
      <c r="A49" s="25">
        <v>18</v>
      </c>
      <c r="B49" s="51">
        <f t="shared" si="0"/>
        <v>184.5</v>
      </c>
      <c r="C49" s="74">
        <f t="shared" si="63"/>
        <v>2.1449999999999998E-3</v>
      </c>
      <c r="D49" s="52">
        <f t="shared" si="1"/>
        <v>25.5</v>
      </c>
      <c r="E49" s="53">
        <f t="shared" si="2"/>
        <v>67320</v>
      </c>
      <c r="F49" s="54">
        <f t="shared" si="3"/>
        <v>12420540</v>
      </c>
      <c r="Q49" s="25">
        <v>18</v>
      </c>
      <c r="R49" s="51">
        <f t="shared" si="7"/>
        <v>202.83333333333331</v>
      </c>
      <c r="S49" s="74">
        <f t="shared" si="66"/>
        <v>2.1449999999999998E-3</v>
      </c>
      <c r="T49" s="52">
        <f t="shared" si="8"/>
        <v>25.5</v>
      </c>
      <c r="U49" s="53">
        <f t="shared" si="9"/>
        <v>56634.285714285717</v>
      </c>
      <c r="V49" s="54">
        <f t="shared" si="10"/>
        <v>11487320.952380951</v>
      </c>
      <c r="AG49" s="25">
        <v>18</v>
      </c>
      <c r="AH49" s="51">
        <f t="shared" si="14"/>
        <v>226.24698795180723</v>
      </c>
      <c r="AI49" s="74">
        <f t="shared" si="69"/>
        <v>2.1450000000000002E-3</v>
      </c>
      <c r="AJ49" s="52">
        <f t="shared" si="15"/>
        <v>25.5</v>
      </c>
      <c r="AK49" s="53">
        <f t="shared" si="16"/>
        <v>42987.469879518074</v>
      </c>
      <c r="AL49" s="54">
        <f t="shared" si="17"/>
        <v>9725785.5799100026</v>
      </c>
      <c r="AW49" s="25">
        <v>18</v>
      </c>
      <c r="AX49" s="51">
        <f t="shared" si="21"/>
        <v>243.31944444444446</v>
      </c>
      <c r="AY49" s="74">
        <f t="shared" si="72"/>
        <v>2.1450000000000002E-3</v>
      </c>
      <c r="AZ49" s="52">
        <f t="shared" si="22"/>
        <v>25.5</v>
      </c>
      <c r="BA49" s="53">
        <f t="shared" si="23"/>
        <v>33036.666666666664</v>
      </c>
      <c r="BB49" s="54">
        <f t="shared" si="24"/>
        <v>8038463.3796296297</v>
      </c>
      <c r="BM49" s="25">
        <v>18</v>
      </c>
      <c r="BN49" s="51">
        <f t="shared" si="28"/>
        <v>253.9736842105263</v>
      </c>
      <c r="BO49" s="74">
        <f t="shared" si="75"/>
        <v>2.1449999999999993E-3</v>
      </c>
      <c r="BP49" s="52">
        <f t="shared" si="29"/>
        <v>25.5</v>
      </c>
      <c r="BQ49" s="53">
        <f t="shared" si="30"/>
        <v>26826.766917293233</v>
      </c>
      <c r="BR49" s="54">
        <f t="shared" si="31"/>
        <v>6813292.8294420261</v>
      </c>
      <c r="CC49" s="25">
        <v>18</v>
      </c>
      <c r="CD49" s="51">
        <f t="shared" si="35"/>
        <v>266.54918032786884</v>
      </c>
      <c r="CE49" s="74">
        <f t="shared" si="78"/>
        <v>2.1450000000000011E-3</v>
      </c>
      <c r="CF49" s="52">
        <f t="shared" si="36"/>
        <v>25.5</v>
      </c>
      <c r="CG49" s="53">
        <f t="shared" si="37"/>
        <v>19497.049180327871</v>
      </c>
      <c r="CH49" s="54">
        <f t="shared" si="38"/>
        <v>5196922.4778285408</v>
      </c>
      <c r="CS49" s="25">
        <v>18</v>
      </c>
      <c r="CT49" s="51">
        <f t="shared" si="42"/>
        <v>278.36925795053003</v>
      </c>
      <c r="CU49" s="74">
        <f t="shared" si="81"/>
        <v>2.1450000000000011E-3</v>
      </c>
      <c r="CV49" s="52">
        <f t="shared" si="43"/>
        <v>25.5</v>
      </c>
      <c r="CW49" s="53">
        <f t="shared" si="44"/>
        <v>12607.632508833922</v>
      </c>
      <c r="CX49" s="54">
        <f t="shared" si="45"/>
        <v>3509577.3059970778</v>
      </c>
      <c r="DI49" s="25">
        <v>18</v>
      </c>
      <c r="DJ49" s="51">
        <f t="shared" si="49"/>
        <v>281.61711711711712</v>
      </c>
      <c r="DK49" s="74">
        <f t="shared" si="84"/>
        <v>2.1449999999999993E-3</v>
      </c>
      <c r="DL49" s="52">
        <f t="shared" si="50"/>
        <v>25.5</v>
      </c>
      <c r="DM49" s="53">
        <f t="shared" si="51"/>
        <v>10714.594594594595</v>
      </c>
      <c r="DN49" s="54">
        <f t="shared" si="52"/>
        <v>3017413.2408083761</v>
      </c>
      <c r="DY49" s="25">
        <v>18</v>
      </c>
      <c r="DZ49" s="51">
        <f t="shared" si="56"/>
        <v>288.51500938086303</v>
      </c>
      <c r="EA49" s="74">
        <f t="shared" si="87"/>
        <v>2.1449999999999976E-3</v>
      </c>
      <c r="EB49" s="52">
        <f t="shared" si="57"/>
        <v>25.5</v>
      </c>
      <c r="EC49" s="53">
        <f t="shared" si="58"/>
        <v>6694.1088180112565</v>
      </c>
      <c r="ED49" s="54">
        <f t="shared" si="59"/>
        <v>1931350.8684250356</v>
      </c>
    </row>
    <row r="50" spans="1:134">
      <c r="A50" s="25">
        <v>19</v>
      </c>
      <c r="B50" s="51">
        <f t="shared" si="0"/>
        <v>177.9</v>
      </c>
      <c r="C50" s="74">
        <f t="shared" si="63"/>
        <v>2.0790000000000001E-3</v>
      </c>
      <c r="D50" s="52">
        <f t="shared" si="1"/>
        <v>25.5</v>
      </c>
      <c r="E50" s="53">
        <f t="shared" si="2"/>
        <v>67320</v>
      </c>
      <c r="F50" s="54">
        <f t="shared" si="3"/>
        <v>11976228</v>
      </c>
      <c r="Q50" s="25">
        <v>19</v>
      </c>
      <c r="R50" s="51">
        <f t="shared" si="7"/>
        <v>197.28095238095239</v>
      </c>
      <c r="S50" s="74">
        <f t="shared" si="66"/>
        <v>2.0790000000000001E-3</v>
      </c>
      <c r="T50" s="52">
        <f t="shared" si="8"/>
        <v>25.5</v>
      </c>
      <c r="U50" s="53">
        <f t="shared" si="9"/>
        <v>56634.285714285717</v>
      </c>
      <c r="V50" s="54">
        <f t="shared" si="10"/>
        <v>11172865.823129253</v>
      </c>
      <c r="AG50" s="25">
        <v>19</v>
      </c>
      <c r="AH50" s="51">
        <f t="shared" si="14"/>
        <v>222.03253012048191</v>
      </c>
      <c r="AI50" s="74">
        <f t="shared" si="69"/>
        <v>2.0790000000000001E-3</v>
      </c>
      <c r="AJ50" s="52">
        <f t="shared" si="15"/>
        <v>25.5</v>
      </c>
      <c r="AK50" s="53">
        <f t="shared" si="16"/>
        <v>42987.469879518074</v>
      </c>
      <c r="AL50" s="54">
        <f t="shared" si="17"/>
        <v>9544616.7008274049</v>
      </c>
      <c r="AW50" s="25">
        <v>19</v>
      </c>
      <c r="AX50" s="51">
        <f t="shared" si="21"/>
        <v>240.08055555555558</v>
      </c>
      <c r="AY50" s="74">
        <f t="shared" si="72"/>
        <v>2.0790000000000001E-3</v>
      </c>
      <c r="AZ50" s="52">
        <f t="shared" si="22"/>
        <v>25.5</v>
      </c>
      <c r="BA50" s="53">
        <f t="shared" si="23"/>
        <v>33036.666666666664</v>
      </c>
      <c r="BB50" s="54">
        <f t="shared" si="24"/>
        <v>7931461.2870370373</v>
      </c>
      <c r="BM50" s="25">
        <v>19</v>
      </c>
      <c r="BN50" s="51">
        <f t="shared" si="28"/>
        <v>251.34360902255639</v>
      </c>
      <c r="BO50" s="74">
        <f t="shared" si="75"/>
        <v>2.0790000000000001E-3</v>
      </c>
      <c r="BP50" s="52">
        <f t="shared" si="29"/>
        <v>25.5</v>
      </c>
      <c r="BQ50" s="53">
        <f t="shared" si="30"/>
        <v>26826.766917293233</v>
      </c>
      <c r="BR50" s="54">
        <f t="shared" si="31"/>
        <v>6742736.4153994005</v>
      </c>
      <c r="CC50" s="25">
        <v>19</v>
      </c>
      <c r="CD50" s="51">
        <f t="shared" si="35"/>
        <v>264.6377049180328</v>
      </c>
      <c r="CE50" s="74">
        <f t="shared" si="78"/>
        <v>2.079000000000001E-3</v>
      </c>
      <c r="CF50" s="52">
        <f t="shared" si="36"/>
        <v>25.5</v>
      </c>
      <c r="CG50" s="53">
        <f t="shared" si="37"/>
        <v>19497.049180327871</v>
      </c>
      <c r="CH50" s="54">
        <f t="shared" si="38"/>
        <v>5159654.3477559807</v>
      </c>
      <c r="CS50" s="25">
        <v>19</v>
      </c>
      <c r="CT50" s="51">
        <f t="shared" si="42"/>
        <v>277.13321554770317</v>
      </c>
      <c r="CU50" s="74">
        <f t="shared" si="81"/>
        <v>2.079000000000001E-3</v>
      </c>
      <c r="CV50" s="52">
        <f t="shared" si="43"/>
        <v>25.5</v>
      </c>
      <c r="CW50" s="53">
        <f t="shared" si="44"/>
        <v>12607.632508833922</v>
      </c>
      <c r="CX50" s="54">
        <f t="shared" si="45"/>
        <v>3493993.7376169008</v>
      </c>
      <c r="DI50" s="25">
        <v>19</v>
      </c>
      <c r="DJ50" s="51">
        <f t="shared" si="49"/>
        <v>280.56666666666666</v>
      </c>
      <c r="DK50" s="74">
        <f t="shared" si="84"/>
        <v>2.0789999999999993E-3</v>
      </c>
      <c r="DL50" s="52">
        <f t="shared" si="50"/>
        <v>25.5</v>
      </c>
      <c r="DM50" s="53">
        <f t="shared" si="51"/>
        <v>10714.594594594595</v>
      </c>
      <c r="DN50" s="54">
        <f t="shared" si="52"/>
        <v>3006158.0900900899</v>
      </c>
      <c r="DY50" s="25">
        <v>19</v>
      </c>
      <c r="DZ50" s="51">
        <f t="shared" si="56"/>
        <v>287.85872420262666</v>
      </c>
      <c r="EA50" s="74">
        <f t="shared" si="87"/>
        <v>2.079000000000001E-3</v>
      </c>
      <c r="EB50" s="52">
        <f t="shared" si="57"/>
        <v>25.5</v>
      </c>
      <c r="EC50" s="53">
        <f t="shared" si="58"/>
        <v>6694.1088180112565</v>
      </c>
      <c r="ED50" s="54">
        <f t="shared" si="59"/>
        <v>1926957.6240262734</v>
      </c>
    </row>
    <row r="51" spans="1:134">
      <c r="A51" s="25">
        <v>20</v>
      </c>
      <c r="B51" s="51">
        <f t="shared" si="0"/>
        <v>171.3</v>
      </c>
      <c r="C51" s="74">
        <f t="shared" si="63"/>
        <v>2.013E-3</v>
      </c>
      <c r="D51" s="52">
        <f t="shared" si="1"/>
        <v>25.5</v>
      </c>
      <c r="E51" s="53">
        <f t="shared" si="2"/>
        <v>67320</v>
      </c>
      <c r="F51" s="54">
        <f t="shared" si="3"/>
        <v>11531916</v>
      </c>
      <c r="Q51" s="25">
        <v>20</v>
      </c>
      <c r="R51" s="51">
        <f t="shared" si="7"/>
        <v>191.7285714285714</v>
      </c>
      <c r="S51" s="74">
        <f t="shared" si="66"/>
        <v>2.0129999999999996E-3</v>
      </c>
      <c r="T51" s="52">
        <f t="shared" si="8"/>
        <v>25.5</v>
      </c>
      <c r="U51" s="53">
        <f t="shared" si="9"/>
        <v>56634.285714285717</v>
      </c>
      <c r="V51" s="54">
        <f t="shared" si="10"/>
        <v>10858410.69387755</v>
      </c>
      <c r="AG51" s="25">
        <v>20</v>
      </c>
      <c r="AH51" s="51">
        <f t="shared" si="14"/>
        <v>217.81807228915662</v>
      </c>
      <c r="AI51" s="74">
        <f t="shared" si="69"/>
        <v>2.013E-3</v>
      </c>
      <c r="AJ51" s="52">
        <f t="shared" si="15"/>
        <v>25.5</v>
      </c>
      <c r="AK51" s="53">
        <f t="shared" si="16"/>
        <v>42987.469879518074</v>
      </c>
      <c r="AL51" s="54">
        <f t="shared" si="17"/>
        <v>9363447.8217448108</v>
      </c>
      <c r="AW51" s="25">
        <v>20</v>
      </c>
      <c r="AX51" s="51">
        <f t="shared" si="21"/>
        <v>236.84166666666667</v>
      </c>
      <c r="AY51" s="74">
        <f t="shared" si="72"/>
        <v>2.013E-3</v>
      </c>
      <c r="AZ51" s="52">
        <f t="shared" si="22"/>
        <v>25.5</v>
      </c>
      <c r="BA51" s="53">
        <f t="shared" si="23"/>
        <v>33036.666666666664</v>
      </c>
      <c r="BB51" s="54">
        <f t="shared" si="24"/>
        <v>7824459.194444444</v>
      </c>
      <c r="BM51" s="25">
        <v>20</v>
      </c>
      <c r="BN51" s="51">
        <f t="shared" si="28"/>
        <v>248.71353383458649</v>
      </c>
      <c r="BO51" s="74">
        <f t="shared" si="75"/>
        <v>2.013E-3</v>
      </c>
      <c r="BP51" s="52">
        <f t="shared" si="29"/>
        <v>25.5</v>
      </c>
      <c r="BQ51" s="53">
        <f t="shared" si="30"/>
        <v>26826.766917293233</v>
      </c>
      <c r="BR51" s="54">
        <f t="shared" si="31"/>
        <v>6672180.0013567759</v>
      </c>
      <c r="CC51" s="25">
        <v>20</v>
      </c>
      <c r="CD51" s="51">
        <f t="shared" si="35"/>
        <v>262.7262295081967</v>
      </c>
      <c r="CE51" s="74">
        <f t="shared" si="78"/>
        <v>2.0130000000000009E-3</v>
      </c>
      <c r="CF51" s="52">
        <f t="shared" si="36"/>
        <v>25.5</v>
      </c>
      <c r="CG51" s="53">
        <f t="shared" si="37"/>
        <v>19497.049180327871</v>
      </c>
      <c r="CH51" s="54">
        <f t="shared" si="38"/>
        <v>5122386.2176834187</v>
      </c>
      <c r="CS51" s="25">
        <v>20</v>
      </c>
      <c r="CT51" s="51">
        <f t="shared" si="42"/>
        <v>275.89717314487632</v>
      </c>
      <c r="CU51" s="74">
        <f t="shared" si="81"/>
        <v>2.0130000000000009E-3</v>
      </c>
      <c r="CV51" s="52">
        <f t="shared" si="43"/>
        <v>25.5</v>
      </c>
      <c r="CW51" s="53">
        <f t="shared" si="44"/>
        <v>12607.632508833922</v>
      </c>
      <c r="CX51" s="54">
        <f t="shared" si="45"/>
        <v>3478410.1692367238</v>
      </c>
      <c r="DI51" s="25">
        <v>20</v>
      </c>
      <c r="DJ51" s="51">
        <f t="shared" si="49"/>
        <v>279.51621621621621</v>
      </c>
      <c r="DK51" s="74">
        <f t="shared" si="84"/>
        <v>2.0129999999999992E-3</v>
      </c>
      <c r="DL51" s="52">
        <f t="shared" si="50"/>
        <v>25.5</v>
      </c>
      <c r="DM51" s="53">
        <f t="shared" si="51"/>
        <v>10714.594594594595</v>
      </c>
      <c r="DN51" s="54">
        <f t="shared" si="52"/>
        <v>2994902.9393718042</v>
      </c>
      <c r="DY51" s="25">
        <v>20</v>
      </c>
      <c r="DZ51" s="51">
        <f t="shared" si="56"/>
        <v>287.20243902439023</v>
      </c>
      <c r="EA51" s="74">
        <f t="shared" si="87"/>
        <v>2.0129999999999974E-3</v>
      </c>
      <c r="EB51" s="52">
        <f t="shared" si="57"/>
        <v>25.5</v>
      </c>
      <c r="EC51" s="53">
        <f t="shared" si="58"/>
        <v>6694.1088180112565</v>
      </c>
      <c r="ED51" s="54">
        <f t="shared" si="59"/>
        <v>1922564.3796275109</v>
      </c>
    </row>
    <row r="52" spans="1:134">
      <c r="A52" s="25">
        <v>21</v>
      </c>
      <c r="B52" s="51">
        <f t="shared" si="0"/>
        <v>164.70000000000002</v>
      </c>
      <c r="C52" s="74">
        <f t="shared" si="63"/>
        <v>1.9469999999999999E-3</v>
      </c>
      <c r="D52" s="52">
        <f t="shared" si="1"/>
        <v>25.482092624999996</v>
      </c>
      <c r="E52" s="53">
        <f t="shared" si="2"/>
        <v>67272.724529999992</v>
      </c>
      <c r="F52" s="54">
        <f t="shared" si="3"/>
        <v>11079817.730091</v>
      </c>
      <c r="Q52" s="25">
        <v>21</v>
      </c>
      <c r="R52" s="51">
        <f t="shared" si="7"/>
        <v>186.17619047619047</v>
      </c>
      <c r="S52" s="74">
        <f t="shared" si="66"/>
        <v>1.9470000000000002E-3</v>
      </c>
      <c r="T52" s="52">
        <f t="shared" si="8"/>
        <v>25.482092624999996</v>
      </c>
      <c r="U52" s="53">
        <f t="shared" si="9"/>
        <v>56594.514287142854</v>
      </c>
      <c r="V52" s="54">
        <f t="shared" si="10"/>
        <v>10536551.071830591</v>
      </c>
      <c r="AG52" s="25">
        <v>21</v>
      </c>
      <c r="AH52" s="51">
        <f t="shared" si="14"/>
        <v>213.60361445783133</v>
      </c>
      <c r="AI52" s="74">
        <f t="shared" si="69"/>
        <v>1.9470000000000002E-3</v>
      </c>
      <c r="AJ52" s="52">
        <f t="shared" si="15"/>
        <v>25.482092624999996</v>
      </c>
      <c r="AK52" s="53">
        <f t="shared" si="16"/>
        <v>42957.281928795179</v>
      </c>
      <c r="AL52" s="54">
        <f t="shared" si="17"/>
        <v>9175830.6872747298</v>
      </c>
      <c r="AW52" s="25">
        <v>21</v>
      </c>
      <c r="AX52" s="51">
        <f t="shared" si="21"/>
        <v>233.60277777777779</v>
      </c>
      <c r="AY52" s="74">
        <f t="shared" si="72"/>
        <v>1.9469999999999999E-3</v>
      </c>
      <c r="AZ52" s="52">
        <f t="shared" si="22"/>
        <v>25.482092624999996</v>
      </c>
      <c r="BA52" s="53">
        <f t="shared" si="23"/>
        <v>33013.46666749999</v>
      </c>
      <c r="BB52" s="54">
        <f t="shared" si="24"/>
        <v>7712037.517602074</v>
      </c>
      <c r="BM52" s="25">
        <v>21</v>
      </c>
      <c r="BN52" s="51">
        <f t="shared" si="28"/>
        <v>246.08345864661655</v>
      </c>
      <c r="BO52" s="74">
        <f t="shared" si="75"/>
        <v>1.9469999999999999E-3</v>
      </c>
      <c r="BP52" s="52">
        <f t="shared" si="29"/>
        <v>25.482092624999996</v>
      </c>
      <c r="BQ52" s="53">
        <f t="shared" si="30"/>
        <v>26807.927820225559</v>
      </c>
      <c r="BR52" s="54">
        <f t="shared" si="31"/>
        <v>6596987.5971499579</v>
      </c>
      <c r="CC52" s="25">
        <v>21</v>
      </c>
      <c r="CD52" s="51">
        <f t="shared" si="35"/>
        <v>260.81475409836065</v>
      </c>
      <c r="CE52" s="74">
        <f t="shared" si="78"/>
        <v>1.9470000000000008E-3</v>
      </c>
      <c r="CF52" s="52">
        <f t="shared" si="36"/>
        <v>25.482092624999996</v>
      </c>
      <c r="CG52" s="53">
        <f t="shared" si="37"/>
        <v>19483.357377540982</v>
      </c>
      <c r="CH52" s="54">
        <f t="shared" si="38"/>
        <v>5081547.0634338325</v>
      </c>
      <c r="CS52" s="25">
        <v>21</v>
      </c>
      <c r="CT52" s="51">
        <f t="shared" si="42"/>
        <v>274.66113074204947</v>
      </c>
      <c r="CU52" s="74">
        <f t="shared" si="81"/>
        <v>1.9470000000000008E-3</v>
      </c>
      <c r="CV52" s="52">
        <f t="shared" si="43"/>
        <v>25.482092624999996</v>
      </c>
      <c r="CW52" s="53">
        <f t="shared" si="44"/>
        <v>12598.778798904592</v>
      </c>
      <c r="CX52" s="54">
        <f t="shared" si="45"/>
        <v>3460394.8308760952</v>
      </c>
      <c r="DI52" s="25">
        <v>21</v>
      </c>
      <c r="DJ52" s="51">
        <f t="shared" si="49"/>
        <v>278.46576576576575</v>
      </c>
      <c r="DK52" s="74">
        <f t="shared" si="84"/>
        <v>1.9469999999999991E-3</v>
      </c>
      <c r="DL52" s="52">
        <f t="shared" si="50"/>
        <v>25.482092624999996</v>
      </c>
      <c r="DM52" s="53">
        <f t="shared" si="51"/>
        <v>10707.07027054054</v>
      </c>
      <c r="DN52" s="54">
        <f t="shared" si="52"/>
        <v>2981552.521993936</v>
      </c>
      <c r="DY52" s="25">
        <v>21</v>
      </c>
      <c r="DZ52" s="51">
        <f t="shared" si="56"/>
        <v>286.54615384615386</v>
      </c>
      <c r="EA52" s="74">
        <f t="shared" si="87"/>
        <v>1.9470000000000008E-3</v>
      </c>
      <c r="EB52" s="52">
        <f t="shared" si="57"/>
        <v>25.482092624999996</v>
      </c>
      <c r="EC52" s="53">
        <f t="shared" si="58"/>
        <v>6689.4078800938069</v>
      </c>
      <c r="ED52" s="54">
        <f t="shared" si="59"/>
        <v>1916824.0995490339</v>
      </c>
    </row>
    <row r="53" spans="1:134">
      <c r="A53" s="25">
        <v>22</v>
      </c>
      <c r="B53" s="51">
        <f t="shared" si="0"/>
        <v>158.1</v>
      </c>
      <c r="C53" s="74">
        <f t="shared" si="63"/>
        <v>1.8809999999999999E-3</v>
      </c>
      <c r="D53" s="52">
        <f t="shared" si="1"/>
        <v>25.409723625000002</v>
      </c>
      <c r="E53" s="53">
        <f t="shared" si="2"/>
        <v>67081.670370000007</v>
      </c>
      <c r="F53" s="54">
        <f t="shared" si="3"/>
        <v>10605612.085497001</v>
      </c>
      <c r="Q53" s="25">
        <v>22</v>
      </c>
      <c r="R53" s="51">
        <f t="shared" si="7"/>
        <v>180.62380952380951</v>
      </c>
      <c r="S53" s="74">
        <f t="shared" si="66"/>
        <v>1.8810000000000001E-3</v>
      </c>
      <c r="T53" s="52">
        <f t="shared" si="8"/>
        <v>25.409723625000002</v>
      </c>
      <c r="U53" s="53">
        <f t="shared" si="9"/>
        <v>56433.786184285724</v>
      </c>
      <c r="V53" s="54">
        <f t="shared" si="10"/>
        <v>10193285.446457818</v>
      </c>
      <c r="AG53" s="25">
        <v>22</v>
      </c>
      <c r="AH53" s="51">
        <f t="shared" si="14"/>
        <v>209.38915662650601</v>
      </c>
      <c r="AI53" s="74">
        <f t="shared" si="69"/>
        <v>1.8809999999999996E-3</v>
      </c>
      <c r="AJ53" s="52">
        <f t="shared" si="15"/>
        <v>25.409723625000002</v>
      </c>
      <c r="AK53" s="53">
        <f t="shared" si="16"/>
        <v>42835.283489277113</v>
      </c>
      <c r="AL53" s="54">
        <f t="shared" si="17"/>
        <v>8969243.8836770318</v>
      </c>
      <c r="AW53" s="25">
        <v>22</v>
      </c>
      <c r="AX53" s="51">
        <f t="shared" si="21"/>
        <v>230.36388888888888</v>
      </c>
      <c r="AY53" s="74">
        <f t="shared" si="72"/>
        <v>1.8809999999999999E-3</v>
      </c>
      <c r="AZ53" s="52">
        <f t="shared" si="22"/>
        <v>25.409723625000002</v>
      </c>
      <c r="BA53" s="53">
        <f t="shared" si="23"/>
        <v>32919.708607499997</v>
      </c>
      <c r="BB53" s="54">
        <f t="shared" si="24"/>
        <v>7583512.0959127285</v>
      </c>
      <c r="BM53" s="25">
        <v>22</v>
      </c>
      <c r="BN53" s="51">
        <f t="shared" si="28"/>
        <v>243.45338345864661</v>
      </c>
      <c r="BO53" s="74">
        <f t="shared" si="75"/>
        <v>1.8809999999999999E-3</v>
      </c>
      <c r="BP53" s="52">
        <f t="shared" si="29"/>
        <v>25.409723625000002</v>
      </c>
      <c r="BQ53" s="53">
        <f t="shared" si="30"/>
        <v>26731.793455714287</v>
      </c>
      <c r="BR53" s="54">
        <f t="shared" si="31"/>
        <v>6507945.5627113506</v>
      </c>
      <c r="CC53" s="25">
        <v>22</v>
      </c>
      <c r="CD53" s="51">
        <f t="shared" si="35"/>
        <v>258.90327868852461</v>
      </c>
      <c r="CE53" s="74">
        <f t="shared" si="78"/>
        <v>1.8810000000000025E-3</v>
      </c>
      <c r="CF53" s="52">
        <f t="shared" si="36"/>
        <v>25.409723625000005</v>
      </c>
      <c r="CG53" s="53">
        <f t="shared" si="37"/>
        <v>19428.024751967219</v>
      </c>
      <c r="CH53" s="54">
        <f t="shared" si="38"/>
        <v>5029979.3067261232</v>
      </c>
      <c r="CS53" s="25">
        <v>22</v>
      </c>
      <c r="CT53" s="51">
        <f t="shared" si="42"/>
        <v>273.42508833922261</v>
      </c>
      <c r="CU53" s="74">
        <f t="shared" si="81"/>
        <v>1.8810000000000025E-3</v>
      </c>
      <c r="CV53" s="52">
        <f t="shared" si="43"/>
        <v>25.409723625000005</v>
      </c>
      <c r="CW53" s="53">
        <f t="shared" si="44"/>
        <v>12562.998337844525</v>
      </c>
      <c r="CX53" s="54">
        <f t="shared" si="45"/>
        <v>3435038.9303306462</v>
      </c>
      <c r="DI53" s="25">
        <v>22</v>
      </c>
      <c r="DJ53" s="51">
        <f t="shared" si="49"/>
        <v>277.4153153153153</v>
      </c>
      <c r="DK53" s="74">
        <f t="shared" si="84"/>
        <v>1.880999999999999E-3</v>
      </c>
      <c r="DL53" s="52">
        <f t="shared" si="50"/>
        <v>25.409723625000002</v>
      </c>
      <c r="DM53" s="53">
        <f t="shared" si="51"/>
        <v>10676.662251081083</v>
      </c>
      <c r="DN53" s="54">
        <f t="shared" si="52"/>
        <v>2961869.6248987825</v>
      </c>
      <c r="DY53" s="25">
        <v>22</v>
      </c>
      <c r="DZ53" s="51">
        <f t="shared" si="56"/>
        <v>285.88986866791743</v>
      </c>
      <c r="EA53" s="74">
        <f t="shared" si="87"/>
        <v>1.8809999999999973E-3</v>
      </c>
      <c r="EB53" s="52">
        <f t="shared" si="57"/>
        <v>25.409723624999998</v>
      </c>
      <c r="EC53" s="53">
        <f t="shared" si="58"/>
        <v>6670.4099992682914</v>
      </c>
      <c r="ED53" s="54">
        <f t="shared" si="59"/>
        <v>1907002.638651975</v>
      </c>
    </row>
    <row r="54" spans="1:134">
      <c r="A54" s="25">
        <v>23</v>
      </c>
      <c r="B54" s="51">
        <f t="shared" si="0"/>
        <v>151.5</v>
      </c>
      <c r="C54" s="74">
        <f t="shared" si="63"/>
        <v>1.8149999999999998E-3</v>
      </c>
      <c r="D54" s="52">
        <f t="shared" si="1"/>
        <v>25.281815625</v>
      </c>
      <c r="E54" s="53">
        <f t="shared" si="2"/>
        <v>66743.99325</v>
      </c>
      <c r="F54" s="54">
        <f t="shared" si="3"/>
        <v>10111714.977375001</v>
      </c>
      <c r="Q54" s="25">
        <v>23</v>
      </c>
      <c r="R54" s="51">
        <f t="shared" si="7"/>
        <v>175.07142857142856</v>
      </c>
      <c r="S54" s="74">
        <f t="shared" si="66"/>
        <v>1.815E-3</v>
      </c>
      <c r="T54" s="52">
        <f t="shared" si="8"/>
        <v>25.281815625</v>
      </c>
      <c r="U54" s="53">
        <f t="shared" si="9"/>
        <v>56149.708607142864</v>
      </c>
      <c r="V54" s="54">
        <f t="shared" si="10"/>
        <v>9830209.6997219399</v>
      </c>
      <c r="AG54" s="25">
        <v>23</v>
      </c>
      <c r="AH54" s="51">
        <f t="shared" si="14"/>
        <v>205.17469879518072</v>
      </c>
      <c r="AI54" s="74">
        <f t="shared" si="69"/>
        <v>1.815E-3</v>
      </c>
      <c r="AJ54" s="52">
        <f t="shared" si="15"/>
        <v>25.281815625</v>
      </c>
      <c r="AK54" s="53">
        <f t="shared" si="16"/>
        <v>42619.65834036145</v>
      </c>
      <c r="AL54" s="54">
        <f t="shared" si="17"/>
        <v>8744475.5627371725</v>
      </c>
      <c r="AW54" s="25">
        <v>23</v>
      </c>
      <c r="AX54" s="51">
        <f t="shared" si="21"/>
        <v>227.125</v>
      </c>
      <c r="AY54" s="74">
        <f t="shared" si="72"/>
        <v>1.8149999999999998E-3</v>
      </c>
      <c r="AZ54" s="52">
        <f t="shared" si="22"/>
        <v>25.281815625</v>
      </c>
      <c r="BA54" s="53">
        <f t="shared" si="23"/>
        <v>32753.996687499995</v>
      </c>
      <c r="BB54" s="54">
        <f t="shared" si="24"/>
        <v>7439251.4976484366</v>
      </c>
      <c r="BM54" s="25">
        <v>23</v>
      </c>
      <c r="BN54" s="51">
        <f t="shared" si="28"/>
        <v>240.8233082706767</v>
      </c>
      <c r="BO54" s="74">
        <f t="shared" si="75"/>
        <v>1.8149999999999998E-3</v>
      </c>
      <c r="BP54" s="52">
        <f t="shared" si="29"/>
        <v>25.281815625</v>
      </c>
      <c r="BQ54" s="53">
        <f t="shared" si="30"/>
        <v>26597.230392857142</v>
      </c>
      <c r="BR54" s="54">
        <f t="shared" si="31"/>
        <v>6405233.0140452469</v>
      </c>
      <c r="CC54" s="25">
        <v>23</v>
      </c>
      <c r="CD54" s="51">
        <f t="shared" si="35"/>
        <v>256.99180327868851</v>
      </c>
      <c r="CE54" s="74">
        <f t="shared" si="78"/>
        <v>1.8150000000000006E-3</v>
      </c>
      <c r="CF54" s="52">
        <f t="shared" si="36"/>
        <v>25.281815625000004</v>
      </c>
      <c r="CG54" s="53">
        <f t="shared" si="37"/>
        <v>19330.227553278692</v>
      </c>
      <c r="CH54" s="54">
        <f t="shared" si="38"/>
        <v>4967710.0367044816</v>
      </c>
      <c r="CS54" s="25">
        <v>23</v>
      </c>
      <c r="CT54" s="51">
        <f t="shared" si="42"/>
        <v>272.18904593639576</v>
      </c>
      <c r="CU54" s="74">
        <f t="shared" si="81"/>
        <v>1.8150000000000024E-3</v>
      </c>
      <c r="CV54" s="52">
        <f t="shared" si="43"/>
        <v>25.281815625000004</v>
      </c>
      <c r="CW54" s="53">
        <f t="shared" si="44"/>
        <v>12499.758453180213</v>
      </c>
      <c r="CX54" s="54">
        <f t="shared" si="45"/>
        <v>3402297.3278065203</v>
      </c>
      <c r="DI54" s="25">
        <v>23</v>
      </c>
      <c r="DJ54" s="51">
        <f t="shared" si="49"/>
        <v>276.36486486486484</v>
      </c>
      <c r="DK54" s="74">
        <f t="shared" si="84"/>
        <v>1.8149999999999989E-3</v>
      </c>
      <c r="DL54" s="52">
        <f t="shared" si="50"/>
        <v>25.281815624999997</v>
      </c>
      <c r="DM54" s="53">
        <f t="shared" si="51"/>
        <v>10622.917844594594</v>
      </c>
      <c r="DN54" s="54">
        <f t="shared" si="52"/>
        <v>2935801.2545919465</v>
      </c>
      <c r="DY54" s="25">
        <v>23</v>
      </c>
      <c r="DZ54" s="51">
        <f t="shared" si="56"/>
        <v>285.23358348968105</v>
      </c>
      <c r="EA54" s="74">
        <f t="shared" si="87"/>
        <v>1.8150000000000006E-3</v>
      </c>
      <c r="EB54" s="52">
        <f t="shared" si="57"/>
        <v>25.281815625000004</v>
      </c>
      <c r="EC54" s="53">
        <f t="shared" si="58"/>
        <v>6636.8323494371489</v>
      </c>
      <c r="ED54" s="54">
        <f t="shared" si="59"/>
        <v>1893047.4740501971</v>
      </c>
    </row>
    <row r="55" spans="1:134">
      <c r="A55" s="25">
        <v>24</v>
      </c>
      <c r="B55" s="51">
        <f t="shared" si="0"/>
        <v>144.9</v>
      </c>
      <c r="C55" s="74">
        <f t="shared" si="63"/>
        <v>1.7490000000000001E-3</v>
      </c>
      <c r="D55" s="52">
        <f t="shared" si="1"/>
        <v>25.098368625000003</v>
      </c>
      <c r="E55" s="53">
        <f t="shared" si="2"/>
        <v>66259.693170000013</v>
      </c>
      <c r="F55" s="54">
        <f t="shared" si="3"/>
        <v>9601029.5403330028</v>
      </c>
      <c r="Q55" s="25">
        <v>24</v>
      </c>
      <c r="R55" s="51">
        <f t="shared" si="7"/>
        <v>169.5190476190476</v>
      </c>
      <c r="S55" s="74">
        <f t="shared" si="66"/>
        <v>1.7489999999999999E-3</v>
      </c>
      <c r="T55" s="52">
        <f t="shared" si="8"/>
        <v>25.098368625000003</v>
      </c>
      <c r="U55" s="53">
        <f t="shared" si="9"/>
        <v>55742.281555714297</v>
      </c>
      <c r="V55" s="54">
        <f t="shared" si="10"/>
        <v>9449378.4814374913</v>
      </c>
      <c r="AG55" s="25">
        <v>24</v>
      </c>
      <c r="AH55" s="51">
        <f t="shared" si="14"/>
        <v>200.96024096385543</v>
      </c>
      <c r="AI55" s="74">
        <f t="shared" si="69"/>
        <v>1.7490000000000003E-3</v>
      </c>
      <c r="AJ55" s="52">
        <f t="shared" si="15"/>
        <v>25.098368625000003</v>
      </c>
      <c r="AK55" s="53">
        <f t="shared" si="16"/>
        <v>42310.406482048202</v>
      </c>
      <c r="AL55" s="54">
        <f t="shared" si="17"/>
        <v>8502709.4819110781</v>
      </c>
      <c r="AW55" s="25">
        <v>24</v>
      </c>
      <c r="AX55" s="51">
        <f t="shared" si="21"/>
        <v>223.88611111111112</v>
      </c>
      <c r="AY55" s="74">
        <f t="shared" si="72"/>
        <v>1.7490000000000006E-3</v>
      </c>
      <c r="AZ55" s="52">
        <f t="shared" si="22"/>
        <v>25.098368625000003</v>
      </c>
      <c r="BA55" s="53">
        <f t="shared" si="23"/>
        <v>32516.3309075</v>
      </c>
      <c r="BB55" s="54">
        <f t="shared" si="24"/>
        <v>7279954.8744822014</v>
      </c>
      <c r="BM55" s="25">
        <v>24</v>
      </c>
      <c r="BN55" s="51">
        <f t="shared" si="28"/>
        <v>238.19323308270677</v>
      </c>
      <c r="BO55" s="74">
        <f t="shared" si="75"/>
        <v>1.7489999999999997E-3</v>
      </c>
      <c r="BP55" s="52">
        <f t="shared" si="29"/>
        <v>25.098368624999999</v>
      </c>
      <c r="BQ55" s="53">
        <f t="shared" si="30"/>
        <v>26404.238631654134</v>
      </c>
      <c r="BR55" s="54">
        <f t="shared" si="31"/>
        <v>6289310.9667610032</v>
      </c>
      <c r="CC55" s="25">
        <v>24</v>
      </c>
      <c r="CD55" s="51">
        <f t="shared" si="35"/>
        <v>255.08032786885246</v>
      </c>
      <c r="CE55" s="74">
        <f t="shared" si="78"/>
        <v>1.7490000000000006E-3</v>
      </c>
      <c r="CF55" s="52">
        <f t="shared" si="36"/>
        <v>25.098368625000003</v>
      </c>
      <c r="CG55" s="53">
        <f t="shared" si="37"/>
        <v>19189.965781475414</v>
      </c>
      <c r="CH55" s="54">
        <f t="shared" si="38"/>
        <v>4894982.7633308079</v>
      </c>
      <c r="CS55" s="25">
        <v>24</v>
      </c>
      <c r="CT55" s="51">
        <f t="shared" si="42"/>
        <v>270.9530035335689</v>
      </c>
      <c r="CU55" s="74">
        <f t="shared" si="81"/>
        <v>1.7490000000000023E-3</v>
      </c>
      <c r="CV55" s="52">
        <f t="shared" si="43"/>
        <v>25.098368625000006</v>
      </c>
      <c r="CW55" s="53">
        <f t="shared" si="44"/>
        <v>12409.059144911664</v>
      </c>
      <c r="CX55" s="54">
        <f t="shared" si="45"/>
        <v>3362271.8463395154</v>
      </c>
      <c r="DI55" s="25">
        <v>24</v>
      </c>
      <c r="DJ55" s="51">
        <f t="shared" si="49"/>
        <v>275.31441441441439</v>
      </c>
      <c r="DK55" s="74">
        <f t="shared" si="84"/>
        <v>1.7489999999999988E-3</v>
      </c>
      <c r="DL55" s="52">
        <f t="shared" si="50"/>
        <v>25.098368624999996</v>
      </c>
      <c r="DM55" s="53">
        <f t="shared" si="51"/>
        <v>10545.83705108108</v>
      </c>
      <c r="DN55" s="54">
        <f t="shared" si="52"/>
        <v>2903420.952228222</v>
      </c>
      <c r="DY55" s="25">
        <v>24</v>
      </c>
      <c r="DZ55" s="51">
        <f t="shared" si="56"/>
        <v>284.57729831144468</v>
      </c>
      <c r="EA55" s="74">
        <f t="shared" si="87"/>
        <v>1.7490000000000006E-3</v>
      </c>
      <c r="EB55" s="52">
        <f t="shared" si="57"/>
        <v>25.098368625000003</v>
      </c>
      <c r="EC55" s="53">
        <f t="shared" si="58"/>
        <v>6588.6749306003749</v>
      </c>
      <c r="ED55" s="54">
        <f t="shared" si="59"/>
        <v>1874987.3112025999</v>
      </c>
    </row>
    <row r="56" spans="1:134">
      <c r="A56" s="25">
        <v>25</v>
      </c>
      <c r="B56" s="51">
        <f t="shared" si="0"/>
        <v>138.30000000000001</v>
      </c>
      <c r="C56" s="74">
        <f t="shared" si="63"/>
        <v>1.683E-3</v>
      </c>
      <c r="D56" s="52">
        <f t="shared" si="1"/>
        <v>24.859382625000002</v>
      </c>
      <c r="E56" s="53">
        <f t="shared" si="2"/>
        <v>65628.770130000004</v>
      </c>
      <c r="F56" s="54">
        <f t="shared" si="3"/>
        <v>9076458.9089790005</v>
      </c>
      <c r="Q56" s="25">
        <v>25</v>
      </c>
      <c r="R56" s="51">
        <f t="shared" si="7"/>
        <v>163.96666666666664</v>
      </c>
      <c r="S56" s="74">
        <f t="shared" si="66"/>
        <v>1.683E-3</v>
      </c>
      <c r="T56" s="52">
        <f t="shared" si="8"/>
        <v>24.859382625000002</v>
      </c>
      <c r="U56" s="53">
        <f t="shared" si="9"/>
        <v>55211.505030000008</v>
      </c>
      <c r="V56" s="54">
        <f t="shared" si="10"/>
        <v>9052846.4414189998</v>
      </c>
      <c r="AG56" s="25">
        <v>25</v>
      </c>
      <c r="AH56" s="51">
        <f t="shared" si="14"/>
        <v>196.74578313253011</v>
      </c>
      <c r="AI56" s="74">
        <f t="shared" si="69"/>
        <v>1.6829999999999998E-3</v>
      </c>
      <c r="AJ56" s="52">
        <f t="shared" si="15"/>
        <v>24.859382625000002</v>
      </c>
      <c r="AK56" s="53">
        <f t="shared" si="16"/>
        <v>41907.527914337355</v>
      </c>
      <c r="AL56" s="54">
        <f t="shared" si="17"/>
        <v>8245129.3986546695</v>
      </c>
      <c r="AW56" s="25">
        <v>25</v>
      </c>
      <c r="AX56" s="51">
        <f t="shared" si="21"/>
        <v>220.64722222222224</v>
      </c>
      <c r="AY56" s="74">
        <f t="shared" si="72"/>
        <v>1.6830000000000005E-3</v>
      </c>
      <c r="AZ56" s="52">
        <f t="shared" si="22"/>
        <v>24.859382625000002</v>
      </c>
      <c r="BA56" s="53">
        <f t="shared" si="23"/>
        <v>32206.711267499999</v>
      </c>
      <c r="BB56" s="54">
        <f t="shared" si="24"/>
        <v>7106321.3780870214</v>
      </c>
      <c r="BM56" s="25">
        <v>25</v>
      </c>
      <c r="BN56" s="51">
        <f t="shared" si="28"/>
        <v>235.56315789473683</v>
      </c>
      <c r="BO56" s="74">
        <f t="shared" si="75"/>
        <v>1.6829999999999996E-3</v>
      </c>
      <c r="BP56" s="52">
        <f t="shared" si="29"/>
        <v>24.859382625000002</v>
      </c>
      <c r="BQ56" s="53">
        <f t="shared" si="30"/>
        <v>26152.818172105264</v>
      </c>
      <c r="BR56" s="54">
        <f t="shared" si="31"/>
        <v>6160640.4364679754</v>
      </c>
      <c r="CC56" s="25">
        <v>25</v>
      </c>
      <c r="CD56" s="51">
        <f t="shared" si="35"/>
        <v>253.16885245901639</v>
      </c>
      <c r="CE56" s="74">
        <f t="shared" si="78"/>
        <v>1.6830000000000005E-3</v>
      </c>
      <c r="CF56" s="52">
        <f t="shared" si="36"/>
        <v>24.859382625000002</v>
      </c>
      <c r="CG56" s="53">
        <f t="shared" si="37"/>
        <v>19007.239436557382</v>
      </c>
      <c r="CH56" s="54">
        <f t="shared" si="38"/>
        <v>4812040.9965669941</v>
      </c>
      <c r="CS56" s="25">
        <v>25</v>
      </c>
      <c r="CT56" s="51">
        <f t="shared" si="42"/>
        <v>269.71696113074205</v>
      </c>
      <c r="CU56" s="74">
        <f t="shared" si="81"/>
        <v>1.6830000000000022E-3</v>
      </c>
      <c r="CV56" s="52">
        <f t="shared" si="43"/>
        <v>24.859382625000006</v>
      </c>
      <c r="CW56" s="53">
        <f t="shared" si="44"/>
        <v>12290.900413038871</v>
      </c>
      <c r="CX56" s="54">
        <f t="shared" si="45"/>
        <v>3315064.3089654264</v>
      </c>
      <c r="DI56" s="25">
        <v>25</v>
      </c>
      <c r="DJ56" s="51">
        <f t="shared" si="49"/>
        <v>274.26396396396399</v>
      </c>
      <c r="DK56" s="74">
        <f t="shared" si="84"/>
        <v>1.6830000000000022E-3</v>
      </c>
      <c r="DL56" s="52">
        <f t="shared" si="50"/>
        <v>24.859382625000006</v>
      </c>
      <c r="DM56" s="53">
        <f t="shared" si="51"/>
        <v>10445.419870540543</v>
      </c>
      <c r="DN56" s="54">
        <f t="shared" si="52"/>
        <v>2864802.2589624049</v>
      </c>
      <c r="DY56" s="25">
        <v>25</v>
      </c>
      <c r="DZ56" s="51">
        <f t="shared" si="56"/>
        <v>283.92101313320825</v>
      </c>
      <c r="EA56" s="74">
        <f t="shared" si="87"/>
        <v>1.6830000000000005E-3</v>
      </c>
      <c r="EB56" s="52">
        <f t="shared" si="57"/>
        <v>24.859382625000002</v>
      </c>
      <c r="EC56" s="53">
        <f t="shared" si="58"/>
        <v>6525.9377427579739</v>
      </c>
      <c r="ED56" s="54">
        <f t="shared" si="59"/>
        <v>1852850.855568086</v>
      </c>
    </row>
    <row r="57" spans="1:134">
      <c r="A57" s="25">
        <v>26</v>
      </c>
      <c r="B57" s="51">
        <f t="shared" si="0"/>
        <v>131.70000000000002</v>
      </c>
      <c r="C57" s="74">
        <f t="shared" si="63"/>
        <v>1.6169999999999999E-3</v>
      </c>
      <c r="D57" s="52">
        <f t="shared" si="1"/>
        <v>24.564857624999998</v>
      </c>
      <c r="E57" s="53">
        <f t="shared" si="2"/>
        <v>64851.224129999995</v>
      </c>
      <c r="F57" s="54">
        <f t="shared" si="3"/>
        <v>8540906.217921</v>
      </c>
      <c r="Q57" s="25">
        <v>26</v>
      </c>
      <c r="R57" s="51">
        <f t="shared" si="7"/>
        <v>158.41428571428568</v>
      </c>
      <c r="S57" s="74">
        <f t="shared" si="66"/>
        <v>1.6169999999999999E-3</v>
      </c>
      <c r="T57" s="52">
        <f t="shared" si="8"/>
        <v>24.564857624999998</v>
      </c>
      <c r="U57" s="53">
        <f t="shared" si="9"/>
        <v>54557.379030000004</v>
      </c>
      <c r="V57" s="54">
        <f t="shared" si="10"/>
        <v>8642668.2294809986</v>
      </c>
      <c r="AG57" s="25">
        <v>26</v>
      </c>
      <c r="AH57" s="51">
        <f t="shared" si="14"/>
        <v>192.53132530120482</v>
      </c>
      <c r="AI57" s="74">
        <f t="shared" si="69"/>
        <v>1.6170000000000002E-3</v>
      </c>
      <c r="AJ57" s="52">
        <f t="shared" si="15"/>
        <v>24.564857624999998</v>
      </c>
      <c r="AK57" s="53">
        <f t="shared" si="16"/>
        <v>41411.022637228918</v>
      </c>
      <c r="AL57" s="54">
        <f t="shared" si="17"/>
        <v>7972919.0704238778</v>
      </c>
      <c r="AW57" s="25">
        <v>26</v>
      </c>
      <c r="AX57" s="51">
        <f t="shared" si="21"/>
        <v>217.40833333333336</v>
      </c>
      <c r="AY57" s="74">
        <f t="shared" si="72"/>
        <v>1.6170000000000004E-3</v>
      </c>
      <c r="AZ57" s="52">
        <f t="shared" si="22"/>
        <v>24.564857624999998</v>
      </c>
      <c r="BA57" s="53">
        <f t="shared" si="23"/>
        <v>31825.137767499993</v>
      </c>
      <c r="BB57" s="54">
        <f t="shared" si="24"/>
        <v>6919050.160135895</v>
      </c>
      <c r="BM57" s="25">
        <v>26</v>
      </c>
      <c r="BN57" s="51">
        <f t="shared" si="28"/>
        <v>232.93308270676692</v>
      </c>
      <c r="BO57" s="74">
        <f t="shared" si="75"/>
        <v>1.6170000000000004E-3</v>
      </c>
      <c r="BP57" s="52">
        <f t="shared" si="29"/>
        <v>24.564857624999998</v>
      </c>
      <c r="BQ57" s="53">
        <f t="shared" si="30"/>
        <v>25842.969014210525</v>
      </c>
      <c r="BR57" s="54">
        <f t="shared" si="31"/>
        <v>6019682.4387755152</v>
      </c>
      <c r="CC57" s="25">
        <v>26</v>
      </c>
      <c r="CD57" s="51">
        <f t="shared" si="35"/>
        <v>251.25737704918032</v>
      </c>
      <c r="CE57" s="74">
        <f t="shared" si="78"/>
        <v>1.6170000000000004E-3</v>
      </c>
      <c r="CF57" s="52">
        <f t="shared" si="36"/>
        <v>24.564857624999998</v>
      </c>
      <c r="CG57" s="53">
        <f t="shared" si="37"/>
        <v>18782.048518524589</v>
      </c>
      <c r="CH57" s="54">
        <f t="shared" si="38"/>
        <v>4719128.2463749312</v>
      </c>
      <c r="CS57" s="25">
        <v>26</v>
      </c>
      <c r="CT57" s="51">
        <f t="shared" si="42"/>
        <v>268.4809187279152</v>
      </c>
      <c r="CU57" s="74">
        <f t="shared" si="81"/>
        <v>1.6170000000000021E-3</v>
      </c>
      <c r="CV57" s="52">
        <f t="shared" si="43"/>
        <v>24.564857625000009</v>
      </c>
      <c r="CW57" s="53">
        <f t="shared" si="44"/>
        <v>12145.282257561841</v>
      </c>
      <c r="CX57" s="54">
        <f t="shared" si="45"/>
        <v>3260776.5387200508</v>
      </c>
      <c r="DI57" s="25">
        <v>26</v>
      </c>
      <c r="DJ57" s="51">
        <f t="shared" si="49"/>
        <v>273.21351351351353</v>
      </c>
      <c r="DK57" s="74">
        <f t="shared" si="84"/>
        <v>1.6170000000000021E-3</v>
      </c>
      <c r="DL57" s="52">
        <f t="shared" si="50"/>
        <v>24.564857625000009</v>
      </c>
      <c r="DM57" s="53">
        <f t="shared" si="51"/>
        <v>10321.666302972979</v>
      </c>
      <c r="DN57" s="54">
        <f t="shared" si="52"/>
        <v>2820018.7159492853</v>
      </c>
      <c r="DY57" s="25">
        <v>26</v>
      </c>
      <c r="DZ57" s="51">
        <f t="shared" si="56"/>
        <v>283.26472795497187</v>
      </c>
      <c r="EA57" s="74">
        <f t="shared" si="87"/>
        <v>1.6170000000000004E-3</v>
      </c>
      <c r="EB57" s="52">
        <f t="shared" si="57"/>
        <v>24.564857624999998</v>
      </c>
      <c r="EC57" s="53">
        <f t="shared" si="58"/>
        <v>6448.6207859099422</v>
      </c>
      <c r="ED57" s="54">
        <f t="shared" si="59"/>
        <v>1826666.8126055568</v>
      </c>
    </row>
    <row r="58" spans="1:134">
      <c r="A58" s="25">
        <v>27</v>
      </c>
      <c r="B58" s="51">
        <f t="shared" si="0"/>
        <v>125.10000000000002</v>
      </c>
      <c r="C58" s="74">
        <f t="shared" si="63"/>
        <v>1.5510000000000003E-3</v>
      </c>
      <c r="D58" s="52">
        <f t="shared" si="1"/>
        <v>24.214793625000002</v>
      </c>
      <c r="E58" s="53">
        <f t="shared" si="2"/>
        <v>63927.055170000007</v>
      </c>
      <c r="F58" s="54">
        <f t="shared" si="3"/>
        <v>7997274.6017670026</v>
      </c>
      <c r="Q58" s="25">
        <v>27</v>
      </c>
      <c r="R58" s="51">
        <f t="shared" si="7"/>
        <v>152.86190476190475</v>
      </c>
      <c r="S58" s="74">
        <f t="shared" si="66"/>
        <v>1.5510000000000001E-3</v>
      </c>
      <c r="T58" s="52">
        <f t="shared" si="8"/>
        <v>24.214793625000002</v>
      </c>
      <c r="U58" s="53">
        <f t="shared" si="9"/>
        <v>53779.9035557143</v>
      </c>
      <c r="V58" s="54">
        <f t="shared" si="10"/>
        <v>8220898.4954380225</v>
      </c>
      <c r="AG58" s="25">
        <v>27</v>
      </c>
      <c r="AH58" s="51">
        <f t="shared" si="14"/>
        <v>188.31686746987953</v>
      </c>
      <c r="AI58" s="74">
        <f t="shared" si="69"/>
        <v>1.5510000000000001E-3</v>
      </c>
      <c r="AJ58" s="52">
        <f t="shared" si="15"/>
        <v>24.214793625000002</v>
      </c>
      <c r="AK58" s="53">
        <f t="shared" si="16"/>
        <v>40820.890650722897</v>
      </c>
      <c r="AL58" s="54">
        <f t="shared" si="17"/>
        <v>7687262.2546746284</v>
      </c>
      <c r="AW58" s="25">
        <v>27</v>
      </c>
      <c r="AX58" s="51">
        <f t="shared" si="21"/>
        <v>214.16944444444445</v>
      </c>
      <c r="AY58" s="74">
        <f t="shared" si="72"/>
        <v>1.5510000000000003E-3</v>
      </c>
      <c r="AZ58" s="52">
        <f t="shared" si="22"/>
        <v>24.214793625000002</v>
      </c>
      <c r="BA58" s="53">
        <f t="shared" si="23"/>
        <v>31371.6104075</v>
      </c>
      <c r="BB58" s="54">
        <f t="shared" si="24"/>
        <v>6718840.3723018263</v>
      </c>
      <c r="BM58" s="25">
        <v>27</v>
      </c>
      <c r="BN58" s="51">
        <f t="shared" si="28"/>
        <v>230.30300751879702</v>
      </c>
      <c r="BO58" s="74">
        <f t="shared" si="75"/>
        <v>1.5510000000000003E-3</v>
      </c>
      <c r="BP58" s="52">
        <f t="shared" si="29"/>
        <v>24.214793625000002</v>
      </c>
      <c r="BQ58" s="53">
        <f t="shared" si="30"/>
        <v>25474.691157969926</v>
      </c>
      <c r="BR58" s="54">
        <f t="shared" si="31"/>
        <v>5866897.9892929802</v>
      </c>
      <c r="CC58" s="25">
        <v>27</v>
      </c>
      <c r="CD58" s="51">
        <f t="shared" si="35"/>
        <v>249.34590163934425</v>
      </c>
      <c r="CE58" s="74">
        <f t="shared" si="78"/>
        <v>1.5510000000000003E-3</v>
      </c>
      <c r="CF58" s="52">
        <f t="shared" si="36"/>
        <v>24.214793625000002</v>
      </c>
      <c r="CG58" s="53">
        <f t="shared" si="37"/>
        <v>18514.393027377053</v>
      </c>
      <c r="CH58" s="54">
        <f t="shared" si="38"/>
        <v>4616488.0227165194</v>
      </c>
      <c r="CS58" s="25">
        <v>27</v>
      </c>
      <c r="CT58" s="51">
        <f t="shared" si="42"/>
        <v>267.24487632508834</v>
      </c>
      <c r="CU58" s="74">
        <f t="shared" si="81"/>
        <v>1.551000000000002E-3</v>
      </c>
      <c r="CV58" s="52">
        <f t="shared" si="43"/>
        <v>24.214793625000009</v>
      </c>
      <c r="CW58" s="53">
        <f t="shared" si="44"/>
        <v>11972.20467848057</v>
      </c>
      <c r="CX58" s="54">
        <f t="shared" si="45"/>
        <v>3199510.3586391839</v>
      </c>
      <c r="DI58" s="25">
        <v>27</v>
      </c>
      <c r="DJ58" s="51">
        <f t="shared" si="49"/>
        <v>272.16306306306308</v>
      </c>
      <c r="DK58" s="74">
        <f t="shared" si="84"/>
        <v>1.5509999999999986E-3</v>
      </c>
      <c r="DL58" s="52">
        <f t="shared" si="50"/>
        <v>24.214793624999992</v>
      </c>
      <c r="DM58" s="53">
        <f t="shared" si="51"/>
        <v>10174.576348378376</v>
      </c>
      <c r="DN58" s="54">
        <f t="shared" si="52"/>
        <v>2769143.8643436539</v>
      </c>
      <c r="DY58" s="25">
        <v>27</v>
      </c>
      <c r="DZ58" s="51">
        <f t="shared" si="56"/>
        <v>282.60844277673544</v>
      </c>
      <c r="EA58" s="74">
        <f t="shared" si="87"/>
        <v>1.5509999999999968E-3</v>
      </c>
      <c r="EB58" s="52">
        <f t="shared" si="57"/>
        <v>24.214793624999981</v>
      </c>
      <c r="EC58" s="53">
        <f t="shared" si="58"/>
        <v>6356.7240600562791</v>
      </c>
      <c r="ED58" s="54">
        <f t="shared" si="59"/>
        <v>1796463.8877739124</v>
      </c>
    </row>
    <row r="59" spans="1:134">
      <c r="A59" s="25">
        <v>28</v>
      </c>
      <c r="B59" s="51">
        <f t="shared" si="0"/>
        <v>118.5</v>
      </c>
      <c r="C59" s="74">
        <f t="shared" si="63"/>
        <v>1.4849999999999998E-3</v>
      </c>
      <c r="D59" s="52">
        <f t="shared" si="1"/>
        <v>23.809190624999996</v>
      </c>
      <c r="E59" s="53">
        <f t="shared" si="2"/>
        <v>62856.263249999989</v>
      </c>
      <c r="F59" s="54">
        <f t="shared" si="3"/>
        <v>7448467.1951249987</v>
      </c>
      <c r="Q59" s="25">
        <v>28</v>
      </c>
      <c r="R59" s="51">
        <f t="shared" si="7"/>
        <v>147.3095238095238</v>
      </c>
      <c r="S59" s="74">
        <f t="shared" si="66"/>
        <v>1.4850000000000002E-3</v>
      </c>
      <c r="T59" s="52">
        <f t="shared" si="8"/>
        <v>23.809190624999999</v>
      </c>
      <c r="U59" s="53">
        <f t="shared" si="9"/>
        <v>52879.078607142859</v>
      </c>
      <c r="V59" s="54">
        <f t="shared" si="10"/>
        <v>7789591.8891045917</v>
      </c>
      <c r="AG59" s="25">
        <v>28</v>
      </c>
      <c r="AH59" s="51">
        <f t="shared" si="14"/>
        <v>184.10240963855421</v>
      </c>
      <c r="AI59" s="74">
        <f t="shared" si="69"/>
        <v>1.485E-3</v>
      </c>
      <c r="AJ59" s="52">
        <f t="shared" si="15"/>
        <v>23.809190624999999</v>
      </c>
      <c r="AK59" s="53">
        <f t="shared" si="16"/>
        <v>40137.131954819277</v>
      </c>
      <c r="AL59" s="54">
        <f t="shared" si="17"/>
        <v>7389342.7088628421</v>
      </c>
      <c r="AW59" s="25">
        <v>28</v>
      </c>
      <c r="AX59" s="51">
        <f t="shared" si="21"/>
        <v>210.93055555555557</v>
      </c>
      <c r="AY59" s="74">
        <f t="shared" si="72"/>
        <v>1.4850000000000002E-3</v>
      </c>
      <c r="AZ59" s="52">
        <f t="shared" si="22"/>
        <v>23.809190624999999</v>
      </c>
      <c r="BA59" s="53">
        <f t="shared" si="23"/>
        <v>30846.129187499995</v>
      </c>
      <c r="BB59" s="54">
        <f t="shared" si="24"/>
        <v>6506391.1662578117</v>
      </c>
      <c r="BM59" s="25">
        <v>28</v>
      </c>
      <c r="BN59" s="51">
        <f t="shared" si="28"/>
        <v>227.67293233082705</v>
      </c>
      <c r="BO59" s="74">
        <f t="shared" si="75"/>
        <v>1.4849999999999993E-3</v>
      </c>
      <c r="BP59" s="52">
        <f t="shared" si="29"/>
        <v>23.809190624999992</v>
      </c>
      <c r="BQ59" s="53">
        <f t="shared" si="30"/>
        <v>25047.984603383451</v>
      </c>
      <c r="BR59" s="54">
        <f t="shared" si="31"/>
        <v>5702748.1036297185</v>
      </c>
      <c r="CC59" s="25">
        <v>28</v>
      </c>
      <c r="CD59" s="51">
        <f t="shared" si="35"/>
        <v>247.43442622950818</v>
      </c>
      <c r="CE59" s="74">
        <f t="shared" si="78"/>
        <v>1.4850000000000002E-3</v>
      </c>
      <c r="CF59" s="52">
        <f t="shared" si="36"/>
        <v>23.809190624999999</v>
      </c>
      <c r="CG59" s="53">
        <f t="shared" si="37"/>
        <v>18204.272963114756</v>
      </c>
      <c r="CH59" s="54">
        <f t="shared" si="38"/>
        <v>4504363.835553648</v>
      </c>
      <c r="CS59" s="25">
        <v>28</v>
      </c>
      <c r="CT59" s="51">
        <f t="shared" si="42"/>
        <v>266.00883392226149</v>
      </c>
      <c r="CU59" s="74">
        <f t="shared" si="81"/>
        <v>1.4850000000000019E-3</v>
      </c>
      <c r="CV59" s="52">
        <f t="shared" si="43"/>
        <v>23.80919062500001</v>
      </c>
      <c r="CW59" s="53">
        <f t="shared" si="44"/>
        <v>11771.667675795057</v>
      </c>
      <c r="CX59" s="54">
        <f t="shared" si="45"/>
        <v>3131367.5917586214</v>
      </c>
      <c r="DI59" s="25">
        <v>28</v>
      </c>
      <c r="DJ59" s="51">
        <f t="shared" si="49"/>
        <v>271.11261261261262</v>
      </c>
      <c r="DK59" s="74">
        <f t="shared" si="84"/>
        <v>1.4849999999999985E-3</v>
      </c>
      <c r="DL59" s="52">
        <f t="shared" si="50"/>
        <v>23.809190624999992</v>
      </c>
      <c r="DM59" s="53">
        <f t="shared" si="51"/>
        <v>10004.150006756754</v>
      </c>
      <c r="DN59" s="54">
        <f t="shared" si="52"/>
        <v>2712251.2453003097</v>
      </c>
      <c r="DY59" s="25">
        <v>28</v>
      </c>
      <c r="DZ59" s="51">
        <f t="shared" si="56"/>
        <v>281.95215759849907</v>
      </c>
      <c r="EA59" s="74">
        <f t="shared" si="87"/>
        <v>1.4850000000000002E-3</v>
      </c>
      <c r="EB59" s="52">
        <f t="shared" si="57"/>
        <v>23.809190624999999</v>
      </c>
      <c r="EC59" s="53">
        <f t="shared" si="58"/>
        <v>6250.2475651969971</v>
      </c>
      <c r="ED59" s="54">
        <f t="shared" si="59"/>
        <v>1762270.7865320588</v>
      </c>
    </row>
    <row r="60" spans="1:134">
      <c r="A60" s="25">
        <v>29</v>
      </c>
      <c r="B60" s="51">
        <f t="shared" si="0"/>
        <v>111.9</v>
      </c>
      <c r="C60" s="74">
        <f t="shared" si="63"/>
        <v>1.4190000000000001E-3</v>
      </c>
      <c r="D60" s="52">
        <f t="shared" si="1"/>
        <v>23.348048625000001</v>
      </c>
      <c r="E60" s="53">
        <f t="shared" si="2"/>
        <v>61638.84837</v>
      </c>
      <c r="F60" s="54">
        <f t="shared" si="3"/>
        <v>6897387.1326029999</v>
      </c>
      <c r="Q60" s="25">
        <v>29</v>
      </c>
      <c r="R60" s="51">
        <f t="shared" si="7"/>
        <v>141.75714285714284</v>
      </c>
      <c r="S60" s="74">
        <f t="shared" si="66"/>
        <v>1.4190000000000001E-3</v>
      </c>
      <c r="T60" s="52">
        <f t="shared" si="8"/>
        <v>23.348048625000001</v>
      </c>
      <c r="U60" s="53">
        <f t="shared" si="9"/>
        <v>51854.904184285719</v>
      </c>
      <c r="V60" s="54">
        <f t="shared" si="10"/>
        <v>7350803.0602952447</v>
      </c>
      <c r="AG60" s="25">
        <v>29</v>
      </c>
      <c r="AH60" s="51">
        <f t="shared" si="14"/>
        <v>179.88795180722892</v>
      </c>
      <c r="AI60" s="74">
        <f t="shared" si="69"/>
        <v>1.4189999999999999E-3</v>
      </c>
      <c r="AJ60" s="52">
        <f t="shared" si="15"/>
        <v>23.348048625000001</v>
      </c>
      <c r="AK60" s="53">
        <f t="shared" si="16"/>
        <v>39359.746549518073</v>
      </c>
      <c r="AL60" s="54">
        <f t="shared" si="17"/>
        <v>7080344.1904444518</v>
      </c>
      <c r="AW60" s="25">
        <v>29</v>
      </c>
      <c r="AX60" s="51">
        <f t="shared" si="21"/>
        <v>207.69166666666666</v>
      </c>
      <c r="AY60" s="74">
        <f t="shared" si="72"/>
        <v>1.4190000000000001E-3</v>
      </c>
      <c r="AZ60" s="52">
        <f t="shared" si="22"/>
        <v>23.348048625000001</v>
      </c>
      <c r="BA60" s="53">
        <f t="shared" si="23"/>
        <v>30248.6941075</v>
      </c>
      <c r="BB60" s="54">
        <f t="shared" si="24"/>
        <v>6282401.6936768536</v>
      </c>
      <c r="BM60" s="25">
        <v>29</v>
      </c>
      <c r="BN60" s="51">
        <f t="shared" si="28"/>
        <v>225.04285714285714</v>
      </c>
      <c r="BO60" s="74">
        <f t="shared" si="75"/>
        <v>1.4190000000000001E-3</v>
      </c>
      <c r="BP60" s="52">
        <f t="shared" si="29"/>
        <v>23.348048625000001</v>
      </c>
      <c r="BQ60" s="53">
        <f t="shared" si="30"/>
        <v>24562.849350451128</v>
      </c>
      <c r="BR60" s="54">
        <f t="shared" si="31"/>
        <v>5527693.7973950943</v>
      </c>
      <c r="CC60" s="25">
        <v>29</v>
      </c>
      <c r="CD60" s="51">
        <f t="shared" si="35"/>
        <v>245.52295081967213</v>
      </c>
      <c r="CE60" s="74">
        <f t="shared" si="78"/>
        <v>1.4190000000000019E-3</v>
      </c>
      <c r="CF60" s="52">
        <f t="shared" si="36"/>
        <v>23.348048625000011</v>
      </c>
      <c r="CG60" s="53">
        <f t="shared" si="37"/>
        <v>17851.688325737716</v>
      </c>
      <c r="CH60" s="54">
        <f t="shared" si="38"/>
        <v>4382999.1948482161</v>
      </c>
      <c r="CS60" s="25">
        <v>29</v>
      </c>
      <c r="CT60" s="51">
        <f t="shared" si="42"/>
        <v>264.77279151943463</v>
      </c>
      <c r="CU60" s="74">
        <f t="shared" si="81"/>
        <v>1.4190000000000019E-3</v>
      </c>
      <c r="CV60" s="52">
        <f t="shared" si="43"/>
        <v>23.348048625000011</v>
      </c>
      <c r="CW60" s="53">
        <f t="shared" si="44"/>
        <v>11543.671249505305</v>
      </c>
      <c r="CX60" s="54">
        <f t="shared" si="45"/>
        <v>3056450.0611141599</v>
      </c>
      <c r="DI60" s="25">
        <v>29</v>
      </c>
      <c r="DJ60" s="51">
        <f t="shared" si="49"/>
        <v>270.06216216216217</v>
      </c>
      <c r="DK60" s="74">
        <f t="shared" si="84"/>
        <v>1.4189999999999984E-3</v>
      </c>
      <c r="DL60" s="52">
        <f t="shared" si="50"/>
        <v>23.34804862499999</v>
      </c>
      <c r="DM60" s="53">
        <f t="shared" si="51"/>
        <v>9810.3872781081045</v>
      </c>
      <c r="DN60" s="54">
        <f t="shared" si="52"/>
        <v>2649414.3999740435</v>
      </c>
      <c r="DY60" s="25">
        <v>29</v>
      </c>
      <c r="DZ60" s="51">
        <f t="shared" si="56"/>
        <v>281.29587242026264</v>
      </c>
      <c r="EA60" s="74">
        <f t="shared" si="87"/>
        <v>1.4189999999999967E-3</v>
      </c>
      <c r="EB60" s="52">
        <f t="shared" si="57"/>
        <v>23.348048624999972</v>
      </c>
      <c r="EC60" s="53">
        <f t="shared" si="58"/>
        <v>6129.1913013320745</v>
      </c>
      <c r="ED60" s="54">
        <f t="shared" si="59"/>
        <v>1724116.2143388907</v>
      </c>
    </row>
    <row r="61" spans="1:134">
      <c r="A61" s="25">
        <v>30</v>
      </c>
      <c r="B61" s="51">
        <f t="shared" si="0"/>
        <v>105.30000000000001</v>
      </c>
      <c r="C61" s="74">
        <f t="shared" si="63"/>
        <v>1.353E-3</v>
      </c>
      <c r="D61" s="52">
        <f t="shared" si="1"/>
        <v>22.831367624999999</v>
      </c>
      <c r="E61" s="53">
        <f t="shared" si="2"/>
        <v>60274.810529999995</v>
      </c>
      <c r="F61" s="54">
        <f t="shared" si="3"/>
        <v>6346937.5488090003</v>
      </c>
      <c r="Q61" s="25">
        <v>30</v>
      </c>
      <c r="R61" s="51">
        <f t="shared" si="7"/>
        <v>136.20476190476188</v>
      </c>
      <c r="S61" s="74">
        <f t="shared" si="66"/>
        <v>1.353E-3</v>
      </c>
      <c r="T61" s="52">
        <f t="shared" si="8"/>
        <v>22.831367624999999</v>
      </c>
      <c r="U61" s="53">
        <f t="shared" si="9"/>
        <v>50707.380287142856</v>
      </c>
      <c r="V61" s="54">
        <f t="shared" si="10"/>
        <v>6906586.658824509</v>
      </c>
      <c r="AG61" s="25">
        <v>30</v>
      </c>
      <c r="AH61" s="51">
        <f t="shared" si="14"/>
        <v>175.67349397590363</v>
      </c>
      <c r="AI61" s="74">
        <f t="shared" si="69"/>
        <v>1.3530000000000003E-3</v>
      </c>
      <c r="AJ61" s="52">
        <f t="shared" si="15"/>
        <v>22.831367625000002</v>
      </c>
      <c r="AK61" s="53">
        <f t="shared" si="16"/>
        <v>38488.734434819286</v>
      </c>
      <c r="AL61" s="54">
        <f t="shared" si="17"/>
        <v>6761450.4568753801</v>
      </c>
      <c r="AW61" s="25">
        <v>30</v>
      </c>
      <c r="AX61" s="51">
        <f t="shared" si="21"/>
        <v>204.45277777777778</v>
      </c>
      <c r="AY61" s="74">
        <f t="shared" si="72"/>
        <v>1.353E-3</v>
      </c>
      <c r="AZ61" s="52">
        <f t="shared" si="22"/>
        <v>22.831367624999999</v>
      </c>
      <c r="BA61" s="53">
        <f t="shared" si="23"/>
        <v>29579.305167499995</v>
      </c>
      <c r="BB61" s="54">
        <f t="shared" si="24"/>
        <v>6047571.1062319502</v>
      </c>
      <c r="BM61" s="25">
        <v>30</v>
      </c>
      <c r="BN61" s="51">
        <f t="shared" si="28"/>
        <v>222.41278195488724</v>
      </c>
      <c r="BO61" s="74">
        <f t="shared" si="75"/>
        <v>1.353E-3</v>
      </c>
      <c r="BP61" s="52">
        <f t="shared" si="29"/>
        <v>22.831367624999999</v>
      </c>
      <c r="BQ61" s="53">
        <f t="shared" si="30"/>
        <v>24019.285399172932</v>
      </c>
      <c r="BR61" s="54">
        <f t="shared" si="31"/>
        <v>5342196.0861984557</v>
      </c>
      <c r="CC61" s="25">
        <v>30</v>
      </c>
      <c r="CD61" s="51">
        <f t="shared" si="35"/>
        <v>243.61147540983606</v>
      </c>
      <c r="CE61" s="74">
        <f t="shared" si="78"/>
        <v>1.3530000000000018E-3</v>
      </c>
      <c r="CF61" s="52">
        <f t="shared" si="36"/>
        <v>22.831367625000013</v>
      </c>
      <c r="CG61" s="53">
        <f t="shared" si="37"/>
        <v>17456.639115245915</v>
      </c>
      <c r="CH61" s="54">
        <f t="shared" si="38"/>
        <v>4252637.6105621122</v>
      </c>
      <c r="CS61" s="25">
        <v>30</v>
      </c>
      <c r="CT61" s="51">
        <f t="shared" si="42"/>
        <v>263.53674911660778</v>
      </c>
      <c r="CU61" s="74">
        <f t="shared" si="81"/>
        <v>1.3530000000000018E-3</v>
      </c>
      <c r="CV61" s="52">
        <f t="shared" si="43"/>
        <v>22.831367625000013</v>
      </c>
      <c r="CW61" s="53">
        <f t="shared" si="44"/>
        <v>11288.215399611314</v>
      </c>
      <c r="CX61" s="54">
        <f t="shared" si="45"/>
        <v>2974859.5897415951</v>
      </c>
      <c r="DI61" s="25">
        <v>30</v>
      </c>
      <c r="DJ61" s="51">
        <f t="shared" si="49"/>
        <v>269.01171171171171</v>
      </c>
      <c r="DK61" s="74">
        <f t="shared" si="84"/>
        <v>1.3529999999999983E-3</v>
      </c>
      <c r="DL61" s="52">
        <f t="shared" si="50"/>
        <v>22.831367624999984</v>
      </c>
      <c r="DM61" s="53">
        <f t="shared" si="51"/>
        <v>9593.2881624324273</v>
      </c>
      <c r="DN61" s="54">
        <f t="shared" si="52"/>
        <v>2580706.8695196486</v>
      </c>
      <c r="DY61" s="25">
        <v>30</v>
      </c>
      <c r="DZ61" s="51">
        <f t="shared" si="56"/>
        <v>280.63958724202627</v>
      </c>
      <c r="EA61" s="74">
        <f t="shared" si="87"/>
        <v>1.353E-3</v>
      </c>
      <c r="EB61" s="52">
        <f t="shared" si="57"/>
        <v>22.831367624999999</v>
      </c>
      <c r="EC61" s="53">
        <f t="shared" si="58"/>
        <v>5993.5552684615377</v>
      </c>
      <c r="ED61" s="54">
        <f t="shared" si="59"/>
        <v>1682028.8766533178</v>
      </c>
    </row>
    <row r="62" spans="1:134">
      <c r="A62" s="25">
        <v>31</v>
      </c>
      <c r="B62" s="51">
        <f t="shared" si="0"/>
        <v>98.700000000000017</v>
      </c>
      <c r="C62" s="74">
        <f t="shared" si="63"/>
        <v>1.2869999999999999E-3</v>
      </c>
      <c r="D62" s="52">
        <f t="shared" si="1"/>
        <v>22.259147624999997</v>
      </c>
      <c r="E62" s="53">
        <f t="shared" si="2"/>
        <v>58764.14972999999</v>
      </c>
      <c r="F62" s="54">
        <f t="shared" si="3"/>
        <v>5800021.5783510003</v>
      </c>
      <c r="Q62" s="25">
        <v>31</v>
      </c>
      <c r="R62" s="51">
        <f t="shared" si="7"/>
        <v>130.65238095238092</v>
      </c>
      <c r="S62" s="74">
        <f t="shared" si="66"/>
        <v>1.2869999999999999E-3</v>
      </c>
      <c r="T62" s="52">
        <f t="shared" si="8"/>
        <v>22.259147624999997</v>
      </c>
      <c r="U62" s="53">
        <f t="shared" si="9"/>
        <v>49436.506915714286</v>
      </c>
      <c r="V62" s="54">
        <f t="shared" si="10"/>
        <v>6458997.3345069168</v>
      </c>
      <c r="AG62" s="25">
        <v>31</v>
      </c>
      <c r="AH62" s="51">
        <f t="shared" si="14"/>
        <v>171.45903614457831</v>
      </c>
      <c r="AI62" s="74">
        <f t="shared" si="69"/>
        <v>1.2869999999999997E-3</v>
      </c>
      <c r="AJ62" s="52">
        <f t="shared" si="15"/>
        <v>22.259147624999997</v>
      </c>
      <c r="AK62" s="53">
        <f t="shared" si="16"/>
        <v>37524.095610722892</v>
      </c>
      <c r="AL62" s="54">
        <f t="shared" si="17"/>
        <v>6433845.2656115489</v>
      </c>
      <c r="AW62" s="25">
        <v>31</v>
      </c>
      <c r="AX62" s="51">
        <f t="shared" si="21"/>
        <v>201.2138888888889</v>
      </c>
      <c r="AY62" s="74">
        <f t="shared" si="72"/>
        <v>1.2869999999999999E-3</v>
      </c>
      <c r="AZ62" s="52">
        <f t="shared" si="22"/>
        <v>22.259147624999997</v>
      </c>
      <c r="BA62" s="53">
        <f t="shared" si="23"/>
        <v>28837.962367499993</v>
      </c>
      <c r="BB62" s="54">
        <f t="shared" si="24"/>
        <v>5802598.555596103</v>
      </c>
      <c r="BM62" s="25">
        <v>31</v>
      </c>
      <c r="BN62" s="51">
        <f t="shared" si="28"/>
        <v>219.7827067669173</v>
      </c>
      <c r="BO62" s="74">
        <f t="shared" si="75"/>
        <v>1.2869999999999999E-3</v>
      </c>
      <c r="BP62" s="52">
        <f t="shared" si="29"/>
        <v>22.259147624999997</v>
      </c>
      <c r="BQ62" s="53">
        <f t="shared" si="30"/>
        <v>23417.292749548869</v>
      </c>
      <c r="BR62" s="54">
        <f t="shared" si="31"/>
        <v>5146715.9856491573</v>
      </c>
      <c r="CC62" s="25">
        <v>31</v>
      </c>
      <c r="CD62" s="51">
        <f t="shared" si="35"/>
        <v>241.7</v>
      </c>
      <c r="CE62" s="74">
        <f t="shared" si="78"/>
        <v>1.2869999999999999E-3</v>
      </c>
      <c r="CF62" s="52">
        <f t="shared" si="36"/>
        <v>22.259147624999997</v>
      </c>
      <c r="CG62" s="53">
        <f t="shared" si="37"/>
        <v>17019.125331639345</v>
      </c>
      <c r="CH62" s="54">
        <f t="shared" si="38"/>
        <v>4113522.5926572294</v>
      </c>
      <c r="CS62" s="25">
        <v>31</v>
      </c>
      <c r="CT62" s="51">
        <f t="shared" si="42"/>
        <v>262.30070671378093</v>
      </c>
      <c r="CU62" s="74">
        <f t="shared" si="81"/>
        <v>1.2870000000000017E-3</v>
      </c>
      <c r="CV62" s="52">
        <f t="shared" si="43"/>
        <v>22.259147625000018</v>
      </c>
      <c r="CW62" s="53">
        <f t="shared" si="44"/>
        <v>11005.300126113083</v>
      </c>
      <c r="CX62" s="54">
        <f t="shared" si="45"/>
        <v>2886698.0006767241</v>
      </c>
      <c r="DI62" s="25">
        <v>31</v>
      </c>
      <c r="DJ62" s="51">
        <f t="shared" si="49"/>
        <v>267.96126126126126</v>
      </c>
      <c r="DK62" s="74">
        <f t="shared" si="84"/>
        <v>1.2869999999999982E-3</v>
      </c>
      <c r="DL62" s="52">
        <f t="shared" si="50"/>
        <v>22.259147624999979</v>
      </c>
      <c r="DM62" s="53">
        <f t="shared" si="51"/>
        <v>9352.8526597297223</v>
      </c>
      <c r="DN62" s="54">
        <f t="shared" si="52"/>
        <v>2506202.1950919181</v>
      </c>
      <c r="DY62" s="25">
        <v>31</v>
      </c>
      <c r="DZ62" s="51">
        <f t="shared" si="56"/>
        <v>279.98330206378989</v>
      </c>
      <c r="EA62" s="74">
        <f t="shared" si="87"/>
        <v>1.2870000000000034E-3</v>
      </c>
      <c r="EB62" s="52">
        <f t="shared" si="57"/>
        <v>22.259147625000033</v>
      </c>
      <c r="EC62" s="53">
        <f t="shared" si="58"/>
        <v>5843.3394665853739</v>
      </c>
      <c r="ED62" s="54">
        <f t="shared" si="59"/>
        <v>1636037.4789342377</v>
      </c>
    </row>
    <row r="63" spans="1:134">
      <c r="A63" s="25">
        <v>32</v>
      </c>
      <c r="B63" s="51">
        <f t="shared" si="0"/>
        <v>92.100000000000023</v>
      </c>
      <c r="C63" s="74">
        <f t="shared" si="63"/>
        <v>1.2210000000000003E-3</v>
      </c>
      <c r="D63" s="52">
        <f t="shared" si="1"/>
        <v>21.631388625000003</v>
      </c>
      <c r="E63" s="53">
        <f t="shared" si="2"/>
        <v>57106.865970000006</v>
      </c>
      <c r="F63" s="54">
        <f t="shared" si="3"/>
        <v>5259542.3558370015</v>
      </c>
      <c r="Q63" s="25">
        <v>32</v>
      </c>
      <c r="R63" s="51">
        <f t="shared" si="7"/>
        <v>125.09999999999997</v>
      </c>
      <c r="S63" s="74">
        <f t="shared" si="66"/>
        <v>1.2209999999999999E-3</v>
      </c>
      <c r="T63" s="52">
        <f t="shared" si="8"/>
        <v>21.631388625</v>
      </c>
      <c r="U63" s="53">
        <f t="shared" si="9"/>
        <v>48042.284070000002</v>
      </c>
      <c r="V63" s="54">
        <f t="shared" si="10"/>
        <v>6010089.7371569984</v>
      </c>
      <c r="AG63" s="25">
        <v>32</v>
      </c>
      <c r="AH63" s="51">
        <f t="shared" si="14"/>
        <v>167.24457831325302</v>
      </c>
      <c r="AI63" s="74">
        <f t="shared" si="69"/>
        <v>1.2210000000000001E-3</v>
      </c>
      <c r="AJ63" s="52">
        <f t="shared" si="15"/>
        <v>21.631388625</v>
      </c>
      <c r="AK63" s="53">
        <f t="shared" si="16"/>
        <v>36465.830077228915</v>
      </c>
      <c r="AL63" s="54">
        <f t="shared" si="17"/>
        <v>6098712.3741088882</v>
      </c>
      <c r="AW63" s="25">
        <v>32</v>
      </c>
      <c r="AX63" s="51">
        <f t="shared" si="21"/>
        <v>197.97500000000002</v>
      </c>
      <c r="AY63" s="74">
        <f t="shared" si="72"/>
        <v>1.2210000000000007E-3</v>
      </c>
      <c r="AZ63" s="52">
        <f t="shared" si="22"/>
        <v>21.631388625000007</v>
      </c>
      <c r="BA63" s="53">
        <f t="shared" si="23"/>
        <v>28024.665707500008</v>
      </c>
      <c r="BB63" s="54">
        <f t="shared" si="24"/>
        <v>5548183.1934423149</v>
      </c>
      <c r="BM63" s="25">
        <v>32</v>
      </c>
      <c r="BN63" s="51">
        <f t="shared" si="28"/>
        <v>217.15263157894736</v>
      </c>
      <c r="BO63" s="74">
        <f t="shared" si="75"/>
        <v>1.2209999999999999E-3</v>
      </c>
      <c r="BP63" s="52">
        <f t="shared" si="29"/>
        <v>21.631388625</v>
      </c>
      <c r="BQ63" s="53">
        <f t="shared" si="30"/>
        <v>22756.871401578948</v>
      </c>
      <c r="BR63" s="54">
        <f t="shared" si="31"/>
        <v>4941714.5113565568</v>
      </c>
      <c r="CC63" s="25">
        <v>32</v>
      </c>
      <c r="CD63" s="51">
        <f t="shared" si="35"/>
        <v>239.78852459016395</v>
      </c>
      <c r="CE63" s="74">
        <f t="shared" si="78"/>
        <v>1.2210000000000016E-3</v>
      </c>
      <c r="CF63" s="52">
        <f t="shared" si="36"/>
        <v>21.631388625000017</v>
      </c>
      <c r="CG63" s="53">
        <f t="shared" si="37"/>
        <v>16539.146974918047</v>
      </c>
      <c r="CH63" s="54">
        <f t="shared" si="38"/>
        <v>3965897.6510954718</v>
      </c>
      <c r="CS63" s="25">
        <v>32</v>
      </c>
      <c r="CT63" s="51">
        <f t="shared" si="42"/>
        <v>261.06466431095407</v>
      </c>
      <c r="CU63" s="74">
        <f t="shared" si="81"/>
        <v>1.2210000000000016E-3</v>
      </c>
      <c r="CV63" s="52">
        <f t="shared" si="43"/>
        <v>21.631388625000017</v>
      </c>
      <c r="CW63" s="53">
        <f t="shared" si="44"/>
        <v>10694.925429010609</v>
      </c>
      <c r="CX63" s="54">
        <f t="shared" si="45"/>
        <v>2792067.1169553413</v>
      </c>
      <c r="DI63" s="25">
        <v>32</v>
      </c>
      <c r="DJ63" s="51">
        <f t="shared" si="49"/>
        <v>266.9108108108108</v>
      </c>
      <c r="DK63" s="74">
        <f t="shared" si="84"/>
        <v>1.2209999999999981E-3</v>
      </c>
      <c r="DL63" s="52">
        <f t="shared" si="50"/>
        <v>21.631388624999978</v>
      </c>
      <c r="DM63" s="53">
        <f t="shared" si="51"/>
        <v>9089.0807699999914</v>
      </c>
      <c r="DN63" s="54">
        <f t="shared" si="52"/>
        <v>2425973.9178456464</v>
      </c>
      <c r="DY63" s="25">
        <v>32</v>
      </c>
      <c r="DZ63" s="51">
        <f t="shared" si="56"/>
        <v>279.32701688555346</v>
      </c>
      <c r="EA63" s="74">
        <f t="shared" si="87"/>
        <v>1.2209999999999999E-3</v>
      </c>
      <c r="EB63" s="52">
        <f t="shared" si="57"/>
        <v>21.631388625</v>
      </c>
      <c r="EC63" s="53">
        <f t="shared" si="58"/>
        <v>5678.543895703564</v>
      </c>
      <c r="ED63" s="54">
        <f t="shared" si="59"/>
        <v>1586170.726640546</v>
      </c>
    </row>
    <row r="64" spans="1:134">
      <c r="A64" s="25">
        <v>33</v>
      </c>
      <c r="B64" s="51">
        <f t="shared" ref="B64:B81" si="90">h/2-($A64-0.5)*G$24</f>
        <v>85.5</v>
      </c>
      <c r="C64" s="74">
        <f t="shared" si="63"/>
        <v>1.155E-3</v>
      </c>
      <c r="D64" s="52">
        <f t="shared" si="1"/>
        <v>20.948090624999999</v>
      </c>
      <c r="E64" s="53">
        <f t="shared" ref="E64:E81" si="91">+D64*G$26</f>
        <v>55302.95925</v>
      </c>
      <c r="F64" s="54">
        <f t="shared" ref="F64:F81" si="92">+E64*B64</f>
        <v>4728403.0158749996</v>
      </c>
      <c r="Q64" s="25">
        <v>33</v>
      </c>
      <c r="R64" s="51">
        <f t="shared" ref="R64:R81" si="93">h/2-($Q64-0.5)*W$24</f>
        <v>119.54761904761904</v>
      </c>
      <c r="S64" s="74">
        <f t="shared" si="66"/>
        <v>1.1550000000000002E-3</v>
      </c>
      <c r="T64" s="52">
        <f t="shared" si="8"/>
        <v>20.948090625000003</v>
      </c>
      <c r="U64" s="53">
        <f t="shared" ref="U64:U81" si="94">+T64*W$26</f>
        <v>46524.711750000009</v>
      </c>
      <c r="V64" s="54">
        <f t="shared" ref="V64:V81" si="95">+U64*R64</f>
        <v>5561918.5165892867</v>
      </c>
      <c r="AG64" s="25">
        <v>33</v>
      </c>
      <c r="AH64" s="51">
        <f t="shared" ref="AH64:AH81" si="96">h/2-($AG64-0.5)*AM$24</f>
        <v>163.0301204819277</v>
      </c>
      <c r="AI64" s="74">
        <f t="shared" si="69"/>
        <v>1.155E-3</v>
      </c>
      <c r="AJ64" s="52">
        <f t="shared" si="15"/>
        <v>20.948090624999999</v>
      </c>
      <c r="AK64" s="53">
        <f t="shared" ref="AK64:AK81" si="97">+AJ64*AM$26</f>
        <v>35313.937834337354</v>
      </c>
      <c r="AL64" s="54">
        <f t="shared" ref="AL64:AL81" si="98">+AK64*AH64</f>
        <v>5757235.5398233235</v>
      </c>
      <c r="AW64" s="25">
        <v>33</v>
      </c>
      <c r="AX64" s="51">
        <f t="shared" ref="AX64:AX81" si="99">h/2-($AW64-0.5)*BC$24</f>
        <v>194.73611111111114</v>
      </c>
      <c r="AY64" s="74">
        <f t="shared" si="72"/>
        <v>1.1550000000000006E-3</v>
      </c>
      <c r="AZ64" s="52">
        <f t="shared" si="22"/>
        <v>20.94809062500001</v>
      </c>
      <c r="BA64" s="53">
        <f t="shared" ref="BA64:BA81" si="100">+AZ64*BC$26</f>
        <v>27139.41518750001</v>
      </c>
      <c r="BB64" s="54">
        <f t="shared" ref="BB64:BB81" si="101">+BA64*AX64</f>
        <v>5285024.1714435788</v>
      </c>
      <c r="BM64" s="25">
        <v>33</v>
      </c>
      <c r="BN64" s="51">
        <f t="shared" ref="BN64:BN81" si="102">h/2-($AW64-0.5)*BS$24</f>
        <v>214.52255639097746</v>
      </c>
      <c r="BO64" s="74">
        <f t="shared" si="75"/>
        <v>1.1549999999999998E-3</v>
      </c>
      <c r="BP64" s="52">
        <f t="shared" si="29"/>
        <v>20.948090624999999</v>
      </c>
      <c r="BQ64" s="53">
        <f t="shared" ref="BQ64:BQ81" si="103">+BP64*BS$26</f>
        <v>22038.021355263158</v>
      </c>
      <c r="BR64" s="54">
        <f t="shared" ref="BR64:BR81" si="104">+BQ64*BN64</f>
        <v>4727652.678930006</v>
      </c>
      <c r="CC64" s="25">
        <v>33</v>
      </c>
      <c r="CD64" s="51">
        <f t="shared" ref="CD64:CD81" si="105">h/2-($CC64-0.5)*CI$24</f>
        <v>237.87704918032784</v>
      </c>
      <c r="CE64" s="74">
        <f t="shared" si="78"/>
        <v>1.1549999999999998E-3</v>
      </c>
      <c r="CF64" s="52">
        <f t="shared" si="36"/>
        <v>20.948090624999999</v>
      </c>
      <c r="CG64" s="53">
        <f t="shared" ref="CG64:CG81" si="106">+CF64*CI$26</f>
        <v>16016.704045081968</v>
      </c>
      <c r="CH64" s="54">
        <f t="shared" ref="CH64:CH81" si="107">+CG64*CD64</f>
        <v>3810006.2958387192</v>
      </c>
      <c r="CS64" s="25">
        <v>33</v>
      </c>
      <c r="CT64" s="51">
        <f t="shared" ref="CT64:CT81" si="108">h/2-($CC64-0.5)*CY$24</f>
        <v>259.82862190812722</v>
      </c>
      <c r="CU64" s="74">
        <f t="shared" si="81"/>
        <v>1.1550000000000015E-3</v>
      </c>
      <c r="CV64" s="52">
        <f t="shared" si="43"/>
        <v>20.948090625000017</v>
      </c>
      <c r="CW64" s="53">
        <f t="shared" ref="CW64:CW81" si="109">+CV64*CY$26</f>
        <v>10357.091308303896</v>
      </c>
      <c r="CX64" s="54">
        <f t="shared" ref="CX64:CX81" si="110">+CW64*CT64</f>
        <v>2691068.7616132437</v>
      </c>
      <c r="DI64" s="25">
        <v>33</v>
      </c>
      <c r="DJ64" s="51">
        <f t="shared" ref="DJ64:DJ81" si="111">h/2-($CC64-0.5)*DO$24</f>
        <v>265.86036036036035</v>
      </c>
      <c r="DK64" s="74">
        <f t="shared" si="84"/>
        <v>1.154999999999998E-3</v>
      </c>
      <c r="DL64" s="52">
        <f t="shared" si="50"/>
        <v>20.948090624999978</v>
      </c>
      <c r="DM64" s="53">
        <f t="shared" ref="DM64:DM81" si="112">+DL64*DO$26</f>
        <v>8801.9724932432346</v>
      </c>
      <c r="DN64" s="54">
        <f t="shared" ref="DN64:DN81" si="113">+DM64*DJ64</f>
        <v>2340095.578935626</v>
      </c>
      <c r="DY64" s="25">
        <v>33</v>
      </c>
      <c r="DZ64" s="51">
        <f t="shared" ref="DZ64:DZ81" si="114">h/2-($CC64-0.5)*EE$24</f>
        <v>278.67073170731709</v>
      </c>
      <c r="EA64" s="74">
        <f t="shared" si="87"/>
        <v>1.1549999999999998E-3</v>
      </c>
      <c r="EB64" s="52">
        <f t="shared" si="57"/>
        <v>20.948090624999999</v>
      </c>
      <c r="EC64" s="53">
        <f t="shared" ref="EC64:EC81" si="115">+EB64*EE$26</f>
        <v>5499.1685558161344</v>
      </c>
      <c r="ED64" s="54">
        <f t="shared" ref="ED64:ED81" si="116">+EC64*DZ64</f>
        <v>1532457.3252311524</v>
      </c>
    </row>
    <row r="65" spans="1:134">
      <c r="A65" s="25">
        <v>34</v>
      </c>
      <c r="B65" s="51">
        <f t="shared" si="90"/>
        <v>78.900000000000006</v>
      </c>
      <c r="C65" s="74">
        <f t="shared" si="63"/>
        <v>1.0890000000000001E-3</v>
      </c>
      <c r="D65" s="52">
        <f t="shared" si="1"/>
        <v>20.209253625000002</v>
      </c>
      <c r="E65" s="53">
        <f t="shared" si="91"/>
        <v>53352.429570000008</v>
      </c>
      <c r="F65" s="54">
        <f t="shared" si="92"/>
        <v>4209506.6930730008</v>
      </c>
      <c r="Q65" s="25">
        <v>34</v>
      </c>
      <c r="R65" s="51">
        <f t="shared" si="93"/>
        <v>113.99523809523808</v>
      </c>
      <c r="S65" s="74">
        <f t="shared" si="66"/>
        <v>1.0890000000000001E-3</v>
      </c>
      <c r="T65" s="52">
        <f t="shared" si="8"/>
        <v>20.209253625000002</v>
      </c>
      <c r="U65" s="53">
        <f t="shared" si="94"/>
        <v>44883.789955714296</v>
      </c>
      <c r="V65" s="54">
        <f t="shared" si="95"/>
        <v>5116538.3226183066</v>
      </c>
      <c r="AG65" s="25">
        <v>34</v>
      </c>
      <c r="AH65" s="51">
        <f t="shared" si="96"/>
        <v>158.81566265060241</v>
      </c>
      <c r="AI65" s="74">
        <f t="shared" si="69"/>
        <v>1.0889999999999999E-3</v>
      </c>
      <c r="AJ65" s="52">
        <f t="shared" si="15"/>
        <v>20.209253624999999</v>
      </c>
      <c r="AK65" s="53">
        <f t="shared" si="97"/>
        <v>34068.418882048194</v>
      </c>
      <c r="AL65" s="54">
        <f t="shared" si="98"/>
        <v>5410598.5202107793</v>
      </c>
      <c r="AW65" s="25">
        <v>34</v>
      </c>
      <c r="AX65" s="51">
        <f t="shared" si="99"/>
        <v>191.49722222222223</v>
      </c>
      <c r="AY65" s="74">
        <f t="shared" si="72"/>
        <v>1.0890000000000001E-3</v>
      </c>
      <c r="AZ65" s="52">
        <f t="shared" si="22"/>
        <v>20.209253625000002</v>
      </c>
      <c r="BA65" s="53">
        <f t="shared" si="100"/>
        <v>26182.2108075</v>
      </c>
      <c r="BB65" s="54">
        <f t="shared" si="101"/>
        <v>5013820.641272896</v>
      </c>
      <c r="BM65" s="25">
        <v>34</v>
      </c>
      <c r="BN65" s="51">
        <f t="shared" si="102"/>
        <v>211.89248120300752</v>
      </c>
      <c r="BO65" s="74">
        <f t="shared" si="75"/>
        <v>1.0889999999999997E-3</v>
      </c>
      <c r="BP65" s="52">
        <f t="shared" si="29"/>
        <v>20.209253624999995</v>
      </c>
      <c r="BQ65" s="53">
        <f t="shared" si="103"/>
        <v>21260.742610601497</v>
      </c>
      <c r="BR65" s="54">
        <f t="shared" si="104"/>
        <v>4504991.5039788587</v>
      </c>
      <c r="CC65" s="25">
        <v>34</v>
      </c>
      <c r="CD65" s="51">
        <f t="shared" si="105"/>
        <v>235.9655737704918</v>
      </c>
      <c r="CE65" s="74">
        <f t="shared" si="78"/>
        <v>1.0890000000000014E-3</v>
      </c>
      <c r="CF65" s="52">
        <f t="shared" si="36"/>
        <v>20.209253625000013</v>
      </c>
      <c r="CG65" s="53">
        <f t="shared" si="106"/>
        <v>15451.796542131158</v>
      </c>
      <c r="CH65" s="54">
        <f t="shared" si="107"/>
        <v>3646092.0368488799</v>
      </c>
      <c r="CS65" s="25">
        <v>34</v>
      </c>
      <c r="CT65" s="51">
        <f t="shared" si="108"/>
        <v>258.59257950530036</v>
      </c>
      <c r="CU65" s="74">
        <f t="shared" si="81"/>
        <v>1.0890000000000032E-3</v>
      </c>
      <c r="CV65" s="52">
        <f t="shared" si="43"/>
        <v>20.209253625000034</v>
      </c>
      <c r="CW65" s="53">
        <f t="shared" si="109"/>
        <v>9991.7977639929504</v>
      </c>
      <c r="CX65" s="54">
        <f t="shared" si="110"/>
        <v>2583804.7576862294</v>
      </c>
      <c r="DI65" s="25">
        <v>34</v>
      </c>
      <c r="DJ65" s="51">
        <f t="shared" si="111"/>
        <v>264.80990990990989</v>
      </c>
      <c r="DK65" s="74">
        <f t="shared" si="84"/>
        <v>1.088999999999998E-3</v>
      </c>
      <c r="DL65" s="52">
        <f t="shared" si="50"/>
        <v>20.209253624999974</v>
      </c>
      <c r="DM65" s="53">
        <f t="shared" si="112"/>
        <v>8491.52782945945</v>
      </c>
      <c r="DN65" s="54">
        <f t="shared" si="113"/>
        <v>2248640.7195166498</v>
      </c>
      <c r="DY65" s="25">
        <v>34</v>
      </c>
      <c r="DZ65" s="51">
        <f t="shared" si="114"/>
        <v>278.01444652908066</v>
      </c>
      <c r="EA65" s="74">
        <f t="shared" si="87"/>
        <v>1.0889999999999962E-3</v>
      </c>
      <c r="EB65" s="52">
        <f t="shared" si="57"/>
        <v>20.209253624999956</v>
      </c>
      <c r="EC65" s="53">
        <f t="shared" si="115"/>
        <v>5305.213446923065</v>
      </c>
      <c r="ED65" s="54">
        <f t="shared" si="116"/>
        <v>1474925.9801649521</v>
      </c>
    </row>
    <row r="66" spans="1:134">
      <c r="A66" s="25">
        <v>35</v>
      </c>
      <c r="B66" s="51">
        <f t="shared" si="90"/>
        <v>72.300000000000011</v>
      </c>
      <c r="C66" s="74">
        <f t="shared" si="63"/>
        <v>1.023E-3</v>
      </c>
      <c r="D66" s="52">
        <f t="shared" si="1"/>
        <v>19.414877624999999</v>
      </c>
      <c r="E66" s="53">
        <f t="shared" si="91"/>
        <v>51255.27693</v>
      </c>
      <c r="F66" s="54">
        <f t="shared" si="92"/>
        <v>3705756.5220390004</v>
      </c>
      <c r="Q66" s="25">
        <v>35</v>
      </c>
      <c r="R66" s="51">
        <f t="shared" si="93"/>
        <v>108.44285714285712</v>
      </c>
      <c r="S66" s="74">
        <f t="shared" si="66"/>
        <v>1.023E-3</v>
      </c>
      <c r="T66" s="52">
        <f t="shared" si="8"/>
        <v>19.414877624999999</v>
      </c>
      <c r="U66" s="53">
        <f t="shared" si="94"/>
        <v>43119.51868714286</v>
      </c>
      <c r="V66" s="54">
        <f t="shared" si="95"/>
        <v>4676003.8050585911</v>
      </c>
      <c r="AG66" s="25">
        <v>35</v>
      </c>
      <c r="AH66" s="51">
        <f t="shared" si="96"/>
        <v>154.60120481927711</v>
      </c>
      <c r="AI66" s="74">
        <f t="shared" si="69"/>
        <v>1.0230000000000003E-3</v>
      </c>
      <c r="AJ66" s="52">
        <f t="shared" si="15"/>
        <v>19.414877624999999</v>
      </c>
      <c r="AK66" s="53">
        <f t="shared" si="97"/>
        <v>32729.273220361447</v>
      </c>
      <c r="AL66" s="54">
        <f t="shared" si="98"/>
        <v>5059985.0727271819</v>
      </c>
      <c r="AW66" s="25">
        <v>35</v>
      </c>
      <c r="AX66" s="51">
        <f t="shared" si="99"/>
        <v>188.25833333333335</v>
      </c>
      <c r="AY66" s="74">
        <f t="shared" si="72"/>
        <v>1.0230000000000005E-3</v>
      </c>
      <c r="AZ66" s="52">
        <f t="shared" si="22"/>
        <v>19.414877625000006</v>
      </c>
      <c r="BA66" s="53">
        <f t="shared" si="100"/>
        <v>25153.052567500006</v>
      </c>
      <c r="BB66" s="54">
        <f t="shared" si="101"/>
        <v>4735271.7546032723</v>
      </c>
      <c r="BM66" s="25">
        <v>35</v>
      </c>
      <c r="BN66" s="51">
        <f t="shared" si="102"/>
        <v>209.26240601503758</v>
      </c>
      <c r="BO66" s="74">
        <f t="shared" si="75"/>
        <v>1.0229999999999996E-3</v>
      </c>
      <c r="BP66" s="52">
        <f t="shared" si="29"/>
        <v>19.414877624999992</v>
      </c>
      <c r="BQ66" s="53">
        <f t="shared" si="103"/>
        <v>20425.035167593978</v>
      </c>
      <c r="BR66" s="54">
        <f t="shared" si="104"/>
        <v>4274192.0021124724</v>
      </c>
      <c r="CC66" s="25">
        <v>35</v>
      </c>
      <c r="CD66" s="51">
        <f t="shared" si="105"/>
        <v>234.05409836065573</v>
      </c>
      <c r="CE66" s="74">
        <f t="shared" si="78"/>
        <v>1.0230000000000013E-3</v>
      </c>
      <c r="CF66" s="52">
        <f t="shared" si="36"/>
        <v>19.414877625000017</v>
      </c>
      <c r="CG66" s="53">
        <f t="shared" si="106"/>
        <v>14844.424466065588</v>
      </c>
      <c r="CH66" s="54">
        <f t="shared" si="107"/>
        <v>3474398.3840878396</v>
      </c>
      <c r="CS66" s="25">
        <v>35</v>
      </c>
      <c r="CT66" s="51">
        <f t="shared" si="108"/>
        <v>257.35653710247351</v>
      </c>
      <c r="CU66" s="74">
        <f t="shared" si="81"/>
        <v>1.0230000000000031E-3</v>
      </c>
      <c r="CV66" s="52">
        <f t="shared" si="43"/>
        <v>19.414877625000038</v>
      </c>
      <c r="CW66" s="53">
        <f t="shared" si="109"/>
        <v>9599.0447960777565</v>
      </c>
      <c r="CX66" s="54">
        <f t="shared" si="110"/>
        <v>2470376.9282100904</v>
      </c>
      <c r="DI66" s="25">
        <v>35</v>
      </c>
      <c r="DJ66" s="51">
        <f t="shared" si="111"/>
        <v>263.75945945945944</v>
      </c>
      <c r="DK66" s="74">
        <f t="shared" si="84"/>
        <v>1.0229999999999979E-3</v>
      </c>
      <c r="DL66" s="52">
        <f t="shared" si="50"/>
        <v>19.414877624999974</v>
      </c>
      <c r="DM66" s="53">
        <f t="shared" si="112"/>
        <v>8157.7467786486386</v>
      </c>
      <c r="DN66" s="54">
        <f t="shared" si="113"/>
        <v>2151682.8807435115</v>
      </c>
      <c r="DY66" s="25">
        <v>35</v>
      </c>
      <c r="DZ66" s="51">
        <f t="shared" si="114"/>
        <v>277.35816135084428</v>
      </c>
      <c r="EA66" s="74">
        <f t="shared" si="87"/>
        <v>1.0229999999999996E-3</v>
      </c>
      <c r="EB66" s="52">
        <f t="shared" si="57"/>
        <v>19.414877624999992</v>
      </c>
      <c r="EC66" s="53">
        <f t="shared" si="115"/>
        <v>5096.6785690243878</v>
      </c>
      <c r="ED66" s="54">
        <f t="shared" si="116"/>
        <v>1413605.3969008564</v>
      </c>
    </row>
    <row r="67" spans="1:134">
      <c r="A67" s="25">
        <v>36</v>
      </c>
      <c r="B67" s="51">
        <f t="shared" si="90"/>
        <v>65.700000000000017</v>
      </c>
      <c r="C67" s="74">
        <f t="shared" si="63"/>
        <v>9.5700000000000017E-4</v>
      </c>
      <c r="D67" s="52">
        <f t="shared" si="1"/>
        <v>18.564962625000003</v>
      </c>
      <c r="E67" s="53">
        <f t="shared" si="91"/>
        <v>49011.501330000006</v>
      </c>
      <c r="F67" s="54">
        <f t="shared" si="92"/>
        <v>3220055.6373810014</v>
      </c>
      <c r="Q67" s="25">
        <v>36</v>
      </c>
      <c r="R67" s="51">
        <f t="shared" si="93"/>
        <v>102.89047619047616</v>
      </c>
      <c r="S67" s="74">
        <f t="shared" si="66"/>
        <v>9.5699999999999995E-4</v>
      </c>
      <c r="T67" s="52">
        <f t="shared" si="8"/>
        <v>18.564962625</v>
      </c>
      <c r="U67" s="53">
        <f t="shared" si="94"/>
        <v>41231.897944285716</v>
      </c>
      <c r="V67" s="54">
        <f t="shared" si="95"/>
        <v>4242369.6137246722</v>
      </c>
      <c r="AG67" s="25">
        <v>36</v>
      </c>
      <c r="AH67" s="51">
        <f t="shared" si="96"/>
        <v>150.3867469879518</v>
      </c>
      <c r="AI67" s="74">
        <f t="shared" si="69"/>
        <v>9.5699999999999973E-4</v>
      </c>
      <c r="AJ67" s="52">
        <f t="shared" si="15"/>
        <v>18.564962625</v>
      </c>
      <c r="AK67" s="53">
        <f t="shared" si="97"/>
        <v>31296.500849277112</v>
      </c>
      <c r="AL67" s="54">
        <f t="shared" si="98"/>
        <v>4706578.9548284551</v>
      </c>
      <c r="AW67" s="25">
        <v>36</v>
      </c>
      <c r="AX67" s="51">
        <f t="shared" si="99"/>
        <v>185.01944444444445</v>
      </c>
      <c r="AY67" s="74">
        <f t="shared" si="72"/>
        <v>9.5699999999999995E-4</v>
      </c>
      <c r="AZ67" s="52">
        <f t="shared" si="22"/>
        <v>18.564962625</v>
      </c>
      <c r="BA67" s="53">
        <f t="shared" si="100"/>
        <v>24051.940467499997</v>
      </c>
      <c r="BB67" s="54">
        <f t="shared" si="101"/>
        <v>4450076.6631077006</v>
      </c>
      <c r="BM67" s="25">
        <v>36</v>
      </c>
      <c r="BN67" s="51">
        <f t="shared" si="102"/>
        <v>206.63233082706768</v>
      </c>
      <c r="BO67" s="74">
        <f t="shared" si="75"/>
        <v>9.5700000000000039E-4</v>
      </c>
      <c r="BP67" s="52">
        <f t="shared" si="29"/>
        <v>18.564962625000003</v>
      </c>
      <c r="BQ67" s="53">
        <f t="shared" si="103"/>
        <v>19530.899026240604</v>
      </c>
      <c r="BR67" s="54">
        <f t="shared" si="104"/>
        <v>4035715.1889402024</v>
      </c>
      <c r="CC67" s="25">
        <v>36</v>
      </c>
      <c r="CD67" s="51">
        <f t="shared" si="105"/>
        <v>232.14262295081966</v>
      </c>
      <c r="CE67" s="74">
        <f t="shared" si="78"/>
        <v>9.5700000000000125E-4</v>
      </c>
      <c r="CF67" s="52">
        <f t="shared" si="36"/>
        <v>18.564962625000014</v>
      </c>
      <c r="CG67" s="53">
        <f t="shared" si="106"/>
        <v>14194.587816885258</v>
      </c>
      <c r="CH67" s="54">
        <f t="shared" si="107"/>
        <v>3295168.8475174927</v>
      </c>
      <c r="CS67" s="25">
        <v>36</v>
      </c>
      <c r="CT67" s="51">
        <f t="shared" si="108"/>
        <v>256.12049469964666</v>
      </c>
      <c r="CU67" s="74">
        <f t="shared" si="81"/>
        <v>9.5700000000000299E-4</v>
      </c>
      <c r="CV67" s="52">
        <f t="shared" si="43"/>
        <v>18.564962625000039</v>
      </c>
      <c r="CW67" s="53">
        <f t="shared" si="109"/>
        <v>9178.8324045583231</v>
      </c>
      <c r="CX67" s="54">
        <f t="shared" si="110"/>
        <v>2350887.0962206251</v>
      </c>
      <c r="DI67" s="25">
        <v>36</v>
      </c>
      <c r="DJ67" s="51">
        <f t="shared" si="111"/>
        <v>262.70900900900898</v>
      </c>
      <c r="DK67" s="74">
        <f t="shared" si="84"/>
        <v>9.5699999999999778E-4</v>
      </c>
      <c r="DL67" s="52">
        <f t="shared" si="50"/>
        <v>18.564962624999968</v>
      </c>
      <c r="DM67" s="53">
        <f t="shared" si="112"/>
        <v>7800.6293408107986</v>
      </c>
      <c r="DN67" s="54">
        <f t="shared" si="113"/>
        <v>2049295.6037710039</v>
      </c>
      <c r="DY67" s="25">
        <v>36</v>
      </c>
      <c r="DZ67" s="51">
        <f t="shared" si="114"/>
        <v>276.70187617260785</v>
      </c>
      <c r="EA67" s="74">
        <f t="shared" si="87"/>
        <v>9.5699999999999605E-4</v>
      </c>
      <c r="EB67" s="52">
        <f t="shared" si="57"/>
        <v>18.564962624999946</v>
      </c>
      <c r="EC67" s="53">
        <f t="shared" si="115"/>
        <v>4873.5639221200609</v>
      </c>
      <c r="ED67" s="54">
        <f t="shared" si="116"/>
        <v>1348524.2808977542</v>
      </c>
    </row>
    <row r="68" spans="1:134">
      <c r="A68" s="25">
        <v>37</v>
      </c>
      <c r="B68" s="51">
        <f t="shared" si="90"/>
        <v>59.100000000000023</v>
      </c>
      <c r="C68" s="74">
        <f t="shared" si="63"/>
        <v>8.9100000000000019E-4</v>
      </c>
      <c r="D68" s="52">
        <f t="shared" si="1"/>
        <v>17.659508625000001</v>
      </c>
      <c r="E68" s="53">
        <f t="shared" si="91"/>
        <v>46621.102770000005</v>
      </c>
      <c r="F68" s="54">
        <f t="shared" si="92"/>
        <v>2755307.1737070014</v>
      </c>
      <c r="Q68" s="25">
        <v>37</v>
      </c>
      <c r="R68" s="51">
        <f t="shared" si="93"/>
        <v>97.338095238095207</v>
      </c>
      <c r="S68" s="74">
        <f t="shared" si="66"/>
        <v>8.9099999999999987E-4</v>
      </c>
      <c r="T68" s="52">
        <f t="shared" si="8"/>
        <v>17.659508624999994</v>
      </c>
      <c r="U68" s="53">
        <f t="shared" si="94"/>
        <v>39220.927727142851</v>
      </c>
      <c r="V68" s="54">
        <f t="shared" si="95"/>
        <v>3817690.3984310799</v>
      </c>
      <c r="AG68" s="25">
        <v>37</v>
      </c>
      <c r="AH68" s="51">
        <f t="shared" si="96"/>
        <v>146.1722891566265</v>
      </c>
      <c r="AI68" s="74">
        <f t="shared" si="69"/>
        <v>8.9100000000000008E-4</v>
      </c>
      <c r="AJ68" s="52">
        <f t="shared" si="15"/>
        <v>17.659508625000001</v>
      </c>
      <c r="AK68" s="53">
        <f t="shared" si="97"/>
        <v>29770.101768795186</v>
      </c>
      <c r="AL68" s="54">
        <f t="shared" si="98"/>
        <v>4351563.9239705279</v>
      </c>
      <c r="AW68" s="25">
        <v>37</v>
      </c>
      <c r="AX68" s="51">
        <f t="shared" si="99"/>
        <v>181.78055555555557</v>
      </c>
      <c r="AY68" s="74">
        <f t="shared" si="72"/>
        <v>8.910000000000003E-4</v>
      </c>
      <c r="AZ68" s="52">
        <f t="shared" si="22"/>
        <v>17.659508625000001</v>
      </c>
      <c r="BA68" s="53">
        <f t="shared" si="100"/>
        <v>22878.874507500001</v>
      </c>
      <c r="BB68" s="54">
        <f t="shared" si="101"/>
        <v>4158934.5184591878</v>
      </c>
      <c r="BM68" s="25">
        <v>37</v>
      </c>
      <c r="BN68" s="51">
        <f t="shared" si="102"/>
        <v>204.00225563909777</v>
      </c>
      <c r="BO68" s="74">
        <f t="shared" si="75"/>
        <v>8.910000000000003E-4</v>
      </c>
      <c r="BP68" s="52">
        <f t="shared" si="29"/>
        <v>17.659508625000001</v>
      </c>
      <c r="BQ68" s="53">
        <f t="shared" si="103"/>
        <v>18578.334186541353</v>
      </c>
      <c r="BR68" s="54">
        <f t="shared" si="104"/>
        <v>3790022.0800713985</v>
      </c>
      <c r="CC68" s="25">
        <v>37</v>
      </c>
      <c r="CD68" s="51">
        <f t="shared" si="105"/>
        <v>230.23114754098361</v>
      </c>
      <c r="CE68" s="74">
        <f t="shared" si="78"/>
        <v>8.9100000000000117E-4</v>
      </c>
      <c r="CF68" s="52">
        <f t="shared" si="36"/>
        <v>17.659508625000015</v>
      </c>
      <c r="CG68" s="53">
        <f t="shared" si="106"/>
        <v>13502.286594590176</v>
      </c>
      <c r="CH68" s="54">
        <f t="shared" si="107"/>
        <v>3108646.9370997362</v>
      </c>
      <c r="CS68" s="25">
        <v>37</v>
      </c>
      <c r="CT68" s="51">
        <f t="shared" si="108"/>
        <v>254.8844522968198</v>
      </c>
      <c r="CU68" s="74">
        <f t="shared" si="81"/>
        <v>8.910000000000029E-4</v>
      </c>
      <c r="CV68" s="52">
        <f t="shared" si="43"/>
        <v>17.65950862500004</v>
      </c>
      <c r="CW68" s="53">
        <f t="shared" si="109"/>
        <v>8731.1605894346485</v>
      </c>
      <c r="CX68" s="54">
        <f t="shared" si="110"/>
        <v>2225437.0847536288</v>
      </c>
      <c r="DI68" s="25">
        <v>37</v>
      </c>
      <c r="DJ68" s="51">
        <f t="shared" si="111"/>
        <v>261.65855855855852</v>
      </c>
      <c r="DK68" s="74">
        <f t="shared" si="84"/>
        <v>8.909999999999977E-4</v>
      </c>
      <c r="DL68" s="52">
        <f t="shared" si="50"/>
        <v>17.659508624999969</v>
      </c>
      <c r="DM68" s="53">
        <f t="shared" si="112"/>
        <v>7420.1755159459335</v>
      </c>
      <c r="DN68" s="54">
        <f t="shared" si="113"/>
        <v>1941552.4297539212</v>
      </c>
      <c r="DY68" s="25">
        <v>37</v>
      </c>
      <c r="DZ68" s="51">
        <f t="shared" si="114"/>
        <v>276.04559099437148</v>
      </c>
      <c r="EA68" s="74">
        <f t="shared" si="87"/>
        <v>8.9099999999999943E-4</v>
      </c>
      <c r="EB68" s="52">
        <f t="shared" si="57"/>
        <v>17.659508624999994</v>
      </c>
      <c r="EC68" s="53">
        <f t="shared" si="115"/>
        <v>4635.8695062101297</v>
      </c>
      <c r="ED68" s="54">
        <f t="shared" si="116"/>
        <v>1279711.3376145603</v>
      </c>
    </row>
    <row r="69" spans="1:134">
      <c r="A69" s="25">
        <v>38</v>
      </c>
      <c r="B69" s="51">
        <f t="shared" si="90"/>
        <v>52.5</v>
      </c>
      <c r="C69" s="74">
        <f t="shared" si="63"/>
        <v>8.25E-4</v>
      </c>
      <c r="D69" s="52">
        <f t="shared" si="1"/>
        <v>16.698515624999995</v>
      </c>
      <c r="E69" s="53">
        <f t="shared" si="91"/>
        <v>44084.081249999988</v>
      </c>
      <c r="F69" s="54">
        <f t="shared" si="92"/>
        <v>2314414.2656249995</v>
      </c>
      <c r="Q69" s="25">
        <v>38</v>
      </c>
      <c r="R69" s="51">
        <f t="shared" si="93"/>
        <v>91.785714285714249</v>
      </c>
      <c r="S69" s="74">
        <f t="shared" si="66"/>
        <v>8.25E-4</v>
      </c>
      <c r="T69" s="52">
        <f t="shared" si="8"/>
        <v>16.698515624999995</v>
      </c>
      <c r="U69" s="53">
        <f t="shared" si="94"/>
        <v>37086.608035714278</v>
      </c>
      <c r="V69" s="54">
        <f t="shared" si="95"/>
        <v>3404020.8089923449</v>
      </c>
      <c r="AG69" s="25">
        <v>38</v>
      </c>
      <c r="AH69" s="51">
        <f t="shared" si="96"/>
        <v>141.95783132530119</v>
      </c>
      <c r="AI69" s="74">
        <f t="shared" si="69"/>
        <v>8.2499999999999956E-4</v>
      </c>
      <c r="AJ69" s="52">
        <f t="shared" si="15"/>
        <v>16.698515624999992</v>
      </c>
      <c r="AK69" s="53">
        <f t="shared" si="97"/>
        <v>28150.075978915651</v>
      </c>
      <c r="AL69" s="54">
        <f t="shared" si="98"/>
        <v>3996123.7376093208</v>
      </c>
      <c r="AW69" s="25">
        <v>38</v>
      </c>
      <c r="AX69" s="51">
        <f t="shared" si="99"/>
        <v>178.54166666666669</v>
      </c>
      <c r="AY69" s="74">
        <f t="shared" si="72"/>
        <v>8.2500000000000021E-4</v>
      </c>
      <c r="AZ69" s="52">
        <f t="shared" si="22"/>
        <v>16.698515625000002</v>
      </c>
      <c r="BA69" s="53">
        <f t="shared" si="100"/>
        <v>21633.854687499999</v>
      </c>
      <c r="BB69" s="54">
        <f t="shared" si="101"/>
        <v>3862544.4723307295</v>
      </c>
      <c r="BM69" s="25">
        <v>38</v>
      </c>
      <c r="BN69" s="51">
        <f t="shared" si="102"/>
        <v>201.3721804511278</v>
      </c>
      <c r="BO69" s="74">
        <f t="shared" si="75"/>
        <v>8.2499999999999934E-4</v>
      </c>
      <c r="BP69" s="52">
        <f t="shared" si="29"/>
        <v>16.698515624999988</v>
      </c>
      <c r="BQ69" s="53">
        <f t="shared" si="103"/>
        <v>17567.340648496229</v>
      </c>
      <c r="BR69" s="54">
        <f t="shared" si="104"/>
        <v>3537573.6911154152</v>
      </c>
      <c r="CC69" s="25">
        <v>38</v>
      </c>
      <c r="CD69" s="51">
        <f t="shared" si="105"/>
        <v>228.31967213114751</v>
      </c>
      <c r="CE69" s="74">
        <f t="shared" si="78"/>
        <v>8.2499999999999934E-4</v>
      </c>
      <c r="CF69" s="52">
        <f t="shared" si="36"/>
        <v>16.698515624999988</v>
      </c>
      <c r="CG69" s="53">
        <f t="shared" si="106"/>
        <v>12767.52079918032</v>
      </c>
      <c r="CH69" s="54">
        <f t="shared" si="107"/>
        <v>2915076.1627964573</v>
      </c>
      <c r="CS69" s="25">
        <v>38</v>
      </c>
      <c r="CT69" s="51">
        <f t="shared" si="108"/>
        <v>253.64840989399295</v>
      </c>
      <c r="CU69" s="74">
        <f t="shared" si="81"/>
        <v>8.2500000000000281E-4</v>
      </c>
      <c r="CV69" s="52">
        <f t="shared" si="43"/>
        <v>16.698515625000041</v>
      </c>
      <c r="CW69" s="53">
        <f t="shared" si="109"/>
        <v>8256.0293507067345</v>
      </c>
      <c r="CX69" s="54">
        <f t="shared" si="110"/>
        <v>2094128.7168448982</v>
      </c>
      <c r="DI69" s="25">
        <v>38</v>
      </c>
      <c r="DJ69" s="51">
        <f t="shared" si="111"/>
        <v>260.60810810810813</v>
      </c>
      <c r="DK69" s="74">
        <f t="shared" si="84"/>
        <v>8.2500000000000108E-4</v>
      </c>
      <c r="DL69" s="52">
        <f t="shared" si="50"/>
        <v>16.698515625000017</v>
      </c>
      <c r="DM69" s="53">
        <f t="shared" si="112"/>
        <v>7016.3853040540616</v>
      </c>
      <c r="DN69" s="54">
        <f t="shared" si="113"/>
        <v>1828526.8998470621</v>
      </c>
      <c r="DY69" s="25">
        <v>38</v>
      </c>
      <c r="DZ69" s="51">
        <f t="shared" si="114"/>
        <v>275.38930581613511</v>
      </c>
      <c r="EA69" s="74">
        <f t="shared" si="87"/>
        <v>8.2500000000000281E-4</v>
      </c>
      <c r="EB69" s="52">
        <f t="shared" si="57"/>
        <v>16.698515625000041</v>
      </c>
      <c r="EC69" s="53">
        <f t="shared" si="115"/>
        <v>4383.5953212945697</v>
      </c>
      <c r="ED69" s="54">
        <f t="shared" si="116"/>
        <v>1207195.2725101693</v>
      </c>
    </row>
    <row r="70" spans="1:134">
      <c r="A70" s="25">
        <v>39</v>
      </c>
      <c r="B70" s="51">
        <f t="shared" si="90"/>
        <v>45.900000000000006</v>
      </c>
      <c r="C70" s="74">
        <f t="shared" si="63"/>
        <v>7.5900000000000002E-4</v>
      </c>
      <c r="D70" s="52">
        <f t="shared" si="1"/>
        <v>15.681983624999999</v>
      </c>
      <c r="E70" s="53">
        <f t="shared" si="91"/>
        <v>41400.43677</v>
      </c>
      <c r="F70" s="54">
        <f t="shared" si="92"/>
        <v>1900280.0477430003</v>
      </c>
      <c r="Q70" s="25">
        <v>39</v>
      </c>
      <c r="R70" s="51">
        <f t="shared" si="93"/>
        <v>86.23333333333332</v>
      </c>
      <c r="S70" s="74">
        <f t="shared" si="66"/>
        <v>7.5900000000000013E-4</v>
      </c>
      <c r="T70" s="52">
        <f t="shared" si="8"/>
        <v>15.681983625000003</v>
      </c>
      <c r="U70" s="53">
        <f t="shared" si="94"/>
        <v>34828.938870000013</v>
      </c>
      <c r="V70" s="54">
        <f t="shared" si="95"/>
        <v>3003415.4952230006</v>
      </c>
      <c r="AG70" s="25">
        <v>39</v>
      </c>
      <c r="AH70" s="51">
        <f t="shared" si="96"/>
        <v>137.74337349397589</v>
      </c>
      <c r="AI70" s="74">
        <f t="shared" si="69"/>
        <v>7.5899999999999991E-4</v>
      </c>
      <c r="AJ70" s="52">
        <f t="shared" si="15"/>
        <v>15.681983624999999</v>
      </c>
      <c r="AK70" s="53">
        <f t="shared" si="97"/>
        <v>26436.423479638554</v>
      </c>
      <c r="AL70" s="54">
        <f t="shared" si="98"/>
        <v>3641442.153200767</v>
      </c>
      <c r="AW70" s="25">
        <v>39</v>
      </c>
      <c r="AX70" s="51">
        <f t="shared" si="99"/>
        <v>175.30277777777781</v>
      </c>
      <c r="AY70" s="74">
        <f t="shared" si="72"/>
        <v>7.5900000000000056E-4</v>
      </c>
      <c r="AZ70" s="52">
        <f t="shared" si="22"/>
        <v>15.681983625000006</v>
      </c>
      <c r="BA70" s="53">
        <f t="shared" si="100"/>
        <v>20316.881007500007</v>
      </c>
      <c r="BB70" s="54">
        <f t="shared" si="101"/>
        <v>3561605.6763953282</v>
      </c>
      <c r="BM70" s="25">
        <v>39</v>
      </c>
      <c r="BN70" s="51">
        <f t="shared" si="102"/>
        <v>198.7421052631579</v>
      </c>
      <c r="BO70" s="74">
        <f t="shared" si="75"/>
        <v>7.5900000000000013E-4</v>
      </c>
      <c r="BP70" s="52">
        <f t="shared" si="29"/>
        <v>15.681983625000003</v>
      </c>
      <c r="BQ70" s="53">
        <f t="shared" si="103"/>
        <v>16497.918412105268</v>
      </c>
      <c r="BR70" s="54">
        <f t="shared" si="104"/>
        <v>3278831.0376816159</v>
      </c>
      <c r="CC70" s="25">
        <v>39</v>
      </c>
      <c r="CD70" s="51">
        <f t="shared" si="105"/>
        <v>226.40819672131147</v>
      </c>
      <c r="CE70" s="74">
        <f t="shared" si="78"/>
        <v>7.5900000000000099E-4</v>
      </c>
      <c r="CF70" s="52">
        <f t="shared" si="36"/>
        <v>15.681983625000015</v>
      </c>
      <c r="CG70" s="53">
        <f t="shared" si="106"/>
        <v>11990.29043065575</v>
      </c>
      <c r="CH70" s="54">
        <f t="shared" si="107"/>
        <v>2714700.0345695657</v>
      </c>
      <c r="CS70" s="25">
        <v>39</v>
      </c>
      <c r="CT70" s="51">
        <f t="shared" si="108"/>
        <v>252.41236749116609</v>
      </c>
      <c r="CU70" s="74">
        <f t="shared" si="81"/>
        <v>7.5900000000000273E-4</v>
      </c>
      <c r="CV70" s="52">
        <f t="shared" si="43"/>
        <v>15.681983625000038</v>
      </c>
      <c r="CW70" s="53">
        <f t="shared" si="109"/>
        <v>7753.4386883745774</v>
      </c>
      <c r="CX70" s="54">
        <f t="shared" si="110"/>
        <v>1957063.8155302287</v>
      </c>
      <c r="DI70" s="25">
        <v>39</v>
      </c>
      <c r="DJ70" s="51">
        <f t="shared" si="111"/>
        <v>259.55765765765767</v>
      </c>
      <c r="DK70" s="74">
        <f t="shared" si="84"/>
        <v>7.5900000000000099E-4</v>
      </c>
      <c r="DL70" s="52">
        <f t="shared" si="50"/>
        <v>15.681983625000015</v>
      </c>
      <c r="DM70" s="53">
        <f t="shared" si="112"/>
        <v>6589.258705135142</v>
      </c>
      <c r="DN70" s="54">
        <f t="shared" si="113"/>
        <v>1710292.5552052078</v>
      </c>
      <c r="DY70" s="25">
        <v>39</v>
      </c>
      <c r="DZ70" s="51">
        <f t="shared" si="114"/>
        <v>274.73302063789868</v>
      </c>
      <c r="EA70" s="74">
        <f t="shared" si="87"/>
        <v>7.5899999999999926E-4</v>
      </c>
      <c r="EB70" s="52">
        <f t="shared" si="57"/>
        <v>15.681983624999988</v>
      </c>
      <c r="EC70" s="53">
        <f t="shared" si="115"/>
        <v>4116.7413673733545</v>
      </c>
      <c r="ED70" s="54">
        <f t="shared" si="116"/>
        <v>1131004.791043475</v>
      </c>
    </row>
    <row r="71" spans="1:134">
      <c r="A71" s="25">
        <v>40</v>
      </c>
      <c r="B71" s="51">
        <f t="shared" si="90"/>
        <v>39.300000000000011</v>
      </c>
      <c r="C71" s="74">
        <f t="shared" si="63"/>
        <v>6.9300000000000004E-4</v>
      </c>
      <c r="D71" s="52">
        <f t="shared" si="1"/>
        <v>14.609912625</v>
      </c>
      <c r="E71" s="53">
        <f t="shared" si="91"/>
        <v>38570.169329999997</v>
      </c>
      <c r="F71" s="54">
        <f t="shared" si="92"/>
        <v>1515807.6546690003</v>
      </c>
      <c r="Q71" s="25">
        <v>40</v>
      </c>
      <c r="R71" s="51">
        <f t="shared" si="93"/>
        <v>80.680952380952363</v>
      </c>
      <c r="S71" s="74">
        <f t="shared" si="66"/>
        <v>6.9300000000000004E-4</v>
      </c>
      <c r="T71" s="52">
        <f t="shared" si="8"/>
        <v>14.609912625</v>
      </c>
      <c r="U71" s="53">
        <f t="shared" si="94"/>
        <v>32447.920230000003</v>
      </c>
      <c r="V71" s="54">
        <f t="shared" si="95"/>
        <v>2617929.106937571</v>
      </c>
      <c r="AG71" s="25">
        <v>40</v>
      </c>
      <c r="AH71" s="51">
        <f t="shared" si="96"/>
        <v>133.5289156626506</v>
      </c>
      <c r="AI71" s="74">
        <f t="shared" si="69"/>
        <v>6.9299999999999982E-4</v>
      </c>
      <c r="AJ71" s="52">
        <f t="shared" si="15"/>
        <v>14.609912624999998</v>
      </c>
      <c r="AK71" s="53">
        <f t="shared" si="97"/>
        <v>24629.144270963854</v>
      </c>
      <c r="AL71" s="54">
        <f t="shared" si="98"/>
        <v>3288702.9282007869</v>
      </c>
      <c r="AW71" s="25">
        <v>40</v>
      </c>
      <c r="AX71" s="51">
        <f t="shared" si="99"/>
        <v>172.06388888888893</v>
      </c>
      <c r="AY71" s="74">
        <f t="shared" si="72"/>
        <v>6.9300000000000047E-4</v>
      </c>
      <c r="AZ71" s="52">
        <f t="shared" si="22"/>
        <v>14.609912625000009</v>
      </c>
      <c r="BA71" s="53">
        <f t="shared" si="100"/>
        <v>18927.95346750001</v>
      </c>
      <c r="BB71" s="54">
        <f t="shared" si="101"/>
        <v>3256817.2823259817</v>
      </c>
      <c r="BM71" s="25">
        <v>40</v>
      </c>
      <c r="BN71" s="51">
        <f t="shared" si="102"/>
        <v>196.11203007518799</v>
      </c>
      <c r="BO71" s="74">
        <f t="shared" si="75"/>
        <v>6.9300000000000004E-4</v>
      </c>
      <c r="BP71" s="52">
        <f t="shared" si="29"/>
        <v>14.609912625</v>
      </c>
      <c r="BQ71" s="53">
        <f t="shared" si="103"/>
        <v>15370.06747736842</v>
      </c>
      <c r="BR71" s="54">
        <f t="shared" si="104"/>
        <v>3014255.1353793442</v>
      </c>
      <c r="CC71" s="25">
        <v>40</v>
      </c>
      <c r="CD71" s="51">
        <f t="shared" si="105"/>
        <v>224.4967213114754</v>
      </c>
      <c r="CE71" s="74">
        <f t="shared" si="78"/>
        <v>6.9300000000000091E-4</v>
      </c>
      <c r="CF71" s="52">
        <f t="shared" si="36"/>
        <v>14.609912625000014</v>
      </c>
      <c r="CG71" s="53">
        <f t="shared" si="106"/>
        <v>11170.595489016405</v>
      </c>
      <c r="CH71" s="54">
        <f t="shared" si="107"/>
        <v>2507762.0623809402</v>
      </c>
      <c r="CS71" s="25">
        <v>40</v>
      </c>
      <c r="CT71" s="51">
        <f t="shared" si="108"/>
        <v>251.17632508833924</v>
      </c>
      <c r="CU71" s="74">
        <f t="shared" si="81"/>
        <v>6.9300000000000264E-4</v>
      </c>
      <c r="CV71" s="52">
        <f t="shared" si="43"/>
        <v>14.609912625000046</v>
      </c>
      <c r="CW71" s="53">
        <f t="shared" si="109"/>
        <v>7223.3886024381854</v>
      </c>
      <c r="CX71" s="54">
        <f t="shared" si="110"/>
        <v>1814344.2038454181</v>
      </c>
      <c r="DI71" s="25">
        <v>40</v>
      </c>
      <c r="DJ71" s="51">
        <f t="shared" si="111"/>
        <v>258.50720720720722</v>
      </c>
      <c r="DK71" s="74">
        <f t="shared" si="84"/>
        <v>6.9300000000000091E-4</v>
      </c>
      <c r="DL71" s="52">
        <f t="shared" si="50"/>
        <v>14.609912625000014</v>
      </c>
      <c r="DM71" s="53">
        <f t="shared" si="112"/>
        <v>6138.7957191891956</v>
      </c>
      <c r="DN71" s="54">
        <f t="shared" si="113"/>
        <v>1586922.9369831581</v>
      </c>
      <c r="DY71" s="25">
        <v>40</v>
      </c>
      <c r="DZ71" s="51">
        <f t="shared" si="114"/>
        <v>274.0767354596623</v>
      </c>
      <c r="EA71" s="74">
        <f t="shared" si="87"/>
        <v>6.9299999999999917E-4</v>
      </c>
      <c r="EB71" s="52">
        <f t="shared" si="57"/>
        <v>14.609912624999986</v>
      </c>
      <c r="EC71" s="53">
        <f t="shared" si="115"/>
        <v>3835.307644446525</v>
      </c>
      <c r="ED71" s="54">
        <f t="shared" si="116"/>
        <v>1051168.5986733909</v>
      </c>
    </row>
    <row r="72" spans="1:134">
      <c r="A72" s="25">
        <v>41</v>
      </c>
      <c r="B72" s="51">
        <f t="shared" si="90"/>
        <v>32.699999999999989</v>
      </c>
      <c r="C72" s="74">
        <f t="shared" si="63"/>
        <v>6.2699999999999995E-4</v>
      </c>
      <c r="D72" s="52">
        <f t="shared" si="1"/>
        <v>13.482302624999997</v>
      </c>
      <c r="E72" s="53">
        <f t="shared" si="91"/>
        <v>35593.278929999993</v>
      </c>
      <c r="F72" s="54">
        <f t="shared" si="92"/>
        <v>1163900.2210109993</v>
      </c>
      <c r="Q72" s="25">
        <v>41</v>
      </c>
      <c r="R72" s="51">
        <f t="shared" si="93"/>
        <v>75.128571428571405</v>
      </c>
      <c r="S72" s="74">
        <f t="shared" si="66"/>
        <v>6.2699999999999995E-4</v>
      </c>
      <c r="T72" s="52">
        <f t="shared" si="8"/>
        <v>13.482302624999997</v>
      </c>
      <c r="U72" s="53">
        <f t="shared" si="94"/>
        <v>29943.552115714283</v>
      </c>
      <c r="V72" s="54">
        <f t="shared" si="95"/>
        <v>2249616.2939505908</v>
      </c>
      <c r="AG72" s="25">
        <v>41</v>
      </c>
      <c r="AH72" s="51">
        <f t="shared" si="96"/>
        <v>129.31445783132529</v>
      </c>
      <c r="AI72" s="74">
        <f t="shared" si="69"/>
        <v>6.2699999999999974E-4</v>
      </c>
      <c r="AJ72" s="52">
        <f t="shared" si="15"/>
        <v>13.482302624999997</v>
      </c>
      <c r="AK72" s="53">
        <f t="shared" si="97"/>
        <v>22728.238352891563</v>
      </c>
      <c r="AL72" s="54">
        <f t="shared" si="98"/>
        <v>2939089.820065306</v>
      </c>
      <c r="AW72" s="25">
        <v>41</v>
      </c>
      <c r="AX72" s="51">
        <f t="shared" si="99"/>
        <v>168.82500000000002</v>
      </c>
      <c r="AY72" s="74">
        <f t="shared" si="72"/>
        <v>6.2700000000000039E-4</v>
      </c>
      <c r="AZ72" s="52">
        <f t="shared" si="22"/>
        <v>13.482302625000004</v>
      </c>
      <c r="BA72" s="53">
        <f t="shared" si="100"/>
        <v>17467.072067500005</v>
      </c>
      <c r="BB72" s="54">
        <f t="shared" si="101"/>
        <v>2948878.4417956886</v>
      </c>
      <c r="BM72" s="25">
        <v>41</v>
      </c>
      <c r="BN72" s="51">
        <f t="shared" si="102"/>
        <v>193.48195488721805</v>
      </c>
      <c r="BO72" s="74">
        <f t="shared" si="75"/>
        <v>6.2699999999999995E-4</v>
      </c>
      <c r="BP72" s="52">
        <f t="shared" si="29"/>
        <v>13.482302624999997</v>
      </c>
      <c r="BQ72" s="53">
        <f t="shared" si="103"/>
        <v>14183.787844285711</v>
      </c>
      <c r="BR72" s="54">
        <f t="shared" si="104"/>
        <v>2744306.9998179595</v>
      </c>
      <c r="CC72" s="25">
        <v>41</v>
      </c>
      <c r="CD72" s="51">
        <f t="shared" si="105"/>
        <v>222.58524590163933</v>
      </c>
      <c r="CE72" s="74">
        <f t="shared" si="78"/>
        <v>6.2700000000000082E-4</v>
      </c>
      <c r="CF72" s="52">
        <f t="shared" si="36"/>
        <v>13.48230262500001</v>
      </c>
      <c r="CG72" s="53">
        <f t="shared" si="106"/>
        <v>10308.435974262304</v>
      </c>
      <c r="CH72" s="54">
        <f t="shared" si="107"/>
        <v>2294505.7561924797</v>
      </c>
      <c r="CS72" s="25">
        <v>41</v>
      </c>
      <c r="CT72" s="51">
        <f t="shared" si="108"/>
        <v>249.94028268551239</v>
      </c>
      <c r="CU72" s="74">
        <f t="shared" si="81"/>
        <v>6.2700000000000256E-4</v>
      </c>
      <c r="CV72" s="52">
        <f t="shared" si="43"/>
        <v>13.482302625000042</v>
      </c>
      <c r="CW72" s="53">
        <f t="shared" si="109"/>
        <v>6665.8790928975468</v>
      </c>
      <c r="CX72" s="54">
        <f t="shared" si="110"/>
        <v>1666071.7048262598</v>
      </c>
      <c r="DI72" s="25">
        <v>41</v>
      </c>
      <c r="DJ72" s="51">
        <f t="shared" si="111"/>
        <v>257.45675675675676</v>
      </c>
      <c r="DK72" s="74">
        <f t="shared" si="84"/>
        <v>6.2700000000000082E-4</v>
      </c>
      <c r="DL72" s="52">
        <f t="shared" si="50"/>
        <v>13.48230262500001</v>
      </c>
      <c r="DM72" s="53">
        <f t="shared" si="112"/>
        <v>5664.9963462162214</v>
      </c>
      <c r="DN72" s="54">
        <f t="shared" si="113"/>
        <v>1458491.5863357056</v>
      </c>
      <c r="DY72" s="25">
        <v>41</v>
      </c>
      <c r="DZ72" s="51">
        <f t="shared" si="114"/>
        <v>273.42045028142587</v>
      </c>
      <c r="EA72" s="74">
        <f t="shared" si="87"/>
        <v>6.2699999999999909E-4</v>
      </c>
      <c r="EB72" s="52">
        <f t="shared" si="57"/>
        <v>13.482302624999981</v>
      </c>
      <c r="EC72" s="53">
        <f t="shared" si="115"/>
        <v>3539.2941525140659</v>
      </c>
      <c r="ED72" s="54">
        <f t="shared" si="116"/>
        <v>967715.40085881343</v>
      </c>
    </row>
    <row r="73" spans="1:134">
      <c r="A73" s="25">
        <v>42</v>
      </c>
      <c r="B73" s="51">
        <f t="shared" si="90"/>
        <v>26.100000000000023</v>
      </c>
      <c r="C73" s="74">
        <f t="shared" si="63"/>
        <v>5.610000000000003E-4</v>
      </c>
      <c r="D73" s="52">
        <f t="shared" si="1"/>
        <v>12.299153625000008</v>
      </c>
      <c r="E73" s="53">
        <f t="shared" si="91"/>
        <v>32469.765570000021</v>
      </c>
      <c r="F73" s="54">
        <f t="shared" si="92"/>
        <v>847460.88137700129</v>
      </c>
      <c r="Q73" s="25">
        <v>42</v>
      </c>
      <c r="R73" s="51">
        <f t="shared" si="93"/>
        <v>69.576190476190447</v>
      </c>
      <c r="S73" s="74">
        <f t="shared" si="66"/>
        <v>5.6099999999999987E-4</v>
      </c>
      <c r="T73" s="52">
        <f t="shared" si="8"/>
        <v>12.299153624999999</v>
      </c>
      <c r="U73" s="53">
        <f t="shared" si="94"/>
        <v>27315.834527142859</v>
      </c>
      <c r="V73" s="54">
        <f t="shared" si="95"/>
        <v>1900531.7060765913</v>
      </c>
      <c r="AG73" s="25">
        <v>42</v>
      </c>
      <c r="AH73" s="51">
        <f t="shared" si="96"/>
        <v>125.1</v>
      </c>
      <c r="AI73" s="74">
        <f t="shared" si="69"/>
        <v>5.6100000000000008E-4</v>
      </c>
      <c r="AJ73" s="52">
        <f t="shared" si="15"/>
        <v>12.299153624999999</v>
      </c>
      <c r="AK73" s="53">
        <f t="shared" si="97"/>
        <v>20733.705725421685</v>
      </c>
      <c r="AL73" s="54">
        <f t="shared" si="98"/>
        <v>2593786.5862502526</v>
      </c>
      <c r="AW73" s="25">
        <v>42</v>
      </c>
      <c r="AX73" s="51">
        <f t="shared" si="99"/>
        <v>165.58611111111114</v>
      </c>
      <c r="AY73" s="74">
        <f t="shared" si="72"/>
        <v>5.610000000000003E-4</v>
      </c>
      <c r="AZ73" s="52">
        <f t="shared" si="22"/>
        <v>12.299153625000008</v>
      </c>
      <c r="BA73" s="53">
        <f t="shared" si="100"/>
        <v>15934.236807500009</v>
      </c>
      <c r="BB73" s="54">
        <f t="shared" si="101"/>
        <v>2638488.3064774531</v>
      </c>
      <c r="BM73" s="25">
        <v>42</v>
      </c>
      <c r="BN73" s="51">
        <f t="shared" si="102"/>
        <v>190.85187969924812</v>
      </c>
      <c r="BO73" s="74">
        <f t="shared" si="75"/>
        <v>5.6099999999999987E-4</v>
      </c>
      <c r="BP73" s="52">
        <f t="shared" si="29"/>
        <v>12.299153624999999</v>
      </c>
      <c r="BQ73" s="53">
        <f t="shared" si="103"/>
        <v>12939.079512857143</v>
      </c>
      <c r="BR73" s="54">
        <f t="shared" si="104"/>
        <v>2469447.6466068174</v>
      </c>
      <c r="CC73" s="25">
        <v>42</v>
      </c>
      <c r="CD73" s="51">
        <f t="shared" si="105"/>
        <v>220.67377049180328</v>
      </c>
      <c r="CE73" s="74">
        <f t="shared" si="78"/>
        <v>5.610000000000016E-4</v>
      </c>
      <c r="CF73" s="52">
        <f t="shared" si="36"/>
        <v>12.299153625000033</v>
      </c>
      <c r="CG73" s="53">
        <f t="shared" si="106"/>
        <v>9403.8118863934687</v>
      </c>
      <c r="CH73" s="54">
        <f t="shared" si="107"/>
        <v>2075174.625966084</v>
      </c>
      <c r="CS73" s="25">
        <v>42</v>
      </c>
      <c r="CT73" s="51">
        <f t="shared" si="108"/>
        <v>248.70424028268553</v>
      </c>
      <c r="CU73" s="74">
        <f t="shared" si="81"/>
        <v>5.6100000000000247E-4</v>
      </c>
      <c r="CV73" s="52">
        <f t="shared" si="43"/>
        <v>12.299153625000045</v>
      </c>
      <c r="CW73" s="53">
        <f t="shared" si="109"/>
        <v>6080.9101597526724</v>
      </c>
      <c r="CX73" s="54">
        <f t="shared" si="110"/>
        <v>1512348.1415085522</v>
      </c>
      <c r="DI73" s="25">
        <v>42</v>
      </c>
      <c r="DJ73" s="51">
        <f t="shared" si="111"/>
        <v>256.40630630630631</v>
      </c>
      <c r="DK73" s="74">
        <f t="shared" si="84"/>
        <v>5.6100000000000073E-4</v>
      </c>
      <c r="DL73" s="52">
        <f t="shared" si="50"/>
        <v>12.299153625000015</v>
      </c>
      <c r="DM73" s="53">
        <f t="shared" si="112"/>
        <v>5167.8605862162231</v>
      </c>
      <c r="DN73" s="54">
        <f t="shared" si="113"/>
        <v>1325072.0444176446</v>
      </c>
      <c r="DY73" s="25">
        <v>42</v>
      </c>
      <c r="DZ73" s="51">
        <f t="shared" si="114"/>
        <v>272.7641651031895</v>
      </c>
      <c r="EA73" s="74">
        <f t="shared" si="87"/>
        <v>5.60999999999999E-4</v>
      </c>
      <c r="EB73" s="52">
        <f t="shared" si="57"/>
        <v>12.299153624999981</v>
      </c>
      <c r="EC73" s="53">
        <f t="shared" si="115"/>
        <v>3228.7008915759798</v>
      </c>
      <c r="ED73" s="54">
        <f t="shared" si="116"/>
        <v>880673.90305864566</v>
      </c>
    </row>
    <row r="74" spans="1:134">
      <c r="A74" s="25">
        <v>43</v>
      </c>
      <c r="B74" s="51">
        <f t="shared" si="90"/>
        <v>19.5</v>
      </c>
      <c r="C74" s="74">
        <f t="shared" si="63"/>
        <v>4.95E-4</v>
      </c>
      <c r="D74" s="52">
        <f t="shared" si="1"/>
        <v>11.060465625000003</v>
      </c>
      <c r="E74" s="53">
        <f t="shared" si="91"/>
        <v>29199.629250000005</v>
      </c>
      <c r="F74" s="54">
        <f t="shared" si="92"/>
        <v>569392.77037500008</v>
      </c>
      <c r="Q74" s="25">
        <v>43</v>
      </c>
      <c r="R74" s="51">
        <f t="shared" si="93"/>
        <v>64.02380952380949</v>
      </c>
      <c r="S74" s="74">
        <f t="shared" si="66"/>
        <v>4.95E-4</v>
      </c>
      <c r="T74" s="52">
        <f t="shared" si="8"/>
        <v>11.060465625000003</v>
      </c>
      <c r="U74" s="53">
        <f t="shared" si="94"/>
        <v>24564.767464285724</v>
      </c>
      <c r="V74" s="54">
        <f t="shared" si="95"/>
        <v>1572729.9931301018</v>
      </c>
      <c r="AG74" s="25">
        <v>43</v>
      </c>
      <c r="AH74" s="51">
        <f t="shared" si="96"/>
        <v>120.8855421686747</v>
      </c>
      <c r="AI74" s="74">
        <f t="shared" si="69"/>
        <v>4.95E-4</v>
      </c>
      <c r="AJ74" s="52">
        <f t="shared" si="15"/>
        <v>11.060465625000003</v>
      </c>
      <c r="AK74" s="53">
        <f t="shared" si="97"/>
        <v>18645.546388554223</v>
      </c>
      <c r="AL74" s="54">
        <f t="shared" si="98"/>
        <v>2253976.984211552</v>
      </c>
      <c r="AW74" s="25">
        <v>43</v>
      </c>
      <c r="AX74" s="51">
        <f t="shared" si="99"/>
        <v>162.34722222222223</v>
      </c>
      <c r="AY74" s="74">
        <f t="shared" si="72"/>
        <v>4.9500000000000021E-4</v>
      </c>
      <c r="AZ74" s="52">
        <f t="shared" si="22"/>
        <v>11.060465625000003</v>
      </c>
      <c r="BA74" s="53">
        <f t="shared" si="100"/>
        <v>14329.447687500002</v>
      </c>
      <c r="BB74" s="54">
        <f t="shared" si="101"/>
        <v>2326346.0280442713</v>
      </c>
      <c r="BM74" s="25">
        <v>43</v>
      </c>
      <c r="BN74" s="51">
        <f t="shared" si="102"/>
        <v>188.22180451127821</v>
      </c>
      <c r="BO74" s="74">
        <f t="shared" si="75"/>
        <v>4.9499999999999978E-4</v>
      </c>
      <c r="BP74" s="52">
        <f t="shared" si="29"/>
        <v>11.060465624999994</v>
      </c>
      <c r="BQ74" s="53">
        <f t="shared" si="103"/>
        <v>11635.942483082701</v>
      </c>
      <c r="BR74" s="54">
        <f t="shared" si="104"/>
        <v>2190138.0913552693</v>
      </c>
      <c r="CC74" s="25">
        <v>43</v>
      </c>
      <c r="CD74" s="51">
        <f t="shared" si="105"/>
        <v>218.76229508196721</v>
      </c>
      <c r="CE74" s="74">
        <f t="shared" si="78"/>
        <v>4.9500000000000065E-4</v>
      </c>
      <c r="CF74" s="52">
        <f t="shared" si="36"/>
        <v>11.060465625000012</v>
      </c>
      <c r="CG74" s="53">
        <f t="shared" si="106"/>
        <v>8456.7232254098453</v>
      </c>
      <c r="CH74" s="54">
        <f t="shared" si="107"/>
        <v>1850012.181663634</v>
      </c>
      <c r="CS74" s="25">
        <v>43</v>
      </c>
      <c r="CT74" s="51">
        <f t="shared" si="108"/>
        <v>247.46819787985865</v>
      </c>
      <c r="CU74" s="74">
        <f t="shared" si="81"/>
        <v>4.9500000000000065E-4</v>
      </c>
      <c r="CV74" s="52">
        <f t="shared" si="43"/>
        <v>11.060465625000012</v>
      </c>
      <c r="CW74" s="53">
        <f t="shared" si="109"/>
        <v>5468.4818030035394</v>
      </c>
      <c r="CX74" s="54">
        <f t="shared" si="110"/>
        <v>1353275.3369280861</v>
      </c>
      <c r="DI74" s="25">
        <v>43</v>
      </c>
      <c r="DJ74" s="51">
        <f t="shared" si="111"/>
        <v>255.35585585585585</v>
      </c>
      <c r="DK74" s="74">
        <f t="shared" si="84"/>
        <v>4.9500000000000065E-4</v>
      </c>
      <c r="DL74" s="52">
        <f t="shared" si="50"/>
        <v>11.060465625000012</v>
      </c>
      <c r="DM74" s="53">
        <f t="shared" si="112"/>
        <v>4647.3884391891943</v>
      </c>
      <c r="DN74" s="54">
        <f t="shared" si="113"/>
        <v>1186737.8523837668</v>
      </c>
      <c r="DY74" s="25">
        <v>43</v>
      </c>
      <c r="DZ74" s="51">
        <f t="shared" si="114"/>
        <v>272.10787992495312</v>
      </c>
      <c r="EA74" s="74">
        <f t="shared" si="87"/>
        <v>4.9500000000000238E-4</v>
      </c>
      <c r="EB74" s="52">
        <f t="shared" si="57"/>
        <v>11.060465625000045</v>
      </c>
      <c r="EC74" s="53">
        <f t="shared" si="115"/>
        <v>2903.5278616322817</v>
      </c>
      <c r="ED74" s="54">
        <f t="shared" si="116"/>
        <v>790072.81073179282</v>
      </c>
    </row>
    <row r="75" spans="1:134">
      <c r="A75" s="25">
        <v>44</v>
      </c>
      <c r="B75" s="51">
        <f t="shared" si="90"/>
        <v>12.900000000000034</v>
      </c>
      <c r="C75" s="74">
        <f t="shared" si="63"/>
        <v>4.2900000000000034E-4</v>
      </c>
      <c r="D75" s="52">
        <f t="shared" si="1"/>
        <v>9.7662386250000068</v>
      </c>
      <c r="E75" s="53">
        <f t="shared" si="91"/>
        <v>25782.869970000018</v>
      </c>
      <c r="F75" s="54">
        <f t="shared" si="92"/>
        <v>332599.02261300111</v>
      </c>
      <c r="Q75" s="25">
        <v>44</v>
      </c>
      <c r="R75" s="51">
        <f t="shared" si="93"/>
        <v>58.471428571428532</v>
      </c>
      <c r="S75" s="74">
        <f t="shared" si="66"/>
        <v>4.2899999999999986E-4</v>
      </c>
      <c r="T75" s="52">
        <f t="shared" si="8"/>
        <v>9.7662386249999962</v>
      </c>
      <c r="U75" s="53">
        <f t="shared" si="94"/>
        <v>21690.350927142852</v>
      </c>
      <c r="V75" s="54">
        <f t="shared" si="95"/>
        <v>1268265.804925652</v>
      </c>
      <c r="AG75" s="25">
        <v>44</v>
      </c>
      <c r="AH75" s="51">
        <f t="shared" si="96"/>
        <v>116.67108433734938</v>
      </c>
      <c r="AI75" s="74">
        <f t="shared" si="69"/>
        <v>4.2899999999999969E-4</v>
      </c>
      <c r="AJ75" s="52">
        <f t="shared" si="15"/>
        <v>9.7662386249999908</v>
      </c>
      <c r="AK75" s="53">
        <f t="shared" si="97"/>
        <v>16463.760342289141</v>
      </c>
      <c r="AL75" s="54">
        <f t="shared" si="98"/>
        <v>1920844.7714051246</v>
      </c>
      <c r="AW75" s="25">
        <v>44</v>
      </c>
      <c r="AX75" s="51">
        <f t="shared" si="99"/>
        <v>159.10833333333335</v>
      </c>
      <c r="AY75" s="74">
        <f t="shared" si="72"/>
        <v>4.2900000000000013E-4</v>
      </c>
      <c r="AZ75" s="52">
        <f t="shared" si="22"/>
        <v>9.7662386249999997</v>
      </c>
      <c r="BA75" s="53">
        <f t="shared" si="100"/>
        <v>12652.704707499999</v>
      </c>
      <c r="BB75" s="54">
        <f t="shared" si="101"/>
        <v>2013150.7581691458</v>
      </c>
      <c r="BM75" s="25">
        <v>44</v>
      </c>
      <c r="BN75" s="51">
        <f t="shared" si="102"/>
        <v>185.59172932330827</v>
      </c>
      <c r="BO75" s="74">
        <f t="shared" si="75"/>
        <v>4.2899999999999969E-4</v>
      </c>
      <c r="BP75" s="52">
        <f t="shared" si="29"/>
        <v>9.7662386249999908</v>
      </c>
      <c r="BQ75" s="53">
        <f t="shared" si="103"/>
        <v>10274.376754962397</v>
      </c>
      <c r="BR75" s="54">
        <f t="shared" si="104"/>
        <v>1906839.3496726716</v>
      </c>
      <c r="CC75" s="25">
        <v>44</v>
      </c>
      <c r="CD75" s="51">
        <f t="shared" si="105"/>
        <v>216.85081967213114</v>
      </c>
      <c r="CE75" s="74">
        <f t="shared" si="78"/>
        <v>4.2900000000000056E-4</v>
      </c>
      <c r="CF75" s="52">
        <f t="shared" si="36"/>
        <v>9.7662386250000086</v>
      </c>
      <c r="CG75" s="53">
        <f t="shared" si="106"/>
        <v>7467.1699913114826</v>
      </c>
      <c r="CH75" s="54">
        <f t="shared" si="107"/>
        <v>1619261.9332470354</v>
      </c>
      <c r="CS75" s="25">
        <v>44</v>
      </c>
      <c r="CT75" s="51">
        <f t="shared" si="108"/>
        <v>246.2321554770318</v>
      </c>
      <c r="CU75" s="74">
        <f t="shared" si="81"/>
        <v>4.2900000000000056E-4</v>
      </c>
      <c r="CV75" s="52">
        <f t="shared" si="43"/>
        <v>9.7662386250000086</v>
      </c>
      <c r="CW75" s="53">
        <f t="shared" si="109"/>
        <v>4828.5940226501807</v>
      </c>
      <c r="CX75" s="54">
        <f t="shared" si="110"/>
        <v>1188955.1141206657</v>
      </c>
      <c r="DI75" s="25">
        <v>44</v>
      </c>
      <c r="DJ75" s="51">
        <f t="shared" si="111"/>
        <v>254.30540540540539</v>
      </c>
      <c r="DK75" s="74">
        <f t="shared" si="84"/>
        <v>4.2900000000000056E-4</v>
      </c>
      <c r="DL75" s="52">
        <f t="shared" si="50"/>
        <v>9.7662386250000086</v>
      </c>
      <c r="DM75" s="53">
        <f t="shared" si="112"/>
        <v>4103.5799051351396</v>
      </c>
      <c r="DN75" s="54">
        <f t="shared" si="113"/>
        <v>1043562.5513888667</v>
      </c>
      <c r="DY75" s="25">
        <v>44</v>
      </c>
      <c r="DZ75" s="51">
        <f t="shared" si="114"/>
        <v>271.45159474671669</v>
      </c>
      <c r="EA75" s="74">
        <f t="shared" si="87"/>
        <v>4.2899999999999883E-4</v>
      </c>
      <c r="EB75" s="52">
        <f t="shared" si="57"/>
        <v>9.7662386249999784</v>
      </c>
      <c r="EC75" s="53">
        <f t="shared" si="115"/>
        <v>2563.7750626829211</v>
      </c>
      <c r="ED75" s="54">
        <f t="shared" si="116"/>
        <v>695940.82933714252</v>
      </c>
    </row>
    <row r="76" spans="1:134">
      <c r="A76" s="25">
        <v>45</v>
      </c>
      <c r="B76" s="51">
        <f t="shared" si="90"/>
        <v>6.3000000000000114</v>
      </c>
      <c r="C76" s="74">
        <f t="shared" si="63"/>
        <v>3.6300000000000015E-4</v>
      </c>
      <c r="D76" s="52">
        <f t="shared" si="1"/>
        <v>8.4164726250000044</v>
      </c>
      <c r="E76" s="53">
        <f t="shared" si="91"/>
        <v>22219.487730000012</v>
      </c>
      <c r="F76" s="54">
        <f t="shared" si="92"/>
        <v>139982.77269900031</v>
      </c>
      <c r="Q76" s="25">
        <v>45</v>
      </c>
      <c r="R76" s="51">
        <f t="shared" si="93"/>
        <v>52.919047619047575</v>
      </c>
      <c r="S76" s="74">
        <f t="shared" si="66"/>
        <v>3.6299999999999977E-4</v>
      </c>
      <c r="T76" s="52">
        <f t="shared" si="8"/>
        <v>8.4164726249999955</v>
      </c>
      <c r="U76" s="53">
        <f t="shared" si="94"/>
        <v>18692.584915714277</v>
      </c>
      <c r="V76" s="54">
        <f t="shared" si="95"/>
        <v>989193.79127777414</v>
      </c>
      <c r="AG76" s="25">
        <v>45</v>
      </c>
      <c r="AH76" s="51">
        <f t="shared" si="96"/>
        <v>112.45662650602409</v>
      </c>
      <c r="AI76" s="74">
        <f t="shared" si="69"/>
        <v>3.6299999999999982E-4</v>
      </c>
      <c r="AJ76" s="52">
        <f t="shared" si="15"/>
        <v>8.4164726249999955</v>
      </c>
      <c r="AK76" s="53">
        <f t="shared" si="97"/>
        <v>14188.3475866265</v>
      </c>
      <c r="AL76" s="54">
        <f t="shared" si="98"/>
        <v>1595573.7052869047</v>
      </c>
      <c r="AW76" s="25">
        <v>45</v>
      </c>
      <c r="AX76" s="51">
        <f t="shared" si="99"/>
        <v>155.86944444444447</v>
      </c>
      <c r="AY76" s="74">
        <f t="shared" si="72"/>
        <v>3.6300000000000048E-4</v>
      </c>
      <c r="AZ76" s="52">
        <f t="shared" si="22"/>
        <v>8.4164726250000079</v>
      </c>
      <c r="BA76" s="53">
        <f t="shared" si="100"/>
        <v>10904.00786750001</v>
      </c>
      <c r="BB76" s="54">
        <f t="shared" si="101"/>
        <v>1699601.6485250781</v>
      </c>
      <c r="BM76" s="25">
        <v>45</v>
      </c>
      <c r="BN76" s="51">
        <f t="shared" si="102"/>
        <v>182.96165413533834</v>
      </c>
      <c r="BO76" s="74">
        <f t="shared" si="75"/>
        <v>3.6299999999999961E-4</v>
      </c>
      <c r="BP76" s="52">
        <f t="shared" si="29"/>
        <v>8.4164726249999884</v>
      </c>
      <c r="BQ76" s="53">
        <f t="shared" si="103"/>
        <v>8854.3823284962291</v>
      </c>
      <c r="BR76" s="54">
        <f t="shared" si="104"/>
        <v>1620012.4371683788</v>
      </c>
      <c r="CC76" s="25">
        <v>45</v>
      </c>
      <c r="CD76" s="51">
        <f t="shared" si="105"/>
        <v>214.93934426229507</v>
      </c>
      <c r="CE76" s="74">
        <f t="shared" si="78"/>
        <v>3.6300000000000048E-4</v>
      </c>
      <c r="CF76" s="52">
        <f t="shared" si="36"/>
        <v>8.4164726250000079</v>
      </c>
      <c r="CG76" s="53">
        <f t="shared" si="106"/>
        <v>6435.1521840983669</v>
      </c>
      <c r="CH76" s="54">
        <f t="shared" si="107"/>
        <v>1383167.390678179</v>
      </c>
      <c r="CS76" s="25">
        <v>45</v>
      </c>
      <c r="CT76" s="51">
        <f t="shared" si="108"/>
        <v>244.99611307420494</v>
      </c>
      <c r="CU76" s="74">
        <f t="shared" si="81"/>
        <v>3.6300000000000221E-4</v>
      </c>
      <c r="CV76" s="52">
        <f t="shared" si="43"/>
        <v>8.4164726250000452</v>
      </c>
      <c r="CW76" s="53">
        <f t="shared" si="109"/>
        <v>4161.2468186926017</v>
      </c>
      <c r="CX76" s="54">
        <f t="shared" si="110"/>
        <v>1019489.2961220882</v>
      </c>
      <c r="DI76" s="25">
        <v>45</v>
      </c>
      <c r="DJ76" s="51">
        <f t="shared" si="111"/>
        <v>253.25495495495494</v>
      </c>
      <c r="DK76" s="74">
        <f t="shared" si="84"/>
        <v>3.6299999999999701E-4</v>
      </c>
      <c r="DL76" s="52">
        <f t="shared" si="50"/>
        <v>8.4164726249999351</v>
      </c>
      <c r="DM76" s="53">
        <f t="shared" si="112"/>
        <v>3536.4349840540272</v>
      </c>
      <c r="DN76" s="54">
        <f t="shared" si="113"/>
        <v>895619.68258772942</v>
      </c>
      <c r="DY76" s="25">
        <v>45</v>
      </c>
      <c r="DZ76" s="51">
        <f t="shared" si="114"/>
        <v>270.79530956848032</v>
      </c>
      <c r="EA76" s="74">
        <f t="shared" si="87"/>
        <v>3.6300000000000221E-4</v>
      </c>
      <c r="EB76" s="52">
        <f t="shared" si="57"/>
        <v>8.4164726250000452</v>
      </c>
      <c r="EC76" s="53">
        <f t="shared" si="115"/>
        <v>2209.4424947279667</v>
      </c>
      <c r="ED76" s="54">
        <f t="shared" si="116"/>
        <v>598306.66433361522</v>
      </c>
    </row>
    <row r="77" spans="1:134">
      <c r="A77" s="25">
        <v>46</v>
      </c>
      <c r="B77" s="51">
        <f t="shared" si="90"/>
        <v>-0.30000000000001137</v>
      </c>
      <c r="C77" s="74">
        <f t="shared" si="63"/>
        <v>2.969999999999999E-4</v>
      </c>
      <c r="D77" s="52">
        <f t="shared" si="1"/>
        <v>7.0111676249999988</v>
      </c>
      <c r="E77" s="53">
        <f t="shared" si="91"/>
        <v>18509.482529999997</v>
      </c>
      <c r="F77" s="54">
        <f t="shared" si="92"/>
        <v>-5552.8447590002097</v>
      </c>
      <c r="Q77" s="25">
        <v>46</v>
      </c>
      <c r="R77" s="51">
        <f t="shared" si="93"/>
        <v>47.366666666666646</v>
      </c>
      <c r="S77" s="74">
        <f t="shared" si="66"/>
        <v>2.9700000000000012E-4</v>
      </c>
      <c r="T77" s="52">
        <f t="shared" si="8"/>
        <v>7.0111676250000032</v>
      </c>
      <c r="U77" s="53">
        <f t="shared" si="94"/>
        <v>15571.469430000008</v>
      </c>
      <c r="V77" s="54">
        <f t="shared" si="95"/>
        <v>737568.60200100008</v>
      </c>
      <c r="AG77" s="25">
        <v>46</v>
      </c>
      <c r="AH77" s="51">
        <f t="shared" si="96"/>
        <v>108.24216867469877</v>
      </c>
      <c r="AI77" s="74">
        <f t="shared" si="69"/>
        <v>2.9699999999999952E-4</v>
      </c>
      <c r="AJ77" s="52">
        <f t="shared" si="15"/>
        <v>7.011167624999989</v>
      </c>
      <c r="AK77" s="53">
        <f t="shared" si="97"/>
        <v>11819.308121566248</v>
      </c>
      <c r="AL77" s="54">
        <f t="shared" si="98"/>
        <v>1279347.5433128108</v>
      </c>
      <c r="AW77" s="25">
        <v>46</v>
      </c>
      <c r="AX77" s="51">
        <f t="shared" si="99"/>
        <v>152.63055555555556</v>
      </c>
      <c r="AY77" s="74">
        <f t="shared" si="72"/>
        <v>2.9699999999999996E-4</v>
      </c>
      <c r="AZ77" s="52">
        <f t="shared" si="22"/>
        <v>7.0111676249999988</v>
      </c>
      <c r="BA77" s="53">
        <f t="shared" si="100"/>
        <v>9083.3571674999966</v>
      </c>
      <c r="BB77" s="54">
        <f t="shared" si="101"/>
        <v>1386397.8507850619</v>
      </c>
      <c r="BM77" s="25">
        <v>46</v>
      </c>
      <c r="BN77" s="51">
        <f t="shared" si="102"/>
        <v>180.33157894736843</v>
      </c>
      <c r="BO77" s="74">
        <f t="shared" si="75"/>
        <v>2.9700000000000039E-4</v>
      </c>
      <c r="BP77" s="52">
        <f t="shared" si="29"/>
        <v>7.0111676250000068</v>
      </c>
      <c r="BQ77" s="53">
        <f t="shared" si="103"/>
        <v>7375.9592036842178</v>
      </c>
      <c r="BR77" s="54">
        <f t="shared" si="104"/>
        <v>1330118.3694517494</v>
      </c>
      <c r="CC77" s="25">
        <v>46</v>
      </c>
      <c r="CD77" s="51">
        <f t="shared" si="105"/>
        <v>213.02786885245899</v>
      </c>
      <c r="CE77" s="74">
        <f t="shared" si="78"/>
        <v>2.9700000000000039E-4</v>
      </c>
      <c r="CF77" s="52">
        <f t="shared" si="36"/>
        <v>7.0111676250000068</v>
      </c>
      <c r="CG77" s="53">
        <f t="shared" si="106"/>
        <v>5360.6698037704973</v>
      </c>
      <c r="CH77" s="54">
        <f t="shared" si="107"/>
        <v>1141972.0639189587</v>
      </c>
      <c r="CS77" s="25">
        <v>46</v>
      </c>
      <c r="CT77" s="51">
        <f t="shared" si="108"/>
        <v>243.76007067137809</v>
      </c>
      <c r="CU77" s="74">
        <f t="shared" si="81"/>
        <v>2.9700000000000212E-4</v>
      </c>
      <c r="CV77" s="52">
        <f t="shared" si="43"/>
        <v>7.0111676250000459</v>
      </c>
      <c r="CW77" s="53">
        <f t="shared" si="109"/>
        <v>3466.4401911307646</v>
      </c>
      <c r="CX77" s="54">
        <f t="shared" si="110"/>
        <v>844979.70596814051</v>
      </c>
      <c r="DI77" s="25">
        <v>46</v>
      </c>
      <c r="DJ77" s="51">
        <f t="shared" si="111"/>
        <v>252.20450450450448</v>
      </c>
      <c r="DK77" s="74">
        <f t="shared" si="84"/>
        <v>2.9699999999999692E-4</v>
      </c>
      <c r="DL77" s="52">
        <f t="shared" si="50"/>
        <v>7.0111676249999357</v>
      </c>
      <c r="DM77" s="53">
        <f t="shared" si="112"/>
        <v>2945.9536759459193</v>
      </c>
      <c r="DN77" s="54">
        <f t="shared" si="113"/>
        <v>742982.78713516414</v>
      </c>
      <c r="DY77" s="25">
        <v>46</v>
      </c>
      <c r="DZ77" s="51">
        <f t="shared" si="114"/>
        <v>270.13902439024389</v>
      </c>
      <c r="EA77" s="74">
        <f t="shared" si="87"/>
        <v>2.9699999999999865E-4</v>
      </c>
      <c r="EB77" s="52">
        <f t="shared" si="57"/>
        <v>7.0111676249999704</v>
      </c>
      <c r="EC77" s="53">
        <f t="shared" si="115"/>
        <v>1840.5301577673467</v>
      </c>
      <c r="ED77" s="54">
        <f t="shared" si="116"/>
        <v>497199.02118009271</v>
      </c>
    </row>
    <row r="78" spans="1:134">
      <c r="A78" s="25">
        <v>47</v>
      </c>
      <c r="B78" s="51">
        <f t="shared" si="90"/>
        <v>-6.8999999999999773</v>
      </c>
      <c r="C78" s="74">
        <f t="shared" si="63"/>
        <v>2.3100000000000025E-4</v>
      </c>
      <c r="D78" s="52">
        <f t="shared" si="1"/>
        <v>5.5503236250000061</v>
      </c>
      <c r="E78" s="53">
        <f t="shared" si="91"/>
        <v>14652.854370000015</v>
      </c>
      <c r="F78" s="54">
        <f t="shared" si="92"/>
        <v>-101104.69515299978</v>
      </c>
      <c r="Q78" s="25">
        <v>47</v>
      </c>
      <c r="R78" s="51">
        <f t="shared" si="93"/>
        <v>41.814285714285688</v>
      </c>
      <c r="S78" s="74">
        <f t="shared" si="66"/>
        <v>2.3100000000000003E-4</v>
      </c>
      <c r="T78" s="52">
        <f t="shared" si="8"/>
        <v>5.5503236250000008</v>
      </c>
      <c r="U78" s="53">
        <f t="shared" si="94"/>
        <v>12327.004470000003</v>
      </c>
      <c r="V78" s="54">
        <f t="shared" si="95"/>
        <v>515444.88690985698</v>
      </c>
      <c r="AG78" s="25">
        <v>47</v>
      </c>
      <c r="AH78" s="51">
        <f t="shared" si="96"/>
        <v>104.02771084337348</v>
      </c>
      <c r="AI78" s="74">
        <f t="shared" si="69"/>
        <v>2.3099999999999987E-4</v>
      </c>
      <c r="AJ78" s="52">
        <f t="shared" si="15"/>
        <v>5.5503236249999981</v>
      </c>
      <c r="AK78" s="53">
        <f t="shared" si="97"/>
        <v>9356.6419471084319</v>
      </c>
      <c r="AL78" s="54">
        <f t="shared" si="98"/>
        <v>973350.04293877503</v>
      </c>
      <c r="AW78" s="25">
        <v>47</v>
      </c>
      <c r="AX78" s="51">
        <f t="shared" si="99"/>
        <v>149.39166666666668</v>
      </c>
      <c r="AY78" s="74">
        <f t="shared" si="72"/>
        <v>2.310000000000003E-4</v>
      </c>
      <c r="AZ78" s="52">
        <f t="shared" si="22"/>
        <v>5.5503236250000061</v>
      </c>
      <c r="BA78" s="53">
        <f t="shared" si="100"/>
        <v>7190.7526075000069</v>
      </c>
      <c r="BB78" s="54">
        <f t="shared" si="101"/>
        <v>1074238.5166221054</v>
      </c>
      <c r="BM78" s="25">
        <v>47</v>
      </c>
      <c r="BN78" s="51">
        <f t="shared" si="102"/>
        <v>177.70150375939852</v>
      </c>
      <c r="BO78" s="74">
        <f t="shared" si="75"/>
        <v>2.310000000000003E-4</v>
      </c>
      <c r="BP78" s="52">
        <f t="shared" si="29"/>
        <v>5.5503236250000061</v>
      </c>
      <c r="BQ78" s="53">
        <f t="shared" si="103"/>
        <v>5839.1073805263222</v>
      </c>
      <c r="BR78" s="54">
        <f t="shared" si="104"/>
        <v>1037618.1621321299</v>
      </c>
      <c r="CC78" s="25">
        <v>47</v>
      </c>
      <c r="CD78" s="51">
        <f t="shared" si="105"/>
        <v>211.11639344262295</v>
      </c>
      <c r="CE78" s="74">
        <f t="shared" si="78"/>
        <v>2.3100000000000117E-4</v>
      </c>
      <c r="CF78" s="52">
        <f t="shared" si="36"/>
        <v>5.5503236250000265</v>
      </c>
      <c r="CG78" s="53">
        <f t="shared" si="106"/>
        <v>4243.7228503278893</v>
      </c>
      <c r="CH78" s="54">
        <f t="shared" si="107"/>
        <v>895919.46293127199</v>
      </c>
      <c r="CS78" s="25">
        <v>47</v>
      </c>
      <c r="CT78" s="51">
        <f t="shared" si="108"/>
        <v>242.52402826855123</v>
      </c>
      <c r="CU78" s="74">
        <f t="shared" si="81"/>
        <v>2.3100000000000204E-4</v>
      </c>
      <c r="CV78" s="52">
        <f t="shared" si="43"/>
        <v>5.5503236250000469</v>
      </c>
      <c r="CW78" s="53">
        <f t="shared" si="109"/>
        <v>2744.1741399646876</v>
      </c>
      <c r="CX78" s="54">
        <f t="shared" si="110"/>
        <v>665528.16669462319</v>
      </c>
      <c r="DI78" s="25">
        <v>47</v>
      </c>
      <c r="DJ78" s="51">
        <f t="shared" si="111"/>
        <v>251.15405405405406</v>
      </c>
      <c r="DK78" s="74">
        <f t="shared" si="84"/>
        <v>2.310000000000003E-4</v>
      </c>
      <c r="DL78" s="52">
        <f t="shared" si="50"/>
        <v>5.5503236250000061</v>
      </c>
      <c r="DM78" s="53">
        <f t="shared" si="112"/>
        <v>2332.1359808108136</v>
      </c>
      <c r="DN78" s="54">
        <f t="shared" si="113"/>
        <v>585725.40618596342</v>
      </c>
      <c r="DY78" s="25">
        <v>47</v>
      </c>
      <c r="DZ78" s="51">
        <f t="shared" si="114"/>
        <v>269.48273921200752</v>
      </c>
      <c r="EA78" s="74">
        <f t="shared" si="87"/>
        <v>2.3100000000000204E-4</v>
      </c>
      <c r="EB78" s="52">
        <f t="shared" si="57"/>
        <v>5.5503236250000469</v>
      </c>
      <c r="EC78" s="53">
        <f t="shared" si="115"/>
        <v>1457.038051801138</v>
      </c>
      <c r="ED78" s="54">
        <f t="shared" si="116"/>
        <v>392646.60533549753</v>
      </c>
    </row>
    <row r="79" spans="1:134">
      <c r="A79" s="25">
        <v>48</v>
      </c>
      <c r="B79" s="51">
        <f t="shared" si="90"/>
        <v>-13.5</v>
      </c>
      <c r="C79" s="74">
        <f t="shared" si="63"/>
        <v>1.6500000000000005E-4</v>
      </c>
      <c r="D79" s="52">
        <f t="shared" si="1"/>
        <v>4.0339406250000005</v>
      </c>
      <c r="E79" s="53">
        <f t="shared" si="91"/>
        <v>10649.603250000002</v>
      </c>
      <c r="F79" s="54">
        <f t="shared" si="92"/>
        <v>-143769.64387500004</v>
      </c>
      <c r="Q79" s="25">
        <v>48</v>
      </c>
      <c r="R79" s="51">
        <f t="shared" si="93"/>
        <v>36.261904761904702</v>
      </c>
      <c r="S79" s="74">
        <f t="shared" si="66"/>
        <v>1.6499999999999962E-4</v>
      </c>
      <c r="T79" s="52">
        <f t="shared" si="8"/>
        <v>4.033940624999989</v>
      </c>
      <c r="U79" s="53">
        <f t="shared" si="94"/>
        <v>8959.1900357142622</v>
      </c>
      <c r="V79" s="54">
        <f t="shared" si="95"/>
        <v>324877.29581887618</v>
      </c>
      <c r="AG79" s="25">
        <v>48</v>
      </c>
      <c r="AH79" s="51">
        <f t="shared" si="96"/>
        <v>99.813253012048193</v>
      </c>
      <c r="AI79" s="74">
        <f t="shared" si="69"/>
        <v>1.65E-4</v>
      </c>
      <c r="AJ79" s="52">
        <f t="shared" si="15"/>
        <v>4.0339406250000005</v>
      </c>
      <c r="AK79" s="53">
        <f t="shared" si="97"/>
        <v>6800.3490632530138</v>
      </c>
      <c r="AL79" s="54">
        <f t="shared" si="98"/>
        <v>678764.96162071801</v>
      </c>
      <c r="AW79" s="25">
        <v>48</v>
      </c>
      <c r="AX79" s="51">
        <f t="shared" si="99"/>
        <v>146.1527777777778</v>
      </c>
      <c r="AY79" s="74">
        <f t="shared" si="72"/>
        <v>1.6500000000000022E-4</v>
      </c>
      <c r="AZ79" s="52">
        <f t="shared" si="22"/>
        <v>4.0339406250000058</v>
      </c>
      <c r="BA79" s="53">
        <f t="shared" si="100"/>
        <v>5226.1941875000066</v>
      </c>
      <c r="BB79" s="54">
        <f t="shared" si="101"/>
        <v>763822.79770920251</v>
      </c>
      <c r="BM79" s="25">
        <v>48</v>
      </c>
      <c r="BN79" s="51">
        <f t="shared" si="102"/>
        <v>175.07142857142858</v>
      </c>
      <c r="BO79" s="74">
        <f t="shared" si="75"/>
        <v>1.6500000000000022E-4</v>
      </c>
      <c r="BP79" s="52">
        <f t="shared" si="29"/>
        <v>4.0339406250000058</v>
      </c>
      <c r="BQ79" s="53">
        <f t="shared" si="103"/>
        <v>4243.8268590225625</v>
      </c>
      <c r="BR79" s="54">
        <f t="shared" si="104"/>
        <v>742972.83081887872</v>
      </c>
      <c r="CC79" s="25">
        <v>48</v>
      </c>
      <c r="CD79" s="51">
        <f t="shared" si="105"/>
        <v>209.20491803278688</v>
      </c>
      <c r="CE79" s="74">
        <f t="shared" si="78"/>
        <v>1.6500000000000108E-4</v>
      </c>
      <c r="CF79" s="52">
        <f t="shared" si="36"/>
        <v>4.0339406250000263</v>
      </c>
      <c r="CG79" s="53">
        <f t="shared" si="106"/>
        <v>3084.311323770512</v>
      </c>
      <c r="CH79" s="54">
        <f t="shared" si="107"/>
        <v>645253.09767700639</v>
      </c>
      <c r="CS79" s="25">
        <v>48</v>
      </c>
      <c r="CT79" s="51">
        <f t="shared" si="108"/>
        <v>241.28798586572438</v>
      </c>
      <c r="CU79" s="74">
        <f t="shared" si="81"/>
        <v>1.6500000000000195E-4</v>
      </c>
      <c r="CV79" s="52">
        <f t="shared" si="43"/>
        <v>4.0339406250000485</v>
      </c>
      <c r="CW79" s="53">
        <f t="shared" si="109"/>
        <v>1994.4486651943703</v>
      </c>
      <c r="CX79" s="54">
        <f t="shared" si="110"/>
        <v>481236.50133733207</v>
      </c>
      <c r="DI79" s="25">
        <v>48</v>
      </c>
      <c r="DJ79" s="51">
        <f t="shared" si="111"/>
        <v>250.1036036036036</v>
      </c>
      <c r="DK79" s="74">
        <f t="shared" si="84"/>
        <v>1.6500000000000022E-4</v>
      </c>
      <c r="DL79" s="52">
        <f t="shared" si="50"/>
        <v>4.0339406250000058</v>
      </c>
      <c r="DM79" s="53">
        <f t="shared" si="112"/>
        <v>1694.9818986486514</v>
      </c>
      <c r="DN79" s="54">
        <f t="shared" si="113"/>
        <v>423921.08089490572</v>
      </c>
      <c r="DY79" s="25">
        <v>48</v>
      </c>
      <c r="DZ79" s="51">
        <f t="shared" si="114"/>
        <v>268.82645403377109</v>
      </c>
      <c r="EA79" s="74">
        <f t="shared" si="87"/>
        <v>1.6499999999999848E-4</v>
      </c>
      <c r="EB79" s="52">
        <f t="shared" si="57"/>
        <v>4.0339406249999641</v>
      </c>
      <c r="EC79" s="53">
        <f t="shared" si="115"/>
        <v>1058.9661768292588</v>
      </c>
      <c r="ED79" s="54">
        <f t="shared" si="116"/>
        <v>284678.12225870905</v>
      </c>
    </row>
    <row r="80" spans="1:134">
      <c r="A80" s="25">
        <v>49</v>
      </c>
      <c r="B80" s="51">
        <f t="shared" si="90"/>
        <v>-20.099999999999966</v>
      </c>
      <c r="C80" s="74">
        <f t="shared" si="63"/>
        <v>9.9000000000000374E-5</v>
      </c>
      <c r="D80" s="52">
        <f t="shared" si="1"/>
        <v>2.4620186250000109</v>
      </c>
      <c r="E80" s="53">
        <f t="shared" si="91"/>
        <v>6499.7291700000287</v>
      </c>
      <c r="F80" s="54">
        <f t="shared" si="92"/>
        <v>-130644.55631700036</v>
      </c>
      <c r="Q80" s="25">
        <v>49</v>
      </c>
      <c r="R80" s="51">
        <f t="shared" si="93"/>
        <v>30.709523809523773</v>
      </c>
      <c r="S80" s="74">
        <f t="shared" si="66"/>
        <v>9.8999999999999913E-5</v>
      </c>
      <c r="T80" s="52">
        <f t="shared" si="8"/>
        <v>2.4620186249999998</v>
      </c>
      <c r="U80" s="53">
        <f t="shared" si="94"/>
        <v>5468.0261271428571</v>
      </c>
      <c r="V80" s="54">
        <f t="shared" si="95"/>
        <v>167920.47854259165</v>
      </c>
      <c r="AG80" s="25">
        <v>49</v>
      </c>
      <c r="AH80" s="51">
        <f t="shared" si="96"/>
        <v>95.598795180722874</v>
      </c>
      <c r="AI80" s="74">
        <f t="shared" si="69"/>
        <v>9.8999999999999696E-5</v>
      </c>
      <c r="AJ80" s="52">
        <f t="shared" si="15"/>
        <v>2.462018624999994</v>
      </c>
      <c r="AK80" s="53">
        <f t="shared" si="97"/>
        <v>4150.42946999999</v>
      </c>
      <c r="AL80" s="54">
        <f t="shared" si="98"/>
        <v>396776.05681456527</v>
      </c>
      <c r="AW80" s="25">
        <v>49</v>
      </c>
      <c r="AX80" s="51">
        <f t="shared" si="99"/>
        <v>142.91388888888892</v>
      </c>
      <c r="AY80" s="74">
        <f t="shared" si="72"/>
        <v>9.9000000000000563E-5</v>
      </c>
      <c r="AZ80" s="52">
        <f t="shared" si="22"/>
        <v>2.4620186250000167</v>
      </c>
      <c r="BA80" s="53">
        <f t="shared" si="100"/>
        <v>3189.6819075000212</v>
      </c>
      <c r="BB80" s="54">
        <f t="shared" si="101"/>
        <v>455849.84571935731</v>
      </c>
      <c r="BM80" s="25">
        <v>49</v>
      </c>
      <c r="BN80" s="51">
        <f t="shared" si="102"/>
        <v>172.44135338345865</v>
      </c>
      <c r="BO80" s="74">
        <f t="shared" si="75"/>
        <v>9.900000000000013E-5</v>
      </c>
      <c r="BP80" s="52">
        <f t="shared" si="29"/>
        <v>2.4620186250000056</v>
      </c>
      <c r="BQ80" s="53">
        <f t="shared" si="103"/>
        <v>2590.1176391729382</v>
      </c>
      <c r="BR80" s="54">
        <f t="shared" si="104"/>
        <v>446643.39112135029</v>
      </c>
      <c r="CC80" s="25">
        <v>49</v>
      </c>
      <c r="CD80" s="51">
        <f t="shared" si="105"/>
        <v>207.29344262295081</v>
      </c>
      <c r="CE80" s="74">
        <f t="shared" si="78"/>
        <v>9.9000000000000997E-5</v>
      </c>
      <c r="CF80" s="52">
        <f t="shared" si="36"/>
        <v>2.4620186250000251</v>
      </c>
      <c r="CG80" s="53">
        <f t="shared" si="106"/>
        <v>1882.4352240983801</v>
      </c>
      <c r="CH80" s="54">
        <f t="shared" si="107"/>
        <v>390216.47811805911</v>
      </c>
      <c r="CS80" s="25">
        <v>49</v>
      </c>
      <c r="CT80" s="51">
        <f t="shared" si="108"/>
        <v>240.05194346289753</v>
      </c>
      <c r="CU80" s="74">
        <f t="shared" si="81"/>
        <v>9.9000000000001864E-5</v>
      </c>
      <c r="CV80" s="52">
        <f t="shared" si="43"/>
        <v>2.4620186250000478</v>
      </c>
      <c r="CW80" s="53">
        <f t="shared" si="109"/>
        <v>1217.2637668198115</v>
      </c>
      <c r="CX80" s="54">
        <f t="shared" si="110"/>
        <v>292206.53293206304</v>
      </c>
      <c r="DI80" s="25">
        <v>49</v>
      </c>
      <c r="DJ80" s="51">
        <f t="shared" si="111"/>
        <v>249.05315315315315</v>
      </c>
      <c r="DK80" s="74">
        <f t="shared" si="84"/>
        <v>9.900000000000013E-5</v>
      </c>
      <c r="DL80" s="52">
        <f t="shared" si="50"/>
        <v>2.4620186250000056</v>
      </c>
      <c r="DM80" s="53">
        <f t="shared" si="112"/>
        <v>1034.4914294594619</v>
      </c>
      <c r="DN80" s="54">
        <f t="shared" si="113"/>
        <v>257643.35241679169</v>
      </c>
      <c r="DY80" s="25">
        <v>49</v>
      </c>
      <c r="DZ80" s="51">
        <f t="shared" si="114"/>
        <v>268.17016885553471</v>
      </c>
      <c r="EA80" s="74">
        <f t="shared" si="87"/>
        <v>9.8999999999998395E-5</v>
      </c>
      <c r="EB80" s="52">
        <f t="shared" si="57"/>
        <v>2.4620186249999629</v>
      </c>
      <c r="EC80" s="53">
        <f t="shared" si="115"/>
        <v>646.31453285177258</v>
      </c>
      <c r="ED80" s="54">
        <f t="shared" si="116"/>
        <v>173322.2774086459</v>
      </c>
    </row>
    <row r="81" spans="1:134">
      <c r="A81" s="25">
        <v>50</v>
      </c>
      <c r="B81" s="51">
        <f t="shared" si="90"/>
        <v>-26.699999999999989</v>
      </c>
      <c r="C81" s="74">
        <f t="shared" si="63"/>
        <v>3.3000000000000152E-5</v>
      </c>
      <c r="D81" s="52">
        <f t="shared" si="1"/>
        <v>0.83455762500000419</v>
      </c>
      <c r="E81" s="53">
        <f t="shared" si="91"/>
        <v>2203.2321300000112</v>
      </c>
      <c r="F81" s="54">
        <f t="shared" si="92"/>
        <v>-58826.297871000272</v>
      </c>
      <c r="Q81" s="25">
        <v>50</v>
      </c>
      <c r="R81" s="51">
        <f t="shared" si="93"/>
        <v>25.157142857142844</v>
      </c>
      <c r="S81" s="74">
        <f t="shared" si="66"/>
        <v>3.3000000000000206E-5</v>
      </c>
      <c r="T81" s="52">
        <f t="shared" si="8"/>
        <v>0.83455762500000419</v>
      </c>
      <c r="U81" s="53">
        <f t="shared" si="94"/>
        <v>1853.5127442857238</v>
      </c>
      <c r="V81" s="54">
        <f t="shared" si="95"/>
        <v>46629.084895530825</v>
      </c>
      <c r="AG81" s="25">
        <v>50</v>
      </c>
      <c r="AH81" s="51">
        <f t="shared" si="96"/>
        <v>91.384337349397583</v>
      </c>
      <c r="AI81" s="74">
        <f t="shared" si="69"/>
        <v>3.2999999999999826E-5</v>
      </c>
      <c r="AJ81" s="52">
        <f t="shared" si="15"/>
        <v>0.83455762499999864</v>
      </c>
      <c r="AK81" s="53">
        <f t="shared" si="97"/>
        <v>1406.8831673493953</v>
      </c>
      <c r="AL81" s="54">
        <f t="shared" si="98"/>
        <v>128567.08597624612</v>
      </c>
      <c r="AW81" s="25">
        <v>50</v>
      </c>
      <c r="AX81" s="51">
        <f t="shared" si="99"/>
        <v>139.67500000000001</v>
      </c>
      <c r="AY81" s="74">
        <f t="shared" si="72"/>
        <v>3.3000000000000043E-5</v>
      </c>
      <c r="AZ81" s="52">
        <f t="shared" si="22"/>
        <v>0.83455762500000419</v>
      </c>
      <c r="BA81" s="53">
        <f t="shared" si="100"/>
        <v>1081.2157675000053</v>
      </c>
      <c r="BB81" s="54">
        <f t="shared" si="101"/>
        <v>151018.81232556325</v>
      </c>
      <c r="BM81" s="25">
        <v>50</v>
      </c>
      <c r="BN81" s="51">
        <f t="shared" si="102"/>
        <v>169.81127819548874</v>
      </c>
      <c r="BO81" s="74">
        <f t="shared" si="75"/>
        <v>3.3000000000000043E-5</v>
      </c>
      <c r="BP81" s="52">
        <f t="shared" si="29"/>
        <v>0.83455762500000419</v>
      </c>
      <c r="BQ81" s="53">
        <f t="shared" si="103"/>
        <v>877.97972097744798</v>
      </c>
      <c r="BR81" s="54">
        <f t="shared" si="104"/>
        <v>149090.85864889901</v>
      </c>
      <c r="CC81" s="25">
        <v>50</v>
      </c>
      <c r="CD81" s="51">
        <f t="shared" si="105"/>
        <v>205.38196721311476</v>
      </c>
      <c r="CE81" s="74">
        <f t="shared" si="78"/>
        <v>3.3000000000001778E-5</v>
      </c>
      <c r="CF81" s="52">
        <f t="shared" si="36"/>
        <v>0.83455762500004393</v>
      </c>
      <c r="CG81" s="53">
        <f t="shared" si="106"/>
        <v>638.09455131150901</v>
      </c>
      <c r="CH81" s="54">
        <f t="shared" si="107"/>
        <v>131053.11421632752</v>
      </c>
      <c r="CS81" s="25">
        <v>50</v>
      </c>
      <c r="CT81" s="51">
        <f t="shared" si="108"/>
        <v>238.81590106007067</v>
      </c>
      <c r="CU81" s="74">
        <f t="shared" si="81"/>
        <v>3.3000000000001778E-5</v>
      </c>
      <c r="CV81" s="52">
        <f t="shared" si="43"/>
        <v>0.83455762500004393</v>
      </c>
      <c r="CW81" s="53">
        <f t="shared" si="109"/>
        <v>412.6194448410111</v>
      </c>
      <c r="CX81" s="54">
        <f t="shared" si="110"/>
        <v>98540.084514612201</v>
      </c>
      <c r="DI81" s="25">
        <v>50</v>
      </c>
      <c r="DJ81" s="51">
        <f t="shared" si="111"/>
        <v>248.00270270270269</v>
      </c>
      <c r="DK81" s="74">
        <f t="shared" si="84"/>
        <v>3.2999999999998308E-5</v>
      </c>
      <c r="DL81" s="52">
        <f t="shared" si="50"/>
        <v>0.83455762499995889</v>
      </c>
      <c r="DM81" s="53">
        <f t="shared" si="112"/>
        <v>350.66457324322602</v>
      </c>
      <c r="DN81" s="54">
        <f t="shared" si="113"/>
        <v>86965.761906409898</v>
      </c>
      <c r="DY81" s="25">
        <v>50</v>
      </c>
      <c r="DZ81" s="51">
        <f t="shared" si="114"/>
        <v>267.51388367729834</v>
      </c>
      <c r="EA81" s="74">
        <f t="shared" si="87"/>
        <v>3.3000000000001778E-5</v>
      </c>
      <c r="EB81" s="52">
        <f t="shared" si="57"/>
        <v>0.83455762500004393</v>
      </c>
      <c r="EC81" s="53">
        <f t="shared" si="115"/>
        <v>219.08311986867943</v>
      </c>
      <c r="ED81" s="54">
        <f t="shared" si="116"/>
        <v>58607.776244209519</v>
      </c>
    </row>
  </sheetData>
  <conditionalFormatting sqref="C32:C81">
    <cfRule type="dataBar" priority="17">
      <dataBar>
        <cfvo type="num" val="0"/>
        <cfvo type="num" val="$C$32"/>
        <color theme="9" tint="0.59999389629810485"/>
      </dataBar>
      <extLst>
        <ext xmlns:x14="http://schemas.microsoft.com/office/spreadsheetml/2009/9/main" uri="{B025F937-C7B1-47D3-B67F-A62EFF666E3E}">
          <x14:id>{9CD98510-0948-401D-A5A3-67D0884DDC44}</x14:id>
        </ext>
      </extLst>
    </cfRule>
  </conditionalFormatting>
  <conditionalFormatting sqref="D32:D81">
    <cfRule type="dataBar" priority="18">
      <dataBar>
        <cfvo type="num" val="0"/>
        <cfvo type="num" val="$D$32"/>
        <color theme="9" tint="0.59999389629810485"/>
      </dataBar>
      <extLst>
        <ext xmlns:x14="http://schemas.microsoft.com/office/spreadsheetml/2009/9/main" uri="{B025F937-C7B1-47D3-B67F-A62EFF666E3E}">
          <x14:id>{017A342F-1EC7-47AE-A987-AFD0700DB448}</x14:id>
        </ext>
      </extLst>
    </cfRule>
  </conditionalFormatting>
  <conditionalFormatting sqref="S32:S81">
    <cfRule type="dataBar" priority="15">
      <dataBar>
        <cfvo type="num" val="0"/>
        <cfvo type="num" val="$C$32"/>
        <color theme="9" tint="0.59999389629810485"/>
      </dataBar>
      <extLst>
        <ext xmlns:x14="http://schemas.microsoft.com/office/spreadsheetml/2009/9/main" uri="{B025F937-C7B1-47D3-B67F-A62EFF666E3E}">
          <x14:id>{104E98B1-EA7E-4515-A597-E6D2F796EADA}</x14:id>
        </ext>
      </extLst>
    </cfRule>
  </conditionalFormatting>
  <conditionalFormatting sqref="T32:T81">
    <cfRule type="dataBar" priority="16">
      <dataBar>
        <cfvo type="num" val="0"/>
        <cfvo type="num" val="$D$32"/>
        <color theme="9" tint="0.59999389629810485"/>
      </dataBar>
      <extLst>
        <ext xmlns:x14="http://schemas.microsoft.com/office/spreadsheetml/2009/9/main" uri="{B025F937-C7B1-47D3-B67F-A62EFF666E3E}">
          <x14:id>{06A4E7EA-E105-4C59-B4CD-423029D2E245}</x14:id>
        </ext>
      </extLst>
    </cfRule>
  </conditionalFormatting>
  <conditionalFormatting sqref="AI32:AI81">
    <cfRule type="dataBar" priority="13">
      <dataBar>
        <cfvo type="num" val="0"/>
        <cfvo type="num" val="$C$32"/>
        <color theme="9" tint="0.59999389629810485"/>
      </dataBar>
      <extLst>
        <ext xmlns:x14="http://schemas.microsoft.com/office/spreadsheetml/2009/9/main" uri="{B025F937-C7B1-47D3-B67F-A62EFF666E3E}">
          <x14:id>{67A4DFC6-53E3-4F04-8606-11D70D7E2F5D}</x14:id>
        </ext>
      </extLst>
    </cfRule>
  </conditionalFormatting>
  <conditionalFormatting sqref="AJ32:AJ81">
    <cfRule type="dataBar" priority="14">
      <dataBar>
        <cfvo type="num" val="0"/>
        <cfvo type="num" val="$D$32"/>
        <color theme="9" tint="0.59999389629810485"/>
      </dataBar>
      <extLst>
        <ext xmlns:x14="http://schemas.microsoft.com/office/spreadsheetml/2009/9/main" uri="{B025F937-C7B1-47D3-B67F-A62EFF666E3E}">
          <x14:id>{C382456A-593E-44CE-80E9-66328C1416A0}</x14:id>
        </ext>
      </extLst>
    </cfRule>
  </conditionalFormatting>
  <conditionalFormatting sqref="AY32:AY81">
    <cfRule type="dataBar" priority="11">
      <dataBar>
        <cfvo type="num" val="0"/>
        <cfvo type="num" val="$C$32"/>
        <color theme="9" tint="0.59999389629810485"/>
      </dataBar>
      <extLst>
        <ext xmlns:x14="http://schemas.microsoft.com/office/spreadsheetml/2009/9/main" uri="{B025F937-C7B1-47D3-B67F-A62EFF666E3E}">
          <x14:id>{D83826B8-ACA7-4678-A387-81806545F997}</x14:id>
        </ext>
      </extLst>
    </cfRule>
  </conditionalFormatting>
  <conditionalFormatting sqref="AZ32:AZ81">
    <cfRule type="dataBar" priority="12">
      <dataBar>
        <cfvo type="num" val="0"/>
        <cfvo type="num" val="$D$32"/>
        <color theme="9" tint="0.59999389629810485"/>
      </dataBar>
      <extLst>
        <ext xmlns:x14="http://schemas.microsoft.com/office/spreadsheetml/2009/9/main" uri="{B025F937-C7B1-47D3-B67F-A62EFF666E3E}">
          <x14:id>{C455233B-6C76-46A3-AB59-54695921E79D}</x14:id>
        </ext>
      </extLst>
    </cfRule>
  </conditionalFormatting>
  <conditionalFormatting sqref="BO32:BO81">
    <cfRule type="dataBar" priority="1">
      <dataBar>
        <cfvo type="num" val="0"/>
        <cfvo type="num" val="$C$32"/>
        <color theme="9" tint="0.59999389629810485"/>
      </dataBar>
      <extLst>
        <ext xmlns:x14="http://schemas.microsoft.com/office/spreadsheetml/2009/9/main" uri="{B025F937-C7B1-47D3-B67F-A62EFF666E3E}">
          <x14:id>{29F3E8A1-560E-4ED0-A563-5933438759AB}</x14:id>
        </ext>
      </extLst>
    </cfRule>
  </conditionalFormatting>
  <conditionalFormatting sqref="BP32:BP81">
    <cfRule type="dataBar" priority="2">
      <dataBar>
        <cfvo type="num" val="0"/>
        <cfvo type="num" val="$D$32"/>
        <color theme="9" tint="0.59999389629810485"/>
      </dataBar>
      <extLst>
        <ext xmlns:x14="http://schemas.microsoft.com/office/spreadsheetml/2009/9/main" uri="{B025F937-C7B1-47D3-B67F-A62EFF666E3E}">
          <x14:id>{BEA86102-70E5-4F3E-8B13-76E957D19C4A}</x14:id>
        </ext>
      </extLst>
    </cfRule>
  </conditionalFormatting>
  <conditionalFormatting sqref="CE32:CE81">
    <cfRule type="dataBar" priority="9">
      <dataBar>
        <cfvo type="num" val="0"/>
        <cfvo type="num" val="$C$32"/>
        <color theme="9" tint="0.59999389629810485"/>
      </dataBar>
      <extLst>
        <ext xmlns:x14="http://schemas.microsoft.com/office/spreadsheetml/2009/9/main" uri="{B025F937-C7B1-47D3-B67F-A62EFF666E3E}">
          <x14:id>{814BE2D7-3226-4AD7-AF70-A59897E8FB05}</x14:id>
        </ext>
      </extLst>
    </cfRule>
  </conditionalFormatting>
  <conditionalFormatting sqref="CF32:CF81">
    <cfRule type="dataBar" priority="10">
      <dataBar>
        <cfvo type="num" val="0"/>
        <cfvo type="num" val="$D$32"/>
        <color theme="9" tint="0.59999389629810485"/>
      </dataBar>
      <extLst>
        <ext xmlns:x14="http://schemas.microsoft.com/office/spreadsheetml/2009/9/main" uri="{B025F937-C7B1-47D3-B67F-A62EFF666E3E}">
          <x14:id>{1B7073F0-913D-4E37-9D47-0A610C6E93EE}</x14:id>
        </ext>
      </extLst>
    </cfRule>
  </conditionalFormatting>
  <conditionalFormatting sqref="CU32:CU81">
    <cfRule type="dataBar" priority="7">
      <dataBar>
        <cfvo type="num" val="0"/>
        <cfvo type="num" val="$C$32"/>
        <color theme="9" tint="0.59999389629810485"/>
      </dataBar>
      <extLst>
        <ext xmlns:x14="http://schemas.microsoft.com/office/spreadsheetml/2009/9/main" uri="{B025F937-C7B1-47D3-B67F-A62EFF666E3E}">
          <x14:id>{461E6567-0E45-4BD4-99BB-2DA9DD80CF1B}</x14:id>
        </ext>
      </extLst>
    </cfRule>
  </conditionalFormatting>
  <conditionalFormatting sqref="CV32:CV81">
    <cfRule type="dataBar" priority="8">
      <dataBar>
        <cfvo type="num" val="0"/>
        <cfvo type="num" val="$D$32"/>
        <color theme="9" tint="0.59999389629810485"/>
      </dataBar>
      <extLst>
        <ext xmlns:x14="http://schemas.microsoft.com/office/spreadsheetml/2009/9/main" uri="{B025F937-C7B1-47D3-B67F-A62EFF666E3E}">
          <x14:id>{FBB9BDD3-4B70-4DC4-B6D6-A0847C0D48DB}</x14:id>
        </ext>
      </extLst>
    </cfRule>
  </conditionalFormatting>
  <conditionalFormatting sqref="DK32:DK81">
    <cfRule type="dataBar" priority="5">
      <dataBar>
        <cfvo type="num" val="0"/>
        <cfvo type="num" val="$C$32"/>
        <color theme="9" tint="0.59999389629810485"/>
      </dataBar>
      <extLst>
        <ext xmlns:x14="http://schemas.microsoft.com/office/spreadsheetml/2009/9/main" uri="{B025F937-C7B1-47D3-B67F-A62EFF666E3E}">
          <x14:id>{F234EC3A-D4AF-44EF-8F48-F8F3460C7D96}</x14:id>
        </ext>
      </extLst>
    </cfRule>
  </conditionalFormatting>
  <conditionalFormatting sqref="DL32:DL81">
    <cfRule type="dataBar" priority="6">
      <dataBar>
        <cfvo type="num" val="0"/>
        <cfvo type="num" val="$D$32"/>
        <color theme="9" tint="0.59999389629810485"/>
      </dataBar>
      <extLst>
        <ext xmlns:x14="http://schemas.microsoft.com/office/spreadsheetml/2009/9/main" uri="{B025F937-C7B1-47D3-B67F-A62EFF666E3E}">
          <x14:id>{3957267D-6934-4570-A409-3139F4E41AD3}</x14:id>
        </ext>
      </extLst>
    </cfRule>
  </conditionalFormatting>
  <conditionalFormatting sqref="EA32:EA81">
    <cfRule type="dataBar" priority="3">
      <dataBar>
        <cfvo type="num" val="0"/>
        <cfvo type="num" val="$C$32"/>
        <color theme="9" tint="0.59999389629810485"/>
      </dataBar>
      <extLst>
        <ext xmlns:x14="http://schemas.microsoft.com/office/spreadsheetml/2009/9/main" uri="{B025F937-C7B1-47D3-B67F-A62EFF666E3E}">
          <x14:id>{D1B267D6-A30E-45AC-A032-DCE7FDBDF562}</x14:id>
        </ext>
      </extLst>
    </cfRule>
  </conditionalFormatting>
  <conditionalFormatting sqref="EB32:EB81">
    <cfRule type="dataBar" priority="4">
      <dataBar>
        <cfvo type="num" val="0"/>
        <cfvo type="num" val="$D$32"/>
        <color theme="9" tint="0.59999389629810485"/>
      </dataBar>
      <extLst>
        <ext xmlns:x14="http://schemas.microsoft.com/office/spreadsheetml/2009/9/main" uri="{B025F937-C7B1-47D3-B67F-A62EFF666E3E}">
          <x14:id>{5F6C2559-F3F6-4F21-B4C8-51C1746DF77B}</x14:id>
        </ext>
      </extLst>
    </cfRule>
  </conditionalFormatting>
  <pageMargins left="0.59055118110236227" right="0.59055118110236227" top="0.78740157480314965" bottom="0.78740157480314965" header="0.31496062992125984" footer="0.31496062992125984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D98510-0948-401D-A5A3-67D0884DDC44}">
            <x14:dataBar minLength="0" maxLength="100" border="1" gradient="0" direction="leftToRight">
              <x14:cfvo type="num">
                <xm:f>0</xm:f>
              </x14:cfvo>
              <x14:cfvo type="num">
                <xm:f>$C$32</xm:f>
              </x14:cfvo>
              <x14:borderColor theme="9" tint="0.59999389629810485"/>
              <x14:negativeFillColor rgb="FFFF0000"/>
              <x14:axisColor rgb="FF000000"/>
            </x14:dataBar>
          </x14:cfRule>
          <xm:sqref>C32:C81</xm:sqref>
        </x14:conditionalFormatting>
        <x14:conditionalFormatting xmlns:xm="http://schemas.microsoft.com/office/excel/2006/main">
          <x14:cfRule type="dataBar" id="{017A342F-1EC7-47AE-A987-AFD0700DB448}">
            <x14:dataBar minLength="0" maxLength="100" border="1" gradient="0" direction="leftToRight">
              <x14:cfvo type="num">
                <xm:f>0</xm:f>
              </x14:cfvo>
              <x14:cfvo type="num">
                <xm:f>$D$32</xm:f>
              </x14:cfvo>
              <x14:borderColor theme="9" tint="0.59999389629810485"/>
              <x14:negativeFillColor rgb="FFFF0000"/>
              <x14:axisColor rgb="FF000000"/>
            </x14:dataBar>
          </x14:cfRule>
          <xm:sqref>D32:D81</xm:sqref>
        </x14:conditionalFormatting>
        <x14:conditionalFormatting xmlns:xm="http://schemas.microsoft.com/office/excel/2006/main">
          <x14:cfRule type="dataBar" id="{104E98B1-EA7E-4515-A597-E6D2F796EADA}">
            <x14:dataBar minLength="0" maxLength="100" border="1" gradient="0" direction="leftToRight">
              <x14:cfvo type="num">
                <xm:f>0</xm:f>
              </x14:cfvo>
              <x14:cfvo type="num">
                <xm:f>$C$32</xm:f>
              </x14:cfvo>
              <x14:borderColor theme="9" tint="0.59999389629810485"/>
              <x14:negativeFillColor rgb="FFFF0000"/>
              <x14:axisColor rgb="FF000000"/>
            </x14:dataBar>
          </x14:cfRule>
          <xm:sqref>S32:S81</xm:sqref>
        </x14:conditionalFormatting>
        <x14:conditionalFormatting xmlns:xm="http://schemas.microsoft.com/office/excel/2006/main">
          <x14:cfRule type="dataBar" id="{06A4E7EA-E105-4C59-B4CD-423029D2E245}">
            <x14:dataBar minLength="0" maxLength="100" border="1" gradient="0" direction="leftToRight">
              <x14:cfvo type="num">
                <xm:f>0</xm:f>
              </x14:cfvo>
              <x14:cfvo type="num">
                <xm:f>$D$32</xm:f>
              </x14:cfvo>
              <x14:borderColor theme="9" tint="0.59999389629810485"/>
              <x14:negativeFillColor rgb="FFFF0000"/>
              <x14:axisColor rgb="FF000000"/>
            </x14:dataBar>
          </x14:cfRule>
          <xm:sqref>T32:T81</xm:sqref>
        </x14:conditionalFormatting>
        <x14:conditionalFormatting xmlns:xm="http://schemas.microsoft.com/office/excel/2006/main">
          <x14:cfRule type="dataBar" id="{67A4DFC6-53E3-4F04-8606-11D70D7E2F5D}">
            <x14:dataBar minLength="0" maxLength="100" border="1" gradient="0" direction="leftToRight">
              <x14:cfvo type="num">
                <xm:f>0</xm:f>
              </x14:cfvo>
              <x14:cfvo type="num">
                <xm:f>$C$32</xm:f>
              </x14:cfvo>
              <x14:borderColor theme="9" tint="0.59999389629810485"/>
              <x14:negativeFillColor rgb="FFFF0000"/>
              <x14:axisColor rgb="FF000000"/>
            </x14:dataBar>
          </x14:cfRule>
          <xm:sqref>AI32:AI81</xm:sqref>
        </x14:conditionalFormatting>
        <x14:conditionalFormatting xmlns:xm="http://schemas.microsoft.com/office/excel/2006/main">
          <x14:cfRule type="dataBar" id="{C382456A-593E-44CE-80E9-66328C1416A0}">
            <x14:dataBar minLength="0" maxLength="100" border="1" gradient="0" direction="leftToRight">
              <x14:cfvo type="num">
                <xm:f>0</xm:f>
              </x14:cfvo>
              <x14:cfvo type="num">
                <xm:f>$D$32</xm:f>
              </x14:cfvo>
              <x14:borderColor theme="9" tint="0.59999389629810485"/>
              <x14:negativeFillColor rgb="FFFF0000"/>
              <x14:axisColor rgb="FF000000"/>
            </x14:dataBar>
          </x14:cfRule>
          <xm:sqref>AJ32:AJ81</xm:sqref>
        </x14:conditionalFormatting>
        <x14:conditionalFormatting xmlns:xm="http://schemas.microsoft.com/office/excel/2006/main">
          <x14:cfRule type="dataBar" id="{D83826B8-ACA7-4678-A387-81806545F997}">
            <x14:dataBar minLength="0" maxLength="100" border="1" gradient="0" direction="leftToRight">
              <x14:cfvo type="num">
                <xm:f>0</xm:f>
              </x14:cfvo>
              <x14:cfvo type="num">
                <xm:f>$C$32</xm:f>
              </x14:cfvo>
              <x14:borderColor theme="9" tint="0.59999389629810485"/>
              <x14:negativeFillColor rgb="FFFF0000"/>
              <x14:axisColor rgb="FF000000"/>
            </x14:dataBar>
          </x14:cfRule>
          <xm:sqref>AY32:AY81</xm:sqref>
        </x14:conditionalFormatting>
        <x14:conditionalFormatting xmlns:xm="http://schemas.microsoft.com/office/excel/2006/main">
          <x14:cfRule type="dataBar" id="{C455233B-6C76-46A3-AB59-54695921E79D}">
            <x14:dataBar minLength="0" maxLength="100" border="1" gradient="0" direction="leftToRight">
              <x14:cfvo type="num">
                <xm:f>0</xm:f>
              </x14:cfvo>
              <x14:cfvo type="num">
                <xm:f>$D$32</xm:f>
              </x14:cfvo>
              <x14:borderColor theme="9" tint="0.59999389629810485"/>
              <x14:negativeFillColor rgb="FFFF0000"/>
              <x14:axisColor rgb="FF000000"/>
            </x14:dataBar>
          </x14:cfRule>
          <xm:sqref>AZ32:AZ81</xm:sqref>
        </x14:conditionalFormatting>
        <x14:conditionalFormatting xmlns:xm="http://schemas.microsoft.com/office/excel/2006/main">
          <x14:cfRule type="dataBar" id="{29F3E8A1-560E-4ED0-A563-5933438759AB}">
            <x14:dataBar minLength="0" maxLength="100" border="1" gradient="0" direction="leftToRight">
              <x14:cfvo type="num">
                <xm:f>0</xm:f>
              </x14:cfvo>
              <x14:cfvo type="num">
                <xm:f>$C$32</xm:f>
              </x14:cfvo>
              <x14:borderColor theme="9" tint="0.59999389629810485"/>
              <x14:negativeFillColor rgb="FFFF0000"/>
              <x14:axisColor rgb="FF000000"/>
            </x14:dataBar>
          </x14:cfRule>
          <xm:sqref>BO32:BO81</xm:sqref>
        </x14:conditionalFormatting>
        <x14:conditionalFormatting xmlns:xm="http://schemas.microsoft.com/office/excel/2006/main">
          <x14:cfRule type="dataBar" id="{BEA86102-70E5-4F3E-8B13-76E957D19C4A}">
            <x14:dataBar minLength="0" maxLength="100" border="1" gradient="0" direction="leftToRight">
              <x14:cfvo type="num">
                <xm:f>0</xm:f>
              </x14:cfvo>
              <x14:cfvo type="num">
                <xm:f>$D$32</xm:f>
              </x14:cfvo>
              <x14:borderColor theme="9" tint="0.59999389629810485"/>
              <x14:negativeFillColor rgb="FFFF0000"/>
              <x14:axisColor rgb="FF000000"/>
            </x14:dataBar>
          </x14:cfRule>
          <xm:sqref>BP32:BP81</xm:sqref>
        </x14:conditionalFormatting>
        <x14:conditionalFormatting xmlns:xm="http://schemas.microsoft.com/office/excel/2006/main">
          <x14:cfRule type="dataBar" id="{814BE2D7-3226-4AD7-AF70-A59897E8FB05}">
            <x14:dataBar minLength="0" maxLength="100" border="1" gradient="0" direction="leftToRight">
              <x14:cfvo type="num">
                <xm:f>0</xm:f>
              </x14:cfvo>
              <x14:cfvo type="num">
                <xm:f>$C$32</xm:f>
              </x14:cfvo>
              <x14:borderColor theme="9" tint="0.59999389629810485"/>
              <x14:negativeFillColor rgb="FFFF0000"/>
              <x14:axisColor rgb="FF000000"/>
            </x14:dataBar>
          </x14:cfRule>
          <xm:sqref>CE32:CE81</xm:sqref>
        </x14:conditionalFormatting>
        <x14:conditionalFormatting xmlns:xm="http://schemas.microsoft.com/office/excel/2006/main">
          <x14:cfRule type="dataBar" id="{1B7073F0-913D-4E37-9D47-0A610C6E93EE}">
            <x14:dataBar minLength="0" maxLength="100" border="1" gradient="0" direction="leftToRight">
              <x14:cfvo type="num">
                <xm:f>0</xm:f>
              </x14:cfvo>
              <x14:cfvo type="num">
                <xm:f>$D$32</xm:f>
              </x14:cfvo>
              <x14:borderColor theme="9" tint="0.59999389629810485"/>
              <x14:negativeFillColor rgb="FFFF0000"/>
              <x14:axisColor rgb="FF000000"/>
            </x14:dataBar>
          </x14:cfRule>
          <xm:sqref>CF32:CF81</xm:sqref>
        </x14:conditionalFormatting>
        <x14:conditionalFormatting xmlns:xm="http://schemas.microsoft.com/office/excel/2006/main">
          <x14:cfRule type="dataBar" id="{461E6567-0E45-4BD4-99BB-2DA9DD80CF1B}">
            <x14:dataBar minLength="0" maxLength="100" border="1" gradient="0" direction="leftToRight">
              <x14:cfvo type="num">
                <xm:f>0</xm:f>
              </x14:cfvo>
              <x14:cfvo type="num">
                <xm:f>$C$32</xm:f>
              </x14:cfvo>
              <x14:borderColor theme="9" tint="0.59999389629810485"/>
              <x14:negativeFillColor rgb="FFFF0000"/>
              <x14:axisColor rgb="FF000000"/>
            </x14:dataBar>
          </x14:cfRule>
          <xm:sqref>CU32:CU81</xm:sqref>
        </x14:conditionalFormatting>
        <x14:conditionalFormatting xmlns:xm="http://schemas.microsoft.com/office/excel/2006/main">
          <x14:cfRule type="dataBar" id="{FBB9BDD3-4B70-4DC4-B6D6-A0847C0D48DB}">
            <x14:dataBar minLength="0" maxLength="100" border="1" gradient="0" direction="leftToRight">
              <x14:cfvo type="num">
                <xm:f>0</xm:f>
              </x14:cfvo>
              <x14:cfvo type="num">
                <xm:f>$D$32</xm:f>
              </x14:cfvo>
              <x14:borderColor theme="9" tint="0.59999389629810485"/>
              <x14:negativeFillColor rgb="FFFF0000"/>
              <x14:axisColor rgb="FF000000"/>
            </x14:dataBar>
          </x14:cfRule>
          <xm:sqref>CV32:CV81</xm:sqref>
        </x14:conditionalFormatting>
        <x14:conditionalFormatting xmlns:xm="http://schemas.microsoft.com/office/excel/2006/main">
          <x14:cfRule type="dataBar" id="{F234EC3A-D4AF-44EF-8F48-F8F3460C7D96}">
            <x14:dataBar minLength="0" maxLength="100" border="1" gradient="0" direction="leftToRight">
              <x14:cfvo type="num">
                <xm:f>0</xm:f>
              </x14:cfvo>
              <x14:cfvo type="num">
                <xm:f>$C$32</xm:f>
              </x14:cfvo>
              <x14:borderColor theme="9" tint="0.59999389629810485"/>
              <x14:negativeFillColor rgb="FFFF0000"/>
              <x14:axisColor rgb="FF000000"/>
            </x14:dataBar>
          </x14:cfRule>
          <xm:sqref>DK32:DK81</xm:sqref>
        </x14:conditionalFormatting>
        <x14:conditionalFormatting xmlns:xm="http://schemas.microsoft.com/office/excel/2006/main">
          <x14:cfRule type="dataBar" id="{3957267D-6934-4570-A409-3139F4E41AD3}">
            <x14:dataBar minLength="0" maxLength="100" border="1" gradient="0" direction="leftToRight">
              <x14:cfvo type="num">
                <xm:f>0</xm:f>
              </x14:cfvo>
              <x14:cfvo type="num">
                <xm:f>$D$32</xm:f>
              </x14:cfvo>
              <x14:borderColor theme="9" tint="0.59999389629810485"/>
              <x14:negativeFillColor rgb="FFFF0000"/>
              <x14:axisColor rgb="FF000000"/>
            </x14:dataBar>
          </x14:cfRule>
          <xm:sqref>DL32:DL81</xm:sqref>
        </x14:conditionalFormatting>
        <x14:conditionalFormatting xmlns:xm="http://schemas.microsoft.com/office/excel/2006/main">
          <x14:cfRule type="dataBar" id="{D1B267D6-A30E-45AC-A032-DCE7FDBDF562}">
            <x14:dataBar minLength="0" maxLength="100" border="1" gradient="0" direction="leftToRight">
              <x14:cfvo type="num">
                <xm:f>0</xm:f>
              </x14:cfvo>
              <x14:cfvo type="num">
                <xm:f>$C$32</xm:f>
              </x14:cfvo>
              <x14:borderColor theme="9" tint="0.59999389629810485"/>
              <x14:negativeFillColor rgb="FFFF0000"/>
              <x14:axisColor rgb="FF000000"/>
            </x14:dataBar>
          </x14:cfRule>
          <xm:sqref>EA32:EA81</xm:sqref>
        </x14:conditionalFormatting>
        <x14:conditionalFormatting xmlns:xm="http://schemas.microsoft.com/office/excel/2006/main">
          <x14:cfRule type="dataBar" id="{5F6C2559-F3F6-4F21-B4C8-51C1746DF77B}">
            <x14:dataBar minLength="0" maxLength="100" border="1" gradient="0" direction="leftToRight">
              <x14:cfvo type="num">
                <xm:f>0</xm:f>
              </x14:cfvo>
              <x14:cfvo type="num">
                <xm:f>$D$32</xm:f>
              </x14:cfvo>
              <x14:borderColor theme="9" tint="0.59999389629810485"/>
              <x14:negativeFillColor rgb="FFFF0000"/>
              <x14:axisColor rgb="FF000000"/>
            </x14:dataBar>
          </x14:cfRule>
          <xm:sqref>EB32:EB81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3A65-F22C-49E2-A8F1-DEA0D66B084E}">
  <dimension ref="B6:R34"/>
  <sheetViews>
    <sheetView zoomScaleNormal="100" workbookViewId="0">
      <selection activeCell="R20" sqref="R20"/>
    </sheetView>
  </sheetViews>
  <sheetFormatPr defaultRowHeight="15"/>
  <cols>
    <col min="1" max="7" width="9.7109375" customWidth="1"/>
    <col min="8" max="8" width="10.7109375" customWidth="1"/>
    <col min="9" max="9" width="9.7109375" customWidth="1"/>
    <col min="10" max="10" width="9.85546875" customWidth="1"/>
    <col min="11" max="11" width="11.85546875" customWidth="1"/>
    <col min="12" max="12" width="11.5703125" customWidth="1"/>
    <col min="13" max="13" width="10.7109375" customWidth="1"/>
    <col min="14" max="14" width="11.7109375" customWidth="1"/>
  </cols>
  <sheetData>
    <row r="6" spans="2:18">
      <c r="L6" s="27" t="s">
        <v>172</v>
      </c>
      <c r="M6" s="28"/>
      <c r="N6" s="29"/>
    </row>
    <row r="7" spans="2:18">
      <c r="L7" s="30" t="s">
        <v>173</v>
      </c>
      <c r="N7" s="31"/>
    </row>
    <row r="8" spans="2:18">
      <c r="L8" s="30" t="s">
        <v>15</v>
      </c>
      <c r="M8" t="s">
        <v>174</v>
      </c>
      <c r="N8" s="156">
        <v>0.65</v>
      </c>
    </row>
    <row r="9" spans="2:18">
      <c r="D9" s="49"/>
      <c r="E9" s="36"/>
      <c r="L9" s="32" t="s">
        <v>37</v>
      </c>
      <c r="M9" s="33" t="s">
        <v>175</v>
      </c>
      <c r="N9" s="157">
        <v>0.9</v>
      </c>
    </row>
    <row r="12" spans="2:18" ht="15.75" thickBot="1"/>
    <row r="13" spans="2:18" s="58" customFormat="1" ht="21" customHeight="1" thickTop="1">
      <c r="B13" s="55" t="s">
        <v>85</v>
      </c>
      <c r="C13" s="56" t="s">
        <v>146</v>
      </c>
      <c r="D13" s="56" t="s">
        <v>145</v>
      </c>
      <c r="E13" s="56" t="s">
        <v>93</v>
      </c>
      <c r="F13" s="140" t="s">
        <v>150</v>
      </c>
      <c r="G13" s="140" t="s">
        <v>196</v>
      </c>
      <c r="H13" s="140" t="s">
        <v>197</v>
      </c>
      <c r="I13" s="102" t="s">
        <v>18</v>
      </c>
      <c r="J13" s="102"/>
      <c r="K13" s="102" t="s">
        <v>20</v>
      </c>
      <c r="L13" s="102"/>
      <c r="M13" s="102" t="s">
        <v>152</v>
      </c>
      <c r="N13" s="102"/>
      <c r="O13" s="102" t="s">
        <v>153</v>
      </c>
      <c r="P13" s="135"/>
      <c r="Q13"/>
      <c r="R13"/>
    </row>
    <row r="14" spans="2:18">
      <c r="B14" s="59"/>
      <c r="C14" s="60"/>
      <c r="D14" s="60"/>
      <c r="E14" s="60"/>
      <c r="F14" s="141" t="s">
        <v>13</v>
      </c>
      <c r="G14" s="141"/>
      <c r="H14" s="141" t="s">
        <v>213</v>
      </c>
      <c r="I14" s="60" t="s">
        <v>15</v>
      </c>
      <c r="J14" s="60" t="s">
        <v>37</v>
      </c>
      <c r="K14" s="60" t="s">
        <v>15</v>
      </c>
      <c r="L14" s="60" t="s">
        <v>37</v>
      </c>
      <c r="M14" s="60" t="s">
        <v>132</v>
      </c>
      <c r="N14" s="60" t="s">
        <v>154</v>
      </c>
      <c r="O14" s="60" t="s">
        <v>132</v>
      </c>
      <c r="P14" s="61" t="s">
        <v>154</v>
      </c>
    </row>
    <row r="15" spans="2:18">
      <c r="B15" s="25" t="s">
        <v>78</v>
      </c>
      <c r="C15" s="132" t="s">
        <v>149</v>
      </c>
      <c r="D15" s="51"/>
      <c r="E15" s="51"/>
      <c r="F15" s="83">
        <f t="shared" ref="F15:F32" si="0">+N15/M15</f>
        <v>-7.3437033920894885E-3</v>
      </c>
      <c r="G15" s="160">
        <f>+ecu</f>
        <v>3.3E-3</v>
      </c>
      <c r="H15" s="83">
        <v>0</v>
      </c>
      <c r="I15" s="103">
        <f>+P0!K8</f>
        <v>6120</v>
      </c>
      <c r="J15" s="88">
        <f>+P0!L8</f>
        <v>3313.0984797345677</v>
      </c>
      <c r="K15" s="103">
        <f>+P0!K9</f>
        <v>0</v>
      </c>
      <c r="L15" s="88">
        <f>+P0!L9</f>
        <v>-69.273877303540942</v>
      </c>
      <c r="M15" s="89">
        <f t="shared" ref="M15:M33" si="1">+I15+J15</f>
        <v>9433.0984797345682</v>
      </c>
      <c r="N15" s="89">
        <f t="shared" ref="N15:N33" si="2">+K15+L15</f>
        <v>-69.273877303540942</v>
      </c>
      <c r="O15" s="89">
        <f>0.65*I15+0.9*J15</f>
        <v>6959.788631761111</v>
      </c>
      <c r="P15" s="136">
        <f>0.65*K15+0.9*L15</f>
        <v>-62.346489573186851</v>
      </c>
    </row>
    <row r="16" spans="2:18">
      <c r="B16" s="142" t="s">
        <v>86</v>
      </c>
      <c r="C16" s="143">
        <v>3</v>
      </c>
      <c r="D16" s="144"/>
      <c r="E16" s="145"/>
      <c r="F16" s="146">
        <f t="shared" si="0"/>
        <v>-7.3437033920894885E-3</v>
      </c>
      <c r="G16" s="197">
        <f>+P_c!O5</f>
        <v>2.6773584905660374E-3</v>
      </c>
      <c r="H16" s="198">
        <f>+P_c!P5</f>
        <v>2.0754716981132075E-6</v>
      </c>
      <c r="I16" s="147">
        <f>+P_c!Q5</f>
        <v>6120</v>
      </c>
      <c r="J16" s="147">
        <f>+P_c!R5</f>
        <v>3313.0984797345677</v>
      </c>
      <c r="K16" s="147">
        <f>+P_c!S5</f>
        <v>0</v>
      </c>
      <c r="L16" s="147">
        <f>+P_c!T5</f>
        <v>-69.273877303540942</v>
      </c>
      <c r="M16" s="148">
        <f t="shared" si="1"/>
        <v>9433.0984797345682</v>
      </c>
      <c r="N16" s="148">
        <f t="shared" si="2"/>
        <v>-69.273877303540942</v>
      </c>
      <c r="O16" s="148">
        <f t="shared" ref="O16:O33" si="3">0.65*I16+0.9*J16</f>
        <v>6959.788631761111</v>
      </c>
      <c r="P16" s="149">
        <f t="shared" ref="P16:P33" si="4">0.65*K16+0.9*L16</f>
        <v>-62.346489573186851</v>
      </c>
    </row>
    <row r="17" spans="2:16">
      <c r="B17" s="142" t="s">
        <v>87</v>
      </c>
      <c r="C17" s="143">
        <v>2</v>
      </c>
      <c r="D17" s="146"/>
      <c r="E17" s="144"/>
      <c r="F17" s="146">
        <f t="shared" si="0"/>
        <v>-4.0890029493448381E-4</v>
      </c>
      <c r="G17" s="197">
        <f>+P_c!O6</f>
        <v>2.3660377358490567E-3</v>
      </c>
      <c r="H17" s="198">
        <f>+P_c!P6</f>
        <v>3.1132075471698111E-6</v>
      </c>
      <c r="I17" s="147">
        <f>+P_c!Q6</f>
        <v>6070.0405216447125</v>
      </c>
      <c r="J17" s="147">
        <f>+P_c!R6</f>
        <v>3077.9936502994419</v>
      </c>
      <c r="K17" s="147">
        <f>+P_c!S6</f>
        <v>12.701906346386682</v>
      </c>
      <c r="L17" s="147">
        <f>+P_c!T6</f>
        <v>-16.442540217365384</v>
      </c>
      <c r="M17" s="148">
        <f t="shared" si="1"/>
        <v>9148.0341719441549</v>
      </c>
      <c r="N17" s="148">
        <f t="shared" si="2"/>
        <v>-3.7406338709787015</v>
      </c>
      <c r="O17" s="148">
        <f t="shared" si="3"/>
        <v>6715.7206243385608</v>
      </c>
      <c r="P17" s="149">
        <f t="shared" si="4"/>
        <v>-6.5420470704775013</v>
      </c>
    </row>
    <row r="18" spans="2:16">
      <c r="B18" s="142" t="s">
        <v>88</v>
      </c>
      <c r="C18" s="143">
        <v>1.5</v>
      </c>
      <c r="D18" s="146"/>
      <c r="E18" s="144"/>
      <c r="F18" s="146">
        <f t="shared" si="0"/>
        <v>1.8978204457729284E-2</v>
      </c>
      <c r="G18" s="197">
        <f>+P_c!O7</f>
        <v>2.0547169811320756E-3</v>
      </c>
      <c r="H18" s="198">
        <f>+P_c!P7</f>
        <v>4.1509433962264151E-6</v>
      </c>
      <c r="I18" s="147">
        <f>+P_c!Q7</f>
        <v>5774.5845681167675</v>
      </c>
      <c r="J18" s="147">
        <f>+P_c!R7</f>
        <v>2597.0692460437704</v>
      </c>
      <c r="K18" s="147">
        <f>+P_c!S7</f>
        <v>78.824372531491548</v>
      </c>
      <c r="L18" s="147">
        <f>+P_c!T7</f>
        <v>80.054585202976341</v>
      </c>
      <c r="M18" s="148">
        <f t="shared" si="1"/>
        <v>8371.6538141605379</v>
      </c>
      <c r="N18" s="148">
        <f t="shared" si="2"/>
        <v>158.87895773446789</v>
      </c>
      <c r="O18" s="148">
        <f t="shared" si="3"/>
        <v>6090.8422907152926</v>
      </c>
      <c r="P18" s="149">
        <f t="shared" si="4"/>
        <v>123.28496882814821</v>
      </c>
    </row>
    <row r="19" spans="2:16">
      <c r="B19" s="142" t="s">
        <v>90</v>
      </c>
      <c r="C19" s="143">
        <v>1.2</v>
      </c>
      <c r="D19" s="146"/>
      <c r="E19" s="144"/>
      <c r="F19" s="146">
        <f t="shared" si="0"/>
        <v>5.2318168306109684E-2</v>
      </c>
      <c r="G19" s="197">
        <f>+P_c!O8</f>
        <v>1.7433962264150943E-3</v>
      </c>
      <c r="H19" s="198">
        <f>+P_c!P8</f>
        <v>5.1886792452830191E-6</v>
      </c>
      <c r="I19" s="147">
        <f>+P_c!Q8</f>
        <v>5143.7138901744383</v>
      </c>
      <c r="J19" s="147">
        <f>+P_c!R8</f>
        <v>2132.6359487883983</v>
      </c>
      <c r="K19" s="147">
        <f>+P_c!S8</f>
        <v>207.51818198469212</v>
      </c>
      <c r="L19" s="147">
        <f>+P_c!T8</f>
        <v>173.16711354429967</v>
      </c>
      <c r="M19" s="148">
        <f t="shared" si="1"/>
        <v>7276.3498389628367</v>
      </c>
      <c r="N19" s="148">
        <f t="shared" si="2"/>
        <v>380.68529552899179</v>
      </c>
      <c r="O19" s="148">
        <f t="shared" si="3"/>
        <v>5262.7863825229433</v>
      </c>
      <c r="P19" s="149">
        <f t="shared" si="4"/>
        <v>290.73722047991959</v>
      </c>
    </row>
    <row r="20" spans="2:16">
      <c r="B20" s="142" t="s">
        <v>155</v>
      </c>
      <c r="C20" s="143">
        <v>1</v>
      </c>
      <c r="D20" s="150">
        <v>0</v>
      </c>
      <c r="E20" s="144"/>
      <c r="F20" s="146">
        <f t="shared" si="0"/>
        <v>0.10259868736911008</v>
      </c>
      <c r="G20" s="197">
        <f>+P_c!O9</f>
        <v>1.4320754716981132E-3</v>
      </c>
      <c r="H20" s="198">
        <f>+P_c!P9</f>
        <v>6.2264150943396222E-6</v>
      </c>
      <c r="I20" s="147">
        <f>+P_c!Q9</f>
        <v>4314.1742367000006</v>
      </c>
      <c r="J20" s="147">
        <f>+P_c!R9</f>
        <v>1684.6937585333271</v>
      </c>
      <c r="K20" s="147">
        <f>+P_c!S9</f>
        <v>352.5809372048999</v>
      </c>
      <c r="L20" s="147">
        <f>+P_c!T9</f>
        <v>262.89504480660452</v>
      </c>
      <c r="M20" s="148">
        <f t="shared" si="1"/>
        <v>5998.8679952333277</v>
      </c>
      <c r="N20" s="148">
        <f t="shared" si="2"/>
        <v>615.47598201150436</v>
      </c>
      <c r="O20" s="148">
        <f t="shared" si="3"/>
        <v>4320.4376365349945</v>
      </c>
      <c r="P20" s="149">
        <f t="shared" si="4"/>
        <v>465.78314950912898</v>
      </c>
    </row>
    <row r="21" spans="2:16">
      <c r="B21" s="25" t="s">
        <v>133</v>
      </c>
      <c r="C21" s="51"/>
      <c r="D21" s="134">
        <v>0.25</v>
      </c>
      <c r="E21" s="51"/>
      <c r="F21" s="83">
        <f t="shared" si="0"/>
        <v>0.15342688237609914</v>
      </c>
      <c r="G21" s="160">
        <f>+P_fy!O6</f>
        <v>1.149056603773585E-3</v>
      </c>
      <c r="H21" s="176">
        <f>+P_fy!P6</f>
        <v>7.1698113207547164E-6</v>
      </c>
      <c r="I21" s="103">
        <f>+P_fy!Q6</f>
        <v>3746.519731871052</v>
      </c>
      <c r="J21" s="103">
        <f>+P_fy!R6</f>
        <v>1245.6403374305719</v>
      </c>
      <c r="K21" s="103">
        <f>+P_fy!S6</f>
        <v>413.78965743267719</v>
      </c>
      <c r="L21" s="103">
        <f>+P_fy!T6</f>
        <v>352.14189832272206</v>
      </c>
      <c r="M21" s="89">
        <f t="shared" si="1"/>
        <v>4992.1600693016244</v>
      </c>
      <c r="N21" s="89">
        <f t="shared" si="2"/>
        <v>765.93155575539924</v>
      </c>
      <c r="O21" s="89">
        <f t="shared" si="3"/>
        <v>3556.3141294036986</v>
      </c>
      <c r="P21" s="136">
        <f t="shared" si="4"/>
        <v>585.89098582169004</v>
      </c>
    </row>
    <row r="22" spans="2:16">
      <c r="B22" s="25" t="s">
        <v>134</v>
      </c>
      <c r="C22" s="51"/>
      <c r="D22" s="134">
        <v>0.5</v>
      </c>
      <c r="E22" s="51"/>
      <c r="F22" s="83">
        <f t="shared" si="0"/>
        <v>0.2146518115589251</v>
      </c>
      <c r="G22" s="160">
        <f>+P_fy!O7</f>
        <v>8.6603773584905655E-4</v>
      </c>
      <c r="H22" s="176">
        <f>+P_fy!P7</f>
        <v>8.1132075471698107E-6</v>
      </c>
      <c r="I22" s="103">
        <f>+P_fy!Q7</f>
        <v>3310.8779025837202</v>
      </c>
      <c r="J22" s="103">
        <f>+P_fy!R7</f>
        <v>776.42899685169402</v>
      </c>
      <c r="K22" s="103">
        <f>+P_fy!S7</f>
        <v>438.65002166005195</v>
      </c>
      <c r="L22" s="103">
        <f>+P_fy!T7</f>
        <v>438.69780870105313</v>
      </c>
      <c r="M22" s="89">
        <f t="shared" si="1"/>
        <v>4087.3068994354144</v>
      </c>
      <c r="N22" s="89">
        <f t="shared" si="2"/>
        <v>877.34783036110503</v>
      </c>
      <c r="O22" s="89">
        <f t="shared" si="3"/>
        <v>2850.8567338459429</v>
      </c>
      <c r="P22" s="136">
        <f t="shared" si="4"/>
        <v>679.95054190998155</v>
      </c>
    </row>
    <row r="23" spans="2:16">
      <c r="B23" s="25" t="s">
        <v>135</v>
      </c>
      <c r="C23" s="51"/>
      <c r="D23" s="134">
        <v>0.75</v>
      </c>
      <c r="E23" s="51"/>
      <c r="F23" s="83">
        <f t="shared" si="0"/>
        <v>0.29875885467477675</v>
      </c>
      <c r="G23" s="160">
        <f>+P_fy!O8</f>
        <v>5.8301886792452785E-4</v>
      </c>
      <c r="H23" s="176">
        <f>+P_fy!P8</f>
        <v>9.0566037735849066E-6</v>
      </c>
      <c r="I23" s="103">
        <f>+P_fy!Q8</f>
        <v>2965.9947877312502</v>
      </c>
      <c r="J23" s="103">
        <f>+P_fy!R8</f>
        <v>273.16047529367734</v>
      </c>
      <c r="K23" s="103">
        <f>+P_fy!S8</f>
        <v>444.71159495055826</v>
      </c>
      <c r="L23" s="103">
        <f>+P_fy!T8</f>
        <v>523.01472154454427</v>
      </c>
      <c r="M23" s="89">
        <f t="shared" si="1"/>
        <v>3239.1552630249275</v>
      </c>
      <c r="N23" s="89">
        <f t="shared" si="2"/>
        <v>967.72631649510254</v>
      </c>
      <c r="O23" s="89">
        <f t="shared" si="3"/>
        <v>2173.7410397896224</v>
      </c>
      <c r="P23" s="136">
        <f t="shared" si="4"/>
        <v>759.77578610795274</v>
      </c>
    </row>
    <row r="24" spans="2:16">
      <c r="B24" s="25" t="s">
        <v>156</v>
      </c>
      <c r="C24" s="51"/>
      <c r="D24" s="134">
        <v>1</v>
      </c>
      <c r="E24" s="132">
        <v>2E-3</v>
      </c>
      <c r="F24" s="83">
        <f t="shared" si="0"/>
        <v>0.42668097946826961</v>
      </c>
      <c r="G24" s="160">
        <f>+P_fy!O9</f>
        <v>3.0000000000000003E-4</v>
      </c>
      <c r="H24" s="176">
        <f>+P_fy!P9</f>
        <v>9.9999999999999991E-6</v>
      </c>
      <c r="I24" s="103">
        <f>+P_fy!Q9</f>
        <v>2686.1839587000009</v>
      </c>
      <c r="J24" s="103">
        <f>+P_fy!R9</f>
        <v>-229.58055395679816</v>
      </c>
      <c r="K24" s="103">
        <f>+P_fy!S9</f>
        <v>440.78573851290008</v>
      </c>
      <c r="L24" s="103">
        <f>+P_fy!T9</f>
        <v>607.40020838801559</v>
      </c>
      <c r="M24" s="89">
        <f t="shared" si="1"/>
        <v>2456.6034047432026</v>
      </c>
      <c r="N24" s="89">
        <f t="shared" si="2"/>
        <v>1048.1859469009157</v>
      </c>
      <c r="O24" s="89">
        <f t="shared" si="3"/>
        <v>1539.3970745938823</v>
      </c>
      <c r="P24" s="136">
        <f t="shared" si="4"/>
        <v>833.17091758259903</v>
      </c>
    </row>
    <row r="25" spans="2:16">
      <c r="B25" s="142" t="s">
        <v>136</v>
      </c>
      <c r="C25" s="144"/>
      <c r="D25" s="144"/>
      <c r="E25" s="151">
        <v>3.0000000000000001E-3</v>
      </c>
      <c r="F25" s="146">
        <f t="shared" si="0"/>
        <v>0.62762758304899791</v>
      </c>
      <c r="G25" s="197">
        <f>+P_es!O6</f>
        <v>-2.6603773584905622E-4</v>
      </c>
      <c r="H25" s="198">
        <f>+P_es!P6</f>
        <v>1.1886792452830188E-5</v>
      </c>
      <c r="I25" s="147">
        <f>+P_es!Q6</f>
        <v>2259.8055525571431</v>
      </c>
      <c r="J25" s="147">
        <f>+P_es!R6</f>
        <v>-590.08196007993979</v>
      </c>
      <c r="K25" s="147">
        <f>+P_es!S6</f>
        <v>419.56925898615162</v>
      </c>
      <c r="L25" s="147">
        <f>+P_es!T6</f>
        <v>628.3953237202054</v>
      </c>
      <c r="M25" s="148">
        <f t="shared" si="1"/>
        <v>1669.7235924772033</v>
      </c>
      <c r="N25" s="148">
        <f t="shared" si="2"/>
        <v>1047.9645827063571</v>
      </c>
      <c r="O25" s="148">
        <f t="shared" si="3"/>
        <v>937.79984509019732</v>
      </c>
      <c r="P25" s="149">
        <f t="shared" si="4"/>
        <v>838.27580968918346</v>
      </c>
    </row>
    <row r="26" spans="2:16">
      <c r="B26" s="142" t="s">
        <v>137</v>
      </c>
      <c r="C26" s="144"/>
      <c r="D26" s="144"/>
      <c r="E26" s="151">
        <v>5.0000000000000001E-3</v>
      </c>
      <c r="F26" s="146">
        <f t="shared" si="0"/>
        <v>1.1205976923570145</v>
      </c>
      <c r="G26" s="197">
        <f>+P_es!O7</f>
        <v>-1.3981132075471701E-3</v>
      </c>
      <c r="H26" s="198">
        <f>+P_es!P7</f>
        <v>1.5660377358490568E-5</v>
      </c>
      <c r="I26" s="147">
        <f>+P_es!Q7</f>
        <v>1715.2740941096383</v>
      </c>
      <c r="J26" s="147">
        <f>+P_es!R7</f>
        <v>-843.45051242258705</v>
      </c>
      <c r="K26" s="147">
        <f>+P_es!S7</f>
        <v>365.72461718429895</v>
      </c>
      <c r="L26" s="147">
        <f>+P_es!T7</f>
        <v>611.23887659663774</v>
      </c>
      <c r="M26" s="148">
        <f t="shared" si="1"/>
        <v>871.82358168705127</v>
      </c>
      <c r="N26" s="148">
        <f t="shared" si="2"/>
        <v>976.96349378093669</v>
      </c>
      <c r="O26" s="148">
        <f t="shared" si="3"/>
        <v>355.8226999909366</v>
      </c>
      <c r="P26" s="149">
        <f t="shared" si="4"/>
        <v>787.83599010676835</v>
      </c>
    </row>
    <row r="27" spans="2:16">
      <c r="B27" s="142" t="s">
        <v>138</v>
      </c>
      <c r="C27" s="144"/>
      <c r="D27" s="144"/>
      <c r="E27" s="151">
        <v>7.4999999999999997E-3</v>
      </c>
      <c r="F27" s="146">
        <f t="shared" si="0"/>
        <v>4.9099116007200392</v>
      </c>
      <c r="G27" s="197">
        <f>+P_es!O8</f>
        <v>-2.8132075471698119E-3</v>
      </c>
      <c r="H27" s="198">
        <f>+P_es!P8</f>
        <v>2.0377358490566041E-5</v>
      </c>
      <c r="I27" s="147">
        <f>+P_es!Q8</f>
        <v>1318.2199056583329</v>
      </c>
      <c r="J27" s="147">
        <f>+P_es!R8</f>
        <v>-1140.1850491225766</v>
      </c>
      <c r="K27" s="147">
        <f>+P_es!S8</f>
        <v>307.54758327896843</v>
      </c>
      <c r="L27" s="147">
        <f>+P_es!T8</f>
        <v>566.58782415846918</v>
      </c>
      <c r="M27" s="148">
        <f t="shared" si="1"/>
        <v>178.03485653575626</v>
      </c>
      <c r="N27" s="148">
        <f t="shared" si="2"/>
        <v>874.13540743743761</v>
      </c>
      <c r="O27" s="148">
        <f t="shared" si="3"/>
        <v>-169.32360553240255</v>
      </c>
      <c r="P27" s="149">
        <f t="shared" si="4"/>
        <v>709.83497087395176</v>
      </c>
    </row>
    <row r="28" spans="2:16">
      <c r="B28" s="142" t="s">
        <v>139</v>
      </c>
      <c r="C28" s="144"/>
      <c r="D28" s="144"/>
      <c r="E28" s="151">
        <v>0.01</v>
      </c>
      <c r="F28" s="146">
        <f t="shared" si="0"/>
        <v>-1.5704666244325123</v>
      </c>
      <c r="G28" s="197">
        <f>+P_es!O9</f>
        <v>-4.2283018867924531E-3</v>
      </c>
      <c r="H28" s="198">
        <f>+P_es!P9</f>
        <v>2.509433962264151E-5</v>
      </c>
      <c r="I28" s="147">
        <f>+P_es!Q9</f>
        <v>1070.4342091060148</v>
      </c>
      <c r="J28" s="147">
        <f>+P_es!R9</f>
        <v>-1554.5224099833576</v>
      </c>
      <c r="K28" s="147">
        <f>+P_es!S9</f>
        <v>263.15750663967077</v>
      </c>
      <c r="L28" s="147">
        <f>+P_es!T9</f>
        <v>497.08685611977779</v>
      </c>
      <c r="M28" s="148">
        <f t="shared" si="1"/>
        <v>-484.08820087734284</v>
      </c>
      <c r="N28" s="148">
        <f t="shared" si="2"/>
        <v>760.24436275944856</v>
      </c>
      <c r="O28" s="148">
        <f t="shared" si="3"/>
        <v>-703.28793306611215</v>
      </c>
      <c r="P28" s="149">
        <f t="shared" si="4"/>
        <v>618.43054982358603</v>
      </c>
    </row>
    <row r="29" spans="2:16">
      <c r="B29" s="142" t="s">
        <v>140</v>
      </c>
      <c r="C29" s="144"/>
      <c r="D29" s="144"/>
      <c r="E29" s="151">
        <v>1.4999999999999999E-2</v>
      </c>
      <c r="F29" s="146">
        <f t="shared" si="0"/>
        <v>-0.41576123633494849</v>
      </c>
      <c r="G29" s="197">
        <f>+P_es!O10</f>
        <v>-7.0584905660377346E-3</v>
      </c>
      <c r="H29" s="198">
        <f>+P_es!P10</f>
        <v>3.4528301886792452E-5</v>
      </c>
      <c r="I29" s="147">
        <f>+P_es!Q10</f>
        <v>777.96584596229502</v>
      </c>
      <c r="J29" s="147">
        <f>+P_es!R10</f>
        <v>-2189.8277532906977</v>
      </c>
      <c r="K29" s="147">
        <f>+P_es!S10</f>
        <v>202.76835325377397</v>
      </c>
      <c r="L29" s="147">
        <f>+P_es!T10</f>
        <v>384.22909887130123</v>
      </c>
      <c r="M29" s="148">
        <f t="shared" si="1"/>
        <v>-1411.8619073284026</v>
      </c>
      <c r="N29" s="148">
        <f t="shared" si="2"/>
        <v>586.99745212507514</v>
      </c>
      <c r="O29" s="148">
        <f t="shared" si="3"/>
        <v>-1465.1671780861363</v>
      </c>
      <c r="P29" s="149">
        <f t="shared" si="4"/>
        <v>477.60561859912423</v>
      </c>
    </row>
    <row r="30" spans="2:16">
      <c r="B30" s="142" t="s">
        <v>141</v>
      </c>
      <c r="C30" s="144"/>
      <c r="D30" s="144"/>
      <c r="E30" s="151">
        <v>2.5000000000000001E-2</v>
      </c>
      <c r="F30" s="146">
        <f t="shared" si="0"/>
        <v>-0.1689471922618736</v>
      </c>
      <c r="G30" s="197">
        <f>+P_es!O11</f>
        <v>-1.2718867924528301E-2</v>
      </c>
      <c r="H30" s="198">
        <f>+P_es!P11</f>
        <v>5.3396226415094344E-5</v>
      </c>
      <c r="I30" s="147">
        <f>+P_es!Q11</f>
        <v>503.06625374947015</v>
      </c>
      <c r="J30" s="147">
        <f>+P_es!R11</f>
        <v>-2784.8215367815183</v>
      </c>
      <c r="K30" s="147">
        <f>+P_es!S11</f>
        <v>138.1156198285488</v>
      </c>
      <c r="L30" s="147">
        <f>+P_es!T11</f>
        <v>247.3805286684125</v>
      </c>
      <c r="M30" s="148">
        <f t="shared" si="1"/>
        <v>-2281.7552830320483</v>
      </c>
      <c r="N30" s="148">
        <f t="shared" si="2"/>
        <v>385.49614849696127</v>
      </c>
      <c r="O30" s="148">
        <f t="shared" si="3"/>
        <v>-2179.3463181662109</v>
      </c>
      <c r="P30" s="149">
        <f t="shared" si="4"/>
        <v>312.41762869012797</v>
      </c>
    </row>
    <row r="31" spans="2:16">
      <c r="B31" s="142" t="s">
        <v>142</v>
      </c>
      <c r="C31" s="144"/>
      <c r="D31" s="144"/>
      <c r="E31" s="151">
        <v>0.03</v>
      </c>
      <c r="F31" s="146">
        <f t="shared" si="0"/>
        <v>-0.10953068999560168</v>
      </c>
      <c r="G31" s="197">
        <f>+P_es!O12</f>
        <v>-1.5549056603773584E-2</v>
      </c>
      <c r="H31" s="198">
        <f>+P_es!P12</f>
        <v>6.2830188679245276E-5</v>
      </c>
      <c r="I31" s="147">
        <f>+P_es!Q12</f>
        <v>427.53078021351354</v>
      </c>
      <c r="J31" s="147">
        <f>+P_es!R12</f>
        <v>-3103.4857274550795</v>
      </c>
      <c r="K31" s="147">
        <f>+P_es!S12</f>
        <v>119.01142695501927</v>
      </c>
      <c r="L31" s="147">
        <f>+P_es!T12</f>
        <v>174.08776481349335</v>
      </c>
      <c r="M31" s="148">
        <f t="shared" si="1"/>
        <v>-2675.9549472415661</v>
      </c>
      <c r="N31" s="148">
        <f t="shared" si="2"/>
        <v>293.09919176851264</v>
      </c>
      <c r="O31" s="148">
        <f t="shared" si="3"/>
        <v>-2515.2421475707879</v>
      </c>
      <c r="P31" s="149">
        <f t="shared" si="4"/>
        <v>234.03641585290654</v>
      </c>
    </row>
    <row r="32" spans="2:16">
      <c r="B32" s="142" t="s">
        <v>143</v>
      </c>
      <c r="C32" s="144"/>
      <c r="D32" s="144"/>
      <c r="E32" s="151">
        <v>0.05</v>
      </c>
      <c r="F32" s="146">
        <f t="shared" si="0"/>
        <v>-4.6006167381672756E-2</v>
      </c>
      <c r="G32" s="197">
        <f>+P_es!O13</f>
        <v>-2.6869811320754722E-2</v>
      </c>
      <c r="H32" s="198">
        <f>+P_es!P13</f>
        <v>1.0056603773584907E-4</v>
      </c>
      <c r="I32" s="147">
        <f>+P_es!Q13</f>
        <v>267.10647244108816</v>
      </c>
      <c r="J32" s="147">
        <f>+P_es!R13</f>
        <v>-3538.6899650035425</v>
      </c>
      <c r="K32" s="147">
        <f>+P_es!S13</f>
        <v>76.52222758459898</v>
      </c>
      <c r="L32" s="147">
        <f>+P_es!T13</f>
        <v>73.990790177346838</v>
      </c>
      <c r="M32" s="148">
        <f t="shared" si="1"/>
        <v>-3271.5834925624545</v>
      </c>
      <c r="N32" s="148">
        <f t="shared" si="2"/>
        <v>150.51301776194583</v>
      </c>
      <c r="O32" s="148">
        <f t="shared" si="3"/>
        <v>-3011.2017614164811</v>
      </c>
      <c r="P32" s="149">
        <f t="shared" si="4"/>
        <v>116.3311590896015</v>
      </c>
    </row>
    <row r="33" spans="2:16" ht="15.75" thickBot="1">
      <c r="B33" s="26" t="s">
        <v>144</v>
      </c>
      <c r="C33" s="133" t="s">
        <v>148</v>
      </c>
      <c r="D33" s="126"/>
      <c r="E33" s="126"/>
      <c r="F33" s="95"/>
      <c r="G33" s="199">
        <v>-0.05</v>
      </c>
      <c r="H33" s="95">
        <v>0</v>
      </c>
      <c r="I33" s="137">
        <f>+P0!K14</f>
        <v>0</v>
      </c>
      <c r="J33" s="137">
        <f>+P0!L14</f>
        <v>-3538.6899650035425</v>
      </c>
      <c r="K33" s="137">
        <f>+P0!K15</f>
        <v>0</v>
      </c>
      <c r="L33" s="137">
        <f>+P0!L15</f>
        <v>73.990790177346838</v>
      </c>
      <c r="M33" s="138">
        <f t="shared" si="1"/>
        <v>-3538.6899650035425</v>
      </c>
      <c r="N33" s="138">
        <f t="shared" si="2"/>
        <v>73.990790177346838</v>
      </c>
      <c r="O33" s="138">
        <f t="shared" si="3"/>
        <v>-3184.8209685031884</v>
      </c>
      <c r="P33" s="139">
        <f t="shared" si="4"/>
        <v>66.59171115961216</v>
      </c>
    </row>
    <row r="34" spans="2:16" ht="15.75" thickTop="1"/>
  </sheetData>
  <phoneticPr fontId="27" type="noConversion"/>
  <pageMargins left="0.59055118110236227" right="0.59055118110236227" top="0.78740157480314965" bottom="0.78740157480314965" header="0.31496062992125984" footer="0.31496062992125984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75FA7-8713-492F-9CC3-F079791081E7}">
  <dimension ref="A1:P139"/>
  <sheetViews>
    <sheetView zoomScaleNormal="100" workbookViewId="0">
      <selection activeCell="E22" sqref="E22"/>
    </sheetView>
  </sheetViews>
  <sheetFormatPr defaultRowHeight="15"/>
  <cols>
    <col min="1" max="4" width="9.7109375" customWidth="1"/>
    <col min="5" max="5" width="12" customWidth="1"/>
    <col min="6" max="8" width="9.7109375" customWidth="1"/>
    <col min="9" max="9" width="11.85546875" customWidth="1"/>
    <col min="10" max="10" width="9.42578125" bestFit="1" customWidth="1"/>
    <col min="15" max="15" width="12.5703125" customWidth="1"/>
    <col min="16" max="16" width="10.28515625" customWidth="1"/>
  </cols>
  <sheetData>
    <row r="1" spans="1:10" ht="18.75">
      <c r="A1" s="100" t="s">
        <v>221</v>
      </c>
    </row>
    <row r="3" spans="1:10" ht="16.5" thickBot="1">
      <c r="A3" s="200" t="s">
        <v>216</v>
      </c>
    </row>
    <row r="4" spans="1:10" ht="15.75" thickTop="1">
      <c r="A4" t="s">
        <v>214</v>
      </c>
      <c r="C4" s="7" t="s">
        <v>27</v>
      </c>
      <c r="D4" s="208">
        <v>2000</v>
      </c>
      <c r="E4" t="s">
        <v>67</v>
      </c>
    </row>
    <row r="5" spans="1:10" ht="15.75" thickBot="1">
      <c r="A5" t="s">
        <v>215</v>
      </c>
      <c r="C5" s="7" t="s">
        <v>27</v>
      </c>
      <c r="D5" s="209">
        <v>500</v>
      </c>
      <c r="E5" t="s">
        <v>68</v>
      </c>
    </row>
    <row r="6" spans="1:10" ht="15.75" thickTop="1">
      <c r="F6" s="205" t="s">
        <v>229</v>
      </c>
      <c r="G6" s="162"/>
      <c r="H6" s="162"/>
      <c r="I6" s="162"/>
      <c r="J6" s="163"/>
    </row>
    <row r="7" spans="1:10">
      <c r="F7" s="206" t="s">
        <v>231</v>
      </c>
      <c r="G7" s="165"/>
      <c r="H7" s="165"/>
      <c r="I7" s="165"/>
      <c r="J7" s="166"/>
    </row>
    <row r="8" spans="1:10" ht="16.5" thickBot="1">
      <c r="A8" s="200" t="s">
        <v>245</v>
      </c>
      <c r="F8" s="206" t="s">
        <v>232</v>
      </c>
      <c r="G8" s="165"/>
      <c r="H8" s="165"/>
      <c r="I8" s="165"/>
      <c r="J8" s="166"/>
    </row>
    <row r="9" spans="1:10" ht="15.75" thickTop="1">
      <c r="A9" s="165" t="s">
        <v>219</v>
      </c>
      <c r="B9" s="165"/>
      <c r="C9" s="201" t="s">
        <v>27</v>
      </c>
      <c r="D9" s="210">
        <v>0.2257259189685015</v>
      </c>
      <c r="E9" s="7"/>
      <c r="F9" s="206" t="s">
        <v>233</v>
      </c>
      <c r="G9" s="165"/>
      <c r="H9" s="165"/>
      <c r="I9" s="165"/>
      <c r="J9" s="166"/>
    </row>
    <row r="10" spans="1:10" ht="15.75" thickBot="1">
      <c r="A10" s="165" t="s">
        <v>220</v>
      </c>
      <c r="B10" s="165"/>
      <c r="C10" s="201" t="s">
        <v>27</v>
      </c>
      <c r="D10" s="211">
        <v>3.1369832362059147</v>
      </c>
      <c r="F10" s="206" t="s">
        <v>234</v>
      </c>
      <c r="G10" s="165"/>
      <c r="H10" s="165"/>
      <c r="I10" s="165"/>
      <c r="J10" s="166"/>
    </row>
    <row r="11" spans="1:10" ht="15.75" thickTop="1">
      <c r="A11" t="s">
        <v>217</v>
      </c>
      <c r="C11" s="7" t="s">
        <v>27</v>
      </c>
      <c r="D11">
        <f>+D9/1000</f>
        <v>2.257259189685015E-4</v>
      </c>
      <c r="F11" s="206" t="s">
        <v>230</v>
      </c>
      <c r="G11" s="165"/>
      <c r="H11" s="165"/>
      <c r="I11" s="165"/>
      <c r="J11" s="166"/>
    </row>
    <row r="12" spans="1:10">
      <c r="A12" t="s">
        <v>218</v>
      </c>
      <c r="C12" s="7" t="s">
        <v>27</v>
      </c>
      <c r="D12">
        <f>+D10/10^6</f>
        <v>3.1369832362059145E-6</v>
      </c>
      <c r="F12" s="207" t="s">
        <v>235</v>
      </c>
      <c r="G12" s="168"/>
      <c r="H12" s="168"/>
      <c r="I12" s="168"/>
      <c r="J12" s="169"/>
    </row>
    <row r="13" spans="1:10">
      <c r="G13" s="50"/>
    </row>
    <row r="14" spans="1:10" ht="15.75">
      <c r="A14" s="200" t="s">
        <v>222</v>
      </c>
      <c r="G14" s="50"/>
    </row>
    <row r="15" spans="1:10">
      <c r="A15" t="s">
        <v>223</v>
      </c>
      <c r="C15" s="7" t="s">
        <v>27</v>
      </c>
      <c r="D15" s="202">
        <f>+(E39+N39)/1000</f>
        <v>2000.0000009166022</v>
      </c>
      <c r="E15" t="s">
        <v>67</v>
      </c>
      <c r="F15" t="s">
        <v>225</v>
      </c>
      <c r="H15" s="7" t="s">
        <v>27</v>
      </c>
      <c r="I15" s="202">
        <f>+D4-D15</f>
        <v>-9.1660217549360823E-7</v>
      </c>
    </row>
    <row r="16" spans="1:10">
      <c r="A16" t="s">
        <v>224</v>
      </c>
      <c r="C16" s="7" t="s">
        <v>27</v>
      </c>
      <c r="D16" s="202">
        <f>+(F39+O39)/10^6</f>
        <v>500.00000325390351</v>
      </c>
      <c r="E16" t="s">
        <v>68</v>
      </c>
      <c r="F16" t="s">
        <v>226</v>
      </c>
      <c r="H16" s="7" t="s">
        <v>27</v>
      </c>
      <c r="I16" s="202">
        <f>+D5-D16</f>
        <v>-3.2539035146328388E-6</v>
      </c>
    </row>
    <row r="17" spans="1:8">
      <c r="C17" s="7"/>
      <c r="D17" s="202"/>
      <c r="F17" s="203" t="s">
        <v>227</v>
      </c>
      <c r="G17" s="50"/>
    </row>
    <row r="18" spans="1:8">
      <c r="F18" t="s">
        <v>228</v>
      </c>
      <c r="G18" s="50"/>
      <c r="H18" s="204">
        <f>+I15*I15+I16*I16</f>
        <v>1.1428047630659556E-11</v>
      </c>
    </row>
    <row r="19" spans="1:8">
      <c r="G19" s="50"/>
    </row>
    <row r="20" spans="1:8" ht="15.75">
      <c r="A20" s="200" t="s">
        <v>236</v>
      </c>
      <c r="G20" s="50"/>
    </row>
    <row r="21" spans="1:8">
      <c r="A21" s="212" t="s">
        <v>237</v>
      </c>
      <c r="E21" s="8">
        <f>+D12</f>
        <v>3.1369832362059145E-6</v>
      </c>
      <c r="F21" t="s">
        <v>213</v>
      </c>
      <c r="G21" s="50"/>
    </row>
    <row r="22" spans="1:8">
      <c r="A22" s="212" t="s">
        <v>238</v>
      </c>
      <c r="E22" s="8">
        <f>+D11</f>
        <v>2.257259189685015E-4</v>
      </c>
      <c r="G22" s="50"/>
    </row>
    <row r="23" spans="1:8">
      <c r="A23" s="212" t="s">
        <v>239</v>
      </c>
      <c r="E23" s="213">
        <f>IF(D12=0,"pure axial",-D11/D12)</f>
        <v>-71.956367622005558</v>
      </c>
      <c r="F23" t="s">
        <v>13</v>
      </c>
      <c r="G23" s="50"/>
    </row>
    <row r="24" spans="1:8">
      <c r="A24" s="212" t="s">
        <v>243</v>
      </c>
      <c r="E24" s="213">
        <f>IF(D12=0,"-",h/2+D11/D12)</f>
        <v>371.95636762200559</v>
      </c>
      <c r="F24" t="s">
        <v>13</v>
      </c>
      <c r="G24" s="50"/>
    </row>
    <row r="25" spans="1:8">
      <c r="A25" s="212" t="s">
        <v>240</v>
      </c>
      <c r="E25" s="214">
        <f>D11+D12*h/2</f>
        <v>1.1668208898302759E-3</v>
      </c>
      <c r="G25" s="50"/>
    </row>
    <row r="26" spans="1:8">
      <c r="A26" s="212" t="s">
        <v>241</v>
      </c>
      <c r="E26" s="214">
        <f>D11-D12*h/2</f>
        <v>-7.1536905189327287E-4</v>
      </c>
      <c r="G26" s="50"/>
    </row>
    <row r="27" spans="1:8">
      <c r="A27" s="212" t="s">
        <v>242</v>
      </c>
      <c r="E27" s="8">
        <f>IF(D4=0,"inf",D5/D4*1000)</f>
        <v>250</v>
      </c>
      <c r="F27" t="s">
        <v>13</v>
      </c>
      <c r="G27" s="50"/>
    </row>
    <row r="28" spans="1:8">
      <c r="A28" s="212"/>
      <c r="G28" s="50"/>
    </row>
    <row r="29" spans="1:8">
      <c r="G29" s="50"/>
    </row>
    <row r="30" spans="1:8">
      <c r="D30" s="36"/>
    </row>
    <row r="31" spans="1:8" ht="15.75" thickBot="1">
      <c r="A31" s="111" t="s">
        <v>191</v>
      </c>
      <c r="G31" s="50"/>
    </row>
    <row r="32" spans="1:8" ht="15.75" thickTop="1">
      <c r="A32" s="67" t="s">
        <v>1</v>
      </c>
      <c r="B32" s="68">
        <v>100</v>
      </c>
      <c r="C32" s="13" t="s">
        <v>39</v>
      </c>
      <c r="G32" s="50"/>
    </row>
    <row r="33" spans="1:16">
      <c r="A33" s="69" t="s">
        <v>41</v>
      </c>
      <c r="B33" s="66">
        <f>h/B$32</f>
        <v>6</v>
      </c>
      <c r="C33" s="15" t="s">
        <v>13</v>
      </c>
      <c r="G33" s="50"/>
    </row>
    <row r="34" spans="1:16">
      <c r="A34" s="69" t="s">
        <v>42</v>
      </c>
      <c r="B34" s="66">
        <f>+b</f>
        <v>400</v>
      </c>
      <c r="C34" s="15" t="s">
        <v>13</v>
      </c>
      <c r="G34" s="50"/>
    </row>
    <row r="35" spans="1:16" ht="15.75" thickBot="1">
      <c r="A35" s="70" t="s">
        <v>43</v>
      </c>
      <c r="B35" s="71">
        <f>+B33*B34</f>
        <v>2400</v>
      </c>
      <c r="C35" s="18" t="s">
        <v>10</v>
      </c>
      <c r="F35" s="49"/>
      <c r="G35" s="90"/>
    </row>
    <row r="36" spans="1:16" ht="17.25" thickTop="1" thickBot="1">
      <c r="A36" s="94" t="s">
        <v>80</v>
      </c>
      <c r="I36" s="94" t="s">
        <v>79</v>
      </c>
    </row>
    <row r="37" spans="1:16" s="58" customFormat="1" ht="21" customHeight="1" thickTop="1">
      <c r="A37" s="55" t="s">
        <v>2</v>
      </c>
      <c r="B37" s="56" t="s">
        <v>3</v>
      </c>
      <c r="C37" s="56" t="s">
        <v>46</v>
      </c>
      <c r="D37" s="56" t="s">
        <v>47</v>
      </c>
      <c r="E37" s="56" t="s">
        <v>65</v>
      </c>
      <c r="F37" s="57" t="s">
        <v>66</v>
      </c>
      <c r="H37" s="55" t="s">
        <v>2</v>
      </c>
      <c r="I37" s="56" t="s">
        <v>16</v>
      </c>
      <c r="J37" s="56" t="s">
        <v>59</v>
      </c>
      <c r="K37" s="56" t="s">
        <v>58</v>
      </c>
      <c r="L37" s="56" t="s">
        <v>47</v>
      </c>
      <c r="M37" s="56" t="s">
        <v>60</v>
      </c>
      <c r="N37" s="84" t="s">
        <v>61</v>
      </c>
      <c r="O37" s="57" t="s">
        <v>63</v>
      </c>
      <c r="P37"/>
    </row>
    <row r="38" spans="1:16">
      <c r="A38" s="59" t="s">
        <v>45</v>
      </c>
      <c r="B38" s="60" t="s">
        <v>13</v>
      </c>
      <c r="C38" s="60"/>
      <c r="D38" s="60" t="s">
        <v>11</v>
      </c>
      <c r="E38" s="60" t="s">
        <v>12</v>
      </c>
      <c r="F38" s="61" t="s">
        <v>14</v>
      </c>
      <c r="H38" s="59" t="s">
        <v>45</v>
      </c>
      <c r="I38" s="60" t="s">
        <v>13</v>
      </c>
      <c r="J38" s="60"/>
      <c r="K38" s="60" t="s">
        <v>11</v>
      </c>
      <c r="L38" s="60" t="s">
        <v>11</v>
      </c>
      <c r="M38" s="60" t="s">
        <v>11</v>
      </c>
      <c r="N38" s="85" t="s">
        <v>14</v>
      </c>
      <c r="O38" s="61" t="s">
        <v>14</v>
      </c>
    </row>
    <row r="39" spans="1:16" ht="20.25" customHeight="1">
      <c r="A39" s="62" t="s">
        <v>44</v>
      </c>
      <c r="B39" s="63"/>
      <c r="C39" s="63"/>
      <c r="D39" s="63"/>
      <c r="E39" s="64">
        <f>+SUM(E40:E139)</f>
        <v>1783014.2862010098</v>
      </c>
      <c r="F39" s="65">
        <f>+SUM(F40:F139)</f>
        <v>300467143.4556042</v>
      </c>
      <c r="H39" s="62" t="s">
        <v>44</v>
      </c>
      <c r="I39" s="63"/>
      <c r="J39" s="63"/>
      <c r="K39" s="63"/>
      <c r="L39" s="64"/>
      <c r="M39" s="63"/>
      <c r="N39" s="86">
        <f>+SUM(N40:N51)</f>
        <v>216985.71471559239</v>
      </c>
      <c r="O39" s="65">
        <f>+SUM(O40:O51)</f>
        <v>199532859.79829934</v>
      </c>
    </row>
    <row r="40" spans="1:16">
      <c r="A40" s="25">
        <v>1</v>
      </c>
      <c r="B40" s="51">
        <f t="shared" ref="B40:B71" si="0">h/2-($A40-0.5)*B$33</f>
        <v>297</v>
      </c>
      <c r="C40" s="74">
        <f>$D$11+$D$12*B40</f>
        <v>1.1574099401216581E-3</v>
      </c>
      <c r="D40" s="52">
        <f t="shared" ref="D40:D89" si="1">+IF(C40&gt;=0,IF(C40&lt;=eco,1-(1-C40/eco)^n,1),0)*0.85*fck</f>
        <v>20.974017692588102</v>
      </c>
      <c r="E40" s="53">
        <f t="shared" ref="E40:E71" si="2">+D40*B$35</f>
        <v>50337.642462211443</v>
      </c>
      <c r="F40" s="54">
        <f t="shared" ref="F40:F89" si="3">+E40*B40</f>
        <v>14950279.811276799</v>
      </c>
      <c r="H40" s="25">
        <v>1</v>
      </c>
      <c r="I40" s="51">
        <f>Input!$E10</f>
        <v>230</v>
      </c>
      <c r="J40" s="74">
        <f>$D$11+$D$12*I40</f>
        <v>9.4723206329586182E-4</v>
      </c>
      <c r="K40" s="52">
        <f>J40*Es</f>
        <v>189.44641265917235</v>
      </c>
      <c r="L40" s="52">
        <f t="shared" ref="L40:L51" si="4">+IF(K40&gt;=0,IF(J40&lt;=eco,1-(1-J40/eco)^n,1),0)*0.85*fck</f>
        <v>18.434457905479164</v>
      </c>
      <c r="M40" s="83">
        <f t="shared" ref="M40:M51" si="5">MAX(MIN(K40,fy),-fy)-IF(K40&gt;=0,L40,0)</f>
        <v>171.0119547536932</v>
      </c>
      <c r="N40" s="93">
        <f>IF(AND(ISNUMBER(Input!$D10),ISNUMBER(Input!$E10)),M40*As,0)</f>
        <v>137535.97458693956</v>
      </c>
      <c r="O40" s="54">
        <f>N40*I40</f>
        <v>31633274.154996097</v>
      </c>
    </row>
    <row r="41" spans="1:16">
      <c r="A41" s="25">
        <v>2</v>
      </c>
      <c r="B41" s="51">
        <f t="shared" si="0"/>
        <v>291</v>
      </c>
      <c r="C41" s="74">
        <f t="shared" ref="C41:C104" si="6">$D$11+$D$12*B41</f>
        <v>1.1385880407044225E-3</v>
      </c>
      <c r="D41" s="52">
        <f t="shared" si="1"/>
        <v>20.769555156938782</v>
      </c>
      <c r="E41" s="53">
        <f t="shared" si="2"/>
        <v>49846.93237665308</v>
      </c>
      <c r="F41" s="54">
        <f t="shared" si="3"/>
        <v>14505457.321606046</v>
      </c>
      <c r="H41" s="25">
        <v>2</v>
      </c>
      <c r="I41" s="51">
        <f>Input!$E11</f>
        <v>230</v>
      </c>
      <c r="J41" s="74">
        <f t="shared" ref="J41:J51" si="7">$D$11+$D$12*I41</f>
        <v>9.4723206329586182E-4</v>
      </c>
      <c r="K41" s="52">
        <f t="shared" ref="K41:K51" si="8">J41*Es</f>
        <v>189.44641265917235</v>
      </c>
      <c r="L41" s="52">
        <f t="shared" si="4"/>
        <v>18.434457905479164</v>
      </c>
      <c r="M41" s="83">
        <f t="shared" si="5"/>
        <v>171.0119547536932</v>
      </c>
      <c r="N41" s="93">
        <f>IF(AND(ISNUMBER(Input!$D11),ISNUMBER(Input!$E11)),M41*As,0)</f>
        <v>137535.97458693956</v>
      </c>
      <c r="O41" s="54">
        <f t="shared" ref="O41:O51" si="9">N41*I41</f>
        <v>31633274.154996097</v>
      </c>
    </row>
    <row r="42" spans="1:16">
      <c r="A42" s="25">
        <v>3</v>
      </c>
      <c r="B42" s="51">
        <f t="shared" si="0"/>
        <v>285</v>
      </c>
      <c r="C42" s="74">
        <f t="shared" si="6"/>
        <v>1.1197661412871871E-3</v>
      </c>
      <c r="D42" s="52">
        <f t="shared" si="1"/>
        <v>20.56057575659414</v>
      </c>
      <c r="E42" s="53">
        <f t="shared" si="2"/>
        <v>49345.381815825938</v>
      </c>
      <c r="F42" s="54">
        <f t="shared" si="3"/>
        <v>14063433.817510393</v>
      </c>
      <c r="H42" s="25">
        <v>3</v>
      </c>
      <c r="I42" s="51">
        <f>Input!$E12</f>
        <v>230</v>
      </c>
      <c r="J42" s="74">
        <f t="shared" si="7"/>
        <v>9.4723206329586182E-4</v>
      </c>
      <c r="K42" s="52">
        <f t="shared" si="8"/>
        <v>189.44641265917235</v>
      </c>
      <c r="L42" s="52">
        <f t="shared" si="4"/>
        <v>18.434457905479164</v>
      </c>
      <c r="M42" s="83">
        <f t="shared" si="5"/>
        <v>171.0119547536932</v>
      </c>
      <c r="N42" s="93">
        <f>IF(AND(ISNUMBER(Input!$D12),ISNUMBER(Input!$E12)),M42*As,0)</f>
        <v>137535.97458693956</v>
      </c>
      <c r="O42" s="54">
        <f t="shared" si="9"/>
        <v>31633274.154996097</v>
      </c>
    </row>
    <row r="43" spans="1:16">
      <c r="A43" s="25">
        <v>4</v>
      </c>
      <c r="B43" s="51">
        <f t="shared" si="0"/>
        <v>279</v>
      </c>
      <c r="C43" s="74">
        <f t="shared" si="6"/>
        <v>1.1009442418699516E-3</v>
      </c>
      <c r="D43" s="52">
        <f t="shared" si="1"/>
        <v>20.347079491554172</v>
      </c>
      <c r="E43" s="53">
        <f t="shared" si="2"/>
        <v>48832.990779730011</v>
      </c>
      <c r="F43" s="54">
        <f t="shared" si="3"/>
        <v>13624404.427544674</v>
      </c>
      <c r="H43" s="25">
        <v>4</v>
      </c>
      <c r="I43" s="51">
        <f>Input!$E13</f>
        <v>0</v>
      </c>
      <c r="J43" s="74">
        <f t="shared" si="7"/>
        <v>2.257259189685015E-4</v>
      </c>
      <c r="K43" s="52">
        <f t="shared" si="8"/>
        <v>45.145183793700298</v>
      </c>
      <c r="L43" s="52">
        <f t="shared" si="4"/>
        <v>5.4311907192964259</v>
      </c>
      <c r="M43" s="83">
        <f t="shared" si="5"/>
        <v>39.713993074403874</v>
      </c>
      <c r="N43" s="93">
        <f>IF(AND(ISNUMBER(Input!$D13),ISNUMBER(Input!$E13)),M43*As,0)</f>
        <v>0</v>
      </c>
      <c r="O43" s="54">
        <f t="shared" si="9"/>
        <v>0</v>
      </c>
    </row>
    <row r="44" spans="1:16">
      <c r="A44" s="25">
        <v>5</v>
      </c>
      <c r="B44" s="51">
        <f t="shared" si="0"/>
        <v>273</v>
      </c>
      <c r="C44" s="74">
        <f t="shared" si="6"/>
        <v>1.0821223424527162E-3</v>
      </c>
      <c r="D44" s="52">
        <f t="shared" si="1"/>
        <v>20.129066361818886</v>
      </c>
      <c r="E44" s="53">
        <f t="shared" si="2"/>
        <v>48309.759268365327</v>
      </c>
      <c r="F44" s="54">
        <f t="shared" si="3"/>
        <v>13188564.280263735</v>
      </c>
      <c r="H44" s="25">
        <v>5</v>
      </c>
      <c r="I44" s="51">
        <f>Input!$E14</f>
        <v>-230</v>
      </c>
      <c r="J44" s="74">
        <f t="shared" si="7"/>
        <v>-4.9578022535885877E-4</v>
      </c>
      <c r="K44" s="52">
        <f t="shared" si="8"/>
        <v>-99.156045071771757</v>
      </c>
      <c r="L44" s="52">
        <f t="shared" si="4"/>
        <v>0</v>
      </c>
      <c r="M44" s="83">
        <f t="shared" si="5"/>
        <v>-99.156045071771757</v>
      </c>
      <c r="N44" s="93">
        <f>IF(AND(ISNUMBER(Input!$D14),ISNUMBER(Input!$E14)),M44*As,0)</f>
        <v>-79746.023105663116</v>
      </c>
      <c r="O44" s="54">
        <f t="shared" si="9"/>
        <v>18341585.314302515</v>
      </c>
    </row>
    <row r="45" spans="1:16">
      <c r="A45" s="25">
        <v>6</v>
      </c>
      <c r="B45" s="51">
        <f t="shared" si="0"/>
        <v>267</v>
      </c>
      <c r="C45" s="74">
        <f t="shared" si="6"/>
        <v>1.0633004430354806E-3</v>
      </c>
      <c r="D45" s="52">
        <f t="shared" si="1"/>
        <v>19.906536367388266</v>
      </c>
      <c r="E45" s="53">
        <f t="shared" si="2"/>
        <v>47775.687281731836</v>
      </c>
      <c r="F45" s="54">
        <f t="shared" si="3"/>
        <v>12756108.5042224</v>
      </c>
      <c r="H45" s="25">
        <v>6</v>
      </c>
      <c r="I45" s="51">
        <f>Input!$E15</f>
        <v>-230</v>
      </c>
      <c r="J45" s="74">
        <f t="shared" si="7"/>
        <v>-4.9578022535885877E-4</v>
      </c>
      <c r="K45" s="52">
        <f t="shared" si="8"/>
        <v>-99.156045071771757</v>
      </c>
      <c r="L45" s="52">
        <f t="shared" si="4"/>
        <v>0</v>
      </c>
      <c r="M45" s="83">
        <f t="shared" si="5"/>
        <v>-99.156045071771757</v>
      </c>
      <c r="N45" s="93">
        <f>IF(AND(ISNUMBER(Input!$D15),ISNUMBER(Input!$E15)),M45*As,0)</f>
        <v>-79746.023105663116</v>
      </c>
      <c r="O45" s="54">
        <f t="shared" si="9"/>
        <v>18341585.314302515</v>
      </c>
    </row>
    <row r="46" spans="1:16">
      <c r="A46" s="25">
        <v>7</v>
      </c>
      <c r="B46" s="51">
        <f t="shared" si="0"/>
        <v>261</v>
      </c>
      <c r="C46" s="74">
        <f t="shared" si="6"/>
        <v>1.0444785436182452E-3</v>
      </c>
      <c r="D46" s="52">
        <f t="shared" si="1"/>
        <v>19.679489508262321</v>
      </c>
      <c r="E46" s="53">
        <f t="shared" si="2"/>
        <v>47230.774819829574</v>
      </c>
      <c r="F46" s="54">
        <f t="shared" si="3"/>
        <v>12327232.227975519</v>
      </c>
      <c r="H46" s="25">
        <v>7</v>
      </c>
      <c r="I46" s="51">
        <f>Input!$E16</f>
        <v>-230</v>
      </c>
      <c r="J46" s="74">
        <f t="shared" si="7"/>
        <v>-4.9578022535885877E-4</v>
      </c>
      <c r="K46" s="52">
        <f t="shared" si="8"/>
        <v>-99.156045071771757</v>
      </c>
      <c r="L46" s="52">
        <f t="shared" si="4"/>
        <v>0</v>
      </c>
      <c r="M46" s="83">
        <f t="shared" si="5"/>
        <v>-99.156045071771757</v>
      </c>
      <c r="N46" s="93">
        <f>IF(AND(ISNUMBER(Input!$D16),ISNUMBER(Input!$E16)),M46*As,0)</f>
        <v>-79746.023105663116</v>
      </c>
      <c r="O46" s="54">
        <f t="shared" si="9"/>
        <v>18341585.314302515</v>
      </c>
    </row>
    <row r="47" spans="1:16">
      <c r="A47" s="25">
        <v>8</v>
      </c>
      <c r="B47" s="51">
        <f t="shared" si="0"/>
        <v>255</v>
      </c>
      <c r="C47" s="74">
        <f t="shared" si="6"/>
        <v>1.0256566442010096E-3</v>
      </c>
      <c r="D47" s="52">
        <f t="shared" si="1"/>
        <v>19.447925784441054</v>
      </c>
      <c r="E47" s="53">
        <f t="shared" si="2"/>
        <v>46675.021882658533</v>
      </c>
      <c r="F47" s="54">
        <f t="shared" si="3"/>
        <v>11902130.580077926</v>
      </c>
      <c r="H47" s="25">
        <v>8</v>
      </c>
      <c r="I47" s="51">
        <f>Input!$E17</f>
        <v>-230</v>
      </c>
      <c r="J47" s="74">
        <f t="shared" si="7"/>
        <v>-4.9578022535885877E-4</v>
      </c>
      <c r="K47" s="52">
        <f t="shared" si="8"/>
        <v>-99.156045071771757</v>
      </c>
      <c r="L47" s="52">
        <f t="shared" si="4"/>
        <v>0</v>
      </c>
      <c r="M47" s="83">
        <f t="shared" si="5"/>
        <v>-99.156045071771757</v>
      </c>
      <c r="N47" s="93">
        <f>IF(AND(ISNUMBER(Input!$D17),ISNUMBER(Input!$E17)),M47*As,0)</f>
        <v>-79746.023105663116</v>
      </c>
      <c r="O47" s="54">
        <f t="shared" si="9"/>
        <v>18341585.314302515</v>
      </c>
    </row>
    <row r="48" spans="1:16">
      <c r="A48" s="25">
        <v>9</v>
      </c>
      <c r="B48" s="51">
        <f t="shared" si="0"/>
        <v>249</v>
      </c>
      <c r="C48" s="74">
        <f t="shared" si="6"/>
        <v>1.0068347447837742E-3</v>
      </c>
      <c r="D48" s="52">
        <f t="shared" si="1"/>
        <v>19.211845195924468</v>
      </c>
      <c r="E48" s="53">
        <f t="shared" si="2"/>
        <v>46108.428470218721</v>
      </c>
      <c r="F48" s="54">
        <f t="shared" si="3"/>
        <v>11480998.689084461</v>
      </c>
      <c r="H48" s="25">
        <v>9</v>
      </c>
      <c r="I48" s="51">
        <f>Input!$E18</f>
        <v>130</v>
      </c>
      <c r="J48" s="74">
        <f t="shared" si="7"/>
        <v>6.335337396752704E-4</v>
      </c>
      <c r="K48" s="52">
        <f t="shared" si="8"/>
        <v>126.70674793505408</v>
      </c>
      <c r="L48" s="52">
        <f t="shared" si="4"/>
        <v>13.596408491137693</v>
      </c>
      <c r="M48" s="83">
        <f t="shared" si="5"/>
        <v>113.11033944391639</v>
      </c>
      <c r="N48" s="93">
        <f>IF(AND(ISNUMBER(Input!$D18),ISNUMBER(Input!$E18)),M48*As,0)</f>
        <v>90968.732529166213</v>
      </c>
      <c r="O48" s="54">
        <f t="shared" si="9"/>
        <v>11825935.228791608</v>
      </c>
    </row>
    <row r="49" spans="1:15">
      <c r="A49" s="25">
        <v>10</v>
      </c>
      <c r="B49" s="51">
        <f t="shared" si="0"/>
        <v>243</v>
      </c>
      <c r="C49" s="74">
        <f t="shared" si="6"/>
        <v>9.8801284536653862E-4</v>
      </c>
      <c r="D49" s="52">
        <f t="shared" si="1"/>
        <v>18.971247742712546</v>
      </c>
      <c r="E49" s="53">
        <f t="shared" si="2"/>
        <v>45530.994582510109</v>
      </c>
      <c r="F49" s="54">
        <f t="shared" si="3"/>
        <v>11064031.683549957</v>
      </c>
      <c r="H49" s="25">
        <v>10</v>
      </c>
      <c r="I49" s="51">
        <f>Input!$E19</f>
        <v>130</v>
      </c>
      <c r="J49" s="74">
        <f t="shared" si="7"/>
        <v>6.335337396752704E-4</v>
      </c>
      <c r="K49" s="52">
        <f t="shared" si="8"/>
        <v>126.70674793505408</v>
      </c>
      <c r="L49" s="52">
        <f t="shared" si="4"/>
        <v>13.596408491137693</v>
      </c>
      <c r="M49" s="83">
        <f t="shared" si="5"/>
        <v>113.11033944391639</v>
      </c>
      <c r="N49" s="93">
        <f>IF(AND(ISNUMBER(Input!$D19),ISNUMBER(Input!$E19)),M49*As,0)</f>
        <v>90968.732529166213</v>
      </c>
      <c r="O49" s="54">
        <f t="shared" si="9"/>
        <v>11825935.228791608</v>
      </c>
    </row>
    <row r="50" spans="1:15">
      <c r="A50" s="25">
        <v>11</v>
      </c>
      <c r="B50" s="51">
        <f t="shared" si="0"/>
        <v>237</v>
      </c>
      <c r="C50" s="74">
        <f t="shared" si="6"/>
        <v>9.6919094594930325E-4</v>
      </c>
      <c r="D50" s="52">
        <f t="shared" si="1"/>
        <v>18.726133424805308</v>
      </c>
      <c r="E50" s="53">
        <f t="shared" si="2"/>
        <v>44942.720219532741</v>
      </c>
      <c r="F50" s="54">
        <f t="shared" si="3"/>
        <v>10651424.69202926</v>
      </c>
      <c r="H50" s="25">
        <v>11</v>
      </c>
      <c r="I50" s="51">
        <f>Input!$E20</f>
        <v>-130</v>
      </c>
      <c r="J50" s="74">
        <f t="shared" si="7"/>
        <v>-1.8208190173826737E-4</v>
      </c>
      <c r="K50" s="52">
        <f t="shared" si="8"/>
        <v>-36.416380347653472</v>
      </c>
      <c r="L50" s="52">
        <f t="shared" si="4"/>
        <v>0</v>
      </c>
      <c r="M50" s="83">
        <f t="shared" si="5"/>
        <v>-36.416380347653472</v>
      </c>
      <c r="N50" s="93">
        <f>IF(AND(ISNUMBER(Input!$D20),ISNUMBER(Input!$E20)),M50*As,0)</f>
        <v>-29287.790840453086</v>
      </c>
      <c r="O50" s="54">
        <f t="shared" si="9"/>
        <v>3807412.809258901</v>
      </c>
    </row>
    <row r="51" spans="1:15">
      <c r="A51" s="25">
        <v>12</v>
      </c>
      <c r="B51" s="51">
        <f t="shared" si="0"/>
        <v>231</v>
      </c>
      <c r="C51" s="74">
        <f t="shared" si="6"/>
        <v>9.5036904653206776E-4</v>
      </c>
      <c r="D51" s="52">
        <f t="shared" si="1"/>
        <v>18.476502242202745</v>
      </c>
      <c r="E51" s="53">
        <f t="shared" si="2"/>
        <v>44343.605381286587</v>
      </c>
      <c r="F51" s="54">
        <f t="shared" si="3"/>
        <v>10243372.843077201</v>
      </c>
      <c r="H51" s="25">
        <v>12</v>
      </c>
      <c r="I51" s="51">
        <f>Input!$E21</f>
        <v>-130</v>
      </c>
      <c r="J51" s="74">
        <f t="shared" si="7"/>
        <v>-1.8208190173826737E-4</v>
      </c>
      <c r="K51" s="52">
        <f t="shared" si="8"/>
        <v>-36.416380347653472</v>
      </c>
      <c r="L51" s="52">
        <f t="shared" si="4"/>
        <v>0</v>
      </c>
      <c r="M51" s="83">
        <f t="shared" si="5"/>
        <v>-36.416380347653472</v>
      </c>
      <c r="N51" s="93">
        <f>IF(AND(ISNUMBER(Input!$D21),ISNUMBER(Input!$E21)),M51*As,0)</f>
        <v>-29287.790840453086</v>
      </c>
      <c r="O51" s="54">
        <f t="shared" si="9"/>
        <v>3807412.809258901</v>
      </c>
    </row>
    <row r="52" spans="1:15">
      <c r="A52" s="25">
        <v>13</v>
      </c>
      <c r="B52" s="51">
        <f t="shared" si="0"/>
        <v>225</v>
      </c>
      <c r="C52" s="74">
        <f t="shared" si="6"/>
        <v>9.3154714711483227E-4</v>
      </c>
      <c r="D52" s="52">
        <f t="shared" si="1"/>
        <v>18.222354194904852</v>
      </c>
      <c r="E52" s="53">
        <f t="shared" si="2"/>
        <v>43733.650067771647</v>
      </c>
      <c r="F52" s="54">
        <f t="shared" si="3"/>
        <v>9840071.2652486209</v>
      </c>
    </row>
    <row r="53" spans="1:15">
      <c r="A53" s="25">
        <v>14</v>
      </c>
      <c r="B53" s="51">
        <f t="shared" si="0"/>
        <v>219</v>
      </c>
      <c r="C53" s="74">
        <f t="shared" si="6"/>
        <v>9.1272524769759678E-4</v>
      </c>
      <c r="D53" s="52">
        <f t="shared" si="1"/>
        <v>17.963689282911641</v>
      </c>
      <c r="E53" s="53">
        <f t="shared" si="2"/>
        <v>43112.854278987936</v>
      </c>
      <c r="F53" s="54">
        <f t="shared" si="3"/>
        <v>9441715.0870983582</v>
      </c>
    </row>
    <row r="54" spans="1:15">
      <c r="A54" s="25">
        <v>15</v>
      </c>
      <c r="B54" s="51">
        <f t="shared" si="0"/>
        <v>213</v>
      </c>
      <c r="C54" s="74">
        <f t="shared" si="6"/>
        <v>8.9390334828036129E-4</v>
      </c>
      <c r="D54" s="52">
        <f t="shared" si="1"/>
        <v>17.700507506223097</v>
      </c>
      <c r="E54" s="53">
        <f t="shared" si="2"/>
        <v>42481.218014935432</v>
      </c>
      <c r="F54" s="54">
        <f t="shared" si="3"/>
        <v>9048499.4371812474</v>
      </c>
    </row>
    <row r="55" spans="1:15">
      <c r="A55" s="25">
        <v>16</v>
      </c>
      <c r="B55" s="51">
        <f t="shared" si="0"/>
        <v>207</v>
      </c>
      <c r="C55" s="74">
        <f t="shared" si="6"/>
        <v>8.7508144886312581E-4</v>
      </c>
      <c r="D55" s="52">
        <f t="shared" si="1"/>
        <v>17.432808864839238</v>
      </c>
      <c r="E55" s="53">
        <f t="shared" si="2"/>
        <v>41838.741275614171</v>
      </c>
      <c r="F55" s="54">
        <f t="shared" si="3"/>
        <v>8660619.4440521337</v>
      </c>
    </row>
    <row r="56" spans="1:15">
      <c r="A56" s="25">
        <v>17</v>
      </c>
      <c r="B56" s="51">
        <f t="shared" si="0"/>
        <v>201</v>
      </c>
      <c r="C56" s="74">
        <f t="shared" si="6"/>
        <v>8.5625954944589032E-4</v>
      </c>
      <c r="D56" s="52">
        <f t="shared" si="1"/>
        <v>17.160593358760046</v>
      </c>
      <c r="E56" s="53">
        <f t="shared" si="2"/>
        <v>41185.42406102411</v>
      </c>
      <c r="F56" s="54">
        <f t="shared" si="3"/>
        <v>8278270.2362658465</v>
      </c>
    </row>
    <row r="57" spans="1:15">
      <c r="A57" s="25">
        <v>18</v>
      </c>
      <c r="B57" s="51">
        <f t="shared" si="0"/>
        <v>195</v>
      </c>
      <c r="C57" s="74">
        <f t="shared" si="6"/>
        <v>8.3743765002865483E-4</v>
      </c>
      <c r="D57" s="52">
        <f t="shared" si="1"/>
        <v>16.883860987985535</v>
      </c>
      <c r="E57" s="53">
        <f t="shared" si="2"/>
        <v>40521.266371165286</v>
      </c>
      <c r="F57" s="54">
        <f t="shared" si="3"/>
        <v>7901646.9423772311</v>
      </c>
    </row>
    <row r="58" spans="1:15">
      <c r="A58" s="25">
        <v>19</v>
      </c>
      <c r="B58" s="51">
        <f t="shared" si="0"/>
        <v>189</v>
      </c>
      <c r="C58" s="74">
        <f t="shared" si="6"/>
        <v>8.1861575061141934E-4</v>
      </c>
      <c r="D58" s="52">
        <f t="shared" si="1"/>
        <v>16.602611752515696</v>
      </c>
      <c r="E58" s="53">
        <f t="shared" si="2"/>
        <v>39846.268206037668</v>
      </c>
      <c r="F58" s="54">
        <f t="shared" si="3"/>
        <v>7530944.6909411196</v>
      </c>
    </row>
    <row r="59" spans="1:15">
      <c r="A59" s="25">
        <v>20</v>
      </c>
      <c r="B59" s="51">
        <f t="shared" si="0"/>
        <v>183</v>
      </c>
      <c r="C59" s="74">
        <f t="shared" si="6"/>
        <v>7.9979385119418385E-4</v>
      </c>
      <c r="D59" s="52">
        <f t="shared" si="1"/>
        <v>16.31684565235053</v>
      </c>
      <c r="E59" s="53">
        <f t="shared" si="2"/>
        <v>39160.429565641272</v>
      </c>
      <c r="F59" s="54">
        <f t="shared" si="3"/>
        <v>7166358.6105123525</v>
      </c>
    </row>
    <row r="60" spans="1:15">
      <c r="A60" s="25">
        <v>21</v>
      </c>
      <c r="B60" s="51">
        <f t="shared" si="0"/>
        <v>177</v>
      </c>
      <c r="C60" s="74">
        <f t="shared" si="6"/>
        <v>7.8097195177694837E-4</v>
      </c>
      <c r="D60" s="52">
        <f t="shared" si="1"/>
        <v>16.026562687490046</v>
      </c>
      <c r="E60" s="53">
        <f t="shared" si="2"/>
        <v>38463.750449976113</v>
      </c>
      <c r="F60" s="54">
        <f t="shared" si="3"/>
        <v>6808083.8296457715</v>
      </c>
    </row>
    <row r="61" spans="1:15">
      <c r="A61" s="25">
        <v>22</v>
      </c>
      <c r="B61" s="51">
        <f t="shared" si="0"/>
        <v>171</v>
      </c>
      <c r="C61" s="74">
        <f t="shared" si="6"/>
        <v>7.6215005235971288E-4</v>
      </c>
      <c r="D61" s="52">
        <f t="shared" si="1"/>
        <v>15.731762857934235</v>
      </c>
      <c r="E61" s="53">
        <f t="shared" si="2"/>
        <v>37756.230859042167</v>
      </c>
      <c r="F61" s="54">
        <f t="shared" si="3"/>
        <v>6456315.4768962106</v>
      </c>
    </row>
    <row r="62" spans="1:15">
      <c r="A62" s="25">
        <v>23</v>
      </c>
      <c r="B62" s="51">
        <f t="shared" si="0"/>
        <v>165</v>
      </c>
      <c r="C62" s="74">
        <f t="shared" si="6"/>
        <v>7.4332815294247739E-4</v>
      </c>
      <c r="D62" s="52">
        <f t="shared" si="1"/>
        <v>15.432446163683094</v>
      </c>
      <c r="E62" s="53">
        <f t="shared" si="2"/>
        <v>37037.870792839429</v>
      </c>
      <c r="F62" s="54">
        <f t="shared" si="3"/>
        <v>6111248.6808185056</v>
      </c>
    </row>
    <row r="63" spans="1:15">
      <c r="A63" s="25">
        <v>24</v>
      </c>
      <c r="B63" s="51">
        <f t="shared" si="0"/>
        <v>159</v>
      </c>
      <c r="C63" s="74">
        <f t="shared" si="6"/>
        <v>7.245062535252419E-4</v>
      </c>
      <c r="D63" s="52">
        <f t="shared" si="1"/>
        <v>15.128612604736634</v>
      </c>
      <c r="E63" s="53">
        <f t="shared" si="2"/>
        <v>36308.670251367919</v>
      </c>
      <c r="F63" s="54">
        <f t="shared" si="3"/>
        <v>5773078.569967499</v>
      </c>
    </row>
    <row r="64" spans="1:15">
      <c r="A64" s="25">
        <v>25</v>
      </c>
      <c r="B64" s="51">
        <f t="shared" si="0"/>
        <v>153</v>
      </c>
      <c r="C64" s="74">
        <f t="shared" si="6"/>
        <v>7.0568435410800641E-4</v>
      </c>
      <c r="D64" s="52">
        <f t="shared" si="1"/>
        <v>14.820262181094845</v>
      </c>
      <c r="E64" s="53">
        <f t="shared" si="2"/>
        <v>35568.629234627631</v>
      </c>
      <c r="F64" s="54">
        <f t="shared" si="3"/>
        <v>5442000.2728980277</v>
      </c>
    </row>
    <row r="65" spans="1:6">
      <c r="A65" s="25">
        <v>26</v>
      </c>
      <c r="B65" s="51">
        <f t="shared" si="0"/>
        <v>147</v>
      </c>
      <c r="C65" s="74">
        <f t="shared" si="6"/>
        <v>6.8686245469077093E-4</v>
      </c>
      <c r="D65" s="52">
        <f t="shared" si="1"/>
        <v>14.507394892757732</v>
      </c>
      <c r="E65" s="53">
        <f t="shared" si="2"/>
        <v>34817.747742618558</v>
      </c>
      <c r="F65" s="54">
        <f t="shared" si="3"/>
        <v>5118208.9181649284</v>
      </c>
    </row>
    <row r="66" spans="1:6">
      <c r="A66" s="25">
        <v>27</v>
      </c>
      <c r="B66" s="51">
        <f t="shared" si="0"/>
        <v>141</v>
      </c>
      <c r="C66" s="74">
        <f t="shared" si="6"/>
        <v>6.6804055527353544E-4</v>
      </c>
      <c r="D66" s="52">
        <f t="shared" si="1"/>
        <v>14.190010739725301</v>
      </c>
      <c r="E66" s="53">
        <f t="shared" si="2"/>
        <v>34056.02577534072</v>
      </c>
      <c r="F66" s="54">
        <f t="shared" si="3"/>
        <v>4801899.6343230419</v>
      </c>
    </row>
    <row r="67" spans="1:6">
      <c r="A67" s="25">
        <v>28</v>
      </c>
      <c r="B67" s="51">
        <f t="shared" si="0"/>
        <v>135</v>
      </c>
      <c r="C67" s="74">
        <f t="shared" si="6"/>
        <v>6.4921865585629995E-4</v>
      </c>
      <c r="D67" s="52">
        <f t="shared" si="1"/>
        <v>13.868109721997532</v>
      </c>
      <c r="E67" s="53">
        <f t="shared" si="2"/>
        <v>33283.463332794076</v>
      </c>
      <c r="F67" s="54">
        <f t="shared" si="3"/>
        <v>4493267.5499272002</v>
      </c>
    </row>
    <row r="68" spans="1:6">
      <c r="A68" s="25">
        <v>29</v>
      </c>
      <c r="B68" s="51">
        <f t="shared" si="0"/>
        <v>129</v>
      </c>
      <c r="C68" s="74">
        <f t="shared" si="6"/>
        <v>6.3039675643906446E-4</v>
      </c>
      <c r="D68" s="52">
        <f t="shared" si="1"/>
        <v>13.541691839574451</v>
      </c>
      <c r="E68" s="53">
        <f t="shared" si="2"/>
        <v>32500.060414978681</v>
      </c>
      <c r="F68" s="54">
        <f t="shared" si="3"/>
        <v>4192507.79353225</v>
      </c>
    </row>
    <row r="69" spans="1:6">
      <c r="A69" s="25">
        <v>30</v>
      </c>
      <c r="B69" s="51">
        <f t="shared" si="0"/>
        <v>123</v>
      </c>
      <c r="C69" s="74">
        <f t="shared" si="6"/>
        <v>6.1157485702182897E-4</v>
      </c>
      <c r="D69" s="52">
        <f t="shared" si="1"/>
        <v>13.210757092456042</v>
      </c>
      <c r="E69" s="53">
        <f t="shared" si="2"/>
        <v>31705.817021894502</v>
      </c>
      <c r="F69" s="54">
        <f t="shared" si="3"/>
        <v>3899815.4936930239</v>
      </c>
    </row>
    <row r="70" spans="1:6">
      <c r="A70" s="25">
        <v>31</v>
      </c>
      <c r="B70" s="51">
        <f t="shared" si="0"/>
        <v>117</v>
      </c>
      <c r="C70" s="74">
        <f t="shared" si="6"/>
        <v>5.9275295760459349E-4</v>
      </c>
      <c r="D70" s="52">
        <f t="shared" si="1"/>
        <v>12.875305480642298</v>
      </c>
      <c r="E70" s="53">
        <f t="shared" si="2"/>
        <v>30900.733153541518</v>
      </c>
      <c r="F70" s="54">
        <f t="shared" si="3"/>
        <v>3615385.7789643575</v>
      </c>
    </row>
    <row r="71" spans="1:6">
      <c r="A71" s="25">
        <v>32</v>
      </c>
      <c r="B71" s="51">
        <f t="shared" si="0"/>
        <v>111</v>
      </c>
      <c r="C71" s="74">
        <f t="shared" si="6"/>
        <v>5.73931058187358E-4</v>
      </c>
      <c r="D71" s="52">
        <f t="shared" si="1"/>
        <v>12.535337004133243</v>
      </c>
      <c r="E71" s="53">
        <f t="shared" si="2"/>
        <v>30084.808809919785</v>
      </c>
      <c r="F71" s="54">
        <f t="shared" si="3"/>
        <v>3339413.7779010963</v>
      </c>
    </row>
    <row r="72" spans="1:6">
      <c r="A72" s="25">
        <v>33</v>
      </c>
      <c r="B72" s="51">
        <f t="shared" ref="B72:B103" si="10">h/2-($A72-0.5)*B$33</f>
        <v>105</v>
      </c>
      <c r="C72" s="74">
        <f t="shared" si="6"/>
        <v>5.5510915877012251E-4</v>
      </c>
      <c r="D72" s="52">
        <f t="shared" si="1"/>
        <v>12.190851662928859</v>
      </c>
      <c r="E72" s="53">
        <f t="shared" ref="E72:E103" si="11">+D72*B$35</f>
        <v>29258.043991029263</v>
      </c>
      <c r="F72" s="54">
        <f t="shared" si="3"/>
        <v>3072094.6190580726</v>
      </c>
    </row>
    <row r="73" spans="1:6">
      <c r="A73" s="25">
        <v>34</v>
      </c>
      <c r="B73" s="51">
        <f t="shared" si="10"/>
        <v>99</v>
      </c>
      <c r="C73" s="74">
        <f t="shared" si="6"/>
        <v>5.3628725935288702E-4</v>
      </c>
      <c r="D73" s="52">
        <f t="shared" si="1"/>
        <v>11.841849457029145</v>
      </c>
      <c r="E73" s="53">
        <f t="shared" si="11"/>
        <v>28420.438696869947</v>
      </c>
      <c r="F73" s="54">
        <f t="shared" si="3"/>
        <v>2813623.4309901246</v>
      </c>
    </row>
    <row r="74" spans="1:6">
      <c r="A74" s="25">
        <v>35</v>
      </c>
      <c r="B74" s="51">
        <f t="shared" si="10"/>
        <v>93</v>
      </c>
      <c r="C74" s="74">
        <f t="shared" si="6"/>
        <v>5.1746535993565154E-4</v>
      </c>
      <c r="D74" s="52">
        <f t="shared" si="1"/>
        <v>11.488330386434113</v>
      </c>
      <c r="E74" s="53">
        <f t="shared" si="11"/>
        <v>27571.992927441872</v>
      </c>
      <c r="F74" s="54">
        <f t="shared" si="3"/>
        <v>2564195.3422520943</v>
      </c>
    </row>
    <row r="75" spans="1:6">
      <c r="A75" s="25">
        <v>36</v>
      </c>
      <c r="B75" s="51">
        <f t="shared" si="10"/>
        <v>87</v>
      </c>
      <c r="C75" s="74">
        <f t="shared" si="6"/>
        <v>4.9864346051841605E-4</v>
      </c>
      <c r="D75" s="52">
        <f t="shared" si="1"/>
        <v>11.130294451143754</v>
      </c>
      <c r="E75" s="53">
        <f t="shared" si="11"/>
        <v>26712.706682745011</v>
      </c>
      <c r="F75" s="54">
        <f t="shared" si="3"/>
        <v>2324005.4813988158</v>
      </c>
    </row>
    <row r="76" spans="1:6">
      <c r="A76" s="25">
        <v>37</v>
      </c>
      <c r="B76" s="51">
        <f t="shared" si="10"/>
        <v>81</v>
      </c>
      <c r="C76" s="74">
        <f t="shared" si="6"/>
        <v>4.7982156110118056E-4</v>
      </c>
      <c r="D76" s="52">
        <f t="shared" si="1"/>
        <v>10.767741651158069</v>
      </c>
      <c r="E76" s="53">
        <f t="shared" si="11"/>
        <v>25842.579962779364</v>
      </c>
      <c r="F76" s="54">
        <f t="shared" si="3"/>
        <v>2093248.9769851286</v>
      </c>
    </row>
    <row r="77" spans="1:6">
      <c r="A77" s="25">
        <v>38</v>
      </c>
      <c r="B77" s="51">
        <f t="shared" si="10"/>
        <v>75</v>
      </c>
      <c r="C77" s="74">
        <f t="shared" si="6"/>
        <v>4.6099966168394507E-4</v>
      </c>
      <c r="D77" s="52">
        <f t="shared" si="1"/>
        <v>10.400671986477064</v>
      </c>
      <c r="E77" s="53">
        <f t="shared" si="11"/>
        <v>24961.612767544953</v>
      </c>
      <c r="F77" s="54">
        <f t="shared" si="3"/>
        <v>1872120.9575658715</v>
      </c>
    </row>
    <row r="78" spans="1:6">
      <c r="A78" s="25">
        <v>39</v>
      </c>
      <c r="B78" s="51">
        <f t="shared" si="10"/>
        <v>69</v>
      </c>
      <c r="C78" s="74">
        <f t="shared" si="6"/>
        <v>4.4217776226670958E-4</v>
      </c>
      <c r="D78" s="52">
        <f t="shared" si="1"/>
        <v>10.029085457100727</v>
      </c>
      <c r="E78" s="53">
        <f t="shared" si="11"/>
        <v>24069.805097041746</v>
      </c>
      <c r="F78" s="54">
        <f t="shared" si="3"/>
        <v>1660816.5516958805</v>
      </c>
    </row>
    <row r="79" spans="1:6">
      <c r="A79" s="25">
        <v>40</v>
      </c>
      <c r="B79" s="51">
        <f t="shared" si="10"/>
        <v>63</v>
      </c>
      <c r="C79" s="74">
        <f t="shared" si="6"/>
        <v>4.233558628494741E-4</v>
      </c>
      <c r="D79" s="52">
        <f t="shared" si="1"/>
        <v>9.6529820630290697</v>
      </c>
      <c r="E79" s="53">
        <f t="shared" si="11"/>
        <v>23167.156951269768</v>
      </c>
      <c r="F79" s="54">
        <f t="shared" si="3"/>
        <v>1459530.8879299953</v>
      </c>
    </row>
    <row r="80" spans="1:6">
      <c r="A80" s="25">
        <v>41</v>
      </c>
      <c r="B80" s="51">
        <f t="shared" si="10"/>
        <v>57</v>
      </c>
      <c r="C80" s="74">
        <f t="shared" si="6"/>
        <v>4.0453396343223861E-4</v>
      </c>
      <c r="D80" s="52">
        <f t="shared" si="1"/>
        <v>9.2723618042620881</v>
      </c>
      <c r="E80" s="53">
        <f t="shared" si="11"/>
        <v>22253.668330229011</v>
      </c>
      <c r="F80" s="54">
        <f t="shared" si="3"/>
        <v>1268459.0948230536</v>
      </c>
    </row>
    <row r="81" spans="1:6">
      <c r="A81" s="25">
        <v>42</v>
      </c>
      <c r="B81" s="51">
        <f t="shared" si="10"/>
        <v>51</v>
      </c>
      <c r="C81" s="74">
        <f t="shared" si="6"/>
        <v>3.8571206401500312E-4</v>
      </c>
      <c r="D81" s="52">
        <f t="shared" si="1"/>
        <v>8.887224680799779</v>
      </c>
      <c r="E81" s="53">
        <f t="shared" si="11"/>
        <v>21329.339233919469</v>
      </c>
      <c r="F81" s="54">
        <f t="shared" si="3"/>
        <v>1087796.3009298928</v>
      </c>
    </row>
    <row r="82" spans="1:6">
      <c r="A82" s="25">
        <v>43</v>
      </c>
      <c r="B82" s="51">
        <f t="shared" si="10"/>
        <v>45</v>
      </c>
      <c r="C82" s="74">
        <f t="shared" si="6"/>
        <v>3.6689016459776763E-4</v>
      </c>
      <c r="D82" s="52">
        <f t="shared" si="1"/>
        <v>8.4975706926421459</v>
      </c>
      <c r="E82" s="53">
        <f t="shared" si="11"/>
        <v>20394.169662341152</v>
      </c>
      <c r="F82" s="54">
        <f t="shared" si="3"/>
        <v>917737.63480535184</v>
      </c>
    </row>
    <row r="83" spans="1:6">
      <c r="A83" s="25">
        <v>44</v>
      </c>
      <c r="B83" s="51">
        <f t="shared" si="10"/>
        <v>39</v>
      </c>
      <c r="C83" s="74">
        <f t="shared" si="6"/>
        <v>3.4806826518053214E-4</v>
      </c>
      <c r="D83" s="52">
        <f t="shared" si="1"/>
        <v>8.1033998397891907</v>
      </c>
      <c r="E83" s="53">
        <f t="shared" si="11"/>
        <v>19448.159615494056</v>
      </c>
      <c r="F83" s="54">
        <f t="shared" si="3"/>
        <v>758478.22500426823</v>
      </c>
    </row>
    <row r="84" spans="1:6">
      <c r="A84" s="25">
        <v>45</v>
      </c>
      <c r="B84" s="51">
        <f t="shared" si="10"/>
        <v>33</v>
      </c>
      <c r="C84" s="74">
        <f t="shared" si="6"/>
        <v>3.2924636576329666E-4</v>
      </c>
      <c r="D84" s="52">
        <f t="shared" si="1"/>
        <v>7.7047121222409078</v>
      </c>
      <c r="E84" s="53">
        <f t="shared" si="11"/>
        <v>18491.309093378179</v>
      </c>
      <c r="F84" s="54">
        <f t="shared" si="3"/>
        <v>610213.20008147985</v>
      </c>
    </row>
    <row r="85" spans="1:6">
      <c r="A85" s="25">
        <v>46</v>
      </c>
      <c r="B85" s="51">
        <f t="shared" si="10"/>
        <v>27</v>
      </c>
      <c r="C85" s="74">
        <f t="shared" si="6"/>
        <v>3.1042446634606117E-4</v>
      </c>
      <c r="D85" s="52">
        <f t="shared" si="1"/>
        <v>7.3015075399972975</v>
      </c>
      <c r="E85" s="53">
        <f t="shared" si="11"/>
        <v>17523.618095993515</v>
      </c>
      <c r="F85" s="54">
        <f t="shared" si="3"/>
        <v>473137.6885918249</v>
      </c>
    </row>
    <row r="86" spans="1:6">
      <c r="A86" s="25">
        <v>47</v>
      </c>
      <c r="B86" s="51">
        <f t="shared" si="10"/>
        <v>21</v>
      </c>
      <c r="C86" s="74">
        <f t="shared" si="6"/>
        <v>2.9160256692882568E-4</v>
      </c>
      <c r="D86" s="52">
        <f t="shared" si="1"/>
        <v>6.8937860930583712</v>
      </c>
      <c r="E86" s="53">
        <f t="shared" si="11"/>
        <v>16545.086623340092</v>
      </c>
      <c r="F86" s="54">
        <f t="shared" si="3"/>
        <v>347446.81909014191</v>
      </c>
    </row>
    <row r="87" spans="1:6">
      <c r="A87" s="25">
        <v>48</v>
      </c>
      <c r="B87" s="51">
        <f t="shared" si="10"/>
        <v>15</v>
      </c>
      <c r="C87" s="74">
        <f t="shared" si="6"/>
        <v>2.7278066751159019E-4</v>
      </c>
      <c r="D87" s="52">
        <f t="shared" si="1"/>
        <v>6.4815477814241138</v>
      </c>
      <c r="E87" s="53">
        <f t="shared" si="11"/>
        <v>15555.714675417874</v>
      </c>
      <c r="F87" s="54">
        <f t="shared" si="3"/>
        <v>233335.72013126811</v>
      </c>
    </row>
    <row r="88" spans="1:6">
      <c r="A88" s="25">
        <v>49</v>
      </c>
      <c r="B88" s="51">
        <f t="shared" si="10"/>
        <v>9</v>
      </c>
      <c r="C88" s="74">
        <f t="shared" si="6"/>
        <v>2.539587680943547E-4</v>
      </c>
      <c r="D88" s="52">
        <f t="shared" si="1"/>
        <v>6.0647926050945316</v>
      </c>
      <c r="E88" s="53">
        <f t="shared" si="11"/>
        <v>14555.502252226875</v>
      </c>
      <c r="F88" s="54">
        <f t="shared" si="3"/>
        <v>130999.52027004187</v>
      </c>
    </row>
    <row r="89" spans="1:6">
      <c r="A89" s="25">
        <v>50</v>
      </c>
      <c r="B89" s="51">
        <f t="shared" si="10"/>
        <v>3</v>
      </c>
      <c r="C89" s="74">
        <f t="shared" si="6"/>
        <v>2.3513686867711924E-4</v>
      </c>
      <c r="D89" s="52">
        <f t="shared" si="1"/>
        <v>5.6435205640696289</v>
      </c>
      <c r="E89" s="53">
        <f t="shared" si="11"/>
        <v>13544.44935376711</v>
      </c>
      <c r="F89" s="54">
        <f t="shared" si="3"/>
        <v>40633.348061301331</v>
      </c>
    </row>
    <row r="90" spans="1:6">
      <c r="A90" s="25">
        <v>51</v>
      </c>
      <c r="B90" s="51">
        <f t="shared" si="10"/>
        <v>-3</v>
      </c>
      <c r="C90" s="74">
        <f t="shared" si="6"/>
        <v>2.1631496925988376E-4</v>
      </c>
      <c r="D90" s="52">
        <f t="shared" ref="D90:D139" si="12">+IF(C90&gt;=0,IF(C90&lt;=eco,1-(1-C90/eco)^n,1),0)*0.85*fck</f>
        <v>5.217731658349396</v>
      </c>
      <c r="E90" s="53">
        <f t="shared" si="11"/>
        <v>12522.555980038551</v>
      </c>
      <c r="F90" s="54">
        <f t="shared" ref="F90:F139" si="13">+E90*B90</f>
        <v>-37567.667940115651</v>
      </c>
    </row>
    <row r="91" spans="1:6">
      <c r="A91" s="25">
        <v>52</v>
      </c>
      <c r="B91" s="51">
        <f t="shared" si="10"/>
        <v>-9</v>
      </c>
      <c r="C91" s="74">
        <f t="shared" si="6"/>
        <v>1.9749306984264827E-4</v>
      </c>
      <c r="D91" s="52">
        <f t="shared" si="12"/>
        <v>4.7874258879338401</v>
      </c>
      <c r="E91" s="53">
        <f t="shared" si="11"/>
        <v>11489.822131041215</v>
      </c>
      <c r="F91" s="54">
        <f t="shared" si="13"/>
        <v>-103408.39917937094</v>
      </c>
    </row>
    <row r="92" spans="1:6">
      <c r="A92" s="25">
        <v>53</v>
      </c>
      <c r="B92" s="51">
        <f t="shared" si="10"/>
        <v>-15</v>
      </c>
      <c r="C92" s="74">
        <f t="shared" si="6"/>
        <v>1.7867117042541278E-4</v>
      </c>
      <c r="D92" s="52">
        <f t="shared" si="12"/>
        <v>4.3526032528229557</v>
      </c>
      <c r="E92" s="53">
        <f t="shared" si="11"/>
        <v>10446.247806775094</v>
      </c>
      <c r="F92" s="54">
        <f t="shared" si="13"/>
        <v>-156693.71710162642</v>
      </c>
    </row>
    <row r="93" spans="1:6">
      <c r="A93" s="25">
        <v>54</v>
      </c>
      <c r="B93" s="51">
        <f t="shared" si="10"/>
        <v>-21</v>
      </c>
      <c r="C93" s="74">
        <f t="shared" si="6"/>
        <v>1.5984927100817729E-4</v>
      </c>
      <c r="D93" s="52">
        <f t="shared" si="12"/>
        <v>3.9132637530167558</v>
      </c>
      <c r="E93" s="53">
        <f t="shared" si="11"/>
        <v>9391.8330072402132</v>
      </c>
      <c r="F93" s="54">
        <f t="shared" si="13"/>
        <v>-197228.49315204448</v>
      </c>
    </row>
    <row r="94" spans="1:6">
      <c r="A94" s="25">
        <v>55</v>
      </c>
      <c r="B94" s="51">
        <f t="shared" si="10"/>
        <v>-27</v>
      </c>
      <c r="C94" s="74">
        <f t="shared" si="6"/>
        <v>1.410273715909418E-4</v>
      </c>
      <c r="D94" s="52">
        <f t="shared" si="12"/>
        <v>3.4694073885152243</v>
      </c>
      <c r="E94" s="53">
        <f t="shared" si="11"/>
        <v>8326.577732436539</v>
      </c>
      <c r="F94" s="54">
        <f t="shared" si="13"/>
        <v>-224817.59877578655</v>
      </c>
    </row>
    <row r="95" spans="1:6">
      <c r="A95" s="25">
        <v>56</v>
      </c>
      <c r="B95" s="51">
        <f t="shared" si="10"/>
        <v>-33</v>
      </c>
      <c r="C95" s="74">
        <f t="shared" si="6"/>
        <v>1.2220547217370632E-4</v>
      </c>
      <c r="D95" s="52">
        <f t="shared" si="12"/>
        <v>3.0210341593183681</v>
      </c>
      <c r="E95" s="53">
        <f t="shared" si="11"/>
        <v>7250.4819823640837</v>
      </c>
      <c r="F95" s="54">
        <f t="shared" si="13"/>
        <v>-239265.90541801477</v>
      </c>
    </row>
    <row r="96" spans="1:6">
      <c r="A96" s="25">
        <v>57</v>
      </c>
      <c r="B96" s="51">
        <f t="shared" si="10"/>
        <v>-39</v>
      </c>
      <c r="C96" s="74">
        <f t="shared" si="6"/>
        <v>1.0338357275647083E-4</v>
      </c>
      <c r="D96" s="52">
        <f t="shared" si="12"/>
        <v>2.5681440654261944</v>
      </c>
      <c r="E96" s="53">
        <f t="shared" si="11"/>
        <v>6163.5457570228664</v>
      </c>
      <c r="F96" s="54">
        <f t="shared" si="13"/>
        <v>-240378.28452389178</v>
      </c>
    </row>
    <row r="97" spans="1:6">
      <c r="A97" s="25">
        <v>58</v>
      </c>
      <c r="B97" s="51">
        <f t="shared" si="10"/>
        <v>-45</v>
      </c>
      <c r="C97" s="74">
        <f t="shared" si="6"/>
        <v>8.456167333923534E-5</v>
      </c>
      <c r="D97" s="52">
        <f t="shared" si="12"/>
        <v>2.1107371068386875</v>
      </c>
      <c r="E97" s="53">
        <f t="shared" si="11"/>
        <v>5065.7690564128497</v>
      </c>
      <c r="F97" s="54">
        <f t="shared" si="13"/>
        <v>-227959.60753857825</v>
      </c>
    </row>
    <row r="98" spans="1:6">
      <c r="A98" s="25">
        <v>59</v>
      </c>
      <c r="B98" s="51">
        <f t="shared" si="10"/>
        <v>-51</v>
      </c>
      <c r="C98" s="74">
        <f t="shared" si="6"/>
        <v>6.5739773921999852E-5</v>
      </c>
      <c r="D98" s="52">
        <f t="shared" si="12"/>
        <v>1.6488132835558578</v>
      </c>
      <c r="E98" s="53">
        <f t="shared" si="11"/>
        <v>3957.1518805340588</v>
      </c>
      <c r="F98" s="54">
        <f t="shared" si="13"/>
        <v>-201814.745907237</v>
      </c>
    </row>
    <row r="99" spans="1:6">
      <c r="A99" s="25">
        <v>60</v>
      </c>
      <c r="B99" s="51">
        <f t="shared" si="10"/>
        <v>-57</v>
      </c>
      <c r="C99" s="74">
        <f t="shared" si="6"/>
        <v>4.6917874504764364E-5</v>
      </c>
      <c r="D99" s="52">
        <f t="shared" si="12"/>
        <v>1.1823725955777029</v>
      </c>
      <c r="E99" s="53">
        <f t="shared" si="11"/>
        <v>2837.6942293864868</v>
      </c>
      <c r="F99" s="54">
        <f t="shared" si="13"/>
        <v>-161748.57107502976</v>
      </c>
    </row>
    <row r="100" spans="1:6">
      <c r="A100" s="25">
        <v>61</v>
      </c>
      <c r="B100" s="51">
        <f t="shared" si="10"/>
        <v>-63</v>
      </c>
      <c r="C100" s="74">
        <f t="shared" si="6"/>
        <v>2.8095975087528876E-5</v>
      </c>
      <c r="D100" s="52">
        <f t="shared" si="12"/>
        <v>0.71141504290422874</v>
      </c>
      <c r="E100" s="53">
        <f t="shared" si="11"/>
        <v>1707.3961029701491</v>
      </c>
      <c r="F100" s="54">
        <f t="shared" si="13"/>
        <v>-107565.95448711939</v>
      </c>
    </row>
    <row r="101" spans="1:6">
      <c r="A101" s="25">
        <v>62</v>
      </c>
      <c r="B101" s="51">
        <f t="shared" si="10"/>
        <v>-69</v>
      </c>
      <c r="C101" s="74">
        <f t="shared" si="6"/>
        <v>9.2740756702933884E-6</v>
      </c>
      <c r="D101" s="52">
        <f t="shared" si="12"/>
        <v>0.23594062553542339</v>
      </c>
      <c r="E101" s="53">
        <f t="shared" si="11"/>
        <v>566.25750128501613</v>
      </c>
      <c r="F101" s="54">
        <f t="shared" si="13"/>
        <v>-39071.767588666116</v>
      </c>
    </row>
    <row r="102" spans="1:6">
      <c r="A102" s="25">
        <v>63</v>
      </c>
      <c r="B102" s="51">
        <f t="shared" si="10"/>
        <v>-75</v>
      </c>
      <c r="C102" s="74">
        <f t="shared" si="6"/>
        <v>-9.5478237469420995E-6</v>
      </c>
      <c r="D102" s="52">
        <f t="shared" si="12"/>
        <v>0</v>
      </c>
      <c r="E102" s="53">
        <f t="shared" si="11"/>
        <v>0</v>
      </c>
      <c r="F102" s="54">
        <f t="shared" si="13"/>
        <v>0</v>
      </c>
    </row>
    <row r="103" spans="1:6">
      <c r="A103" s="25">
        <v>64</v>
      </c>
      <c r="B103" s="51">
        <f t="shared" si="10"/>
        <v>-81</v>
      </c>
      <c r="C103" s="74">
        <f t="shared" si="6"/>
        <v>-2.8369723164177587E-5</v>
      </c>
      <c r="D103" s="52">
        <f t="shared" si="12"/>
        <v>0</v>
      </c>
      <c r="E103" s="53">
        <f t="shared" si="11"/>
        <v>0</v>
      </c>
      <c r="F103" s="54">
        <f t="shared" si="13"/>
        <v>0</v>
      </c>
    </row>
    <row r="104" spans="1:6">
      <c r="A104" s="25">
        <v>65</v>
      </c>
      <c r="B104" s="51">
        <f t="shared" ref="B104:B139" si="14">h/2-($A104-0.5)*B$33</f>
        <v>-87</v>
      </c>
      <c r="C104" s="74">
        <f t="shared" si="6"/>
        <v>-4.7191622581413075E-5</v>
      </c>
      <c r="D104" s="52">
        <f t="shared" si="12"/>
        <v>0</v>
      </c>
      <c r="E104" s="53">
        <f t="shared" ref="E104:E135" si="15">+D104*B$35</f>
        <v>0</v>
      </c>
      <c r="F104" s="54">
        <f t="shared" si="13"/>
        <v>0</v>
      </c>
    </row>
    <row r="105" spans="1:6">
      <c r="A105" s="25">
        <v>66</v>
      </c>
      <c r="B105" s="51">
        <f t="shared" si="14"/>
        <v>-93</v>
      </c>
      <c r="C105" s="74">
        <f t="shared" ref="C105:C139" si="16">$D$11+$D$12*B105</f>
        <v>-6.6013521998648563E-5</v>
      </c>
      <c r="D105" s="52">
        <f t="shared" si="12"/>
        <v>0</v>
      </c>
      <c r="E105" s="53">
        <f t="shared" si="15"/>
        <v>0</v>
      </c>
      <c r="F105" s="54">
        <f t="shared" si="13"/>
        <v>0</v>
      </c>
    </row>
    <row r="106" spans="1:6">
      <c r="A106" s="25">
        <v>67</v>
      </c>
      <c r="B106" s="51">
        <f t="shared" si="14"/>
        <v>-99</v>
      </c>
      <c r="C106" s="74">
        <f t="shared" si="16"/>
        <v>-8.4835421415884051E-5</v>
      </c>
      <c r="D106" s="52">
        <f t="shared" si="12"/>
        <v>0</v>
      </c>
      <c r="E106" s="53">
        <f t="shared" si="15"/>
        <v>0</v>
      </c>
      <c r="F106" s="54">
        <f t="shared" si="13"/>
        <v>0</v>
      </c>
    </row>
    <row r="107" spans="1:6">
      <c r="A107" s="25">
        <v>68</v>
      </c>
      <c r="B107" s="51">
        <f t="shared" si="14"/>
        <v>-105</v>
      </c>
      <c r="C107" s="74">
        <f t="shared" si="16"/>
        <v>-1.0365732083311954E-4</v>
      </c>
      <c r="D107" s="52">
        <f t="shared" si="12"/>
        <v>0</v>
      </c>
      <c r="E107" s="53">
        <f t="shared" si="15"/>
        <v>0</v>
      </c>
      <c r="F107" s="54">
        <f t="shared" si="13"/>
        <v>0</v>
      </c>
    </row>
    <row r="108" spans="1:6">
      <c r="A108" s="25">
        <v>69</v>
      </c>
      <c r="B108" s="51">
        <f t="shared" si="14"/>
        <v>-111</v>
      </c>
      <c r="C108" s="74">
        <f t="shared" si="16"/>
        <v>-1.2247922025035503E-4</v>
      </c>
      <c r="D108" s="52">
        <f t="shared" si="12"/>
        <v>0</v>
      </c>
      <c r="E108" s="53">
        <f t="shared" si="15"/>
        <v>0</v>
      </c>
      <c r="F108" s="54">
        <f t="shared" si="13"/>
        <v>0</v>
      </c>
    </row>
    <row r="109" spans="1:6">
      <c r="A109" s="25">
        <v>70</v>
      </c>
      <c r="B109" s="51">
        <f t="shared" si="14"/>
        <v>-117</v>
      </c>
      <c r="C109" s="74">
        <f t="shared" si="16"/>
        <v>-1.4130111966759051E-4</v>
      </c>
      <c r="D109" s="52">
        <f t="shared" si="12"/>
        <v>0</v>
      </c>
      <c r="E109" s="53">
        <f t="shared" si="15"/>
        <v>0</v>
      </c>
      <c r="F109" s="54">
        <f t="shared" si="13"/>
        <v>0</v>
      </c>
    </row>
    <row r="110" spans="1:6">
      <c r="A110" s="25">
        <v>71</v>
      </c>
      <c r="B110" s="51">
        <f t="shared" si="14"/>
        <v>-123</v>
      </c>
      <c r="C110" s="74">
        <f t="shared" si="16"/>
        <v>-1.60123019084826E-4</v>
      </c>
      <c r="D110" s="52">
        <f t="shared" si="12"/>
        <v>0</v>
      </c>
      <c r="E110" s="53">
        <f t="shared" si="15"/>
        <v>0</v>
      </c>
      <c r="F110" s="54">
        <f t="shared" si="13"/>
        <v>0</v>
      </c>
    </row>
    <row r="111" spans="1:6">
      <c r="A111" s="25">
        <v>72</v>
      </c>
      <c r="B111" s="51">
        <f t="shared" si="14"/>
        <v>-129</v>
      </c>
      <c r="C111" s="74">
        <f t="shared" si="16"/>
        <v>-1.7894491850206149E-4</v>
      </c>
      <c r="D111" s="52">
        <f t="shared" si="12"/>
        <v>0</v>
      </c>
      <c r="E111" s="53">
        <f t="shared" si="15"/>
        <v>0</v>
      </c>
      <c r="F111" s="54">
        <f t="shared" si="13"/>
        <v>0</v>
      </c>
    </row>
    <row r="112" spans="1:6">
      <c r="A112" s="25">
        <v>73</v>
      </c>
      <c r="B112" s="51">
        <f t="shared" si="14"/>
        <v>-135</v>
      </c>
      <c r="C112" s="74">
        <f t="shared" si="16"/>
        <v>-1.9776681791929698E-4</v>
      </c>
      <c r="D112" s="52">
        <f t="shared" si="12"/>
        <v>0</v>
      </c>
      <c r="E112" s="53">
        <f t="shared" si="15"/>
        <v>0</v>
      </c>
      <c r="F112" s="54">
        <f t="shared" si="13"/>
        <v>0</v>
      </c>
    </row>
    <row r="113" spans="1:6">
      <c r="A113" s="25">
        <v>74</v>
      </c>
      <c r="B113" s="51">
        <f t="shared" si="14"/>
        <v>-141</v>
      </c>
      <c r="C113" s="74">
        <f t="shared" si="16"/>
        <v>-2.1658871733653247E-4</v>
      </c>
      <c r="D113" s="52">
        <f t="shared" si="12"/>
        <v>0</v>
      </c>
      <c r="E113" s="53">
        <f t="shared" si="15"/>
        <v>0</v>
      </c>
      <c r="F113" s="54">
        <f t="shared" si="13"/>
        <v>0</v>
      </c>
    </row>
    <row r="114" spans="1:6">
      <c r="A114" s="25">
        <v>75</v>
      </c>
      <c r="B114" s="51">
        <f t="shared" si="14"/>
        <v>-147</v>
      </c>
      <c r="C114" s="74">
        <f t="shared" si="16"/>
        <v>-2.3541061675376795E-4</v>
      </c>
      <c r="D114" s="52">
        <f t="shared" si="12"/>
        <v>0</v>
      </c>
      <c r="E114" s="53">
        <f t="shared" si="15"/>
        <v>0</v>
      </c>
      <c r="F114" s="54">
        <f t="shared" si="13"/>
        <v>0</v>
      </c>
    </row>
    <row r="115" spans="1:6">
      <c r="A115" s="25">
        <v>76</v>
      </c>
      <c r="B115" s="51">
        <f t="shared" si="14"/>
        <v>-153</v>
      </c>
      <c r="C115" s="74">
        <f t="shared" si="16"/>
        <v>-2.5423251617100347E-4</v>
      </c>
      <c r="D115" s="52">
        <f t="shared" si="12"/>
        <v>0</v>
      </c>
      <c r="E115" s="53">
        <f t="shared" si="15"/>
        <v>0</v>
      </c>
      <c r="F115" s="54">
        <f t="shared" si="13"/>
        <v>0</v>
      </c>
    </row>
    <row r="116" spans="1:6">
      <c r="A116" s="25">
        <v>77</v>
      </c>
      <c r="B116" s="51">
        <f t="shared" si="14"/>
        <v>-159</v>
      </c>
      <c r="C116" s="74">
        <f t="shared" si="16"/>
        <v>-2.7305441558823885E-4</v>
      </c>
      <c r="D116" s="52">
        <f t="shared" si="12"/>
        <v>0</v>
      </c>
      <c r="E116" s="53">
        <f t="shared" si="15"/>
        <v>0</v>
      </c>
      <c r="F116" s="54">
        <f t="shared" si="13"/>
        <v>0</v>
      </c>
    </row>
    <row r="117" spans="1:6">
      <c r="A117" s="25">
        <v>78</v>
      </c>
      <c r="B117" s="51">
        <f t="shared" si="14"/>
        <v>-165</v>
      </c>
      <c r="C117" s="74">
        <f t="shared" si="16"/>
        <v>-2.9187631500547434E-4</v>
      </c>
      <c r="D117" s="52">
        <f t="shared" si="12"/>
        <v>0</v>
      </c>
      <c r="E117" s="53">
        <f t="shared" si="15"/>
        <v>0</v>
      </c>
      <c r="F117" s="54">
        <f t="shared" si="13"/>
        <v>0</v>
      </c>
    </row>
    <row r="118" spans="1:6">
      <c r="A118" s="25">
        <v>79</v>
      </c>
      <c r="B118" s="51">
        <f t="shared" si="14"/>
        <v>-171</v>
      </c>
      <c r="C118" s="74">
        <f t="shared" si="16"/>
        <v>-3.1069821442270982E-4</v>
      </c>
      <c r="D118" s="52">
        <f t="shared" si="12"/>
        <v>0</v>
      </c>
      <c r="E118" s="53">
        <f t="shared" si="15"/>
        <v>0</v>
      </c>
      <c r="F118" s="54">
        <f t="shared" si="13"/>
        <v>0</v>
      </c>
    </row>
    <row r="119" spans="1:6">
      <c r="A119" s="25">
        <v>80</v>
      </c>
      <c r="B119" s="51">
        <f t="shared" si="14"/>
        <v>-177</v>
      </c>
      <c r="C119" s="74">
        <f t="shared" si="16"/>
        <v>-3.2952011383994531E-4</v>
      </c>
      <c r="D119" s="52">
        <f t="shared" si="12"/>
        <v>0</v>
      </c>
      <c r="E119" s="53">
        <f t="shared" si="15"/>
        <v>0</v>
      </c>
      <c r="F119" s="54">
        <f t="shared" si="13"/>
        <v>0</v>
      </c>
    </row>
    <row r="120" spans="1:6">
      <c r="A120" s="25">
        <v>81</v>
      </c>
      <c r="B120" s="51">
        <f t="shared" si="14"/>
        <v>-183</v>
      </c>
      <c r="C120" s="74">
        <f t="shared" si="16"/>
        <v>-3.483420132571808E-4</v>
      </c>
      <c r="D120" s="52">
        <f t="shared" si="12"/>
        <v>0</v>
      </c>
      <c r="E120" s="53">
        <f t="shared" si="15"/>
        <v>0</v>
      </c>
      <c r="F120" s="54">
        <f t="shared" si="13"/>
        <v>0</v>
      </c>
    </row>
    <row r="121" spans="1:6">
      <c r="A121" s="25">
        <v>82</v>
      </c>
      <c r="B121" s="51">
        <f t="shared" si="14"/>
        <v>-189</v>
      </c>
      <c r="C121" s="74">
        <f t="shared" si="16"/>
        <v>-3.6716391267441629E-4</v>
      </c>
      <c r="D121" s="52">
        <f t="shared" si="12"/>
        <v>0</v>
      </c>
      <c r="E121" s="53">
        <f t="shared" si="15"/>
        <v>0</v>
      </c>
      <c r="F121" s="54">
        <f t="shared" si="13"/>
        <v>0</v>
      </c>
    </row>
    <row r="122" spans="1:6">
      <c r="A122" s="25">
        <v>83</v>
      </c>
      <c r="B122" s="51">
        <f t="shared" si="14"/>
        <v>-195</v>
      </c>
      <c r="C122" s="74">
        <f t="shared" si="16"/>
        <v>-3.8598581209165178E-4</v>
      </c>
      <c r="D122" s="52">
        <f t="shared" si="12"/>
        <v>0</v>
      </c>
      <c r="E122" s="53">
        <f t="shared" si="15"/>
        <v>0</v>
      </c>
      <c r="F122" s="54">
        <f t="shared" si="13"/>
        <v>0</v>
      </c>
    </row>
    <row r="123" spans="1:6">
      <c r="A123" s="25">
        <v>84</v>
      </c>
      <c r="B123" s="51">
        <f t="shared" si="14"/>
        <v>-201</v>
      </c>
      <c r="C123" s="74">
        <f t="shared" si="16"/>
        <v>-4.0480771150888726E-4</v>
      </c>
      <c r="D123" s="52">
        <f t="shared" si="12"/>
        <v>0</v>
      </c>
      <c r="E123" s="53">
        <f t="shared" si="15"/>
        <v>0</v>
      </c>
      <c r="F123" s="54">
        <f t="shared" si="13"/>
        <v>0</v>
      </c>
    </row>
    <row r="124" spans="1:6">
      <c r="A124" s="25">
        <v>85</v>
      </c>
      <c r="B124" s="51">
        <f t="shared" si="14"/>
        <v>-207</v>
      </c>
      <c r="C124" s="74">
        <f t="shared" si="16"/>
        <v>-4.2362961092612275E-4</v>
      </c>
      <c r="D124" s="52">
        <f t="shared" si="12"/>
        <v>0</v>
      </c>
      <c r="E124" s="53">
        <f t="shared" si="15"/>
        <v>0</v>
      </c>
      <c r="F124" s="54">
        <f t="shared" si="13"/>
        <v>0</v>
      </c>
    </row>
    <row r="125" spans="1:6">
      <c r="A125" s="25">
        <v>86</v>
      </c>
      <c r="B125" s="51">
        <f t="shared" si="14"/>
        <v>-213</v>
      </c>
      <c r="C125" s="74">
        <f t="shared" si="16"/>
        <v>-4.4245151034335824E-4</v>
      </c>
      <c r="D125" s="52">
        <f t="shared" si="12"/>
        <v>0</v>
      </c>
      <c r="E125" s="53">
        <f t="shared" si="15"/>
        <v>0</v>
      </c>
      <c r="F125" s="54">
        <f t="shared" si="13"/>
        <v>0</v>
      </c>
    </row>
    <row r="126" spans="1:6">
      <c r="A126" s="25">
        <v>87</v>
      </c>
      <c r="B126" s="51">
        <f t="shared" si="14"/>
        <v>-219</v>
      </c>
      <c r="C126" s="74">
        <f t="shared" si="16"/>
        <v>-4.6127340976059373E-4</v>
      </c>
      <c r="D126" s="52">
        <f t="shared" si="12"/>
        <v>0</v>
      </c>
      <c r="E126" s="53">
        <f t="shared" si="15"/>
        <v>0</v>
      </c>
      <c r="F126" s="54">
        <f t="shared" si="13"/>
        <v>0</v>
      </c>
    </row>
    <row r="127" spans="1:6">
      <c r="A127" s="25">
        <v>88</v>
      </c>
      <c r="B127" s="51">
        <f t="shared" si="14"/>
        <v>-225</v>
      </c>
      <c r="C127" s="74">
        <f t="shared" si="16"/>
        <v>-4.8009530917782922E-4</v>
      </c>
      <c r="D127" s="52">
        <f t="shared" si="12"/>
        <v>0</v>
      </c>
      <c r="E127" s="53">
        <f t="shared" si="15"/>
        <v>0</v>
      </c>
      <c r="F127" s="54">
        <f t="shared" si="13"/>
        <v>0</v>
      </c>
    </row>
    <row r="128" spans="1:6">
      <c r="A128" s="25">
        <v>89</v>
      </c>
      <c r="B128" s="51">
        <f t="shared" si="14"/>
        <v>-231</v>
      </c>
      <c r="C128" s="74">
        <f t="shared" si="16"/>
        <v>-4.989172085950647E-4</v>
      </c>
      <c r="D128" s="52">
        <f t="shared" si="12"/>
        <v>0</v>
      </c>
      <c r="E128" s="53">
        <f t="shared" si="15"/>
        <v>0</v>
      </c>
      <c r="F128" s="54">
        <f t="shared" si="13"/>
        <v>0</v>
      </c>
    </row>
    <row r="129" spans="1:6">
      <c r="A129" s="25">
        <v>90</v>
      </c>
      <c r="B129" s="51">
        <f t="shared" si="14"/>
        <v>-237</v>
      </c>
      <c r="C129" s="74">
        <f t="shared" si="16"/>
        <v>-5.1773910801230019E-4</v>
      </c>
      <c r="D129" s="52">
        <f t="shared" si="12"/>
        <v>0</v>
      </c>
      <c r="E129" s="53">
        <f t="shared" si="15"/>
        <v>0</v>
      </c>
      <c r="F129" s="54">
        <f t="shared" si="13"/>
        <v>0</v>
      </c>
    </row>
    <row r="130" spans="1:6">
      <c r="A130" s="25">
        <v>91</v>
      </c>
      <c r="B130" s="51">
        <f t="shared" si="14"/>
        <v>-243</v>
      </c>
      <c r="C130" s="74">
        <f t="shared" si="16"/>
        <v>-5.3656100742953568E-4</v>
      </c>
      <c r="D130" s="52">
        <f t="shared" si="12"/>
        <v>0</v>
      </c>
      <c r="E130" s="53">
        <f t="shared" si="15"/>
        <v>0</v>
      </c>
      <c r="F130" s="54">
        <f t="shared" si="13"/>
        <v>0</v>
      </c>
    </row>
    <row r="131" spans="1:6">
      <c r="A131" s="25">
        <v>92</v>
      </c>
      <c r="B131" s="51">
        <f t="shared" si="14"/>
        <v>-249</v>
      </c>
      <c r="C131" s="74">
        <f t="shared" si="16"/>
        <v>-5.5538290684677117E-4</v>
      </c>
      <c r="D131" s="52">
        <f t="shared" si="12"/>
        <v>0</v>
      </c>
      <c r="E131" s="53">
        <f t="shared" si="15"/>
        <v>0</v>
      </c>
      <c r="F131" s="54">
        <f t="shared" si="13"/>
        <v>0</v>
      </c>
    </row>
    <row r="132" spans="1:6">
      <c r="A132" s="25">
        <v>93</v>
      </c>
      <c r="B132" s="51">
        <f t="shared" si="14"/>
        <v>-255</v>
      </c>
      <c r="C132" s="74">
        <f t="shared" si="16"/>
        <v>-5.7420480626400666E-4</v>
      </c>
      <c r="D132" s="52">
        <f t="shared" si="12"/>
        <v>0</v>
      </c>
      <c r="E132" s="53">
        <f t="shared" si="15"/>
        <v>0</v>
      </c>
      <c r="F132" s="54">
        <f t="shared" si="13"/>
        <v>0</v>
      </c>
    </row>
    <row r="133" spans="1:6">
      <c r="A133" s="25">
        <v>94</v>
      </c>
      <c r="B133" s="51">
        <f t="shared" si="14"/>
        <v>-261</v>
      </c>
      <c r="C133" s="74">
        <f t="shared" si="16"/>
        <v>-5.9302670568124214E-4</v>
      </c>
      <c r="D133" s="52">
        <f t="shared" si="12"/>
        <v>0</v>
      </c>
      <c r="E133" s="53">
        <f t="shared" si="15"/>
        <v>0</v>
      </c>
      <c r="F133" s="54">
        <f t="shared" si="13"/>
        <v>0</v>
      </c>
    </row>
    <row r="134" spans="1:6">
      <c r="A134" s="25">
        <v>95</v>
      </c>
      <c r="B134" s="51">
        <f t="shared" si="14"/>
        <v>-267</v>
      </c>
      <c r="C134" s="74">
        <f t="shared" si="16"/>
        <v>-6.1184860509847763E-4</v>
      </c>
      <c r="D134" s="52">
        <f t="shared" si="12"/>
        <v>0</v>
      </c>
      <c r="E134" s="53">
        <f t="shared" si="15"/>
        <v>0</v>
      </c>
      <c r="F134" s="54">
        <f t="shared" si="13"/>
        <v>0</v>
      </c>
    </row>
    <row r="135" spans="1:6">
      <c r="A135" s="25">
        <v>96</v>
      </c>
      <c r="B135" s="51">
        <f t="shared" si="14"/>
        <v>-273</v>
      </c>
      <c r="C135" s="74">
        <f t="shared" si="16"/>
        <v>-6.3067050451571312E-4</v>
      </c>
      <c r="D135" s="52">
        <f t="shared" si="12"/>
        <v>0</v>
      </c>
      <c r="E135" s="53">
        <f t="shared" si="15"/>
        <v>0</v>
      </c>
      <c r="F135" s="54">
        <f t="shared" si="13"/>
        <v>0</v>
      </c>
    </row>
    <row r="136" spans="1:6">
      <c r="A136" s="25">
        <v>97</v>
      </c>
      <c r="B136" s="51">
        <f t="shared" si="14"/>
        <v>-279</v>
      </c>
      <c r="C136" s="74">
        <f t="shared" si="16"/>
        <v>-6.4949240393294861E-4</v>
      </c>
      <c r="D136" s="52">
        <f t="shared" si="12"/>
        <v>0</v>
      </c>
      <c r="E136" s="53">
        <f t="shared" ref="E136:E167" si="17">+D136*B$35</f>
        <v>0</v>
      </c>
      <c r="F136" s="54">
        <f t="shared" si="13"/>
        <v>0</v>
      </c>
    </row>
    <row r="137" spans="1:6">
      <c r="A137" s="25">
        <v>98</v>
      </c>
      <c r="B137" s="51">
        <f t="shared" si="14"/>
        <v>-285</v>
      </c>
      <c r="C137" s="74">
        <f t="shared" si="16"/>
        <v>-6.683143033501841E-4</v>
      </c>
      <c r="D137" s="52">
        <f t="shared" si="12"/>
        <v>0</v>
      </c>
      <c r="E137" s="53">
        <f t="shared" si="17"/>
        <v>0</v>
      </c>
      <c r="F137" s="54">
        <f t="shared" si="13"/>
        <v>0</v>
      </c>
    </row>
    <row r="138" spans="1:6">
      <c r="A138" s="25">
        <v>99</v>
      </c>
      <c r="B138" s="51">
        <f t="shared" si="14"/>
        <v>-291</v>
      </c>
      <c r="C138" s="74">
        <f t="shared" si="16"/>
        <v>-6.8713620276741958E-4</v>
      </c>
      <c r="D138" s="52">
        <f t="shared" si="12"/>
        <v>0</v>
      </c>
      <c r="E138" s="53">
        <f t="shared" si="17"/>
        <v>0</v>
      </c>
      <c r="F138" s="54">
        <f t="shared" si="13"/>
        <v>0</v>
      </c>
    </row>
    <row r="139" spans="1:6">
      <c r="A139" s="25">
        <v>100</v>
      </c>
      <c r="B139" s="51">
        <f t="shared" si="14"/>
        <v>-297</v>
      </c>
      <c r="C139" s="74">
        <f t="shared" si="16"/>
        <v>-7.0595810218465507E-4</v>
      </c>
      <c r="D139" s="52">
        <f t="shared" si="12"/>
        <v>0</v>
      </c>
      <c r="E139" s="53">
        <f t="shared" si="17"/>
        <v>0</v>
      </c>
      <c r="F139" s="54">
        <f t="shared" si="13"/>
        <v>0</v>
      </c>
    </row>
  </sheetData>
  <conditionalFormatting sqref="C40:C139">
    <cfRule type="dataBar" priority="9">
      <dataBar>
        <cfvo type="num" val="0"/>
        <cfvo type="num" val="$C$40"/>
        <color theme="9" tint="0.59999389629810485"/>
      </dataBar>
      <extLst>
        <ext xmlns:x14="http://schemas.microsoft.com/office/spreadsheetml/2009/9/main" uri="{B025F937-C7B1-47D3-B67F-A62EFF666E3E}">
          <x14:id>{47BED584-55CC-4AEC-9A59-415217748DC9}</x14:id>
        </ext>
      </extLst>
    </cfRule>
  </conditionalFormatting>
  <conditionalFormatting sqref="D40:D139">
    <cfRule type="dataBar" priority="10">
      <dataBar>
        <cfvo type="num" val="0"/>
        <cfvo type="num" val="$D$40"/>
        <color theme="9" tint="0.59999389629810485"/>
      </dataBar>
      <extLst>
        <ext xmlns:x14="http://schemas.microsoft.com/office/spreadsheetml/2009/9/main" uri="{B025F937-C7B1-47D3-B67F-A62EFF666E3E}">
          <x14:id>{29669C3C-69E1-474C-BB9C-237EDD0DBE7E}</x14:id>
        </ext>
      </extLst>
    </cfRule>
  </conditionalFormatting>
  <pageMargins left="0.59055118110236227" right="0.59055118110236227" top="0.78740157480314965" bottom="0.78740157480314965" header="0.31496062992125984" footer="0.31496062992125984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BED584-55CC-4AEC-9A59-415217748DC9}">
            <x14:dataBar minLength="0" maxLength="100" border="1" gradient="0" direction="leftToRight">
              <x14:cfvo type="num">
                <xm:f>0</xm:f>
              </x14:cfvo>
              <x14:cfvo type="num">
                <xm:f>$C$40</xm:f>
              </x14:cfvo>
              <x14:borderColor theme="9" tint="0.59999389629810485"/>
              <x14:negativeFillColor rgb="FFFF0000"/>
              <x14:axisColor rgb="FF000000"/>
            </x14:dataBar>
          </x14:cfRule>
          <xm:sqref>C40:C139</xm:sqref>
        </x14:conditionalFormatting>
        <x14:conditionalFormatting xmlns:xm="http://schemas.microsoft.com/office/excel/2006/main">
          <x14:cfRule type="dataBar" id="{29669C3C-69E1-474C-BB9C-237EDD0DBE7E}">
            <x14:dataBar minLength="0" maxLength="100" border="1" gradient="0" direction="leftToRight">
              <x14:cfvo type="num">
                <xm:f>0</xm:f>
              </x14:cfvo>
              <x14:cfvo type="num">
                <xm:f>$D$40</xm:f>
              </x14:cfvo>
              <x14:borderColor theme="9" tint="0.59999389629810485"/>
              <x14:negativeFillColor rgb="FFFF0000"/>
              <x14:axisColor rgb="FF000000"/>
            </x14:dataBar>
          </x14:cfRule>
          <xm:sqref>D40:D139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563D-B044-436A-9240-FE67CEBF9C63}">
  <dimension ref="A1:DO162"/>
  <sheetViews>
    <sheetView tabSelected="1" zoomScaleNormal="100" workbookViewId="0">
      <selection activeCell="K16" sqref="K16"/>
    </sheetView>
  </sheetViews>
  <sheetFormatPr defaultRowHeight="15"/>
  <cols>
    <col min="1" max="2" width="9.7109375" customWidth="1"/>
    <col min="3" max="3" width="10.7109375" customWidth="1"/>
    <col min="4" max="4" width="10.85546875" customWidth="1"/>
    <col min="5" max="5" width="12" customWidth="1"/>
    <col min="6" max="6" width="11.140625" customWidth="1"/>
    <col min="7" max="7" width="11.7109375" customWidth="1"/>
    <col min="8" max="8" width="10.7109375" customWidth="1"/>
    <col min="9" max="9" width="12.5703125" customWidth="1"/>
    <col min="10" max="10" width="14.28515625" customWidth="1"/>
    <col min="11" max="11" width="12.85546875" customWidth="1"/>
    <col min="12" max="12" width="9.7109375" customWidth="1"/>
    <col min="13" max="14" width="9.5703125" bestFit="1" customWidth="1"/>
    <col min="15" max="15" width="12.5703125" customWidth="1"/>
    <col min="16" max="16" width="10.28515625" customWidth="1"/>
    <col min="17" max="17" width="12.7109375" bestFit="1" customWidth="1"/>
    <col min="22" max="22" width="10" customWidth="1"/>
    <col min="23" max="24" width="12" bestFit="1" customWidth="1"/>
    <col min="29" max="29" width="10.28515625" customWidth="1"/>
    <col min="46" max="46" width="10.42578125" customWidth="1"/>
  </cols>
  <sheetData>
    <row r="1" spans="1:10" ht="18.75">
      <c r="A1" s="100" t="s">
        <v>244</v>
      </c>
    </row>
    <row r="3" spans="1:10" ht="15.75">
      <c r="A3" s="200" t="s">
        <v>216</v>
      </c>
      <c r="G3" s="200" t="s">
        <v>246</v>
      </c>
    </row>
    <row r="4" spans="1:10">
      <c r="A4" t="s">
        <v>214</v>
      </c>
      <c r="C4" s="7" t="s">
        <v>27</v>
      </c>
      <c r="D4" s="215">
        <v>2000</v>
      </c>
      <c r="E4" t="s">
        <v>67</v>
      </c>
      <c r="G4" t="s">
        <v>247</v>
      </c>
      <c r="H4" s="7" t="s">
        <v>27</v>
      </c>
      <c r="I4" s="240">
        <v>5.0000000000000001E-4</v>
      </c>
    </row>
    <row r="5" spans="1:10">
      <c r="A5" t="s">
        <v>215</v>
      </c>
      <c r="C5" s="7" t="s">
        <v>27</v>
      </c>
      <c r="D5" s="215">
        <v>500</v>
      </c>
      <c r="E5" t="s">
        <v>68</v>
      </c>
      <c r="G5" t="s">
        <v>248</v>
      </c>
      <c r="H5" s="7" t="s">
        <v>27</v>
      </c>
      <c r="I5" s="241">
        <v>5.0000000000000004E-6</v>
      </c>
      <c r="J5" t="s">
        <v>213</v>
      </c>
    </row>
    <row r="7" spans="1:10" ht="15.75">
      <c r="A7" s="200" t="s">
        <v>222</v>
      </c>
    </row>
    <row r="8" spans="1:10" ht="15.75">
      <c r="A8" s="200"/>
      <c r="B8" t="s">
        <v>304</v>
      </c>
    </row>
    <row r="9" spans="1:10" ht="15.75">
      <c r="A9" s="200"/>
      <c r="B9" t="s">
        <v>305</v>
      </c>
    </row>
    <row r="10" spans="1:10" ht="15.75">
      <c r="A10" s="200"/>
    </row>
    <row r="11" spans="1:10" ht="15.75">
      <c r="A11" s="200"/>
      <c r="B11" s="161" t="s">
        <v>293</v>
      </c>
      <c r="C11" s="162"/>
      <c r="D11" s="162" t="s">
        <v>300</v>
      </c>
      <c r="E11" s="162"/>
      <c r="F11" s="162"/>
      <c r="G11" s="163"/>
    </row>
    <row r="12" spans="1:10" ht="15.75">
      <c r="A12" s="200"/>
      <c r="B12" s="164" t="s">
        <v>294</v>
      </c>
      <c r="C12" s="165"/>
      <c r="D12" s="165" t="s">
        <v>295</v>
      </c>
      <c r="E12" s="165"/>
      <c r="F12" s="165"/>
      <c r="G12" s="166"/>
    </row>
    <row r="13" spans="1:10" ht="15.75">
      <c r="A13" s="200"/>
      <c r="B13" s="164" t="s">
        <v>296</v>
      </c>
      <c r="C13" s="165"/>
      <c r="D13" s="165" t="s">
        <v>307</v>
      </c>
      <c r="E13" s="165"/>
      <c r="F13" s="165"/>
      <c r="G13" s="166"/>
    </row>
    <row r="14" spans="1:10" ht="15.75">
      <c r="A14" s="200"/>
      <c r="B14" s="164"/>
      <c r="C14" s="165"/>
      <c r="D14" s="165" t="s">
        <v>306</v>
      </c>
      <c r="E14" s="165"/>
      <c r="F14" s="165"/>
      <c r="G14" s="166"/>
    </row>
    <row r="15" spans="1:10" ht="15.75">
      <c r="A15" s="200"/>
      <c r="B15" s="164" t="s">
        <v>297</v>
      </c>
      <c r="C15" s="165"/>
      <c r="D15" s="165" t="s">
        <v>303</v>
      </c>
      <c r="E15" s="165"/>
      <c r="F15" s="165"/>
      <c r="G15" s="166"/>
    </row>
    <row r="16" spans="1:10" ht="15.75">
      <c r="A16" s="200"/>
      <c r="B16" s="164" t="s">
        <v>298</v>
      </c>
      <c r="C16" s="165"/>
      <c r="D16" s="165" t="s">
        <v>299</v>
      </c>
      <c r="E16" s="165"/>
      <c r="F16" s="165"/>
      <c r="G16" s="166"/>
    </row>
    <row r="17" spans="1:20" ht="15.75">
      <c r="A17" s="200"/>
      <c r="B17" s="164"/>
      <c r="C17" s="165"/>
      <c r="D17" s="165" t="s">
        <v>302</v>
      </c>
      <c r="E17" s="165"/>
      <c r="F17" s="165"/>
      <c r="G17" s="166"/>
    </row>
    <row r="18" spans="1:20" ht="15.75">
      <c r="A18" s="200"/>
      <c r="B18" s="167"/>
      <c r="C18" s="168"/>
      <c r="D18" s="168" t="s">
        <v>301</v>
      </c>
      <c r="E18" s="168"/>
      <c r="F18" s="168"/>
      <c r="G18" s="169"/>
    </row>
    <row r="19" spans="1:20" ht="15.75">
      <c r="A19" s="200"/>
    </row>
    <row r="20" spans="1:20" ht="15.75">
      <c r="A20" s="200"/>
    </row>
    <row r="21" spans="1:20" ht="22.5" customHeight="1" thickBot="1">
      <c r="A21" s="111" t="s">
        <v>292</v>
      </c>
      <c r="D21" s="238" t="s">
        <v>309</v>
      </c>
      <c r="E21" s="238" t="s">
        <v>310</v>
      </c>
      <c r="F21" s="238" t="s">
        <v>312</v>
      </c>
      <c r="G21" s="238"/>
      <c r="H21" s="239" t="s">
        <v>311</v>
      </c>
      <c r="I21" s="239"/>
      <c r="J21" s="239"/>
      <c r="K21" s="239"/>
      <c r="M21" s="238" t="s">
        <v>303</v>
      </c>
      <c r="N21" s="238"/>
    </row>
    <row r="22" spans="1:20" ht="27" customHeight="1" thickTop="1">
      <c r="A22" s="229" t="s">
        <v>249</v>
      </c>
      <c r="B22" s="230" t="s">
        <v>256</v>
      </c>
      <c r="C22" s="230" t="s">
        <v>248</v>
      </c>
      <c r="D22" s="230" t="s">
        <v>18</v>
      </c>
      <c r="E22" s="230" t="s">
        <v>20</v>
      </c>
      <c r="F22" s="230" t="s">
        <v>257</v>
      </c>
      <c r="G22" s="230" t="s">
        <v>258</v>
      </c>
      <c r="H22" s="230" t="s">
        <v>261</v>
      </c>
      <c r="I22" s="230" t="s">
        <v>253</v>
      </c>
      <c r="J22" s="230" t="s">
        <v>262</v>
      </c>
      <c r="K22" s="230" t="s">
        <v>255</v>
      </c>
      <c r="L22" s="233" t="s">
        <v>308</v>
      </c>
      <c r="M22" s="230" t="s">
        <v>259</v>
      </c>
      <c r="N22" s="231" t="s">
        <v>260</v>
      </c>
    </row>
    <row r="23" spans="1:20">
      <c r="A23" s="25">
        <v>1</v>
      </c>
      <c r="B23" s="242">
        <f>+I4</f>
        <v>5.0000000000000001E-4</v>
      </c>
      <c r="C23" s="243">
        <f>+I5</f>
        <v>5.0000000000000004E-6</v>
      </c>
      <c r="D23" s="83">
        <f>E62+R62</f>
        <v>3326421.4751636665</v>
      </c>
      <c r="E23" s="226">
        <f>F62+S62</f>
        <v>723583023.80244839</v>
      </c>
      <c r="F23" s="232">
        <f>+D23-$D$4*1000</f>
        <v>1326421.4751636665</v>
      </c>
      <c r="G23" s="178">
        <f>+E23-$D$5*10^6</f>
        <v>223583023.80244839</v>
      </c>
      <c r="H23" s="226">
        <f>+H62+U62</f>
        <v>3801597046.8431497</v>
      </c>
      <c r="I23" s="226">
        <f>+I62+V62</f>
        <v>24227241641.46743</v>
      </c>
      <c r="J23" s="226">
        <f>+I23</f>
        <v>24227241641.46743</v>
      </c>
      <c r="K23" s="226">
        <f>+J62+W62</f>
        <v>90180384700000.391</v>
      </c>
      <c r="L23" s="226">
        <f>+H23*K23-I23*J23</f>
        <v>3.4224252492114659E+23</v>
      </c>
      <c r="M23" s="226">
        <f>-(K23*F23-I23*G23)/L23</f>
        <v>-3.3368266841276255E-4</v>
      </c>
      <c r="N23" s="227">
        <f>-(-I23*F23+H23*G23)/L23</f>
        <v>-2.3896417594594912E-6</v>
      </c>
      <c r="P23" s="27" t="s">
        <v>313</v>
      </c>
      <c r="Q23" s="29">
        <f>+SQRT(D4^2+D5^2)</f>
        <v>2061.5528128088304</v>
      </c>
    </row>
    <row r="24" spans="1:20">
      <c r="A24" s="25">
        <v>2</v>
      </c>
      <c r="B24" s="234">
        <f t="shared" ref="B24:C27" si="0">+B23+M23</f>
        <v>1.6631733158723746E-4</v>
      </c>
      <c r="C24" s="235">
        <f t="shared" si="0"/>
        <v>2.6103582405405093E-6</v>
      </c>
      <c r="D24" s="83">
        <f>+AC62+AP62</f>
        <v>1623855.1947549386</v>
      </c>
      <c r="E24" s="226">
        <f>+AD62+AQ62</f>
        <v>423128889.18910319</v>
      </c>
      <c r="F24" s="232">
        <f>+D24-$D$4*1000</f>
        <v>-376144.80524506141</v>
      </c>
      <c r="G24" s="178">
        <f>+E24-$D$5*10^6</f>
        <v>-76871110.810896814</v>
      </c>
      <c r="H24" s="226">
        <f>+AF62+AS62</f>
        <v>4553429485.1277714</v>
      </c>
      <c r="I24" s="226">
        <f>+AG62+AT62</f>
        <v>229679900108.95355</v>
      </c>
      <c r="J24" s="226">
        <f>+I24</f>
        <v>229679900108.95355</v>
      </c>
      <c r="K24" s="226">
        <f>+AH62+AU62</f>
        <v>126072873864889.97</v>
      </c>
      <c r="L24" s="226">
        <f>+H24*K24-I24*J24</f>
        <v>5.2131108461712548E+23</v>
      </c>
      <c r="M24" s="226">
        <f>-(K24*F24-I24*G24)/L24</f>
        <v>5.7098167318165868E-5</v>
      </c>
      <c r="N24" s="227">
        <f>-(-I24*F24+H24*G24)/L24</f>
        <v>5.0571393742624766E-7</v>
      </c>
      <c r="P24" s="30" t="s">
        <v>314</v>
      </c>
      <c r="Q24" s="31">
        <f>+SQRT((D27/1000)^2+(E27/10^6)^2)</f>
        <v>2061.5528127366988</v>
      </c>
    </row>
    <row r="25" spans="1:20">
      <c r="A25" s="25">
        <v>3</v>
      </c>
      <c r="B25" s="234">
        <f t="shared" si="0"/>
        <v>2.2341549890540332E-4</v>
      </c>
      <c r="C25" s="235">
        <f t="shared" si="0"/>
        <v>3.1160721779667567E-6</v>
      </c>
      <c r="D25" s="83">
        <f>+BA62+BN62</f>
        <v>1985850.6148368944</v>
      </c>
      <c r="E25" s="226">
        <f>+BB62+BO62</f>
        <v>497078479.06375194</v>
      </c>
      <c r="F25" s="232">
        <f>+D25-$D$4*1000</f>
        <v>-14149.385163105559</v>
      </c>
      <c r="G25" s="178">
        <f>+E25-$D$5*10^6</f>
        <v>-2921520.936248064</v>
      </c>
      <c r="H25" s="226">
        <f>+BD62+BQ62</f>
        <v>4405202682.7315178</v>
      </c>
      <c r="I25" s="226">
        <f>+BE62+BR62</f>
        <v>191102913782.18283</v>
      </c>
      <c r="J25" s="226">
        <f>+I25</f>
        <v>191102913782.18283</v>
      </c>
      <c r="K25" s="226">
        <f>+BF62+BS62</f>
        <v>118829873339354.31</v>
      </c>
      <c r="L25" s="226">
        <f>+H25*K25-I25*J25</f>
        <v>4.8694935316712967E+23</v>
      </c>
      <c r="M25" s="226">
        <f>-(K25*F25-I25*G25)/L25</f>
        <v>2.306314765312899E-6</v>
      </c>
      <c r="N25" s="227">
        <f>-(-I25*F25+H25*G25)/L25</f>
        <v>2.0876715549576451E-8</v>
      </c>
      <c r="P25" s="32" t="s">
        <v>315</v>
      </c>
      <c r="Q25" s="244">
        <f>(Q24-Q23)/Q23</f>
        <v>-3.4988950853983715E-11</v>
      </c>
    </row>
    <row r="26" spans="1:20">
      <c r="A26" s="25">
        <v>4</v>
      </c>
      <c r="B26" s="234">
        <f t="shared" si="0"/>
        <v>2.2572181367071622E-4</v>
      </c>
      <c r="C26" s="235">
        <f t="shared" si="0"/>
        <v>3.1369488935163333E-6</v>
      </c>
      <c r="D26" s="83">
        <f>+BY62+CL62</f>
        <v>1999975.4368127871</v>
      </c>
      <c r="E26" s="226">
        <f>+BZ62+CM62</f>
        <v>499995154.17683542</v>
      </c>
      <c r="F26" s="232">
        <f>+D26-$D$4*1000</f>
        <v>-24.563187212916091</v>
      </c>
      <c r="G26" s="178">
        <f>+E26-$D$5*10^6</f>
        <v>-4845.8231645822525</v>
      </c>
      <c r="H26" s="226">
        <f>+CB62+CO62</f>
        <v>4396633525.6943302</v>
      </c>
      <c r="I26" s="226">
        <f>+CC62+CP62</f>
        <v>189696408963.147</v>
      </c>
      <c r="J26" s="226">
        <f>+I26</f>
        <v>189696408963.147</v>
      </c>
      <c r="K26" s="226">
        <f>+CD62+CQ62</f>
        <v>118521021907152.2</v>
      </c>
      <c r="L26" s="226">
        <f>+H26*K26-I26*J26</f>
        <v>4.8510877084302403E+23</v>
      </c>
      <c r="M26" s="226">
        <f>-(K26*F26-I26*G26)/L26</f>
        <v>4.1063343248114946E-9</v>
      </c>
      <c r="N26" s="227">
        <f>-(-I26*F26+H26*G26)/L26</f>
        <v>3.4313459534202573E-11</v>
      </c>
    </row>
    <row r="27" spans="1:20">
      <c r="A27" s="25">
        <v>5</v>
      </c>
      <c r="B27" s="236">
        <f t="shared" si="0"/>
        <v>2.2572592000504103E-4</v>
      </c>
      <c r="C27" s="237">
        <f t="shared" si="0"/>
        <v>3.1369832069758676E-6</v>
      </c>
      <c r="D27" s="83">
        <f>+CW62+DJ62</f>
        <v>1999999.9999291063</v>
      </c>
      <c r="E27" s="226">
        <f>+CX62+DK62</f>
        <v>499999999.98616934</v>
      </c>
      <c r="F27" s="232">
        <f>+D27-$D$4*1000</f>
        <v>-7.0893671363592148E-5</v>
      </c>
      <c r="G27" s="178">
        <f>+E27-$D$5*10^6</f>
        <v>-1.3830661773681641E-2</v>
      </c>
      <c r="H27" s="51"/>
      <c r="I27" s="51"/>
      <c r="J27" s="51"/>
      <c r="K27" s="51"/>
      <c r="L27" s="51"/>
      <c r="M27" s="51"/>
      <c r="N27" s="54"/>
      <c r="P27" s="75" t="s">
        <v>55</v>
      </c>
      <c r="Q27" s="75"/>
      <c r="R27" s="75" t="s">
        <v>316</v>
      </c>
      <c r="S27" s="75"/>
      <c r="T27" s="152"/>
    </row>
    <row r="28" spans="1:20">
      <c r="A28" s="25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4"/>
    </row>
    <row r="29" spans="1:20" ht="15.75" thickBot="1">
      <c r="A29" s="26" t="s">
        <v>317</v>
      </c>
      <c r="B29" s="126"/>
      <c r="C29" s="126"/>
      <c r="D29" s="126"/>
      <c r="E29" s="228"/>
      <c r="F29" s="126"/>
      <c r="G29" s="126"/>
      <c r="H29" s="126"/>
      <c r="I29" s="126"/>
      <c r="J29" s="126"/>
      <c r="K29" s="126"/>
      <c r="L29" s="126"/>
      <c r="M29" s="126"/>
      <c r="N29" s="97"/>
    </row>
    <row r="30" spans="1:20" ht="15.75" thickTop="1"/>
    <row r="31" spans="1:20" ht="15.75">
      <c r="A31" s="200" t="s">
        <v>236</v>
      </c>
      <c r="G31" s="50"/>
    </row>
    <row r="32" spans="1:20">
      <c r="A32" s="212" t="s">
        <v>237</v>
      </c>
      <c r="E32" s="246">
        <f>+C27</f>
        <v>3.1369832069758676E-6</v>
      </c>
      <c r="F32" t="s">
        <v>213</v>
      </c>
      <c r="G32" s="50"/>
    </row>
    <row r="33" spans="1:10">
      <c r="A33" s="212" t="s">
        <v>238</v>
      </c>
      <c r="E33" s="245">
        <f>+B27</f>
        <v>2.2572592000504103E-4</v>
      </c>
      <c r="G33" s="50"/>
    </row>
    <row r="34" spans="1:10">
      <c r="A34" s="212" t="s">
        <v>239</v>
      </c>
      <c r="E34" s="213">
        <f>IF(E32=0,"pure axial",-E33/E32)</f>
        <v>-71.956368622912279</v>
      </c>
      <c r="F34" t="s">
        <v>13</v>
      </c>
      <c r="G34" s="50"/>
    </row>
    <row r="35" spans="1:10">
      <c r="A35" s="212" t="s">
        <v>243</v>
      </c>
      <c r="E35" s="213">
        <f>IF(E32=0,"-",h/2+E33/E32)</f>
        <v>371.95636862291229</v>
      </c>
      <c r="F35" t="s">
        <v>13</v>
      </c>
      <c r="G35" s="50"/>
    </row>
    <row r="36" spans="1:10">
      <c r="A36" s="212" t="s">
        <v>240</v>
      </c>
      <c r="E36" s="214">
        <f>E33+E32*h/2</f>
        <v>1.1668208820978013E-3</v>
      </c>
      <c r="G36" s="50"/>
    </row>
    <row r="37" spans="1:10">
      <c r="A37" s="212" t="s">
        <v>241</v>
      </c>
      <c r="E37" s="214">
        <f>E33-E32*h/2</f>
        <v>-7.1536904208771915E-4</v>
      </c>
      <c r="G37" s="50"/>
    </row>
    <row r="38" spans="1:10">
      <c r="A38" s="212" t="s">
        <v>242</v>
      </c>
      <c r="E38" s="8">
        <f>+E27/D27</f>
        <v>250.00000000194638</v>
      </c>
      <c r="F38" t="s">
        <v>13</v>
      </c>
      <c r="G38" s="50"/>
    </row>
    <row r="39" spans="1:10">
      <c r="A39" s="212"/>
      <c r="G39" s="50"/>
    </row>
    <row r="43" spans="1:10">
      <c r="A43" s="212"/>
      <c r="E43" s="8"/>
      <c r="G43" s="50"/>
    </row>
    <row r="44" spans="1:10">
      <c r="A44" s="212"/>
      <c r="E44" s="8"/>
      <c r="G44" s="50"/>
    </row>
    <row r="45" spans="1:10" ht="17.25">
      <c r="A45" s="212"/>
      <c r="E45" s="8"/>
      <c r="G45" s="161" t="s">
        <v>250</v>
      </c>
      <c r="H45" s="162"/>
      <c r="I45" s="162"/>
      <c r="J45" s="163"/>
    </row>
    <row r="46" spans="1:10">
      <c r="A46" s="212"/>
      <c r="E46" s="8"/>
      <c r="G46" s="217" t="s">
        <v>254</v>
      </c>
      <c r="H46" s="165"/>
      <c r="I46" s="165"/>
      <c r="J46" s="166"/>
    </row>
    <row r="47" spans="1:10">
      <c r="A47" s="212"/>
      <c r="E47" s="8"/>
      <c r="G47" s="164" t="s">
        <v>263</v>
      </c>
      <c r="H47" s="165"/>
      <c r="I47" s="165"/>
      <c r="J47" s="166"/>
    </row>
    <row r="48" spans="1:10">
      <c r="A48" s="212"/>
      <c r="E48" s="8"/>
      <c r="G48" s="164" t="s">
        <v>264</v>
      </c>
      <c r="H48" s="165"/>
      <c r="I48" s="165"/>
      <c r="J48" s="166"/>
    </row>
    <row r="49" spans="1:119" ht="18" thickBot="1">
      <c r="A49" s="212"/>
      <c r="E49" s="8"/>
      <c r="G49" s="220" t="s">
        <v>284</v>
      </c>
      <c r="H49" s="170"/>
      <c r="I49" s="170"/>
      <c r="J49" s="221"/>
      <c r="L49" s="111" t="s">
        <v>191</v>
      </c>
    </row>
    <row r="50" spans="1:119" ht="15.75" thickTop="1">
      <c r="A50" s="212"/>
      <c r="E50" s="8"/>
      <c r="G50" s="164" t="s">
        <v>265</v>
      </c>
      <c r="H50" s="165"/>
      <c r="I50" s="165"/>
      <c r="J50" s="166"/>
      <c r="L50" s="67" t="s">
        <v>1</v>
      </c>
      <c r="M50" s="68">
        <v>100</v>
      </c>
      <c r="N50" s="13" t="s">
        <v>39</v>
      </c>
    </row>
    <row r="51" spans="1:119">
      <c r="A51" s="212"/>
      <c r="G51" s="164" t="s">
        <v>266</v>
      </c>
      <c r="H51" s="165"/>
      <c r="I51" s="165"/>
      <c r="J51" s="166"/>
      <c r="L51" s="69" t="s">
        <v>41</v>
      </c>
      <c r="M51" s="66">
        <f>h/M$50</f>
        <v>6</v>
      </c>
      <c r="N51" s="15" t="s">
        <v>13</v>
      </c>
      <c r="T51" s="111"/>
    </row>
    <row r="52" spans="1:119">
      <c r="G52" s="164" t="s">
        <v>267</v>
      </c>
      <c r="H52" s="165"/>
      <c r="I52" s="165"/>
      <c r="J52" s="166"/>
      <c r="L52" s="69" t="s">
        <v>42</v>
      </c>
      <c r="M52" s="66">
        <f>+b</f>
        <v>400</v>
      </c>
      <c r="N52" s="15" t="s">
        <v>13</v>
      </c>
      <c r="T52" s="111"/>
    </row>
    <row r="53" spans="1:119" ht="15.75" thickBot="1">
      <c r="D53" s="36"/>
      <c r="G53" s="167" t="s">
        <v>268</v>
      </c>
      <c r="H53" s="168"/>
      <c r="I53" s="168"/>
      <c r="J53" s="169"/>
      <c r="L53" s="70" t="s">
        <v>43</v>
      </c>
      <c r="M53" s="71">
        <f>+M51*M52</f>
        <v>2400</v>
      </c>
      <c r="N53" s="18" t="s">
        <v>10</v>
      </c>
    </row>
    <row r="54" spans="1:119" ht="15.75" thickTop="1">
      <c r="G54" s="50"/>
    </row>
    <row r="55" spans="1:119" ht="15.75" thickBot="1">
      <c r="A55" s="111" t="s">
        <v>287</v>
      </c>
      <c r="Y55" s="111" t="s">
        <v>288</v>
      </c>
      <c r="AW55" s="111" t="s">
        <v>289</v>
      </c>
      <c r="BU55" s="111" t="s">
        <v>290</v>
      </c>
      <c r="CS55" s="111" t="s">
        <v>291</v>
      </c>
    </row>
    <row r="56" spans="1:119" ht="15.75" thickTop="1">
      <c r="A56" s="222" t="s">
        <v>186</v>
      </c>
      <c r="B56" s="223">
        <f>+B23</f>
        <v>5.0000000000000001E-4</v>
      </c>
      <c r="Y56" s="222" t="s">
        <v>186</v>
      </c>
      <c r="Z56" s="223">
        <f>+B24</f>
        <v>1.6631733158723746E-4</v>
      </c>
      <c r="AW56" s="222" t="s">
        <v>186</v>
      </c>
      <c r="AX56" s="223">
        <f>+B25</f>
        <v>2.2341549890540332E-4</v>
      </c>
      <c r="BU56" s="222" t="s">
        <v>186</v>
      </c>
      <c r="BV56" s="223">
        <f>+B26</f>
        <v>2.2572181367071622E-4</v>
      </c>
      <c r="CS56" s="222" t="s">
        <v>186</v>
      </c>
      <c r="CT56" s="223">
        <f>+B27</f>
        <v>2.2572592000504103E-4</v>
      </c>
    </row>
    <row r="57" spans="1:119" ht="15.75" thickBot="1">
      <c r="A57" s="224" t="s">
        <v>185</v>
      </c>
      <c r="B57" s="225">
        <f>+C23</f>
        <v>5.0000000000000004E-6</v>
      </c>
      <c r="Y57" s="224" t="s">
        <v>185</v>
      </c>
      <c r="Z57" s="225">
        <f>+C24</f>
        <v>2.6103582405405093E-6</v>
      </c>
      <c r="AW57" s="224" t="s">
        <v>185</v>
      </c>
      <c r="AX57" s="225">
        <f>+C25</f>
        <v>3.1160721779667567E-6</v>
      </c>
      <c r="BU57" s="224" t="s">
        <v>185</v>
      </c>
      <c r="BV57" s="225">
        <f>+C26</f>
        <v>3.1369488935163333E-6</v>
      </c>
      <c r="CS57" s="224" t="s">
        <v>185</v>
      </c>
      <c r="CT57" s="225">
        <f>+C27</f>
        <v>3.1369832069758676E-6</v>
      </c>
    </row>
    <row r="58" spans="1:119" ht="16.5" thickTop="1">
      <c r="A58" s="94"/>
      <c r="G58" s="111" t="s">
        <v>285</v>
      </c>
      <c r="Y58" s="94"/>
      <c r="AE58" s="111" t="s">
        <v>285</v>
      </c>
      <c r="AW58" s="94"/>
      <c r="BC58" s="111" t="s">
        <v>285</v>
      </c>
      <c r="BU58" s="94"/>
      <c r="CA58" s="111" t="s">
        <v>285</v>
      </c>
      <c r="CS58" s="94"/>
      <c r="CY58" s="111" t="s">
        <v>285</v>
      </c>
    </row>
    <row r="59" spans="1:119" ht="18" thickBot="1">
      <c r="A59" s="94" t="s">
        <v>80</v>
      </c>
      <c r="G59" s="111" t="s">
        <v>286</v>
      </c>
      <c r="L59" s="94" t="s">
        <v>79</v>
      </c>
      <c r="Y59" s="94" t="s">
        <v>80</v>
      </c>
      <c r="AE59" s="111" t="s">
        <v>286</v>
      </c>
      <c r="AJ59" s="94" t="s">
        <v>79</v>
      </c>
      <c r="AW59" s="94" t="s">
        <v>80</v>
      </c>
      <c r="BC59" s="111" t="s">
        <v>286</v>
      </c>
      <c r="BH59" s="94" t="s">
        <v>79</v>
      </c>
      <c r="BU59" s="94" t="s">
        <v>80</v>
      </c>
      <c r="CA59" s="111" t="s">
        <v>286</v>
      </c>
      <c r="CF59" s="94" t="s">
        <v>79</v>
      </c>
      <c r="CS59" s="94" t="s">
        <v>80</v>
      </c>
      <c r="CY59" s="111" t="s">
        <v>286</v>
      </c>
      <c r="DD59" s="94" t="s">
        <v>79</v>
      </c>
    </row>
    <row r="60" spans="1:119" s="58" customFormat="1" ht="21" customHeight="1" thickTop="1">
      <c r="A60" s="55" t="s">
        <v>2</v>
      </c>
      <c r="B60" s="56" t="s">
        <v>3</v>
      </c>
      <c r="C60" s="56" t="s">
        <v>46</v>
      </c>
      <c r="D60" s="56" t="s">
        <v>251</v>
      </c>
      <c r="E60" s="56" t="s">
        <v>279</v>
      </c>
      <c r="F60" s="56" t="s">
        <v>276</v>
      </c>
      <c r="G60" s="56" t="s">
        <v>269</v>
      </c>
      <c r="H60" s="56" t="s">
        <v>270</v>
      </c>
      <c r="I60" s="56" t="s">
        <v>272</v>
      </c>
      <c r="J60" s="57" t="s">
        <v>274</v>
      </c>
      <c r="K60"/>
      <c r="L60" s="55" t="s">
        <v>2</v>
      </c>
      <c r="M60" s="56" t="s">
        <v>16</v>
      </c>
      <c r="N60" s="56" t="s">
        <v>59</v>
      </c>
      <c r="O60" s="56" t="s">
        <v>252</v>
      </c>
      <c r="P60" s="56" t="s">
        <v>251</v>
      </c>
      <c r="Q60" s="56" t="s">
        <v>252</v>
      </c>
      <c r="R60" s="56" t="s">
        <v>277</v>
      </c>
      <c r="S60" s="56" t="s">
        <v>278</v>
      </c>
      <c r="T60" s="56" t="s">
        <v>280</v>
      </c>
      <c r="U60" s="56" t="s">
        <v>281</v>
      </c>
      <c r="V60" s="56" t="s">
        <v>282</v>
      </c>
      <c r="W60" s="57" t="s">
        <v>283</v>
      </c>
      <c r="Y60" s="55" t="s">
        <v>2</v>
      </c>
      <c r="Z60" s="56" t="s">
        <v>3</v>
      </c>
      <c r="AA60" s="56" t="s">
        <v>46</v>
      </c>
      <c r="AB60" s="56" t="s">
        <v>251</v>
      </c>
      <c r="AC60" s="56" t="s">
        <v>279</v>
      </c>
      <c r="AD60" s="56" t="s">
        <v>276</v>
      </c>
      <c r="AE60" s="56" t="s">
        <v>269</v>
      </c>
      <c r="AF60" s="56" t="s">
        <v>270</v>
      </c>
      <c r="AG60" s="56" t="s">
        <v>272</v>
      </c>
      <c r="AH60" s="57" t="s">
        <v>274</v>
      </c>
      <c r="AI60"/>
      <c r="AJ60" s="55" t="s">
        <v>2</v>
      </c>
      <c r="AK60" s="56" t="s">
        <v>16</v>
      </c>
      <c r="AL60" s="56" t="s">
        <v>59</v>
      </c>
      <c r="AM60" s="56" t="s">
        <v>252</v>
      </c>
      <c r="AN60" s="56" t="s">
        <v>251</v>
      </c>
      <c r="AO60" s="56" t="s">
        <v>252</v>
      </c>
      <c r="AP60" s="56" t="s">
        <v>277</v>
      </c>
      <c r="AQ60" s="56" t="s">
        <v>278</v>
      </c>
      <c r="AR60" s="56" t="s">
        <v>280</v>
      </c>
      <c r="AS60" s="56" t="s">
        <v>281</v>
      </c>
      <c r="AT60" s="56" t="s">
        <v>282</v>
      </c>
      <c r="AU60" s="57" t="s">
        <v>283</v>
      </c>
      <c r="AW60" s="55" t="s">
        <v>2</v>
      </c>
      <c r="AX60" s="56" t="s">
        <v>3</v>
      </c>
      <c r="AY60" s="56" t="s">
        <v>46</v>
      </c>
      <c r="AZ60" s="56" t="s">
        <v>251</v>
      </c>
      <c r="BA60" s="56" t="s">
        <v>279</v>
      </c>
      <c r="BB60" s="56" t="s">
        <v>276</v>
      </c>
      <c r="BC60" s="56" t="s">
        <v>269</v>
      </c>
      <c r="BD60" s="56" t="s">
        <v>270</v>
      </c>
      <c r="BE60" s="56" t="s">
        <v>272</v>
      </c>
      <c r="BF60" s="57" t="s">
        <v>274</v>
      </c>
      <c r="BG60"/>
      <c r="BH60" s="55" t="s">
        <v>2</v>
      </c>
      <c r="BI60" s="56" t="s">
        <v>16</v>
      </c>
      <c r="BJ60" s="56" t="s">
        <v>59</v>
      </c>
      <c r="BK60" s="56" t="s">
        <v>252</v>
      </c>
      <c r="BL60" s="56" t="s">
        <v>251</v>
      </c>
      <c r="BM60" s="56" t="s">
        <v>252</v>
      </c>
      <c r="BN60" s="56" t="s">
        <v>277</v>
      </c>
      <c r="BO60" s="56" t="s">
        <v>278</v>
      </c>
      <c r="BP60" s="56" t="s">
        <v>280</v>
      </c>
      <c r="BQ60" s="56" t="s">
        <v>281</v>
      </c>
      <c r="BR60" s="56" t="s">
        <v>282</v>
      </c>
      <c r="BS60" s="57" t="s">
        <v>283</v>
      </c>
      <c r="BU60" s="55" t="s">
        <v>2</v>
      </c>
      <c r="BV60" s="56" t="s">
        <v>3</v>
      </c>
      <c r="BW60" s="56" t="s">
        <v>46</v>
      </c>
      <c r="BX60" s="56" t="s">
        <v>251</v>
      </c>
      <c r="BY60" s="56" t="s">
        <v>279</v>
      </c>
      <c r="BZ60" s="56" t="s">
        <v>276</v>
      </c>
      <c r="CA60" s="56" t="s">
        <v>269</v>
      </c>
      <c r="CB60" s="56" t="s">
        <v>270</v>
      </c>
      <c r="CC60" s="56" t="s">
        <v>272</v>
      </c>
      <c r="CD60" s="57" t="s">
        <v>274</v>
      </c>
      <c r="CE60"/>
      <c r="CF60" s="55" t="s">
        <v>2</v>
      </c>
      <c r="CG60" s="56" t="s">
        <v>16</v>
      </c>
      <c r="CH60" s="56" t="s">
        <v>59</v>
      </c>
      <c r="CI60" s="56" t="s">
        <v>252</v>
      </c>
      <c r="CJ60" s="56" t="s">
        <v>251</v>
      </c>
      <c r="CK60" s="56" t="s">
        <v>252</v>
      </c>
      <c r="CL60" s="56" t="s">
        <v>277</v>
      </c>
      <c r="CM60" s="56" t="s">
        <v>278</v>
      </c>
      <c r="CN60" s="56" t="s">
        <v>280</v>
      </c>
      <c r="CO60" s="56" t="s">
        <v>281</v>
      </c>
      <c r="CP60" s="56" t="s">
        <v>282</v>
      </c>
      <c r="CQ60" s="57" t="s">
        <v>283</v>
      </c>
      <c r="CS60" s="55" t="s">
        <v>2</v>
      </c>
      <c r="CT60" s="56" t="s">
        <v>3</v>
      </c>
      <c r="CU60" s="56" t="s">
        <v>46</v>
      </c>
      <c r="CV60" s="56" t="s">
        <v>251</v>
      </c>
      <c r="CW60" s="56" t="s">
        <v>279</v>
      </c>
      <c r="CX60" s="56" t="s">
        <v>276</v>
      </c>
      <c r="CY60" s="56" t="s">
        <v>269</v>
      </c>
      <c r="CZ60" s="56" t="s">
        <v>270</v>
      </c>
      <c r="DA60" s="56" t="s">
        <v>272</v>
      </c>
      <c r="DB60" s="57" t="s">
        <v>274</v>
      </c>
      <c r="DC60"/>
      <c r="DD60" s="55" t="s">
        <v>2</v>
      </c>
      <c r="DE60" s="56" t="s">
        <v>16</v>
      </c>
      <c r="DF60" s="56" t="s">
        <v>59</v>
      </c>
      <c r="DG60" s="56" t="s">
        <v>252</v>
      </c>
      <c r="DH60" s="56" t="s">
        <v>251</v>
      </c>
      <c r="DI60" s="56" t="s">
        <v>252</v>
      </c>
      <c r="DJ60" s="56" t="s">
        <v>277</v>
      </c>
      <c r="DK60" s="56" t="s">
        <v>278</v>
      </c>
      <c r="DL60" s="56" t="s">
        <v>280</v>
      </c>
      <c r="DM60" s="56" t="s">
        <v>281</v>
      </c>
      <c r="DN60" s="56" t="s">
        <v>282</v>
      </c>
      <c r="DO60" s="57" t="s">
        <v>283</v>
      </c>
    </row>
    <row r="61" spans="1:119">
      <c r="A61" s="59" t="s">
        <v>45</v>
      </c>
      <c r="B61" s="60" t="s">
        <v>13</v>
      </c>
      <c r="C61" s="60"/>
      <c r="D61" s="60" t="s">
        <v>11</v>
      </c>
      <c r="E61" s="60" t="s">
        <v>12</v>
      </c>
      <c r="F61" s="60" t="s">
        <v>14</v>
      </c>
      <c r="G61" s="60"/>
      <c r="H61" s="216" t="s">
        <v>271</v>
      </c>
      <c r="I61" s="216" t="s">
        <v>273</v>
      </c>
      <c r="J61" s="218" t="s">
        <v>275</v>
      </c>
      <c r="L61" s="59" t="s">
        <v>45</v>
      </c>
      <c r="M61" s="60" t="s">
        <v>13</v>
      </c>
      <c r="N61" s="60"/>
      <c r="O61" s="60" t="s">
        <v>11</v>
      </c>
      <c r="P61" s="60" t="s">
        <v>11</v>
      </c>
      <c r="Q61" s="60" t="s">
        <v>11</v>
      </c>
      <c r="R61" s="60" t="s">
        <v>14</v>
      </c>
      <c r="S61" s="60" t="s">
        <v>14</v>
      </c>
      <c r="T61" s="60"/>
      <c r="U61" s="216" t="s">
        <v>271</v>
      </c>
      <c r="V61" s="216" t="s">
        <v>273</v>
      </c>
      <c r="W61" s="218" t="s">
        <v>275</v>
      </c>
      <c r="Y61" s="59" t="s">
        <v>45</v>
      </c>
      <c r="Z61" s="60" t="s">
        <v>13</v>
      </c>
      <c r="AA61" s="60"/>
      <c r="AB61" s="60" t="s">
        <v>11</v>
      </c>
      <c r="AC61" s="60" t="s">
        <v>12</v>
      </c>
      <c r="AD61" s="60" t="s">
        <v>14</v>
      </c>
      <c r="AE61" s="60"/>
      <c r="AF61" s="216" t="s">
        <v>271</v>
      </c>
      <c r="AG61" s="216" t="s">
        <v>273</v>
      </c>
      <c r="AH61" s="218" t="s">
        <v>275</v>
      </c>
      <c r="AJ61" s="59" t="s">
        <v>45</v>
      </c>
      <c r="AK61" s="60" t="s">
        <v>13</v>
      </c>
      <c r="AL61" s="60"/>
      <c r="AM61" s="60" t="s">
        <v>11</v>
      </c>
      <c r="AN61" s="60" t="s">
        <v>11</v>
      </c>
      <c r="AO61" s="60" t="s">
        <v>11</v>
      </c>
      <c r="AP61" s="60" t="s">
        <v>14</v>
      </c>
      <c r="AQ61" s="60" t="s">
        <v>14</v>
      </c>
      <c r="AR61" s="60"/>
      <c r="AS61" s="216" t="s">
        <v>271</v>
      </c>
      <c r="AT61" s="216" t="s">
        <v>273</v>
      </c>
      <c r="AU61" s="218" t="s">
        <v>275</v>
      </c>
      <c r="AW61" s="59" t="s">
        <v>45</v>
      </c>
      <c r="AX61" s="60" t="s">
        <v>13</v>
      </c>
      <c r="AY61" s="60"/>
      <c r="AZ61" s="60" t="s">
        <v>11</v>
      </c>
      <c r="BA61" s="60" t="s">
        <v>12</v>
      </c>
      <c r="BB61" s="60" t="s">
        <v>14</v>
      </c>
      <c r="BC61" s="60"/>
      <c r="BD61" s="216" t="s">
        <v>271</v>
      </c>
      <c r="BE61" s="216" t="s">
        <v>273</v>
      </c>
      <c r="BF61" s="218" t="s">
        <v>275</v>
      </c>
      <c r="BH61" s="59" t="s">
        <v>45</v>
      </c>
      <c r="BI61" s="60" t="s">
        <v>13</v>
      </c>
      <c r="BJ61" s="60"/>
      <c r="BK61" s="60" t="s">
        <v>11</v>
      </c>
      <c r="BL61" s="60" t="s">
        <v>11</v>
      </c>
      <c r="BM61" s="60" t="s">
        <v>11</v>
      </c>
      <c r="BN61" s="60" t="s">
        <v>14</v>
      </c>
      <c r="BO61" s="60" t="s">
        <v>14</v>
      </c>
      <c r="BP61" s="60"/>
      <c r="BQ61" s="216" t="s">
        <v>271</v>
      </c>
      <c r="BR61" s="216" t="s">
        <v>273</v>
      </c>
      <c r="BS61" s="218" t="s">
        <v>275</v>
      </c>
      <c r="BU61" s="59" t="s">
        <v>45</v>
      </c>
      <c r="BV61" s="60" t="s">
        <v>13</v>
      </c>
      <c r="BW61" s="60"/>
      <c r="BX61" s="60" t="s">
        <v>11</v>
      </c>
      <c r="BY61" s="60" t="s">
        <v>12</v>
      </c>
      <c r="BZ61" s="60" t="s">
        <v>14</v>
      </c>
      <c r="CA61" s="60"/>
      <c r="CB61" s="216" t="s">
        <v>271</v>
      </c>
      <c r="CC61" s="216" t="s">
        <v>273</v>
      </c>
      <c r="CD61" s="218" t="s">
        <v>275</v>
      </c>
      <c r="CF61" s="59" t="s">
        <v>45</v>
      </c>
      <c r="CG61" s="60" t="s">
        <v>13</v>
      </c>
      <c r="CH61" s="60"/>
      <c r="CI61" s="60" t="s">
        <v>11</v>
      </c>
      <c r="CJ61" s="60" t="s">
        <v>11</v>
      </c>
      <c r="CK61" s="60" t="s">
        <v>11</v>
      </c>
      <c r="CL61" s="60" t="s">
        <v>14</v>
      </c>
      <c r="CM61" s="60" t="s">
        <v>14</v>
      </c>
      <c r="CN61" s="60"/>
      <c r="CO61" s="216" t="s">
        <v>271</v>
      </c>
      <c r="CP61" s="216" t="s">
        <v>273</v>
      </c>
      <c r="CQ61" s="218" t="s">
        <v>275</v>
      </c>
      <c r="CS61" s="59" t="s">
        <v>45</v>
      </c>
      <c r="CT61" s="60" t="s">
        <v>13</v>
      </c>
      <c r="CU61" s="60"/>
      <c r="CV61" s="60" t="s">
        <v>11</v>
      </c>
      <c r="CW61" s="60" t="s">
        <v>12</v>
      </c>
      <c r="CX61" s="60" t="s">
        <v>14</v>
      </c>
      <c r="CY61" s="60"/>
      <c r="CZ61" s="216" t="s">
        <v>271</v>
      </c>
      <c r="DA61" s="216" t="s">
        <v>273</v>
      </c>
      <c r="DB61" s="218" t="s">
        <v>275</v>
      </c>
      <c r="DD61" s="59" t="s">
        <v>45</v>
      </c>
      <c r="DE61" s="60" t="s">
        <v>13</v>
      </c>
      <c r="DF61" s="60"/>
      <c r="DG61" s="60" t="s">
        <v>11</v>
      </c>
      <c r="DH61" s="60" t="s">
        <v>11</v>
      </c>
      <c r="DI61" s="60" t="s">
        <v>11</v>
      </c>
      <c r="DJ61" s="60" t="s">
        <v>14</v>
      </c>
      <c r="DK61" s="60" t="s">
        <v>14</v>
      </c>
      <c r="DL61" s="60"/>
      <c r="DM61" s="216" t="s">
        <v>271</v>
      </c>
      <c r="DN61" s="216" t="s">
        <v>273</v>
      </c>
      <c r="DO61" s="218" t="s">
        <v>275</v>
      </c>
    </row>
    <row r="62" spans="1:119" ht="20.25" customHeight="1">
      <c r="A62" s="62" t="s">
        <v>44</v>
      </c>
      <c r="B62" s="63"/>
      <c r="C62" s="63"/>
      <c r="D62" s="63"/>
      <c r="E62" s="64">
        <f>+SUM(E63:E162)</f>
        <v>2719974.7124999999</v>
      </c>
      <c r="F62" s="87">
        <f>+SUM(F63:F162)</f>
        <v>407987057.85749996</v>
      </c>
      <c r="G62" s="63"/>
      <c r="H62" s="63">
        <f>+SUM(H63:H162)</f>
        <v>2060451000</v>
      </c>
      <c r="I62" s="63">
        <f>+SUM(I63:I162)</f>
        <v>65965184999.999985</v>
      </c>
      <c r="J62" s="219">
        <f>+SUM(J63:J162)</f>
        <v>20608538643000</v>
      </c>
      <c r="L62" s="62" t="s">
        <v>44</v>
      </c>
      <c r="M62" s="63"/>
      <c r="N62" s="63"/>
      <c r="O62" s="63"/>
      <c r="P62" s="64"/>
      <c r="Q62" s="63"/>
      <c r="R62" s="87">
        <f>+SUM(R63:R74)</f>
        <v>606446.76266366651</v>
      </c>
      <c r="S62" s="87">
        <f>+SUM(S63:S74)</f>
        <v>315595965.94494843</v>
      </c>
      <c r="T62" s="63"/>
      <c r="U62" s="87">
        <f>+SUM(U63:U74)</f>
        <v>1741146046.8431497</v>
      </c>
      <c r="V62" s="87">
        <f>+SUM(V63:V74)</f>
        <v>-41737943358.532555</v>
      </c>
      <c r="W62" s="65">
        <f>+SUM(W63:W74)</f>
        <v>69571846057000.391</v>
      </c>
      <c r="Y62" s="62" t="s">
        <v>44</v>
      </c>
      <c r="Z62" s="63"/>
      <c r="AA62" s="63"/>
      <c r="AB62" s="63"/>
      <c r="AC62" s="64">
        <f>+SUM(AC63:AC162)</f>
        <v>1482402.0103622074</v>
      </c>
      <c r="AD62" s="87">
        <f>+SUM(AD63:AD162)</f>
        <v>256543876.310233</v>
      </c>
      <c r="AE62" s="63"/>
      <c r="AF62" s="63">
        <f>+SUM(AF63:AF162)</f>
        <v>2852670189.9194918</v>
      </c>
      <c r="AG62" s="63">
        <f>+SUM(AG63:AG162)</f>
        <v>279385371460.17157</v>
      </c>
      <c r="AH62" s="219">
        <f>+SUM(AH63:AH162)</f>
        <v>58161774011373.758</v>
      </c>
      <c r="AJ62" s="62" t="s">
        <v>44</v>
      </c>
      <c r="AK62" s="63"/>
      <c r="AL62" s="63"/>
      <c r="AM62" s="63"/>
      <c r="AN62" s="64"/>
      <c r="AO62" s="63"/>
      <c r="AP62" s="87">
        <f>+SUM(AP63:AP74)</f>
        <v>141453.18439273111</v>
      </c>
      <c r="AQ62" s="87">
        <f>+SUM(AQ63:AQ74)</f>
        <v>166585012.87887019</v>
      </c>
      <c r="AR62" s="63"/>
      <c r="AS62" s="87">
        <f>+SUM(AS63:AS74)</f>
        <v>1700759295.2082801</v>
      </c>
      <c r="AT62" s="87">
        <f>+SUM(AT63:AT74)</f>
        <v>-49705471351.218018</v>
      </c>
      <c r="AU62" s="65">
        <f>+SUM(AU63:AU74)</f>
        <v>67911099853516.219</v>
      </c>
      <c r="AW62" s="62" t="s">
        <v>44</v>
      </c>
      <c r="AX62" s="63"/>
      <c r="AY62" s="63"/>
      <c r="AZ62" s="63"/>
      <c r="BA62" s="64">
        <f>+SUM(BA63:BA162)</f>
        <v>1771806.6646911353</v>
      </c>
      <c r="BB62" s="87">
        <f>+SUM(BB63:BB162)</f>
        <v>298861467.61922395</v>
      </c>
      <c r="BC62" s="63"/>
      <c r="BD62" s="63">
        <f>+SUM(BD63:BD162)</f>
        <v>2696589531.968276</v>
      </c>
      <c r="BE62" s="63">
        <f>+SUM(BE63:BE162)</f>
        <v>239253924527.99527</v>
      </c>
      <c r="BF62" s="219">
        <f>+SUM(BF63:BF162)</f>
        <v>50593997948985.453</v>
      </c>
      <c r="BH62" s="62" t="s">
        <v>44</v>
      </c>
      <c r="BI62" s="63"/>
      <c r="BJ62" s="63"/>
      <c r="BK62" s="63"/>
      <c r="BL62" s="64"/>
      <c r="BM62" s="63"/>
      <c r="BN62" s="87">
        <f>+SUM(BN63:BN74)</f>
        <v>214043.95014575904</v>
      </c>
      <c r="BO62" s="87">
        <f>+SUM(BO63:BO74)</f>
        <v>198217011.44452795</v>
      </c>
      <c r="BP62" s="63"/>
      <c r="BQ62" s="87">
        <f>+SUM(BQ63:BQ74)</f>
        <v>1708613150.763242</v>
      </c>
      <c r="BR62" s="87">
        <f>+SUM(BR63:BR74)</f>
        <v>-48151010745.812447</v>
      </c>
      <c r="BS62" s="65">
        <f>+SUM(BS63:BS74)</f>
        <v>68235875390368.852</v>
      </c>
      <c r="BU62" s="62" t="s">
        <v>44</v>
      </c>
      <c r="BV62" s="63"/>
      <c r="BW62" s="63"/>
      <c r="BX62" s="63"/>
      <c r="BY62" s="64">
        <f>+SUM(BY63:BY162)</f>
        <v>1782995.0863378653</v>
      </c>
      <c r="BZ62" s="87">
        <f>+SUM(BZ63:BZ162)</f>
        <v>300464440.82680011</v>
      </c>
      <c r="CA62" s="63"/>
      <c r="CB62" s="63">
        <f>+SUM(CB63:CB162)</f>
        <v>2687698758.8550897</v>
      </c>
      <c r="CC62" s="63">
        <f>+SUM(CC63:CC162)</f>
        <v>237783743776.73697</v>
      </c>
      <c r="CD62" s="219">
        <f>+SUM(CD63:CD162)</f>
        <v>50271839501855.609</v>
      </c>
      <c r="CF62" s="62" t="s">
        <v>44</v>
      </c>
      <c r="CG62" s="63"/>
      <c r="CH62" s="63"/>
      <c r="CI62" s="63"/>
      <c r="CJ62" s="64"/>
      <c r="CK62" s="63"/>
      <c r="CL62" s="87">
        <f>+SUM(CL63:CL74)</f>
        <v>216980.3504749217</v>
      </c>
      <c r="CM62" s="87">
        <f>+SUM(CM63:CM74)</f>
        <v>199530713.35003528</v>
      </c>
      <c r="CN62" s="63"/>
      <c r="CO62" s="87">
        <f>+SUM(CO63:CO74)</f>
        <v>1708934766.8392408</v>
      </c>
      <c r="CP62" s="87">
        <f>+SUM(CP63:CP74)</f>
        <v>-48087334813.589958</v>
      </c>
      <c r="CQ62" s="65">
        <f>+SUM(CQ63:CQ74)</f>
        <v>68249182405296.594</v>
      </c>
      <c r="CS62" s="62" t="s">
        <v>44</v>
      </c>
      <c r="CT62" s="63"/>
      <c r="CU62" s="63"/>
      <c r="CV62" s="63"/>
      <c r="CW62" s="64">
        <f>+SUM(CW63:CW162)</f>
        <v>1783014.2820365429</v>
      </c>
      <c r="CX62" s="87">
        <f>+SUM(CX63:CX162)</f>
        <v>300467142.23264176</v>
      </c>
      <c r="CY62" s="63"/>
      <c r="CZ62" s="63">
        <f>+SUM(CZ63:CZ162)</f>
        <v>2687683546.975132</v>
      </c>
      <c r="DA62" s="63">
        <f>+SUM(DA63:DA162)</f>
        <v>237781259090.33868</v>
      </c>
      <c r="DB62" s="219">
        <f>+SUM(DB63:DB162)</f>
        <v>50271295309184.711</v>
      </c>
      <c r="DD62" s="62" t="s">
        <v>44</v>
      </c>
      <c r="DE62" s="63"/>
      <c r="DF62" s="63"/>
      <c r="DG62" s="63"/>
      <c r="DH62" s="64"/>
      <c r="DI62" s="63"/>
      <c r="DJ62" s="87">
        <f>+SUM(DJ63:DJ74)</f>
        <v>216985.71789256344</v>
      </c>
      <c r="DK62" s="87">
        <f>+SUM(DK63:DK74)</f>
        <v>199532857.75352758</v>
      </c>
      <c r="DL62" s="63"/>
      <c r="DM62" s="87">
        <f>+SUM(DM63:DM74)</f>
        <v>1708935311.6371217</v>
      </c>
      <c r="DN62" s="87">
        <f>+SUM(DN63:DN74)</f>
        <v>-48087227079.724777</v>
      </c>
      <c r="DO62" s="65">
        <f>+SUM(DO63:DO74)</f>
        <v>68249204900031.422</v>
      </c>
    </row>
    <row r="63" spans="1:119">
      <c r="A63" s="25">
        <v>1</v>
      </c>
      <c r="B63" s="51">
        <f t="shared" ref="B63:B94" si="1">h/2-($A63-0.5)*$M$51</f>
        <v>297</v>
      </c>
      <c r="C63" s="74">
        <f>B$56+B$57*B63</f>
        <v>1.9850000000000002E-3</v>
      </c>
      <c r="D63" s="52">
        <f t="shared" ref="D63:D126" si="2">+IF(C63&gt;=0,IF(C63&lt;=eco,1-(1-C63/eco)^n,1),0)*0.85*fck</f>
        <v>25.498565625000001</v>
      </c>
      <c r="E63" s="53">
        <f>+D63*$M$53</f>
        <v>61196.557500000003</v>
      </c>
      <c r="F63" s="51">
        <f>+E63*B63</f>
        <v>18175377.577500001</v>
      </c>
      <c r="G63" s="52">
        <f t="shared" ref="G63:G94" si="3">IF(AND(C63&gt;0,C63&lt;eco),0.85*fck*n/eco*(1-C63/eco)^(n-1),0)</f>
        <v>191.24999999999875</v>
      </c>
      <c r="H63" s="51">
        <f t="shared" ref="H63:H94" si="4">+G63*$M$53</f>
        <v>458999.99999999697</v>
      </c>
      <c r="I63" s="51">
        <f>+H63*B63</f>
        <v>136322999.99999911</v>
      </c>
      <c r="J63" s="54">
        <f>+I63*B63</f>
        <v>40487930999.999733</v>
      </c>
      <c r="L63" s="25">
        <v>1</v>
      </c>
      <c r="M63" s="51">
        <f>Input!$E10</f>
        <v>230</v>
      </c>
      <c r="N63" s="74">
        <f>B$56+B$57*M63</f>
        <v>1.6500000000000002E-3</v>
      </c>
      <c r="O63" s="52">
        <f t="shared" ref="O63:O74" si="5">N63*Es</f>
        <v>330.00000000000006</v>
      </c>
      <c r="P63" s="52">
        <f t="shared" ref="P63:P74" si="6">+IF(O63&gt;=0,IF(N63&lt;=eco,1-(1-N63/eco)^n,1),0)*0.85*fck</f>
        <v>24.719062499999996</v>
      </c>
      <c r="Q63" s="83">
        <f>MAX(MIN(O63,fy),-fy)-IF(O63&gt;=0,P63,0)</f>
        <v>305.28093750000005</v>
      </c>
      <c r="R63" s="51">
        <f>IF(AND(ISNUMBER(Input!$D10),ISNUMBER(Input!$E10)),Q63*As,0)</f>
        <v>245521.49773593727</v>
      </c>
      <c r="S63" s="51">
        <f t="shared" ref="S63:S74" si="7">R63*M63</f>
        <v>56469944.479265571</v>
      </c>
      <c r="T63" s="51">
        <f t="shared" ref="T63:T74" si="8">IF(ABS(N63*Es)&lt;fy,Es,0)-IF(AND(N63&gt;0,N63&lt;eco),0.85*fck*n/eco*(1-N63/eco)^(n-1),0)</f>
        <v>195537.5</v>
      </c>
      <c r="U63" s="51">
        <f>IF(AND(ISNUMBER(Input!$D10),ISNUMBER(Input!$E10)),T63*As,0)</f>
        <v>157260588.41633642</v>
      </c>
      <c r="V63" s="51">
        <f>+U63*M63</f>
        <v>36169935335.757378</v>
      </c>
      <c r="W63" s="54">
        <f>+V63*M63</f>
        <v>8319085127224.1973</v>
      </c>
      <c r="Y63" s="25">
        <v>1</v>
      </c>
      <c r="Z63" s="51">
        <f t="shared" ref="Z63:Z94" si="9">h/2-($A63-0.5)*$M$51</f>
        <v>297</v>
      </c>
      <c r="AA63" s="74">
        <f>Z$56+Z$57*Z63</f>
        <v>9.4159372902776861E-4</v>
      </c>
      <c r="AB63" s="52">
        <f t="shared" ref="AB63:AB126" si="10">+IF(AA63&gt;=0,IF(AA63&lt;=eco,1-(1-AA63/eco)^n,1),0)*0.85*fck</f>
        <v>18.358573055487426</v>
      </c>
      <c r="AC63" s="53">
        <f>+AB63*$M$53</f>
        <v>44060.575333169822</v>
      </c>
      <c r="AD63" s="51">
        <f>+AC63*Z63</f>
        <v>13085990.873951437</v>
      </c>
      <c r="AE63" s="52">
        <f t="shared" ref="AE63:AE94" si="11">IF(AND(AA63&gt;0,AA63&lt;eco),0.85*fck*n/eco*(1-AA63/eco)^(n-1),0)</f>
        <v>13494.679954895952</v>
      </c>
      <c r="AF63" s="51">
        <f t="shared" ref="AF63:AF94" si="12">+AE63*$M$53</f>
        <v>32387231.891750284</v>
      </c>
      <c r="AG63" s="51">
        <f>+AF63*Z63</f>
        <v>9619007871.8498344</v>
      </c>
      <c r="AH63" s="54">
        <f>+AG63*Z63</f>
        <v>2856845337939.4009</v>
      </c>
      <c r="AJ63" s="25">
        <v>1</v>
      </c>
      <c r="AK63" s="51">
        <f>Input!$E10</f>
        <v>230</v>
      </c>
      <c r="AL63" s="74">
        <f>Z$56+Z$57*AK63</f>
        <v>7.6669972691155463E-4</v>
      </c>
      <c r="AM63" s="52">
        <f t="shared" ref="AM63:AM74" si="13">AL63*Es</f>
        <v>153.33994538231093</v>
      </c>
      <c r="AN63" s="52">
        <f t="shared" ref="AN63:AN74" si="14">+IF(AM63&gt;=0,IF(AL63&lt;=eco,1-(1-AL63/eco)^n,1),0)*0.85*fck</f>
        <v>15.803436532049783</v>
      </c>
      <c r="AO63" s="83">
        <f>MAX(MIN(AM63,fy),-fy)-IF(AM63&gt;=0,AN63,0)</f>
        <v>137.53650885026116</v>
      </c>
      <c r="AP63" s="51">
        <f>IF(AND(ISNUMBER(Input!$D10),ISNUMBER(Input!$E10)),AO63*As,0)</f>
        <v>110613.42356591822</v>
      </c>
      <c r="AQ63" s="51">
        <f t="shared" ref="AQ63:AQ74" si="15">AP63*AK63</f>
        <v>25441087.420161191</v>
      </c>
      <c r="AR63" s="51">
        <f t="shared" ref="AR63:AR74" si="16">IF(ABS(AL63*Es)&lt;fy,Es,0)-IF(AND(AL63&gt;0,AL63&lt;eco),0.85*fck*n/eco*(1-AL63/eco)^(n-1),0)</f>
        <v>184275.42151812231</v>
      </c>
      <c r="AS63" s="51">
        <f>IF(AND(ISNUMBER(Input!$D10),ISNUMBER(Input!$E10)),AR63*As,0)</f>
        <v>148203087.48249486</v>
      </c>
      <c r="AT63" s="51">
        <f>+AS63*AK63</f>
        <v>34086710120.97382</v>
      </c>
      <c r="AU63" s="54">
        <f>+AT63*AK63</f>
        <v>7839943327823.9785</v>
      </c>
      <c r="AW63" s="25">
        <v>1</v>
      </c>
      <c r="AX63" s="51">
        <f t="shared" ref="AX63:AX94" si="17">h/2-($A63-0.5)*$M$51</f>
        <v>297</v>
      </c>
      <c r="AY63" s="74">
        <f>AX$56+AX$57*AX63</f>
        <v>1.1488889357615299E-3</v>
      </c>
      <c r="AZ63" s="52">
        <f t="shared" ref="AZ63:AZ126" si="18">+IF(AY63&gt;=0,IF(AY63&lt;=eco,1-(1-AY63/eco)^n,1),0)*0.85*fck</f>
        <v>20.882013471609227</v>
      </c>
      <c r="BA63" s="53">
        <f>+AZ63*$M$53</f>
        <v>50116.832331862148</v>
      </c>
      <c r="BB63" s="51">
        <f>+BA63*AX63</f>
        <v>14884699.202563059</v>
      </c>
      <c r="BC63" s="52">
        <f t="shared" ref="BC63:BC94" si="19">IF(AND(AY63&gt;0,AY63&lt;eco),0.85*fck*n/eco*(1-AY63/eco)^(n-1),0)</f>
        <v>10851.666069040493</v>
      </c>
      <c r="BD63" s="51">
        <f t="shared" ref="BD63:BD94" si="20">+BC63*$M$53</f>
        <v>26043998.565697186</v>
      </c>
      <c r="BE63" s="51">
        <f>+BD63*AX63</f>
        <v>7735067574.012064</v>
      </c>
      <c r="BF63" s="54">
        <f>+BE63*AX63</f>
        <v>2297315069481.583</v>
      </c>
      <c r="BH63" s="25">
        <v>1</v>
      </c>
      <c r="BI63" s="51">
        <f>Input!$E10</f>
        <v>230</v>
      </c>
      <c r="BJ63" s="74">
        <f>AX$56+AX$57*BI63</f>
        <v>9.4011209983775742E-4</v>
      </c>
      <c r="BK63" s="52">
        <f t="shared" ref="BK63:BK74" si="21">BJ63*Es</f>
        <v>188.02241996755149</v>
      </c>
      <c r="BL63" s="52">
        <f t="shared" ref="BL63:BL74" si="22">+IF(BK63&gt;=0,IF(BJ63&lt;=eco,1-(1-BJ63/eco)^n,1),0)*0.85*fck</f>
        <v>18.338564949196659</v>
      </c>
      <c r="BM63" s="83">
        <f>MAX(MIN(BK63,fy),-fy)-IF(BK63&gt;=0,BL63,0)</f>
        <v>169.68385501835482</v>
      </c>
      <c r="BN63" s="51">
        <f>IF(AND(ISNUMBER(Input!$D10),ISNUMBER(Input!$E10)),BM63*As,0)</f>
        <v>136467.8534037655</v>
      </c>
      <c r="BO63" s="51">
        <f t="shared" ref="BO63:BO74" si="23">BN63*BI63</f>
        <v>31387606.282866064</v>
      </c>
      <c r="BP63" s="51">
        <f t="shared" ref="BP63:BP74" si="24">IF(ABS(BJ63*Es)&lt;fy,Es,0)-IF(AND(BJ63&gt;0,BJ63&lt;eco),0.85*fck*n/eco*(1-BJ63/eco)^(n-1),0)</f>
        <v>186486.42927293142</v>
      </c>
      <c r="BQ63" s="51">
        <f>IF(AND(ISNUMBER(Input!$D10),ISNUMBER(Input!$E10)),BP63*As,0)</f>
        <v>149981285.42669669</v>
      </c>
      <c r="BR63" s="51">
        <f>+BQ63*BI63</f>
        <v>34495695648.140236</v>
      </c>
      <c r="BS63" s="54">
        <f>+BR63*BI63</f>
        <v>7934009999072.2539</v>
      </c>
      <c r="BU63" s="25">
        <v>1</v>
      </c>
      <c r="BV63" s="51">
        <f t="shared" ref="BV63:BV94" si="25">h/2-($A63-0.5)*$M$51</f>
        <v>297</v>
      </c>
      <c r="BW63" s="74">
        <f>BV$56+BV$57*BV63</f>
        <v>1.1573956350450672E-3</v>
      </c>
      <c r="BX63" s="52">
        <f t="shared" ref="BX63:BX126" si="26">+IF(BW63&gt;=0,IF(BW63&lt;=eco,1-(1-BW63/eco)^n,1),0)*0.85*fck</f>
        <v>20.973864011512951</v>
      </c>
      <c r="BY63" s="53">
        <f>+BX63*$M$53</f>
        <v>50337.273627631082</v>
      </c>
      <c r="BZ63" s="51">
        <f>+BY63*BV63</f>
        <v>14950170.267406432</v>
      </c>
      <c r="CA63" s="52">
        <f t="shared" ref="CA63:CA94" si="27">IF(AND(BW63&gt;0,BW63&lt;eco),0.85*fck*n/eco*(1-BW63/eco)^(n-1),0)</f>
        <v>10743.205653175393</v>
      </c>
      <c r="CB63" s="51">
        <f t="shared" ref="CB63:CB94" si="28">+CA63*$M$53</f>
        <v>25783693.567620944</v>
      </c>
      <c r="CC63" s="51">
        <f>+CB63*BV63</f>
        <v>7657756989.5834208</v>
      </c>
      <c r="CD63" s="54">
        <f>+CC63*BV63</f>
        <v>2274353825906.2759</v>
      </c>
      <c r="CF63" s="25">
        <v>1</v>
      </c>
      <c r="CG63" s="51">
        <f>Input!$E10</f>
        <v>230</v>
      </c>
      <c r="CH63" s="74">
        <f>BV$56+BV$57*CG63</f>
        <v>9.4722005917947287E-4</v>
      </c>
      <c r="CI63" s="52">
        <f t="shared" ref="CI63:CI74" si="29">CH63*Es</f>
        <v>189.44401183589457</v>
      </c>
      <c r="CJ63" s="52">
        <f t="shared" ref="CJ63:CJ74" si="30">+IF(CI63&gt;=0,IF(CH63&lt;=eco,1-(1-CH63/eco)^n,1),0)*0.85*fck</f>
        <v>18.434296775812786</v>
      </c>
      <c r="CK63" s="83">
        <f>MAX(MIN(CI63,fy),-fy)-IF(CI63&gt;=0,CJ63,0)</f>
        <v>171.00971506008179</v>
      </c>
      <c r="CL63" s="51">
        <f>IF(AND(ISNUMBER(Input!$D10),ISNUMBER(Input!$E10)),CK63*As,0)</f>
        <v>137534.17331846061</v>
      </c>
      <c r="CM63" s="51">
        <f t="shared" ref="CM63:CM74" si="31">CL63*CG63</f>
        <v>31632859.863245942</v>
      </c>
      <c r="CN63" s="51">
        <f t="shared" ref="CN63:CN74" si="32">IF(ABS(CH63*Es)&lt;fy,Es,0)-IF(AND(CH63&gt;0,CH63&lt;eco),0.85*fck*n/eco*(1-CH63/eco)^(n-1),0)</f>
        <v>186577.05575453828</v>
      </c>
      <c r="CO63" s="51">
        <f>IF(AND(ISNUMBER(Input!$D10),ISNUMBER(Input!$E10)),CN63*As,0)</f>
        <v>150054171.56783891</v>
      </c>
      <c r="CP63" s="51">
        <f>+CO63*CG63</f>
        <v>34512459460.602951</v>
      </c>
      <c r="CQ63" s="54">
        <f>+CP63*CG63</f>
        <v>7937865675938.6787</v>
      </c>
      <c r="CS63" s="25">
        <v>1</v>
      </c>
      <c r="CT63" s="51">
        <f t="shared" ref="CT63:CT94" si="33">h/2-($A63-0.5)*$M$51</f>
        <v>297</v>
      </c>
      <c r="CU63" s="74">
        <f>CT$56+CT$57*CT63</f>
        <v>1.1574099324768738E-3</v>
      </c>
      <c r="CV63" s="52">
        <f t="shared" ref="CV63:CV126" si="34">+IF(CU63&gt;=0,IF(CU63&lt;=eco,1-(1-CU63/eco)^n,1),0)*0.85*fck</f>
        <v>20.974017610460006</v>
      </c>
      <c r="CW63" s="53">
        <f>+CV63*$M$53</f>
        <v>50337.642265104012</v>
      </c>
      <c r="CX63" s="51">
        <f>+CW63*CT63</f>
        <v>14950279.752735892</v>
      </c>
      <c r="CY63" s="52">
        <f t="shared" ref="CY63:CY94" si="35">IF(AND(CU63&gt;0,CU63&lt;eco),0.85*fck*n/eco*(1-CU63/eco)^(n-1),0)</f>
        <v>10743.023360919859</v>
      </c>
      <c r="CZ63" s="51">
        <f t="shared" ref="CZ63:CZ94" si="36">+CY63*$M$53</f>
        <v>25783256.066207662</v>
      </c>
      <c r="DA63" s="51">
        <f>+CZ63*CT63</f>
        <v>7657627051.6636753</v>
      </c>
      <c r="DB63" s="54">
        <f>+DA63*CT63</f>
        <v>2274315234344.1113</v>
      </c>
      <c r="DD63" s="25">
        <v>1</v>
      </c>
      <c r="DE63" s="51">
        <f>Input!$E10</f>
        <v>230</v>
      </c>
      <c r="DF63" s="74">
        <f>CT$56+CT$57*DE63</f>
        <v>9.4723205760949064E-4</v>
      </c>
      <c r="DG63" s="52">
        <f t="shared" ref="DG63:DG74" si="37">DF63*Es</f>
        <v>189.44641152189811</v>
      </c>
      <c r="DH63" s="52">
        <f t="shared" ref="DH63:DH74" si="38">+IF(DG63&gt;=0,IF(DF63&lt;=eco,1-(1-DF63/eco)^n,1),0)*0.85*fck</f>
        <v>18.434457829152187</v>
      </c>
      <c r="DI63" s="83">
        <f>MAX(MIN(DG63,fy),-fy)-IF(DG63&gt;=0,DH63,0)</f>
        <v>171.01195369274592</v>
      </c>
      <c r="DJ63" s="51">
        <f>IF(AND(ISNUMBER(Input!$D10),ISNUMBER(Input!$E10)),DI63*As,0)</f>
        <v>137535.97373367514</v>
      </c>
      <c r="DK63" s="51">
        <f t="shared" ref="DK63:DK74" si="39">DJ63*DE63</f>
        <v>31633273.958745282</v>
      </c>
      <c r="DL63" s="51">
        <f t="shared" ref="DL63:DL74" si="40">IF(ABS(DF63*Es)&lt;fy,Es,0)-IF(AND(DF63&gt;0,DF63&lt;eco),0.85*fck*n/eco*(1-DF63/eco)^(n-1),0)</f>
        <v>186577.208734521</v>
      </c>
      <c r="DM63" s="51">
        <f>IF(AND(ISNUMBER(Input!$D10),ISNUMBER(Input!$E10)),DL63*As,0)</f>
        <v>150054294.60164109</v>
      </c>
      <c r="DN63" s="51">
        <f>+DM63*DE63</f>
        <v>34512487758.377449</v>
      </c>
      <c r="DO63" s="54">
        <f>+DN63*DE63</f>
        <v>7937872184426.8135</v>
      </c>
    </row>
    <row r="64" spans="1:119">
      <c r="A64" s="25">
        <v>2</v>
      </c>
      <c r="B64" s="51">
        <f t="shared" si="1"/>
        <v>291</v>
      </c>
      <c r="C64" s="74">
        <f t="shared" ref="C64:C127" si="41">B$56+B$57*B64</f>
        <v>1.9550000000000001E-3</v>
      </c>
      <c r="D64" s="52">
        <f t="shared" si="2"/>
        <v>25.487090624999997</v>
      </c>
      <c r="E64" s="53">
        <f t="shared" ref="E64:E127" si="42">+D64*$M$53</f>
        <v>61169.017499999994</v>
      </c>
      <c r="F64" s="51">
        <f t="shared" ref="F64:F126" si="43">+E64*B64</f>
        <v>17800184.092499997</v>
      </c>
      <c r="G64" s="52">
        <f t="shared" si="3"/>
        <v>573.74999999999909</v>
      </c>
      <c r="H64" s="51">
        <f t="shared" si="4"/>
        <v>1376999.9999999979</v>
      </c>
      <c r="I64" s="51">
        <f t="shared" ref="I64:I127" si="44">+H64*B64</f>
        <v>400706999.9999994</v>
      </c>
      <c r="J64" s="54">
        <f t="shared" ref="J64:J127" si="45">+I64*B64</f>
        <v>116605736999.99983</v>
      </c>
      <c r="L64" s="25">
        <v>2</v>
      </c>
      <c r="M64" s="51">
        <f>Input!$E11</f>
        <v>230</v>
      </c>
      <c r="N64" s="74">
        <f t="shared" ref="N64:N74" si="46">B$56+B$57*M64</f>
        <v>1.6500000000000002E-3</v>
      </c>
      <c r="O64" s="52">
        <f t="shared" si="5"/>
        <v>330.00000000000006</v>
      </c>
      <c r="P64" s="52">
        <f t="shared" si="6"/>
        <v>24.719062499999996</v>
      </c>
      <c r="Q64" s="83">
        <f t="shared" ref="Q64:Q74" si="47">MAX(MIN(O64,fy),-fy)-IF(O64&gt;=0,P64,0)</f>
        <v>305.28093750000005</v>
      </c>
      <c r="R64" s="51">
        <f>IF(AND(ISNUMBER(Input!$D11),ISNUMBER(Input!$E11)),Q64*As,0)</f>
        <v>245521.49773593727</v>
      </c>
      <c r="S64" s="51">
        <f t="shared" si="7"/>
        <v>56469944.479265571</v>
      </c>
      <c r="T64" s="51">
        <f t="shared" si="8"/>
        <v>195537.5</v>
      </c>
      <c r="U64" s="51">
        <f>IF(AND(ISNUMBER(Input!$D11),ISNUMBER(Input!$E11)),T64*As,0)</f>
        <v>157260588.41633642</v>
      </c>
      <c r="V64" s="51">
        <f t="shared" ref="V64:V74" si="48">+U64*M64</f>
        <v>36169935335.757378</v>
      </c>
      <c r="W64" s="54">
        <f t="shared" ref="W64:W74" si="49">+V64*M64</f>
        <v>8319085127224.1973</v>
      </c>
      <c r="Y64" s="25">
        <v>2</v>
      </c>
      <c r="Z64" s="51">
        <f t="shared" si="9"/>
        <v>291</v>
      </c>
      <c r="AA64" s="74">
        <f t="shared" ref="AA64:AA127" si="50">Z$56+Z$57*Z64</f>
        <v>9.2593157958452562E-4</v>
      </c>
      <c r="AB64" s="52">
        <f t="shared" si="10"/>
        <v>18.145653555197072</v>
      </c>
      <c r="AC64" s="53">
        <f t="shared" ref="AC64:AC127" si="51">+AB64*$M$53</f>
        <v>43549.568532472971</v>
      </c>
      <c r="AD64" s="51">
        <f t="shared" ref="AD64:AD127" si="52">+AC64*Z64</f>
        <v>12672924.442949634</v>
      </c>
      <c r="AE64" s="52">
        <f t="shared" si="11"/>
        <v>13694.372360297299</v>
      </c>
      <c r="AF64" s="51">
        <f t="shared" si="12"/>
        <v>32866493.664713517</v>
      </c>
      <c r="AG64" s="51">
        <f t="shared" ref="AG64:AG127" si="53">+AF64*Z64</f>
        <v>9564149656.431633</v>
      </c>
      <c r="AH64" s="54">
        <f t="shared" ref="AH64:AH127" si="54">+AG64*Z64</f>
        <v>2783167550021.605</v>
      </c>
      <c r="AJ64" s="25">
        <v>2</v>
      </c>
      <c r="AK64" s="51">
        <f>Input!$E11</f>
        <v>230</v>
      </c>
      <c r="AL64" s="74">
        <f t="shared" ref="AL64:AL74" si="55">Z$56+Z$57*AK64</f>
        <v>7.6669972691155463E-4</v>
      </c>
      <c r="AM64" s="52">
        <f t="shared" si="13"/>
        <v>153.33994538231093</v>
      </c>
      <c r="AN64" s="52">
        <f t="shared" si="14"/>
        <v>15.803436532049783</v>
      </c>
      <c r="AO64" s="83">
        <f t="shared" ref="AO64:AO74" si="56">MAX(MIN(AM64,fy),-fy)-IF(AM64&gt;=0,AN64,0)</f>
        <v>137.53650885026116</v>
      </c>
      <c r="AP64" s="51">
        <f>IF(AND(ISNUMBER(Input!$D11),ISNUMBER(Input!$E11)),AO64*As,0)</f>
        <v>110613.42356591822</v>
      </c>
      <c r="AQ64" s="51">
        <f t="shared" si="15"/>
        <v>25441087.420161191</v>
      </c>
      <c r="AR64" s="51">
        <f t="shared" si="16"/>
        <v>184275.42151812231</v>
      </c>
      <c r="AS64" s="51">
        <f>IF(AND(ISNUMBER(Input!$D11),ISNUMBER(Input!$E11)),AR64*As,0)</f>
        <v>148203087.48249486</v>
      </c>
      <c r="AT64" s="51">
        <f t="shared" ref="AT64:AT74" si="57">+AS64*AK64</f>
        <v>34086710120.97382</v>
      </c>
      <c r="AU64" s="54">
        <f t="shared" ref="AU64:AU74" si="58">+AT64*AK64</f>
        <v>7839943327823.9785</v>
      </c>
      <c r="AW64" s="25">
        <v>2</v>
      </c>
      <c r="AX64" s="51">
        <f t="shared" si="17"/>
        <v>291</v>
      </c>
      <c r="AY64" s="74">
        <f t="shared" ref="AY64:AY127" si="59">AX$56+AX$57*AX64</f>
        <v>1.1301925026937294E-3</v>
      </c>
      <c r="AZ64" s="52">
        <f t="shared" si="18"/>
        <v>20.676897599889987</v>
      </c>
      <c r="BA64" s="53">
        <f t="shared" ref="BA64:BA127" si="60">+AZ64*$M$53</f>
        <v>49624.554239735968</v>
      </c>
      <c r="BB64" s="51">
        <f t="shared" ref="BB64:BB127" si="61">+BA64*AX64</f>
        <v>14440745.283763167</v>
      </c>
      <c r="BC64" s="52">
        <f t="shared" si="19"/>
        <v>11090.045590654951</v>
      </c>
      <c r="BD64" s="51">
        <f t="shared" si="20"/>
        <v>26616109.41757188</v>
      </c>
      <c r="BE64" s="51">
        <f t="shared" ref="BE64:BE127" si="62">+BD64*AX64</f>
        <v>7745287840.5134172</v>
      </c>
      <c r="BF64" s="54">
        <f t="shared" ref="BF64:BF127" si="63">+BE64*AX64</f>
        <v>2253878761589.4043</v>
      </c>
      <c r="BH64" s="25">
        <v>2</v>
      </c>
      <c r="BI64" s="51">
        <f>Input!$E11</f>
        <v>230</v>
      </c>
      <c r="BJ64" s="74">
        <f t="shared" ref="BJ64:BJ74" si="64">AX$56+AX$57*BI64</f>
        <v>9.4011209983775742E-4</v>
      </c>
      <c r="BK64" s="52">
        <f t="shared" si="21"/>
        <v>188.02241996755149</v>
      </c>
      <c r="BL64" s="52">
        <f t="shared" si="22"/>
        <v>18.338564949196659</v>
      </c>
      <c r="BM64" s="83">
        <f t="shared" ref="BM64:BM74" si="65">MAX(MIN(BK64,fy),-fy)-IF(BK64&gt;=0,BL64,0)</f>
        <v>169.68385501835482</v>
      </c>
      <c r="BN64" s="51">
        <f>IF(AND(ISNUMBER(Input!$D11),ISNUMBER(Input!$E11)),BM64*As,0)</f>
        <v>136467.8534037655</v>
      </c>
      <c r="BO64" s="51">
        <f t="shared" si="23"/>
        <v>31387606.282866064</v>
      </c>
      <c r="BP64" s="51">
        <f t="shared" si="24"/>
        <v>186486.42927293142</v>
      </c>
      <c r="BQ64" s="51">
        <f>IF(AND(ISNUMBER(Input!$D11),ISNUMBER(Input!$E11)),BP64*As,0)</f>
        <v>149981285.42669669</v>
      </c>
      <c r="BR64" s="51">
        <f t="shared" ref="BR64:BR74" si="66">+BQ64*BI64</f>
        <v>34495695648.140236</v>
      </c>
      <c r="BS64" s="54">
        <f t="shared" ref="BS64:BS74" si="67">+BR64*BI64</f>
        <v>7934009999072.2539</v>
      </c>
      <c r="BU64" s="25">
        <v>2</v>
      </c>
      <c r="BV64" s="51">
        <f t="shared" si="25"/>
        <v>291</v>
      </c>
      <c r="BW64" s="74">
        <f t="shared" ref="BW64:BW127" si="68">BV$56+BV$57*BV64</f>
        <v>1.1385739416839692E-3</v>
      </c>
      <c r="BX64" s="52">
        <f t="shared" si="26"/>
        <v>20.76940030609493</v>
      </c>
      <c r="BY64" s="53">
        <f t="shared" ref="BY64:BY127" si="69">+BX64*$M$53</f>
        <v>49846.560734627834</v>
      </c>
      <c r="BZ64" s="51">
        <f t="shared" ref="BZ64:BZ127" si="70">+BY64*BV64</f>
        <v>14505349.173776699</v>
      </c>
      <c r="CA64" s="52">
        <f t="shared" si="27"/>
        <v>10983.182243529391</v>
      </c>
      <c r="CB64" s="51">
        <f t="shared" si="28"/>
        <v>26359637.384470537</v>
      </c>
      <c r="CC64" s="51">
        <f t="shared" ref="CC64:CC127" si="71">+CB64*BV64</f>
        <v>7670654478.8809261</v>
      </c>
      <c r="CD64" s="54">
        <f t="shared" ref="CD64:CD127" si="72">+CC64*BV64</f>
        <v>2232160453354.3496</v>
      </c>
      <c r="CF64" s="25">
        <v>2</v>
      </c>
      <c r="CG64" s="51">
        <f>Input!$E11</f>
        <v>230</v>
      </c>
      <c r="CH64" s="74">
        <f t="shared" ref="CH64:CH74" si="73">BV$56+BV$57*CG64</f>
        <v>9.4722005917947287E-4</v>
      </c>
      <c r="CI64" s="52">
        <f t="shared" si="29"/>
        <v>189.44401183589457</v>
      </c>
      <c r="CJ64" s="52">
        <f t="shared" si="30"/>
        <v>18.434296775812786</v>
      </c>
      <c r="CK64" s="83">
        <f t="shared" ref="CK64:CK74" si="74">MAX(MIN(CI64,fy),-fy)-IF(CI64&gt;=0,CJ64,0)</f>
        <v>171.00971506008179</v>
      </c>
      <c r="CL64" s="51">
        <f>IF(AND(ISNUMBER(Input!$D11),ISNUMBER(Input!$E11)),CK64*As,0)</f>
        <v>137534.17331846061</v>
      </c>
      <c r="CM64" s="51">
        <f t="shared" si="31"/>
        <v>31632859.863245942</v>
      </c>
      <c r="CN64" s="51">
        <f t="shared" si="32"/>
        <v>186577.05575453828</v>
      </c>
      <c r="CO64" s="51">
        <f>IF(AND(ISNUMBER(Input!$D11),ISNUMBER(Input!$E11)),CN64*As,0)</f>
        <v>150054171.56783891</v>
      </c>
      <c r="CP64" s="51">
        <f t="shared" ref="CP64:CP74" si="75">+CO64*CG64</f>
        <v>34512459460.602951</v>
      </c>
      <c r="CQ64" s="54">
        <f t="shared" ref="CQ64:CQ74" si="76">+CP64*CG64</f>
        <v>7937865675938.6787</v>
      </c>
      <c r="CS64" s="25">
        <v>2</v>
      </c>
      <c r="CT64" s="51">
        <f t="shared" si="33"/>
        <v>291</v>
      </c>
      <c r="CU64" s="74">
        <f t="shared" ref="CU64:CU127" si="77">CT$56+CT$57*CT64</f>
        <v>1.1385880332350185E-3</v>
      </c>
      <c r="CV64" s="52">
        <f t="shared" si="34"/>
        <v>20.7695550749023</v>
      </c>
      <c r="CW64" s="53">
        <f t="shared" ref="CW64:CW127" si="78">+CV64*$M$53</f>
        <v>49846.932179765521</v>
      </c>
      <c r="CX64" s="51">
        <f t="shared" ref="CX64:CX127" si="79">+CW64*CT64</f>
        <v>14505457.264311766</v>
      </c>
      <c r="CY64" s="52">
        <f t="shared" si="35"/>
        <v>10983.002576253515</v>
      </c>
      <c r="CZ64" s="51">
        <f t="shared" si="36"/>
        <v>26359206.183008436</v>
      </c>
      <c r="DA64" s="51">
        <f t="shared" ref="DA64:DA127" si="80">+CZ64*CT64</f>
        <v>7670528999.255455</v>
      </c>
      <c r="DB64" s="54">
        <f t="shared" ref="DB64:DB127" si="81">+DA64*CT64</f>
        <v>2232123938783.3374</v>
      </c>
      <c r="DD64" s="25">
        <v>2</v>
      </c>
      <c r="DE64" s="51">
        <f>Input!$E11</f>
        <v>230</v>
      </c>
      <c r="DF64" s="74">
        <f t="shared" ref="DF64:DF74" si="82">CT$56+CT$57*DE64</f>
        <v>9.4723205760949064E-4</v>
      </c>
      <c r="DG64" s="52">
        <f t="shared" si="37"/>
        <v>189.44641152189811</v>
      </c>
      <c r="DH64" s="52">
        <f t="shared" si="38"/>
        <v>18.434457829152187</v>
      </c>
      <c r="DI64" s="83">
        <f t="shared" ref="DI64:DI74" si="83">MAX(MIN(DG64,fy),-fy)-IF(DG64&gt;=0,DH64,0)</f>
        <v>171.01195369274592</v>
      </c>
      <c r="DJ64" s="51">
        <f>IF(AND(ISNUMBER(Input!$D11),ISNUMBER(Input!$E11)),DI64*As,0)</f>
        <v>137535.97373367514</v>
      </c>
      <c r="DK64" s="51">
        <f t="shared" si="39"/>
        <v>31633273.958745282</v>
      </c>
      <c r="DL64" s="51">
        <f t="shared" si="40"/>
        <v>186577.208734521</v>
      </c>
      <c r="DM64" s="51">
        <f>IF(AND(ISNUMBER(Input!$D11),ISNUMBER(Input!$E11)),DL64*As,0)</f>
        <v>150054294.60164109</v>
      </c>
      <c r="DN64" s="51">
        <f t="shared" ref="DN64:DN74" si="84">+DM64*DE64</f>
        <v>34512487758.377449</v>
      </c>
      <c r="DO64" s="54">
        <f t="shared" ref="DO64:DO74" si="85">+DN64*DE64</f>
        <v>7937872184426.8135</v>
      </c>
    </row>
    <row r="65" spans="1:119">
      <c r="A65" s="25">
        <v>3</v>
      </c>
      <c r="B65" s="51">
        <f t="shared" si="1"/>
        <v>285</v>
      </c>
      <c r="C65" s="74">
        <f t="shared" si="41"/>
        <v>1.9250000000000001E-3</v>
      </c>
      <c r="D65" s="52">
        <f t="shared" si="2"/>
        <v>25.464140624999999</v>
      </c>
      <c r="E65" s="53">
        <f t="shared" si="42"/>
        <v>61113.9375</v>
      </c>
      <c r="F65" s="51">
        <f t="shared" si="43"/>
        <v>17417472.1875</v>
      </c>
      <c r="G65" s="52">
        <f t="shared" si="3"/>
        <v>956.24999999999943</v>
      </c>
      <c r="H65" s="51">
        <f t="shared" si="4"/>
        <v>2294999.9999999986</v>
      </c>
      <c r="I65" s="51">
        <f t="shared" si="44"/>
        <v>654074999.99999964</v>
      </c>
      <c r="J65" s="54">
        <f t="shared" si="45"/>
        <v>186411374999.99991</v>
      </c>
      <c r="L65" s="25">
        <v>3</v>
      </c>
      <c r="M65" s="51">
        <f>Input!$E12</f>
        <v>230</v>
      </c>
      <c r="N65" s="74">
        <f t="shared" si="46"/>
        <v>1.6500000000000002E-3</v>
      </c>
      <c r="O65" s="52">
        <f t="shared" si="5"/>
        <v>330.00000000000006</v>
      </c>
      <c r="P65" s="52">
        <f t="shared" si="6"/>
        <v>24.719062499999996</v>
      </c>
      <c r="Q65" s="83">
        <f t="shared" si="47"/>
        <v>305.28093750000005</v>
      </c>
      <c r="R65" s="51">
        <f>IF(AND(ISNUMBER(Input!$D12),ISNUMBER(Input!$E12)),Q65*As,0)</f>
        <v>245521.49773593727</v>
      </c>
      <c r="S65" s="51">
        <f t="shared" si="7"/>
        <v>56469944.479265571</v>
      </c>
      <c r="T65" s="51">
        <f t="shared" si="8"/>
        <v>195537.5</v>
      </c>
      <c r="U65" s="51">
        <f>IF(AND(ISNUMBER(Input!$D12),ISNUMBER(Input!$E12)),T65*As,0)</f>
        <v>157260588.41633642</v>
      </c>
      <c r="V65" s="51">
        <f t="shared" si="48"/>
        <v>36169935335.757378</v>
      </c>
      <c r="W65" s="54">
        <f t="shared" si="49"/>
        <v>8319085127224.1973</v>
      </c>
      <c r="Y65" s="25">
        <v>3</v>
      </c>
      <c r="Z65" s="51">
        <f t="shared" si="9"/>
        <v>285</v>
      </c>
      <c r="AA65" s="74">
        <f t="shared" si="50"/>
        <v>9.1026943014128263E-4</v>
      </c>
      <c r="AB65" s="52">
        <f t="shared" si="10"/>
        <v>17.929606442610641</v>
      </c>
      <c r="AC65" s="53">
        <f t="shared" si="51"/>
        <v>43031.05546226554</v>
      </c>
      <c r="AD65" s="51">
        <f t="shared" si="52"/>
        <v>12263850.806745678</v>
      </c>
      <c r="AE65" s="52">
        <f t="shared" si="11"/>
        <v>13894.064765698648</v>
      </c>
      <c r="AF65" s="51">
        <f t="shared" si="12"/>
        <v>33345755.437676754</v>
      </c>
      <c r="AG65" s="51">
        <f t="shared" si="53"/>
        <v>9503540299.737875</v>
      </c>
      <c r="AH65" s="54">
        <f t="shared" si="54"/>
        <v>2708508985425.2944</v>
      </c>
      <c r="AJ65" s="25">
        <v>3</v>
      </c>
      <c r="AK65" s="51">
        <f>Input!$E12</f>
        <v>230</v>
      </c>
      <c r="AL65" s="74">
        <f t="shared" si="55"/>
        <v>7.6669972691155463E-4</v>
      </c>
      <c r="AM65" s="52">
        <f t="shared" si="13"/>
        <v>153.33994538231093</v>
      </c>
      <c r="AN65" s="52">
        <f t="shared" si="14"/>
        <v>15.803436532049783</v>
      </c>
      <c r="AO65" s="83">
        <f t="shared" si="56"/>
        <v>137.53650885026116</v>
      </c>
      <c r="AP65" s="51">
        <f>IF(AND(ISNUMBER(Input!$D12),ISNUMBER(Input!$E12)),AO65*As,0)</f>
        <v>110613.42356591822</v>
      </c>
      <c r="AQ65" s="51">
        <f t="shared" si="15"/>
        <v>25441087.420161191</v>
      </c>
      <c r="AR65" s="51">
        <f t="shared" si="16"/>
        <v>184275.42151812231</v>
      </c>
      <c r="AS65" s="51">
        <f>IF(AND(ISNUMBER(Input!$D12),ISNUMBER(Input!$E12)),AR65*As,0)</f>
        <v>148203087.48249486</v>
      </c>
      <c r="AT65" s="51">
        <f t="shared" si="57"/>
        <v>34086710120.97382</v>
      </c>
      <c r="AU65" s="54">
        <f t="shared" si="58"/>
        <v>7839943327823.9785</v>
      </c>
      <c r="AW65" s="25">
        <v>3</v>
      </c>
      <c r="AX65" s="51">
        <f t="shared" si="17"/>
        <v>285</v>
      </c>
      <c r="AY65" s="74">
        <f t="shared" si="59"/>
        <v>1.1114960696259289E-3</v>
      </c>
      <c r="AZ65" s="52">
        <f t="shared" si="18"/>
        <v>20.467324881400149</v>
      </c>
      <c r="BA65" s="53">
        <f t="shared" si="60"/>
        <v>49121.579715360356</v>
      </c>
      <c r="BB65" s="51">
        <f t="shared" si="61"/>
        <v>13999650.218877701</v>
      </c>
      <c r="BC65" s="52">
        <f t="shared" si="19"/>
        <v>11328.425112269408</v>
      </c>
      <c r="BD65" s="51">
        <f t="shared" si="20"/>
        <v>27188220.269446578</v>
      </c>
      <c r="BE65" s="51">
        <f t="shared" si="62"/>
        <v>7748642776.7922745</v>
      </c>
      <c r="BF65" s="54">
        <f t="shared" si="63"/>
        <v>2208363191385.7983</v>
      </c>
      <c r="BH65" s="25">
        <v>3</v>
      </c>
      <c r="BI65" s="51">
        <f>Input!$E12</f>
        <v>230</v>
      </c>
      <c r="BJ65" s="74">
        <f t="shared" si="64"/>
        <v>9.4011209983775742E-4</v>
      </c>
      <c r="BK65" s="52">
        <f t="shared" si="21"/>
        <v>188.02241996755149</v>
      </c>
      <c r="BL65" s="52">
        <f t="shared" si="22"/>
        <v>18.338564949196659</v>
      </c>
      <c r="BM65" s="83">
        <f t="shared" si="65"/>
        <v>169.68385501835482</v>
      </c>
      <c r="BN65" s="51">
        <f>IF(AND(ISNUMBER(Input!$D12),ISNUMBER(Input!$E12)),BM65*As,0)</f>
        <v>136467.8534037655</v>
      </c>
      <c r="BO65" s="51">
        <f t="shared" si="23"/>
        <v>31387606.282866064</v>
      </c>
      <c r="BP65" s="51">
        <f t="shared" si="24"/>
        <v>186486.42927293142</v>
      </c>
      <c r="BQ65" s="51">
        <f>IF(AND(ISNUMBER(Input!$D12),ISNUMBER(Input!$E12)),BP65*As,0)</f>
        <v>149981285.42669669</v>
      </c>
      <c r="BR65" s="51">
        <f t="shared" si="66"/>
        <v>34495695648.140236</v>
      </c>
      <c r="BS65" s="54">
        <f t="shared" si="67"/>
        <v>7934009999072.2539</v>
      </c>
      <c r="BU65" s="25">
        <v>3</v>
      </c>
      <c r="BV65" s="51">
        <f t="shared" si="25"/>
        <v>285</v>
      </c>
      <c r="BW65" s="74">
        <f t="shared" si="68"/>
        <v>1.1197522483228713E-3</v>
      </c>
      <c r="BX65" s="52">
        <f t="shared" si="26"/>
        <v>20.560419834879418</v>
      </c>
      <c r="BY65" s="53">
        <f t="shared" si="69"/>
        <v>49345.007603710605</v>
      </c>
      <c r="BZ65" s="51">
        <f t="shared" si="70"/>
        <v>14063327.167057522</v>
      </c>
      <c r="CA65" s="52">
        <f t="shared" si="27"/>
        <v>11223.158833883392</v>
      </c>
      <c r="CB65" s="51">
        <f t="shared" si="28"/>
        <v>26935581.201320142</v>
      </c>
      <c r="CC65" s="51">
        <f t="shared" si="71"/>
        <v>7676640642.3762407</v>
      </c>
      <c r="CD65" s="54">
        <f t="shared" si="72"/>
        <v>2187842583077.2285</v>
      </c>
      <c r="CF65" s="25">
        <v>3</v>
      </c>
      <c r="CG65" s="51">
        <f>Input!$E12</f>
        <v>230</v>
      </c>
      <c r="CH65" s="74">
        <f t="shared" si="73"/>
        <v>9.4722005917947287E-4</v>
      </c>
      <c r="CI65" s="52">
        <f t="shared" si="29"/>
        <v>189.44401183589457</v>
      </c>
      <c r="CJ65" s="52">
        <f t="shared" si="30"/>
        <v>18.434296775812786</v>
      </c>
      <c r="CK65" s="83">
        <f t="shared" si="74"/>
        <v>171.00971506008179</v>
      </c>
      <c r="CL65" s="51">
        <f>IF(AND(ISNUMBER(Input!$D12),ISNUMBER(Input!$E12)),CK65*As,0)</f>
        <v>137534.17331846061</v>
      </c>
      <c r="CM65" s="51">
        <f t="shared" si="31"/>
        <v>31632859.863245942</v>
      </c>
      <c r="CN65" s="51">
        <f t="shared" si="32"/>
        <v>186577.05575453828</v>
      </c>
      <c r="CO65" s="51">
        <f>IF(AND(ISNUMBER(Input!$D12),ISNUMBER(Input!$E12)),CN65*As,0)</f>
        <v>150054171.56783891</v>
      </c>
      <c r="CP65" s="51">
        <f t="shared" si="75"/>
        <v>34512459460.602951</v>
      </c>
      <c r="CQ65" s="54">
        <f t="shared" si="76"/>
        <v>7937865675938.6787</v>
      </c>
      <c r="CS65" s="25">
        <v>3</v>
      </c>
      <c r="CT65" s="51">
        <f t="shared" si="33"/>
        <v>285</v>
      </c>
      <c r="CU65" s="74">
        <f t="shared" si="77"/>
        <v>1.1197661339931633E-3</v>
      </c>
      <c r="CV65" s="52">
        <f t="shared" si="34"/>
        <v>20.560575674733446</v>
      </c>
      <c r="CW65" s="53">
        <f t="shared" si="78"/>
        <v>49345.381619360269</v>
      </c>
      <c r="CX65" s="51">
        <f t="shared" si="79"/>
        <v>14063433.761517677</v>
      </c>
      <c r="CY65" s="52">
        <f t="shared" si="35"/>
        <v>11222.981791587168</v>
      </c>
      <c r="CZ65" s="51">
        <f t="shared" si="36"/>
        <v>26935156.299809203</v>
      </c>
      <c r="DA65" s="51">
        <f t="shared" si="80"/>
        <v>7676519545.4456224</v>
      </c>
      <c r="DB65" s="54">
        <f t="shared" si="81"/>
        <v>2187808070452.0024</v>
      </c>
      <c r="DD65" s="25">
        <v>3</v>
      </c>
      <c r="DE65" s="51">
        <f>Input!$E12</f>
        <v>230</v>
      </c>
      <c r="DF65" s="74">
        <f t="shared" si="82"/>
        <v>9.4723205760949064E-4</v>
      </c>
      <c r="DG65" s="52">
        <f t="shared" si="37"/>
        <v>189.44641152189811</v>
      </c>
      <c r="DH65" s="52">
        <f t="shared" si="38"/>
        <v>18.434457829152187</v>
      </c>
      <c r="DI65" s="83">
        <f t="shared" si="83"/>
        <v>171.01195369274592</v>
      </c>
      <c r="DJ65" s="51">
        <f>IF(AND(ISNUMBER(Input!$D12),ISNUMBER(Input!$E12)),DI65*As,0)</f>
        <v>137535.97373367514</v>
      </c>
      <c r="DK65" s="51">
        <f t="shared" si="39"/>
        <v>31633273.958745282</v>
      </c>
      <c r="DL65" s="51">
        <f t="shared" si="40"/>
        <v>186577.208734521</v>
      </c>
      <c r="DM65" s="51">
        <f>IF(AND(ISNUMBER(Input!$D12),ISNUMBER(Input!$E12)),DL65*As,0)</f>
        <v>150054294.60164109</v>
      </c>
      <c r="DN65" s="51">
        <f t="shared" si="84"/>
        <v>34512487758.377449</v>
      </c>
      <c r="DO65" s="54">
        <f t="shared" si="85"/>
        <v>7937872184426.8135</v>
      </c>
    </row>
    <row r="66" spans="1:119">
      <c r="A66" s="25">
        <v>4</v>
      </c>
      <c r="B66" s="51">
        <f t="shared" si="1"/>
        <v>279</v>
      </c>
      <c r="C66" s="74">
        <f t="shared" si="41"/>
        <v>1.8950000000000002E-3</v>
      </c>
      <c r="D66" s="52">
        <f t="shared" si="2"/>
        <v>25.429715625</v>
      </c>
      <c r="E66" s="53">
        <f t="shared" si="42"/>
        <v>61031.317499999997</v>
      </c>
      <c r="F66" s="51">
        <f t="shared" si="43"/>
        <v>17027737.5825</v>
      </c>
      <c r="G66" s="52">
        <f t="shared" si="3"/>
        <v>1338.749999999997</v>
      </c>
      <c r="H66" s="51">
        <f t="shared" si="4"/>
        <v>3212999.999999993</v>
      </c>
      <c r="I66" s="51">
        <f t="shared" si="44"/>
        <v>896426999.99999809</v>
      </c>
      <c r="J66" s="54">
        <f t="shared" si="45"/>
        <v>250103132999.99948</v>
      </c>
      <c r="L66" s="25">
        <v>4</v>
      </c>
      <c r="M66" s="51">
        <f>Input!$E13</f>
        <v>0</v>
      </c>
      <c r="N66" s="74">
        <f t="shared" si="46"/>
        <v>5.0000000000000001E-4</v>
      </c>
      <c r="O66" s="52">
        <f t="shared" si="5"/>
        <v>100</v>
      </c>
      <c r="P66" s="52">
        <f t="shared" si="6"/>
        <v>11.15625</v>
      </c>
      <c r="Q66" s="83">
        <f t="shared" si="47"/>
        <v>88.84375</v>
      </c>
      <c r="R66" s="51">
        <f>IF(AND(ISNUMBER(Input!$D13),ISNUMBER(Input!$E13)),Q66*As,0)</f>
        <v>0</v>
      </c>
      <c r="S66" s="51">
        <f t="shared" si="7"/>
        <v>0</v>
      </c>
      <c r="T66" s="51">
        <f t="shared" si="8"/>
        <v>180875</v>
      </c>
      <c r="U66" s="51">
        <f>IF(AND(ISNUMBER(Input!$D13),ISNUMBER(Input!$E13)),T66*As,0)</f>
        <v>0</v>
      </c>
      <c r="V66" s="51">
        <f t="shared" si="48"/>
        <v>0</v>
      </c>
      <c r="W66" s="54">
        <f t="shared" si="49"/>
        <v>0</v>
      </c>
      <c r="Y66" s="25">
        <v>4</v>
      </c>
      <c r="Z66" s="51">
        <f t="shared" si="9"/>
        <v>279</v>
      </c>
      <c r="AA66" s="74">
        <f t="shared" si="50"/>
        <v>8.9460728069803964E-4</v>
      </c>
      <c r="AB66" s="52">
        <f t="shared" si="10"/>
        <v>17.710431717728135</v>
      </c>
      <c r="AC66" s="53">
        <f t="shared" si="51"/>
        <v>42505.036122547521</v>
      </c>
      <c r="AD66" s="51">
        <f t="shared" si="52"/>
        <v>11858905.078190759</v>
      </c>
      <c r="AE66" s="52">
        <f t="shared" si="11"/>
        <v>14093.757171099995</v>
      </c>
      <c r="AF66" s="51">
        <f t="shared" si="12"/>
        <v>33825017.210639983</v>
      </c>
      <c r="AG66" s="51">
        <f t="shared" si="53"/>
        <v>9437179801.7685547</v>
      </c>
      <c r="AH66" s="54">
        <f t="shared" si="54"/>
        <v>2632973164693.4268</v>
      </c>
      <c r="AJ66" s="25">
        <v>4</v>
      </c>
      <c r="AK66" s="51">
        <f>Input!$E13</f>
        <v>0</v>
      </c>
      <c r="AL66" s="74">
        <f t="shared" si="55"/>
        <v>1.6631733158723746E-4</v>
      </c>
      <c r="AM66" s="52">
        <f t="shared" si="13"/>
        <v>33.263466317447495</v>
      </c>
      <c r="AN66" s="52">
        <f t="shared" si="14"/>
        <v>4.0647501812118998</v>
      </c>
      <c r="AO66" s="83">
        <f t="shared" si="56"/>
        <v>29.198716136235596</v>
      </c>
      <c r="AP66" s="51">
        <f>IF(AND(ISNUMBER(Input!$D13),ISNUMBER(Input!$E13)),AO66*As,0)</f>
        <v>0</v>
      </c>
      <c r="AQ66" s="51">
        <f t="shared" si="15"/>
        <v>0</v>
      </c>
      <c r="AR66" s="51">
        <f t="shared" si="16"/>
        <v>176620.54597773729</v>
      </c>
      <c r="AS66" s="51">
        <f>IF(AND(ISNUMBER(Input!$D13),ISNUMBER(Input!$E13)),AR66*As,0)</f>
        <v>0</v>
      </c>
      <c r="AT66" s="51">
        <f t="shared" si="57"/>
        <v>0</v>
      </c>
      <c r="AU66" s="54">
        <f t="shared" si="58"/>
        <v>0</v>
      </c>
      <c r="AW66" s="25">
        <v>4</v>
      </c>
      <c r="AX66" s="51">
        <f t="shared" si="17"/>
        <v>279</v>
      </c>
      <c r="AY66" s="74">
        <f t="shared" si="59"/>
        <v>1.0927996365581285E-3</v>
      </c>
      <c r="AZ66" s="52">
        <f t="shared" si="18"/>
        <v>20.253295316139717</v>
      </c>
      <c r="BA66" s="53">
        <f t="shared" si="60"/>
        <v>48607.908758735321</v>
      </c>
      <c r="BB66" s="51">
        <f t="shared" si="61"/>
        <v>13561606.543687154</v>
      </c>
      <c r="BC66" s="52">
        <f t="shared" si="19"/>
        <v>11566.804633883861</v>
      </c>
      <c r="BD66" s="51">
        <f t="shared" si="20"/>
        <v>27760331.121321268</v>
      </c>
      <c r="BE66" s="51">
        <f t="shared" si="62"/>
        <v>7745132382.8486338</v>
      </c>
      <c r="BF66" s="54">
        <f t="shared" si="63"/>
        <v>2160891934814.7688</v>
      </c>
      <c r="BH66" s="25">
        <v>4</v>
      </c>
      <c r="BI66" s="51">
        <f>Input!$E13</f>
        <v>0</v>
      </c>
      <c r="BJ66" s="74">
        <f t="shared" si="64"/>
        <v>2.2341549890540332E-4</v>
      </c>
      <c r="BK66" s="52">
        <f t="shared" si="21"/>
        <v>44.683099781080664</v>
      </c>
      <c r="BL66" s="52">
        <f t="shared" si="22"/>
        <v>5.3788903792492029</v>
      </c>
      <c r="BM66" s="83">
        <f t="shared" si="65"/>
        <v>39.304209401831457</v>
      </c>
      <c r="BN66" s="51">
        <f>IF(AND(ISNUMBER(Input!$D13),ISNUMBER(Input!$E13)),BM66*As,0)</f>
        <v>0</v>
      </c>
      <c r="BO66" s="51">
        <f t="shared" si="23"/>
        <v>0</v>
      </c>
      <c r="BP66" s="51">
        <f t="shared" si="24"/>
        <v>177348.5476110439</v>
      </c>
      <c r="BQ66" s="51">
        <f>IF(AND(ISNUMBER(Input!$D13),ISNUMBER(Input!$E13)),BP66*As,0)</f>
        <v>0</v>
      </c>
      <c r="BR66" s="51">
        <f t="shared" si="66"/>
        <v>0</v>
      </c>
      <c r="BS66" s="54">
        <f t="shared" si="67"/>
        <v>0</v>
      </c>
      <c r="BU66" s="25">
        <v>4</v>
      </c>
      <c r="BV66" s="51">
        <f t="shared" si="25"/>
        <v>279</v>
      </c>
      <c r="BW66" s="74">
        <f t="shared" si="68"/>
        <v>1.1009305549617731E-3</v>
      </c>
      <c r="BX66" s="52">
        <f t="shared" si="26"/>
        <v>20.346922597866421</v>
      </c>
      <c r="BY66" s="53">
        <f t="shared" si="69"/>
        <v>48832.614234879409</v>
      </c>
      <c r="BZ66" s="51">
        <f t="shared" si="70"/>
        <v>13624299.371531354</v>
      </c>
      <c r="CA66" s="52">
        <f t="shared" si="27"/>
        <v>11463.135424237393</v>
      </c>
      <c r="CB66" s="51">
        <f t="shared" si="28"/>
        <v>27511525.018169742</v>
      </c>
      <c r="CC66" s="51">
        <f t="shared" si="71"/>
        <v>7675715480.0693579</v>
      </c>
      <c r="CD66" s="54">
        <f t="shared" si="72"/>
        <v>2141524618939.3508</v>
      </c>
      <c r="CF66" s="25">
        <v>4</v>
      </c>
      <c r="CG66" s="51">
        <f>Input!$E13</f>
        <v>0</v>
      </c>
      <c r="CH66" s="74">
        <f t="shared" si="73"/>
        <v>2.2572181367071622E-4</v>
      </c>
      <c r="CI66" s="52">
        <f t="shared" si="29"/>
        <v>45.144362734143243</v>
      </c>
      <c r="CJ66" s="52">
        <f t="shared" si="30"/>
        <v>5.4310978491649298</v>
      </c>
      <c r="CK66" s="83">
        <f t="shared" si="74"/>
        <v>39.713264884978315</v>
      </c>
      <c r="CL66" s="51">
        <f>IF(AND(ISNUMBER(Input!$D13),ISNUMBER(Input!$E13)),CK66*As,0)</f>
        <v>0</v>
      </c>
      <c r="CM66" s="51">
        <f t="shared" si="31"/>
        <v>0</v>
      </c>
      <c r="CN66" s="51">
        <f t="shared" si="32"/>
        <v>177377.95312430162</v>
      </c>
      <c r="CO66" s="51">
        <f>IF(AND(ISNUMBER(Input!$D13),ISNUMBER(Input!$E13)),CN66*As,0)</f>
        <v>0</v>
      </c>
      <c r="CP66" s="51">
        <f t="shared" si="75"/>
        <v>0</v>
      </c>
      <c r="CQ66" s="54">
        <f t="shared" si="76"/>
        <v>0</v>
      </c>
      <c r="CS66" s="25">
        <v>4</v>
      </c>
      <c r="CT66" s="51">
        <f t="shared" si="33"/>
        <v>279</v>
      </c>
      <c r="CU66" s="74">
        <f t="shared" si="77"/>
        <v>1.100944234751308E-3</v>
      </c>
      <c r="CV66" s="52">
        <f t="shared" si="34"/>
        <v>20.347079409953437</v>
      </c>
      <c r="CW66" s="53">
        <f t="shared" si="78"/>
        <v>48832.990583888248</v>
      </c>
      <c r="CX66" s="51">
        <f t="shared" si="79"/>
        <v>13624404.37290482</v>
      </c>
      <c r="CY66" s="52">
        <f t="shared" si="35"/>
        <v>11462.961006920825</v>
      </c>
      <c r="CZ66" s="51">
        <f t="shared" si="36"/>
        <v>27511106.41660998</v>
      </c>
      <c r="DA66" s="51">
        <f t="shared" si="80"/>
        <v>7675598690.2341843</v>
      </c>
      <c r="DB66" s="54">
        <f t="shared" si="81"/>
        <v>2141492034575.3374</v>
      </c>
      <c r="DD66" s="25">
        <v>4</v>
      </c>
      <c r="DE66" s="51">
        <f>Input!$E13</f>
        <v>0</v>
      </c>
      <c r="DF66" s="74">
        <f t="shared" si="82"/>
        <v>2.2572592000504103E-4</v>
      </c>
      <c r="DG66" s="52">
        <f t="shared" si="37"/>
        <v>45.145184001008204</v>
      </c>
      <c r="DH66" s="52">
        <f t="shared" si="38"/>
        <v>5.4311907427450157</v>
      </c>
      <c r="DI66" s="83">
        <f t="shared" si="83"/>
        <v>39.713993258263187</v>
      </c>
      <c r="DJ66" s="51">
        <f>IF(AND(ISNUMBER(Input!$D13),ISNUMBER(Input!$E13)),DI66*As,0)</f>
        <v>0</v>
      </c>
      <c r="DK66" s="51">
        <f t="shared" si="39"/>
        <v>0</v>
      </c>
      <c r="DL66" s="51">
        <f t="shared" si="40"/>
        <v>177378.00548006428</v>
      </c>
      <c r="DM66" s="51">
        <f>IF(AND(ISNUMBER(Input!$D13),ISNUMBER(Input!$E13)),DL66*As,0)</f>
        <v>0</v>
      </c>
      <c r="DN66" s="51">
        <f t="shared" si="84"/>
        <v>0</v>
      </c>
      <c r="DO66" s="54">
        <f t="shared" si="85"/>
        <v>0</v>
      </c>
    </row>
    <row r="67" spans="1:119">
      <c r="A67" s="25">
        <v>5</v>
      </c>
      <c r="B67" s="51">
        <f t="shared" si="1"/>
        <v>273</v>
      </c>
      <c r="C67" s="74">
        <f t="shared" si="41"/>
        <v>1.8650000000000001E-3</v>
      </c>
      <c r="D67" s="52">
        <f t="shared" si="2"/>
        <v>25.383815624999997</v>
      </c>
      <c r="E67" s="53">
        <f t="shared" si="42"/>
        <v>60921.157499999994</v>
      </c>
      <c r="F67" s="51">
        <f t="shared" si="43"/>
        <v>16631475.997499999</v>
      </c>
      <c r="G67" s="52">
        <f t="shared" si="3"/>
        <v>1721.25</v>
      </c>
      <c r="H67" s="51">
        <f t="shared" si="4"/>
        <v>4131000</v>
      </c>
      <c r="I67" s="51">
        <f t="shared" si="44"/>
        <v>1127763000</v>
      </c>
      <c r="J67" s="54">
        <f t="shared" si="45"/>
        <v>307879299000</v>
      </c>
      <c r="L67" s="25">
        <v>5</v>
      </c>
      <c r="M67" s="51">
        <f>Input!$E14</f>
        <v>-230</v>
      </c>
      <c r="N67" s="74">
        <f t="shared" si="46"/>
        <v>-6.5000000000000019E-4</v>
      </c>
      <c r="O67" s="52">
        <f t="shared" si="5"/>
        <v>-130.00000000000003</v>
      </c>
      <c r="P67" s="52">
        <f t="shared" si="6"/>
        <v>0</v>
      </c>
      <c r="Q67" s="83">
        <f t="shared" si="47"/>
        <v>-130.00000000000003</v>
      </c>
      <c r="R67" s="51">
        <f>IF(AND(ISNUMBER(Input!$D14),ISNUMBER(Input!$E14)),Q67*As,0)</f>
        <v>-104552.20351146834</v>
      </c>
      <c r="S67" s="51">
        <f t="shared" si="7"/>
        <v>24047006.807637718</v>
      </c>
      <c r="T67" s="51">
        <f t="shared" si="8"/>
        <v>200000</v>
      </c>
      <c r="U67" s="51">
        <f>IF(AND(ISNUMBER(Input!$D14),ISNUMBER(Input!$E14)),T67*As,0)</f>
        <v>160849543.8637974</v>
      </c>
      <c r="V67" s="51">
        <f t="shared" si="48"/>
        <v>-36995395088.673401</v>
      </c>
      <c r="W67" s="54">
        <f t="shared" si="49"/>
        <v>8508940870394.8818</v>
      </c>
      <c r="Y67" s="25">
        <v>5</v>
      </c>
      <c r="Z67" s="51">
        <f t="shared" si="9"/>
        <v>273</v>
      </c>
      <c r="AA67" s="74">
        <f t="shared" si="50"/>
        <v>8.7894513125479643E-4</v>
      </c>
      <c r="AB67" s="52">
        <f t="shared" si="10"/>
        <v>17.488129380549548</v>
      </c>
      <c r="AC67" s="53">
        <f t="shared" si="51"/>
        <v>41971.510513318914</v>
      </c>
      <c r="AD67" s="51">
        <f t="shared" si="52"/>
        <v>11458222.370136064</v>
      </c>
      <c r="AE67" s="52">
        <f t="shared" si="11"/>
        <v>14293.449576501345</v>
      </c>
      <c r="AF67" s="51">
        <f t="shared" si="12"/>
        <v>34304278.983603232</v>
      </c>
      <c r="AG67" s="51">
        <f t="shared" si="53"/>
        <v>9365068162.5236816</v>
      </c>
      <c r="AH67" s="54">
        <f t="shared" si="54"/>
        <v>2556663608368.9648</v>
      </c>
      <c r="AJ67" s="25">
        <v>5</v>
      </c>
      <c r="AK67" s="51">
        <f>Input!$E14</f>
        <v>-230</v>
      </c>
      <c r="AL67" s="74">
        <f t="shared" si="55"/>
        <v>-4.3406506373707966E-4</v>
      </c>
      <c r="AM67" s="52">
        <f t="shared" si="13"/>
        <v>-86.813012747415925</v>
      </c>
      <c r="AN67" s="52">
        <f t="shared" si="14"/>
        <v>0</v>
      </c>
      <c r="AO67" s="83">
        <f t="shared" si="56"/>
        <v>-86.813012747415925</v>
      </c>
      <c r="AP67" s="51">
        <f>IF(AND(ISNUMBER(Input!$D14),ISNUMBER(Input!$E14)),AO67*As,0)</f>
        <v>-69819.167509319406</v>
      </c>
      <c r="AQ67" s="51">
        <f t="shared" si="15"/>
        <v>16058408.527143463</v>
      </c>
      <c r="AR67" s="51">
        <f t="shared" si="16"/>
        <v>200000</v>
      </c>
      <c r="AS67" s="51">
        <f>IF(AND(ISNUMBER(Input!$D14),ISNUMBER(Input!$E14)),AR67*As,0)</f>
        <v>160849543.8637974</v>
      </c>
      <c r="AT67" s="51">
        <f t="shared" si="57"/>
        <v>-36995395088.673401</v>
      </c>
      <c r="AU67" s="54">
        <f t="shared" si="58"/>
        <v>8508940870394.8818</v>
      </c>
      <c r="AW67" s="25">
        <v>5</v>
      </c>
      <c r="AX67" s="51">
        <f t="shared" si="17"/>
        <v>273</v>
      </c>
      <c r="AY67" s="74">
        <f t="shared" si="59"/>
        <v>1.074103203490328E-3</v>
      </c>
      <c r="AZ67" s="52">
        <f t="shared" si="18"/>
        <v>20.034808904108683</v>
      </c>
      <c r="BA67" s="53">
        <f t="shared" si="60"/>
        <v>48083.541369860839</v>
      </c>
      <c r="BB67" s="51">
        <f t="shared" si="61"/>
        <v>13126806.79397201</v>
      </c>
      <c r="BC67" s="52">
        <f t="shared" si="19"/>
        <v>11805.184155498318</v>
      </c>
      <c r="BD67" s="51">
        <f t="shared" si="20"/>
        <v>28332441.973195963</v>
      </c>
      <c r="BE67" s="51">
        <f t="shared" si="62"/>
        <v>7734756658.682498</v>
      </c>
      <c r="BF67" s="54">
        <f t="shared" si="63"/>
        <v>2111588567820.322</v>
      </c>
      <c r="BH67" s="25">
        <v>5</v>
      </c>
      <c r="BI67" s="51">
        <f>Input!$E14</f>
        <v>-230</v>
      </c>
      <c r="BJ67" s="74">
        <f t="shared" si="64"/>
        <v>-4.9328110202695073E-4</v>
      </c>
      <c r="BK67" s="52">
        <f t="shared" si="21"/>
        <v>-98.656220405390144</v>
      </c>
      <c r="BL67" s="52">
        <f t="shared" si="22"/>
        <v>0</v>
      </c>
      <c r="BM67" s="83">
        <f t="shared" si="65"/>
        <v>-98.656220405390144</v>
      </c>
      <c r="BN67" s="51">
        <f>IF(AND(ISNUMBER(Input!$D14),ISNUMBER(Input!$E14)),BM67*As,0)</f>
        <v>-79344.040257666333</v>
      </c>
      <c r="BO67" s="51">
        <f t="shared" si="23"/>
        <v>18249129.259263255</v>
      </c>
      <c r="BP67" s="51">
        <f t="shared" si="24"/>
        <v>200000</v>
      </c>
      <c r="BQ67" s="51">
        <f>IF(AND(ISNUMBER(Input!$D14),ISNUMBER(Input!$E14)),BP67*As,0)</f>
        <v>160849543.8637974</v>
      </c>
      <c r="BR67" s="51">
        <f t="shared" si="66"/>
        <v>-36995395088.673401</v>
      </c>
      <c r="BS67" s="54">
        <f t="shared" si="67"/>
        <v>8508940870394.8818</v>
      </c>
      <c r="BU67" s="25">
        <v>5</v>
      </c>
      <c r="BV67" s="51">
        <f t="shared" si="25"/>
        <v>273</v>
      </c>
      <c r="BW67" s="74">
        <f t="shared" si="68"/>
        <v>1.0821088616006752E-3</v>
      </c>
      <c r="BX67" s="52">
        <f t="shared" si="26"/>
        <v>20.128908595055943</v>
      </c>
      <c r="BY67" s="53">
        <f t="shared" si="69"/>
        <v>48309.380628134262</v>
      </c>
      <c r="BZ67" s="51">
        <f t="shared" si="70"/>
        <v>13188460.911480654</v>
      </c>
      <c r="CA67" s="52">
        <f t="shared" si="27"/>
        <v>11703.112014591392</v>
      </c>
      <c r="CB67" s="51">
        <f t="shared" si="28"/>
        <v>28087468.835019339</v>
      </c>
      <c r="CC67" s="51">
        <f t="shared" si="71"/>
        <v>7667878991.9602795</v>
      </c>
      <c r="CD67" s="54">
        <f t="shared" si="72"/>
        <v>2093330964805.1563</v>
      </c>
      <c r="CF67" s="25">
        <v>5</v>
      </c>
      <c r="CG67" s="51">
        <f>Input!$E14</f>
        <v>-230</v>
      </c>
      <c r="CH67" s="74">
        <f t="shared" si="73"/>
        <v>-4.9577643183804044E-4</v>
      </c>
      <c r="CI67" s="52">
        <f t="shared" si="29"/>
        <v>-99.155286367608085</v>
      </c>
      <c r="CJ67" s="52">
        <f t="shared" si="30"/>
        <v>0</v>
      </c>
      <c r="CK67" s="83">
        <f t="shared" si="74"/>
        <v>-99.155286367608085</v>
      </c>
      <c r="CL67" s="51">
        <f>IF(AND(ISNUMBER(Input!$D14),ISNUMBER(Input!$E14)),CK67*As,0)</f>
        <v>-79745.412919569848</v>
      </c>
      <c r="CM67" s="51">
        <f t="shared" si="31"/>
        <v>18341444.971501064</v>
      </c>
      <c r="CN67" s="51">
        <f t="shared" si="32"/>
        <v>200000</v>
      </c>
      <c r="CO67" s="51">
        <f>IF(AND(ISNUMBER(Input!$D14),ISNUMBER(Input!$E14)),CN67*As,0)</f>
        <v>160849543.8637974</v>
      </c>
      <c r="CP67" s="51">
        <f t="shared" si="75"/>
        <v>-36995395088.673401</v>
      </c>
      <c r="CQ67" s="54">
        <f t="shared" si="76"/>
        <v>8508940870394.8818</v>
      </c>
      <c r="CS67" s="25">
        <v>5</v>
      </c>
      <c r="CT67" s="51">
        <f t="shared" si="33"/>
        <v>273</v>
      </c>
      <c r="CU67" s="74">
        <f t="shared" si="77"/>
        <v>1.0821223355094529E-3</v>
      </c>
      <c r="CV67" s="52">
        <f t="shared" si="34"/>
        <v>20.129066280562292</v>
      </c>
      <c r="CW67" s="53">
        <f t="shared" si="78"/>
        <v>48309.759073349502</v>
      </c>
      <c r="CX67" s="51">
        <f t="shared" si="79"/>
        <v>13188564.227024414</v>
      </c>
      <c r="CY67" s="52">
        <f t="shared" si="35"/>
        <v>11702.940222254476</v>
      </c>
      <c r="CZ67" s="51">
        <f t="shared" si="36"/>
        <v>28087056.533410743</v>
      </c>
      <c r="DA67" s="51">
        <f t="shared" si="80"/>
        <v>7667766433.6211329</v>
      </c>
      <c r="DB67" s="54">
        <f t="shared" si="81"/>
        <v>2093300236378.5693</v>
      </c>
      <c r="DD67" s="25">
        <v>5</v>
      </c>
      <c r="DE67" s="51">
        <f>Input!$E14</f>
        <v>-230</v>
      </c>
      <c r="DF67" s="74">
        <f t="shared" si="82"/>
        <v>-4.9578021759940846E-4</v>
      </c>
      <c r="DG67" s="52">
        <f t="shared" si="37"/>
        <v>-99.156043519881692</v>
      </c>
      <c r="DH67" s="52">
        <f t="shared" si="38"/>
        <v>0</v>
      </c>
      <c r="DI67" s="83">
        <f t="shared" si="83"/>
        <v>-99.156043519881692</v>
      </c>
      <c r="DJ67" s="51">
        <f>IF(AND(ISNUMBER(Input!$D14),ISNUMBER(Input!$E14)),DI67*As,0)</f>
        <v>-79746.02185755907</v>
      </c>
      <c r="DK67" s="51">
        <f t="shared" si="39"/>
        <v>18341585.027238585</v>
      </c>
      <c r="DL67" s="51">
        <f t="shared" si="40"/>
        <v>200000</v>
      </c>
      <c r="DM67" s="51">
        <f>IF(AND(ISNUMBER(Input!$D14),ISNUMBER(Input!$E14)),DL67*As,0)</f>
        <v>160849543.8637974</v>
      </c>
      <c r="DN67" s="51">
        <f t="shared" si="84"/>
        <v>-36995395088.673401</v>
      </c>
      <c r="DO67" s="54">
        <f t="shared" si="85"/>
        <v>8508940870394.8818</v>
      </c>
    </row>
    <row r="68" spans="1:119">
      <c r="A68" s="25">
        <v>6</v>
      </c>
      <c r="B68" s="51">
        <f t="shared" si="1"/>
        <v>267</v>
      </c>
      <c r="C68" s="74">
        <f t="shared" si="41"/>
        <v>1.835E-3</v>
      </c>
      <c r="D68" s="52">
        <f t="shared" si="2"/>
        <v>25.326440625</v>
      </c>
      <c r="E68" s="53">
        <f t="shared" si="42"/>
        <v>60783.457499999997</v>
      </c>
      <c r="F68" s="51">
        <f t="shared" si="43"/>
        <v>16229183.1525</v>
      </c>
      <c r="G68" s="52">
        <f t="shared" si="3"/>
        <v>2103.7500000000005</v>
      </c>
      <c r="H68" s="51">
        <f t="shared" si="4"/>
        <v>5049000.0000000009</v>
      </c>
      <c r="I68" s="51">
        <f t="shared" si="44"/>
        <v>1348083000.0000002</v>
      </c>
      <c r="J68" s="54">
        <f t="shared" si="45"/>
        <v>359938161000.00006</v>
      </c>
      <c r="L68" s="25">
        <v>6</v>
      </c>
      <c r="M68" s="51">
        <f>Input!$E15</f>
        <v>-230</v>
      </c>
      <c r="N68" s="74">
        <f t="shared" si="46"/>
        <v>-6.5000000000000019E-4</v>
      </c>
      <c r="O68" s="52">
        <f t="shared" si="5"/>
        <v>-130.00000000000003</v>
      </c>
      <c r="P68" s="52">
        <f t="shared" si="6"/>
        <v>0</v>
      </c>
      <c r="Q68" s="83">
        <f t="shared" si="47"/>
        <v>-130.00000000000003</v>
      </c>
      <c r="R68" s="51">
        <f>IF(AND(ISNUMBER(Input!$D15),ISNUMBER(Input!$E15)),Q68*As,0)</f>
        <v>-104552.20351146834</v>
      </c>
      <c r="S68" s="51">
        <f t="shared" si="7"/>
        <v>24047006.807637718</v>
      </c>
      <c r="T68" s="51">
        <f t="shared" si="8"/>
        <v>200000</v>
      </c>
      <c r="U68" s="51">
        <f>IF(AND(ISNUMBER(Input!$D15),ISNUMBER(Input!$E15)),T68*As,0)</f>
        <v>160849543.8637974</v>
      </c>
      <c r="V68" s="51">
        <f t="shared" si="48"/>
        <v>-36995395088.673401</v>
      </c>
      <c r="W68" s="54">
        <f t="shared" si="49"/>
        <v>8508940870394.8818</v>
      </c>
      <c r="Y68" s="25">
        <v>6</v>
      </c>
      <c r="Z68" s="51">
        <f t="shared" si="9"/>
        <v>267</v>
      </c>
      <c r="AA68" s="74">
        <f t="shared" si="50"/>
        <v>8.6328298181155344E-4</v>
      </c>
      <c r="AB68" s="52">
        <f t="shared" si="10"/>
        <v>17.262699431074886</v>
      </c>
      <c r="AC68" s="53">
        <f t="shared" si="51"/>
        <v>41430.478634579726</v>
      </c>
      <c r="AD68" s="51">
        <f t="shared" si="52"/>
        <v>11061937.795432787</v>
      </c>
      <c r="AE68" s="52">
        <f t="shared" si="11"/>
        <v>14493.141981902696</v>
      </c>
      <c r="AF68" s="51">
        <f t="shared" si="12"/>
        <v>34783540.756566472</v>
      </c>
      <c r="AG68" s="51">
        <f t="shared" si="53"/>
        <v>9287205382.0032482</v>
      </c>
      <c r="AH68" s="54">
        <f t="shared" si="54"/>
        <v>2479683836994.8672</v>
      </c>
      <c r="AJ68" s="25">
        <v>6</v>
      </c>
      <c r="AK68" s="51">
        <f>Input!$E15</f>
        <v>-230</v>
      </c>
      <c r="AL68" s="74">
        <f t="shared" si="55"/>
        <v>-4.3406506373707966E-4</v>
      </c>
      <c r="AM68" s="52">
        <f t="shared" si="13"/>
        <v>-86.813012747415925</v>
      </c>
      <c r="AN68" s="52">
        <f t="shared" si="14"/>
        <v>0</v>
      </c>
      <c r="AO68" s="83">
        <f t="shared" si="56"/>
        <v>-86.813012747415925</v>
      </c>
      <c r="AP68" s="51">
        <f>IF(AND(ISNUMBER(Input!$D15),ISNUMBER(Input!$E15)),AO68*As,0)</f>
        <v>-69819.167509319406</v>
      </c>
      <c r="AQ68" s="51">
        <f t="shared" si="15"/>
        <v>16058408.527143463</v>
      </c>
      <c r="AR68" s="51">
        <f t="shared" si="16"/>
        <v>200000</v>
      </c>
      <c r="AS68" s="51">
        <f>IF(AND(ISNUMBER(Input!$D15),ISNUMBER(Input!$E15)),AR68*As,0)</f>
        <v>160849543.8637974</v>
      </c>
      <c r="AT68" s="51">
        <f t="shared" si="57"/>
        <v>-36995395088.673401</v>
      </c>
      <c r="AU68" s="54">
        <f t="shared" si="58"/>
        <v>8508940870394.8818</v>
      </c>
      <c r="AW68" s="25">
        <v>6</v>
      </c>
      <c r="AX68" s="51">
        <f t="shared" si="17"/>
        <v>267</v>
      </c>
      <c r="AY68" s="74">
        <f t="shared" si="59"/>
        <v>1.0554067704225273E-3</v>
      </c>
      <c r="AZ68" s="52">
        <f t="shared" si="18"/>
        <v>19.811865645307048</v>
      </c>
      <c r="BA68" s="53">
        <f t="shared" si="60"/>
        <v>47548.477548736912</v>
      </c>
      <c r="BB68" s="51">
        <f t="shared" si="61"/>
        <v>12695443.505512755</v>
      </c>
      <c r="BC68" s="52">
        <f t="shared" si="19"/>
        <v>12043.563677112779</v>
      </c>
      <c r="BD68" s="51">
        <f t="shared" si="20"/>
        <v>28904552.825070672</v>
      </c>
      <c r="BE68" s="51">
        <f t="shared" si="62"/>
        <v>7717515604.293869</v>
      </c>
      <c r="BF68" s="54">
        <f t="shared" si="63"/>
        <v>2060576666346.4631</v>
      </c>
      <c r="BH68" s="25">
        <v>6</v>
      </c>
      <c r="BI68" s="51">
        <f>Input!$E15</f>
        <v>-230</v>
      </c>
      <c r="BJ68" s="74">
        <f t="shared" si="64"/>
        <v>-4.9328110202695073E-4</v>
      </c>
      <c r="BK68" s="52">
        <f t="shared" si="21"/>
        <v>-98.656220405390144</v>
      </c>
      <c r="BL68" s="52">
        <f t="shared" si="22"/>
        <v>0</v>
      </c>
      <c r="BM68" s="83">
        <f t="shared" si="65"/>
        <v>-98.656220405390144</v>
      </c>
      <c r="BN68" s="51">
        <f>IF(AND(ISNUMBER(Input!$D15),ISNUMBER(Input!$E15)),BM68*As,0)</f>
        <v>-79344.040257666333</v>
      </c>
      <c r="BO68" s="51">
        <f t="shared" si="23"/>
        <v>18249129.259263255</v>
      </c>
      <c r="BP68" s="51">
        <f t="shared" si="24"/>
        <v>200000</v>
      </c>
      <c r="BQ68" s="51">
        <f>IF(AND(ISNUMBER(Input!$D15),ISNUMBER(Input!$E15)),BP68*As,0)</f>
        <v>160849543.8637974</v>
      </c>
      <c r="BR68" s="51">
        <f t="shared" si="66"/>
        <v>-36995395088.673401</v>
      </c>
      <c r="BS68" s="54">
        <f t="shared" si="67"/>
        <v>8508940870394.8818</v>
      </c>
      <c r="BU68" s="25">
        <v>6</v>
      </c>
      <c r="BV68" s="51">
        <f t="shared" si="25"/>
        <v>267</v>
      </c>
      <c r="BW68" s="74">
        <f t="shared" si="68"/>
        <v>1.0632871682395772E-3</v>
      </c>
      <c r="BX68" s="52">
        <f t="shared" si="26"/>
        <v>19.906377826447983</v>
      </c>
      <c r="BY68" s="53">
        <f t="shared" si="69"/>
        <v>47775.306783475156</v>
      </c>
      <c r="BZ68" s="51">
        <f t="shared" si="70"/>
        <v>12756006.911187867</v>
      </c>
      <c r="CA68" s="52">
        <f t="shared" si="27"/>
        <v>11943.088604945389</v>
      </c>
      <c r="CB68" s="51">
        <f t="shared" si="28"/>
        <v>28663412.651868936</v>
      </c>
      <c r="CC68" s="51">
        <f t="shared" si="71"/>
        <v>7653131178.0490055</v>
      </c>
      <c r="CD68" s="54">
        <f t="shared" si="72"/>
        <v>2043386024539.0845</v>
      </c>
      <c r="CF68" s="25">
        <v>6</v>
      </c>
      <c r="CG68" s="51">
        <f>Input!$E15</f>
        <v>-230</v>
      </c>
      <c r="CH68" s="74">
        <f t="shared" si="73"/>
        <v>-4.9577643183804044E-4</v>
      </c>
      <c r="CI68" s="52">
        <f t="shared" si="29"/>
        <v>-99.155286367608085</v>
      </c>
      <c r="CJ68" s="52">
        <f t="shared" si="30"/>
        <v>0</v>
      </c>
      <c r="CK68" s="83">
        <f t="shared" si="74"/>
        <v>-99.155286367608085</v>
      </c>
      <c r="CL68" s="51">
        <f>IF(AND(ISNUMBER(Input!$D15),ISNUMBER(Input!$E15)),CK68*As,0)</f>
        <v>-79745.412919569848</v>
      </c>
      <c r="CM68" s="51">
        <f t="shared" si="31"/>
        <v>18341444.971501064</v>
      </c>
      <c r="CN68" s="51">
        <f t="shared" si="32"/>
        <v>200000</v>
      </c>
      <c r="CO68" s="51">
        <f>IF(AND(ISNUMBER(Input!$D15),ISNUMBER(Input!$E15)),CN68*As,0)</f>
        <v>160849543.8637974</v>
      </c>
      <c r="CP68" s="51">
        <f t="shared" si="75"/>
        <v>-36995395088.673401</v>
      </c>
      <c r="CQ68" s="54">
        <f t="shared" si="76"/>
        <v>8508940870394.8818</v>
      </c>
      <c r="CS68" s="25">
        <v>6</v>
      </c>
      <c r="CT68" s="51">
        <f t="shared" si="33"/>
        <v>267</v>
      </c>
      <c r="CU68" s="74">
        <f t="shared" si="77"/>
        <v>1.0633004362675977E-3</v>
      </c>
      <c r="CV68" s="52">
        <f t="shared" si="34"/>
        <v>19.906536286559987</v>
      </c>
      <c r="CW68" s="53">
        <f t="shared" si="78"/>
        <v>47775.687087743972</v>
      </c>
      <c r="CX68" s="51">
        <f t="shared" si="79"/>
        <v>12756108.452427641</v>
      </c>
      <c r="CY68" s="52">
        <f t="shared" si="35"/>
        <v>11942.919437588129</v>
      </c>
      <c r="CZ68" s="51">
        <f t="shared" si="36"/>
        <v>28663006.650211509</v>
      </c>
      <c r="DA68" s="51">
        <f t="shared" si="80"/>
        <v>7653022775.606473</v>
      </c>
      <c r="DB68" s="54">
        <f t="shared" si="81"/>
        <v>2043357081086.9282</v>
      </c>
      <c r="DD68" s="25">
        <v>6</v>
      </c>
      <c r="DE68" s="51">
        <f>Input!$E15</f>
        <v>-230</v>
      </c>
      <c r="DF68" s="74">
        <f t="shared" si="82"/>
        <v>-4.9578021759940846E-4</v>
      </c>
      <c r="DG68" s="52">
        <f t="shared" si="37"/>
        <v>-99.156043519881692</v>
      </c>
      <c r="DH68" s="52">
        <f t="shared" si="38"/>
        <v>0</v>
      </c>
      <c r="DI68" s="83">
        <f t="shared" si="83"/>
        <v>-99.156043519881692</v>
      </c>
      <c r="DJ68" s="51">
        <f>IF(AND(ISNUMBER(Input!$D15),ISNUMBER(Input!$E15)),DI68*As,0)</f>
        <v>-79746.02185755907</v>
      </c>
      <c r="DK68" s="51">
        <f t="shared" si="39"/>
        <v>18341585.027238585</v>
      </c>
      <c r="DL68" s="51">
        <f t="shared" si="40"/>
        <v>200000</v>
      </c>
      <c r="DM68" s="51">
        <f>IF(AND(ISNUMBER(Input!$D15),ISNUMBER(Input!$E15)),DL68*As,0)</f>
        <v>160849543.8637974</v>
      </c>
      <c r="DN68" s="51">
        <f t="shared" si="84"/>
        <v>-36995395088.673401</v>
      </c>
      <c r="DO68" s="54">
        <f t="shared" si="85"/>
        <v>8508940870394.8818</v>
      </c>
    </row>
    <row r="69" spans="1:119">
      <c r="A69" s="25">
        <v>7</v>
      </c>
      <c r="B69" s="51">
        <f t="shared" si="1"/>
        <v>261</v>
      </c>
      <c r="C69" s="74">
        <f t="shared" si="41"/>
        <v>1.8050000000000002E-3</v>
      </c>
      <c r="D69" s="52">
        <f t="shared" si="2"/>
        <v>25.257590624999999</v>
      </c>
      <c r="E69" s="53">
        <f t="shared" si="42"/>
        <v>60618.217499999999</v>
      </c>
      <c r="F69" s="51">
        <f t="shared" si="43"/>
        <v>15821354.7675</v>
      </c>
      <c r="G69" s="52">
        <f t="shared" si="3"/>
        <v>2486.2499999999982</v>
      </c>
      <c r="H69" s="51">
        <f t="shared" si="4"/>
        <v>5966999.9999999953</v>
      </c>
      <c r="I69" s="51">
        <f t="shared" si="44"/>
        <v>1557386999.9999988</v>
      </c>
      <c r="J69" s="54">
        <f t="shared" si="45"/>
        <v>406478006999.99969</v>
      </c>
      <c r="L69" s="25">
        <v>7</v>
      </c>
      <c r="M69" s="51">
        <f>Input!$E16</f>
        <v>-230</v>
      </c>
      <c r="N69" s="74">
        <f t="shared" si="46"/>
        <v>-6.5000000000000019E-4</v>
      </c>
      <c r="O69" s="52">
        <f t="shared" si="5"/>
        <v>-130.00000000000003</v>
      </c>
      <c r="P69" s="52">
        <f t="shared" si="6"/>
        <v>0</v>
      </c>
      <c r="Q69" s="83">
        <f t="shared" si="47"/>
        <v>-130.00000000000003</v>
      </c>
      <c r="R69" s="51">
        <f>IF(AND(ISNUMBER(Input!$D16),ISNUMBER(Input!$E16)),Q69*As,0)</f>
        <v>-104552.20351146834</v>
      </c>
      <c r="S69" s="51">
        <f t="shared" si="7"/>
        <v>24047006.807637718</v>
      </c>
      <c r="T69" s="51">
        <f t="shared" si="8"/>
        <v>200000</v>
      </c>
      <c r="U69" s="51">
        <f>IF(AND(ISNUMBER(Input!$D16),ISNUMBER(Input!$E16)),T69*As,0)</f>
        <v>160849543.8637974</v>
      </c>
      <c r="V69" s="51">
        <f t="shared" si="48"/>
        <v>-36995395088.673401</v>
      </c>
      <c r="W69" s="54">
        <f t="shared" si="49"/>
        <v>8508940870394.8818</v>
      </c>
      <c r="Y69" s="25">
        <v>7</v>
      </c>
      <c r="Z69" s="51">
        <f t="shared" si="9"/>
        <v>261</v>
      </c>
      <c r="AA69" s="74">
        <f t="shared" si="50"/>
        <v>8.4762083236831045E-4</v>
      </c>
      <c r="AB69" s="52">
        <f t="shared" si="10"/>
        <v>17.03414186930415</v>
      </c>
      <c r="AC69" s="53">
        <f t="shared" si="51"/>
        <v>40881.940486329964</v>
      </c>
      <c r="AD69" s="51">
        <f t="shared" si="52"/>
        <v>10670186.46693212</v>
      </c>
      <c r="AE69" s="52">
        <f t="shared" si="11"/>
        <v>14692.834387304043</v>
      </c>
      <c r="AF69" s="51">
        <f t="shared" si="12"/>
        <v>35262802.529529706</v>
      </c>
      <c r="AG69" s="51">
        <f t="shared" si="53"/>
        <v>9203591460.2072525</v>
      </c>
      <c r="AH69" s="54">
        <f t="shared" si="54"/>
        <v>2402137371114.0928</v>
      </c>
      <c r="AJ69" s="25">
        <v>7</v>
      </c>
      <c r="AK69" s="51">
        <f>Input!$E16</f>
        <v>-230</v>
      </c>
      <c r="AL69" s="74">
        <f t="shared" si="55"/>
        <v>-4.3406506373707966E-4</v>
      </c>
      <c r="AM69" s="52">
        <f t="shared" si="13"/>
        <v>-86.813012747415925</v>
      </c>
      <c r="AN69" s="52">
        <f t="shared" si="14"/>
        <v>0</v>
      </c>
      <c r="AO69" s="83">
        <f t="shared" si="56"/>
        <v>-86.813012747415925</v>
      </c>
      <c r="AP69" s="51">
        <f>IF(AND(ISNUMBER(Input!$D16),ISNUMBER(Input!$E16)),AO69*As,0)</f>
        <v>-69819.167509319406</v>
      </c>
      <c r="AQ69" s="51">
        <f t="shared" si="15"/>
        <v>16058408.527143463</v>
      </c>
      <c r="AR69" s="51">
        <f t="shared" si="16"/>
        <v>200000</v>
      </c>
      <c r="AS69" s="51">
        <f>IF(AND(ISNUMBER(Input!$D16),ISNUMBER(Input!$E16)),AR69*As,0)</f>
        <v>160849543.8637974</v>
      </c>
      <c r="AT69" s="51">
        <f t="shared" si="57"/>
        <v>-36995395088.673401</v>
      </c>
      <c r="AU69" s="54">
        <f t="shared" si="58"/>
        <v>8508940870394.8818</v>
      </c>
      <c r="AW69" s="25">
        <v>7</v>
      </c>
      <c r="AX69" s="51">
        <f t="shared" si="17"/>
        <v>261</v>
      </c>
      <c r="AY69" s="74">
        <f t="shared" si="59"/>
        <v>1.0367103373547268E-3</v>
      </c>
      <c r="AZ69" s="52">
        <f t="shared" si="18"/>
        <v>19.584465539734815</v>
      </c>
      <c r="BA69" s="53">
        <f t="shared" si="60"/>
        <v>47002.717295363553</v>
      </c>
      <c r="BB69" s="51">
        <f t="shared" si="61"/>
        <v>12267709.214089887</v>
      </c>
      <c r="BC69" s="52">
        <f t="shared" si="19"/>
        <v>12281.943198727233</v>
      </c>
      <c r="BD69" s="51">
        <f t="shared" si="20"/>
        <v>29476663.676945359</v>
      </c>
      <c r="BE69" s="51">
        <f t="shared" si="62"/>
        <v>7693409219.6827383</v>
      </c>
      <c r="BF69" s="54">
        <f t="shared" si="63"/>
        <v>2007979806337.1946</v>
      </c>
      <c r="BH69" s="25">
        <v>7</v>
      </c>
      <c r="BI69" s="51">
        <f>Input!$E16</f>
        <v>-230</v>
      </c>
      <c r="BJ69" s="74">
        <f t="shared" si="64"/>
        <v>-4.9328110202695073E-4</v>
      </c>
      <c r="BK69" s="52">
        <f t="shared" si="21"/>
        <v>-98.656220405390144</v>
      </c>
      <c r="BL69" s="52">
        <f t="shared" si="22"/>
        <v>0</v>
      </c>
      <c r="BM69" s="83">
        <f t="shared" si="65"/>
        <v>-98.656220405390144</v>
      </c>
      <c r="BN69" s="51">
        <f>IF(AND(ISNUMBER(Input!$D16),ISNUMBER(Input!$E16)),BM69*As,0)</f>
        <v>-79344.040257666333</v>
      </c>
      <c r="BO69" s="51">
        <f t="shared" si="23"/>
        <v>18249129.259263255</v>
      </c>
      <c r="BP69" s="51">
        <f t="shared" si="24"/>
        <v>200000</v>
      </c>
      <c r="BQ69" s="51">
        <f>IF(AND(ISNUMBER(Input!$D16),ISNUMBER(Input!$E16)),BP69*As,0)</f>
        <v>160849543.8637974</v>
      </c>
      <c r="BR69" s="51">
        <f t="shared" si="66"/>
        <v>-36995395088.673401</v>
      </c>
      <c r="BS69" s="54">
        <f t="shared" si="67"/>
        <v>8508940870394.8818</v>
      </c>
      <c r="BU69" s="25">
        <v>7</v>
      </c>
      <c r="BV69" s="51">
        <f t="shared" si="25"/>
        <v>261</v>
      </c>
      <c r="BW69" s="74">
        <f t="shared" si="68"/>
        <v>1.0444654748784791E-3</v>
      </c>
      <c r="BX69" s="52">
        <f t="shared" si="26"/>
        <v>19.679330292042529</v>
      </c>
      <c r="BY69" s="53">
        <f t="shared" si="69"/>
        <v>47230.39270090207</v>
      </c>
      <c r="BZ69" s="51">
        <f t="shared" si="70"/>
        <v>12327132.49493544</v>
      </c>
      <c r="CA69" s="52">
        <f t="shared" si="27"/>
        <v>12183.065195299394</v>
      </c>
      <c r="CB69" s="51">
        <f t="shared" si="28"/>
        <v>29239356.468718544</v>
      </c>
      <c r="CC69" s="51">
        <f t="shared" si="71"/>
        <v>7631472038.3355398</v>
      </c>
      <c r="CD69" s="54">
        <f t="shared" si="72"/>
        <v>1991814202005.5759</v>
      </c>
      <c r="CF69" s="25">
        <v>7</v>
      </c>
      <c r="CG69" s="51">
        <f>Input!$E16</f>
        <v>-230</v>
      </c>
      <c r="CH69" s="74">
        <f t="shared" si="73"/>
        <v>-4.9577643183804044E-4</v>
      </c>
      <c r="CI69" s="52">
        <f t="shared" si="29"/>
        <v>-99.155286367608085</v>
      </c>
      <c r="CJ69" s="52">
        <f t="shared" si="30"/>
        <v>0</v>
      </c>
      <c r="CK69" s="83">
        <f t="shared" si="74"/>
        <v>-99.155286367608085</v>
      </c>
      <c r="CL69" s="51">
        <f>IF(AND(ISNUMBER(Input!$D16),ISNUMBER(Input!$E16)),CK69*As,0)</f>
        <v>-79745.412919569848</v>
      </c>
      <c r="CM69" s="51">
        <f t="shared" si="31"/>
        <v>18341444.971501064</v>
      </c>
      <c r="CN69" s="51">
        <f t="shared" si="32"/>
        <v>200000</v>
      </c>
      <c r="CO69" s="51">
        <f>IF(AND(ISNUMBER(Input!$D16),ISNUMBER(Input!$E16)),CN69*As,0)</f>
        <v>160849543.8637974</v>
      </c>
      <c r="CP69" s="51">
        <f t="shared" si="75"/>
        <v>-36995395088.673401</v>
      </c>
      <c r="CQ69" s="54">
        <f t="shared" si="76"/>
        <v>8508940870394.8818</v>
      </c>
      <c r="CS69" s="25">
        <v>7</v>
      </c>
      <c r="CT69" s="51">
        <f t="shared" si="33"/>
        <v>261</v>
      </c>
      <c r="CU69" s="74">
        <f t="shared" si="77"/>
        <v>1.0444785370257424E-3</v>
      </c>
      <c r="CV69" s="52">
        <f t="shared" si="34"/>
        <v>19.679489427946532</v>
      </c>
      <c r="CW69" s="53">
        <f t="shared" si="78"/>
        <v>47230.774627071674</v>
      </c>
      <c r="CX69" s="51">
        <f t="shared" si="79"/>
        <v>12327232.177665707</v>
      </c>
      <c r="CY69" s="52">
        <f t="shared" si="35"/>
        <v>12182.898652921785</v>
      </c>
      <c r="CZ69" s="51">
        <f t="shared" si="36"/>
        <v>29238956.767012287</v>
      </c>
      <c r="DA69" s="51">
        <f t="shared" si="80"/>
        <v>7631367716.1902065</v>
      </c>
      <c r="DB69" s="54">
        <f t="shared" si="81"/>
        <v>1991786973925.6438</v>
      </c>
      <c r="DD69" s="25">
        <v>7</v>
      </c>
      <c r="DE69" s="51">
        <f>Input!$E16</f>
        <v>-230</v>
      </c>
      <c r="DF69" s="74">
        <f t="shared" si="82"/>
        <v>-4.9578021759940846E-4</v>
      </c>
      <c r="DG69" s="52">
        <f t="shared" si="37"/>
        <v>-99.156043519881692</v>
      </c>
      <c r="DH69" s="52">
        <f t="shared" si="38"/>
        <v>0</v>
      </c>
      <c r="DI69" s="83">
        <f t="shared" si="83"/>
        <v>-99.156043519881692</v>
      </c>
      <c r="DJ69" s="51">
        <f>IF(AND(ISNUMBER(Input!$D16),ISNUMBER(Input!$E16)),DI69*As,0)</f>
        <v>-79746.02185755907</v>
      </c>
      <c r="DK69" s="51">
        <f t="shared" si="39"/>
        <v>18341585.027238585</v>
      </c>
      <c r="DL69" s="51">
        <f t="shared" si="40"/>
        <v>200000</v>
      </c>
      <c r="DM69" s="51">
        <f>IF(AND(ISNUMBER(Input!$D16),ISNUMBER(Input!$E16)),DL69*As,0)</f>
        <v>160849543.8637974</v>
      </c>
      <c r="DN69" s="51">
        <f t="shared" si="84"/>
        <v>-36995395088.673401</v>
      </c>
      <c r="DO69" s="54">
        <f t="shared" si="85"/>
        <v>8508940870394.8818</v>
      </c>
    </row>
    <row r="70" spans="1:119">
      <c r="A70" s="25">
        <v>8</v>
      </c>
      <c r="B70" s="51">
        <f t="shared" si="1"/>
        <v>255</v>
      </c>
      <c r="C70" s="74">
        <f t="shared" si="41"/>
        <v>1.7750000000000001E-3</v>
      </c>
      <c r="D70" s="52">
        <f t="shared" si="2"/>
        <v>25.177265624999997</v>
      </c>
      <c r="E70" s="53">
        <f t="shared" si="42"/>
        <v>60425.437499999993</v>
      </c>
      <c r="F70" s="51">
        <f t="shared" si="43"/>
        <v>15408486.562499998</v>
      </c>
      <c r="G70" s="52">
        <f t="shared" si="3"/>
        <v>2868.7499999999982</v>
      </c>
      <c r="H70" s="51">
        <f t="shared" si="4"/>
        <v>6884999.9999999953</v>
      </c>
      <c r="I70" s="51">
        <f t="shared" si="44"/>
        <v>1755674999.9999988</v>
      </c>
      <c r="J70" s="54">
        <f t="shared" si="45"/>
        <v>447697124999.99969</v>
      </c>
      <c r="L70" s="25">
        <v>8</v>
      </c>
      <c r="M70" s="51">
        <f>Input!$E17</f>
        <v>-230</v>
      </c>
      <c r="N70" s="74">
        <f t="shared" si="46"/>
        <v>-6.5000000000000019E-4</v>
      </c>
      <c r="O70" s="52">
        <f t="shared" si="5"/>
        <v>-130.00000000000003</v>
      </c>
      <c r="P70" s="52">
        <f t="shared" si="6"/>
        <v>0</v>
      </c>
      <c r="Q70" s="83">
        <f t="shared" si="47"/>
        <v>-130.00000000000003</v>
      </c>
      <c r="R70" s="51">
        <f>IF(AND(ISNUMBER(Input!$D17),ISNUMBER(Input!$E17)),Q70*As,0)</f>
        <v>-104552.20351146834</v>
      </c>
      <c r="S70" s="51">
        <f t="shared" si="7"/>
        <v>24047006.807637718</v>
      </c>
      <c r="T70" s="51">
        <f t="shared" si="8"/>
        <v>200000</v>
      </c>
      <c r="U70" s="51">
        <f>IF(AND(ISNUMBER(Input!$D17),ISNUMBER(Input!$E17)),T70*As,0)</f>
        <v>160849543.8637974</v>
      </c>
      <c r="V70" s="51">
        <f t="shared" si="48"/>
        <v>-36995395088.673401</v>
      </c>
      <c r="W70" s="54">
        <f t="shared" si="49"/>
        <v>8508940870394.8818</v>
      </c>
      <c r="Y70" s="25">
        <v>8</v>
      </c>
      <c r="Z70" s="51">
        <f t="shared" si="9"/>
        <v>255</v>
      </c>
      <c r="AA70" s="74">
        <f t="shared" si="50"/>
        <v>8.3195868292506724E-4</v>
      </c>
      <c r="AB70" s="52">
        <f t="shared" si="10"/>
        <v>16.802456695237336</v>
      </c>
      <c r="AC70" s="53">
        <f t="shared" si="51"/>
        <v>40325.896068569607</v>
      </c>
      <c r="AD70" s="51">
        <f t="shared" si="52"/>
        <v>10283103.49748525</v>
      </c>
      <c r="AE70" s="52">
        <f t="shared" si="11"/>
        <v>14892.526792705392</v>
      </c>
      <c r="AF70" s="51">
        <f t="shared" si="12"/>
        <v>35742064.302492939</v>
      </c>
      <c r="AG70" s="51">
        <f t="shared" si="53"/>
        <v>9114226397.1357002</v>
      </c>
      <c r="AH70" s="54">
        <f t="shared" si="54"/>
        <v>2324127731269.6035</v>
      </c>
      <c r="AJ70" s="25">
        <v>8</v>
      </c>
      <c r="AK70" s="51">
        <f>Input!$E17</f>
        <v>-230</v>
      </c>
      <c r="AL70" s="74">
        <f t="shared" si="55"/>
        <v>-4.3406506373707966E-4</v>
      </c>
      <c r="AM70" s="52">
        <f t="shared" si="13"/>
        <v>-86.813012747415925</v>
      </c>
      <c r="AN70" s="52">
        <f t="shared" si="14"/>
        <v>0</v>
      </c>
      <c r="AO70" s="83">
        <f t="shared" si="56"/>
        <v>-86.813012747415925</v>
      </c>
      <c r="AP70" s="51">
        <f>IF(AND(ISNUMBER(Input!$D17),ISNUMBER(Input!$E17)),AO70*As,0)</f>
        <v>-69819.167509319406</v>
      </c>
      <c r="AQ70" s="51">
        <f t="shared" si="15"/>
        <v>16058408.527143463</v>
      </c>
      <c r="AR70" s="51">
        <f t="shared" si="16"/>
        <v>200000</v>
      </c>
      <c r="AS70" s="51">
        <f>IF(AND(ISNUMBER(Input!$D17),ISNUMBER(Input!$E17)),AR70*As,0)</f>
        <v>160849543.8637974</v>
      </c>
      <c r="AT70" s="51">
        <f t="shared" si="57"/>
        <v>-36995395088.673401</v>
      </c>
      <c r="AU70" s="54">
        <f t="shared" si="58"/>
        <v>8508940870394.8818</v>
      </c>
      <c r="AW70" s="25">
        <v>8</v>
      </c>
      <c r="AX70" s="51">
        <f t="shared" si="17"/>
        <v>255</v>
      </c>
      <c r="AY70" s="74">
        <f t="shared" si="59"/>
        <v>1.0180139042869263E-3</v>
      </c>
      <c r="AZ70" s="52">
        <f t="shared" si="18"/>
        <v>19.352608587391988</v>
      </c>
      <c r="BA70" s="53">
        <f t="shared" si="60"/>
        <v>46446.26060974077</v>
      </c>
      <c r="BB70" s="51">
        <f t="shared" si="61"/>
        <v>11843796.455483897</v>
      </c>
      <c r="BC70" s="52">
        <f t="shared" si="19"/>
        <v>12520.32272034169</v>
      </c>
      <c r="BD70" s="51">
        <f t="shared" si="20"/>
        <v>30048774.528820056</v>
      </c>
      <c r="BE70" s="51">
        <f t="shared" si="62"/>
        <v>7662437504.8491144</v>
      </c>
      <c r="BF70" s="54">
        <f t="shared" si="63"/>
        <v>1953921563736.5242</v>
      </c>
      <c r="BH70" s="25">
        <v>8</v>
      </c>
      <c r="BI70" s="51">
        <f>Input!$E17</f>
        <v>-230</v>
      </c>
      <c r="BJ70" s="74">
        <f t="shared" si="64"/>
        <v>-4.9328110202695073E-4</v>
      </c>
      <c r="BK70" s="52">
        <f t="shared" si="21"/>
        <v>-98.656220405390144</v>
      </c>
      <c r="BL70" s="52">
        <f t="shared" si="22"/>
        <v>0</v>
      </c>
      <c r="BM70" s="83">
        <f t="shared" si="65"/>
        <v>-98.656220405390144</v>
      </c>
      <c r="BN70" s="51">
        <f>IF(AND(ISNUMBER(Input!$D17),ISNUMBER(Input!$E17)),BM70*As,0)</f>
        <v>-79344.040257666333</v>
      </c>
      <c r="BO70" s="51">
        <f t="shared" si="23"/>
        <v>18249129.259263255</v>
      </c>
      <c r="BP70" s="51">
        <f t="shared" si="24"/>
        <v>200000</v>
      </c>
      <c r="BQ70" s="51">
        <f>IF(AND(ISNUMBER(Input!$D17),ISNUMBER(Input!$E17)),BP70*As,0)</f>
        <v>160849543.8637974</v>
      </c>
      <c r="BR70" s="51">
        <f t="shared" si="66"/>
        <v>-36995395088.673401</v>
      </c>
      <c r="BS70" s="54">
        <f t="shared" si="67"/>
        <v>8508940870394.8818</v>
      </c>
      <c r="BU70" s="25">
        <v>8</v>
      </c>
      <c r="BV70" s="51">
        <f t="shared" si="25"/>
        <v>255</v>
      </c>
      <c r="BW70" s="74">
        <f t="shared" si="68"/>
        <v>1.0256437815173813E-3</v>
      </c>
      <c r="BX70" s="52">
        <f t="shared" si="26"/>
        <v>19.447765991839599</v>
      </c>
      <c r="BY70" s="53">
        <f t="shared" si="69"/>
        <v>46674.638380415039</v>
      </c>
      <c r="BZ70" s="51">
        <f t="shared" si="70"/>
        <v>11902032.787005834</v>
      </c>
      <c r="CA70" s="52">
        <f t="shared" si="27"/>
        <v>12423.041785653388</v>
      </c>
      <c r="CB70" s="51">
        <f t="shared" si="28"/>
        <v>29815300.285568129</v>
      </c>
      <c r="CC70" s="51">
        <f t="shared" si="71"/>
        <v>7602901572.8198729</v>
      </c>
      <c r="CD70" s="54">
        <f t="shared" si="72"/>
        <v>1938739901069.0676</v>
      </c>
      <c r="CF70" s="25">
        <v>8</v>
      </c>
      <c r="CG70" s="51">
        <f>Input!$E17</f>
        <v>-230</v>
      </c>
      <c r="CH70" s="74">
        <f t="shared" si="73"/>
        <v>-4.9577643183804044E-4</v>
      </c>
      <c r="CI70" s="52">
        <f t="shared" si="29"/>
        <v>-99.155286367608085</v>
      </c>
      <c r="CJ70" s="52">
        <f t="shared" si="30"/>
        <v>0</v>
      </c>
      <c r="CK70" s="83">
        <f t="shared" si="74"/>
        <v>-99.155286367608085</v>
      </c>
      <c r="CL70" s="51">
        <f>IF(AND(ISNUMBER(Input!$D17),ISNUMBER(Input!$E17)),CK70*As,0)</f>
        <v>-79745.412919569848</v>
      </c>
      <c r="CM70" s="51">
        <f t="shared" si="31"/>
        <v>18341444.971501064</v>
      </c>
      <c r="CN70" s="51">
        <f t="shared" si="32"/>
        <v>200000</v>
      </c>
      <c r="CO70" s="51">
        <f>IF(AND(ISNUMBER(Input!$D17),ISNUMBER(Input!$E17)),CN70*As,0)</f>
        <v>160849543.8637974</v>
      </c>
      <c r="CP70" s="51">
        <f t="shared" si="75"/>
        <v>-36995395088.673401</v>
      </c>
      <c r="CQ70" s="54">
        <f t="shared" si="76"/>
        <v>8508940870394.8818</v>
      </c>
      <c r="CS70" s="25">
        <v>8</v>
      </c>
      <c r="CT70" s="51">
        <f t="shared" si="33"/>
        <v>255</v>
      </c>
      <c r="CU70" s="74">
        <f t="shared" si="77"/>
        <v>1.0256566377838873E-3</v>
      </c>
      <c r="CV70" s="52">
        <f t="shared" si="34"/>
        <v>19.447925704721928</v>
      </c>
      <c r="CW70" s="53">
        <f t="shared" si="78"/>
        <v>46675.021691332629</v>
      </c>
      <c r="CX70" s="51">
        <f t="shared" si="79"/>
        <v>11902130.53128982</v>
      </c>
      <c r="CY70" s="52">
        <f t="shared" si="35"/>
        <v>12422.877868255437</v>
      </c>
      <c r="CZ70" s="51">
        <f t="shared" si="36"/>
        <v>29814906.88381305</v>
      </c>
      <c r="DA70" s="51">
        <f t="shared" si="80"/>
        <v>7602801255.3723278</v>
      </c>
      <c r="DB70" s="54">
        <f t="shared" si="81"/>
        <v>1938714320119.9436</v>
      </c>
      <c r="DD70" s="25">
        <v>8</v>
      </c>
      <c r="DE70" s="51">
        <f>Input!$E17</f>
        <v>-230</v>
      </c>
      <c r="DF70" s="74">
        <f t="shared" si="82"/>
        <v>-4.9578021759940846E-4</v>
      </c>
      <c r="DG70" s="52">
        <f t="shared" si="37"/>
        <v>-99.156043519881692</v>
      </c>
      <c r="DH70" s="52">
        <f t="shared" si="38"/>
        <v>0</v>
      </c>
      <c r="DI70" s="83">
        <f t="shared" si="83"/>
        <v>-99.156043519881692</v>
      </c>
      <c r="DJ70" s="51">
        <f>IF(AND(ISNUMBER(Input!$D17),ISNUMBER(Input!$E17)),DI70*As,0)</f>
        <v>-79746.02185755907</v>
      </c>
      <c r="DK70" s="51">
        <f t="shared" si="39"/>
        <v>18341585.027238585</v>
      </c>
      <c r="DL70" s="51">
        <f t="shared" si="40"/>
        <v>200000</v>
      </c>
      <c r="DM70" s="51">
        <f>IF(AND(ISNUMBER(Input!$D17),ISNUMBER(Input!$E17)),DL70*As,0)</f>
        <v>160849543.8637974</v>
      </c>
      <c r="DN70" s="51">
        <f t="shared" si="84"/>
        <v>-36995395088.673401</v>
      </c>
      <c r="DO70" s="54">
        <f t="shared" si="85"/>
        <v>8508940870394.8818</v>
      </c>
    </row>
    <row r="71" spans="1:119">
      <c r="A71" s="25">
        <v>9</v>
      </c>
      <c r="B71" s="51">
        <f t="shared" si="1"/>
        <v>249</v>
      </c>
      <c r="C71" s="74">
        <f t="shared" si="41"/>
        <v>1.745E-3</v>
      </c>
      <c r="D71" s="52">
        <f t="shared" si="2"/>
        <v>25.085465624999998</v>
      </c>
      <c r="E71" s="53">
        <f t="shared" si="42"/>
        <v>60205.117499999993</v>
      </c>
      <c r="F71" s="51">
        <f t="shared" si="43"/>
        <v>14991074.257499998</v>
      </c>
      <c r="G71" s="52">
        <f t="shared" si="3"/>
        <v>3251.2500000000014</v>
      </c>
      <c r="H71" s="51">
        <f t="shared" si="4"/>
        <v>7803000.0000000037</v>
      </c>
      <c r="I71" s="51">
        <f t="shared" si="44"/>
        <v>1942947000.000001</v>
      </c>
      <c r="J71" s="54">
        <f t="shared" si="45"/>
        <v>483793803000.00024</v>
      </c>
      <c r="L71" s="25">
        <v>9</v>
      </c>
      <c r="M71" s="51">
        <f>Input!$E18</f>
        <v>130</v>
      </c>
      <c r="N71" s="74">
        <f t="shared" si="46"/>
        <v>1.15E-3</v>
      </c>
      <c r="O71" s="52">
        <f t="shared" si="5"/>
        <v>230</v>
      </c>
      <c r="P71" s="52">
        <f t="shared" si="6"/>
        <v>20.8940625</v>
      </c>
      <c r="Q71" s="83">
        <f t="shared" si="47"/>
        <v>209.10593750000001</v>
      </c>
      <c r="R71" s="51">
        <f>IF(AND(ISNUMBER(Input!$D18),ISNUMBER(Input!$E18)),Q71*As,0)</f>
        <v>168172.97333043366</v>
      </c>
      <c r="S71" s="51">
        <f t="shared" si="7"/>
        <v>21862486.532956377</v>
      </c>
      <c r="T71" s="51">
        <f t="shared" si="8"/>
        <v>189162.5</v>
      </c>
      <c r="U71" s="51">
        <f>IF(AND(ISNUMBER(Input!$D18),ISNUMBER(Input!$E18)),T71*As,0)</f>
        <v>152133509.2056779</v>
      </c>
      <c r="V71" s="51">
        <f t="shared" si="48"/>
        <v>19777356196.738125</v>
      </c>
      <c r="W71" s="54">
        <f t="shared" si="49"/>
        <v>2571056305575.9561</v>
      </c>
      <c r="Y71" s="25">
        <v>9</v>
      </c>
      <c r="Z71" s="51">
        <f t="shared" si="9"/>
        <v>249</v>
      </c>
      <c r="AA71" s="74">
        <f t="shared" si="50"/>
        <v>8.1629653348182425E-4</v>
      </c>
      <c r="AB71" s="52">
        <f t="shared" si="10"/>
        <v>16.567643908874444</v>
      </c>
      <c r="AC71" s="53">
        <f t="shared" si="51"/>
        <v>39762.34538129867</v>
      </c>
      <c r="AD71" s="51">
        <f t="shared" si="52"/>
        <v>9900823.9999433681</v>
      </c>
      <c r="AE71" s="52">
        <f t="shared" si="11"/>
        <v>15092.219198106741</v>
      </c>
      <c r="AF71" s="51">
        <f t="shared" si="12"/>
        <v>36221326.07545618</v>
      </c>
      <c r="AG71" s="51">
        <f t="shared" si="53"/>
        <v>9019110192.7885895</v>
      </c>
      <c r="AH71" s="54">
        <f t="shared" si="54"/>
        <v>2245758438004.3589</v>
      </c>
      <c r="AJ71" s="25">
        <v>9</v>
      </c>
      <c r="AK71" s="51">
        <f>Input!$E18</f>
        <v>130</v>
      </c>
      <c r="AL71" s="74">
        <f t="shared" si="55"/>
        <v>5.0566390285750366E-4</v>
      </c>
      <c r="AM71" s="52">
        <f t="shared" si="13"/>
        <v>101.13278057150073</v>
      </c>
      <c r="AN71" s="52">
        <f t="shared" si="14"/>
        <v>11.26436763345294</v>
      </c>
      <c r="AO71" s="83">
        <f t="shared" si="56"/>
        <v>89.868412938047797</v>
      </c>
      <c r="AP71" s="51">
        <f>IF(AND(ISNUMBER(Input!$D18),ISNUMBER(Input!$E18)),AO71*As,0)</f>
        <v>72276.466144241887</v>
      </c>
      <c r="AQ71" s="51">
        <f t="shared" si="15"/>
        <v>9395940.5987514462</v>
      </c>
      <c r="AR71" s="51">
        <f t="shared" si="16"/>
        <v>180947.21476143316</v>
      </c>
      <c r="AS71" s="51">
        <f>IF(AND(ISNUMBER(Input!$D18),ISNUMBER(Input!$E18)),AR71*As,0)</f>
        <v>145526384.78900558</v>
      </c>
      <c r="AT71" s="51">
        <f t="shared" si="57"/>
        <v>18918430022.570724</v>
      </c>
      <c r="AU71" s="54">
        <f t="shared" si="58"/>
        <v>2459395902934.1943</v>
      </c>
      <c r="AW71" s="25">
        <v>9</v>
      </c>
      <c r="AX71" s="51">
        <f t="shared" si="17"/>
        <v>249</v>
      </c>
      <c r="AY71" s="74">
        <f t="shared" si="59"/>
        <v>9.9931747121912579E-4</v>
      </c>
      <c r="AZ71" s="52">
        <f t="shared" si="18"/>
        <v>19.116294788278555</v>
      </c>
      <c r="BA71" s="53">
        <f t="shared" si="60"/>
        <v>45879.107491868534</v>
      </c>
      <c r="BB71" s="51">
        <f t="shared" si="61"/>
        <v>11423897.765475266</v>
      </c>
      <c r="BC71" s="52">
        <f t="shared" si="19"/>
        <v>12758.702241956147</v>
      </c>
      <c r="BD71" s="51">
        <f t="shared" si="20"/>
        <v>30620885.380694754</v>
      </c>
      <c r="BE71" s="51">
        <f t="shared" si="62"/>
        <v>7624600459.7929935</v>
      </c>
      <c r="BF71" s="54">
        <f t="shared" si="63"/>
        <v>1898525514488.4553</v>
      </c>
      <c r="BH71" s="25">
        <v>9</v>
      </c>
      <c r="BI71" s="51">
        <f>Input!$E18</f>
        <v>130</v>
      </c>
      <c r="BJ71" s="74">
        <f t="shared" si="64"/>
        <v>6.2850488204108166E-4</v>
      </c>
      <c r="BK71" s="52">
        <f t="shared" si="21"/>
        <v>125.70097640821633</v>
      </c>
      <c r="BL71" s="52">
        <f t="shared" si="22"/>
        <v>13.508632276519686</v>
      </c>
      <c r="BM71" s="83">
        <f t="shared" si="65"/>
        <v>112.19234413169664</v>
      </c>
      <c r="BN71" s="51">
        <f>IF(AND(ISNUMBER(Input!$D18),ISNUMBER(Input!$E18)),BM71*As,0)</f>
        <v>90230.436892967962</v>
      </c>
      <c r="BO71" s="51">
        <f t="shared" si="23"/>
        <v>11729956.796085835</v>
      </c>
      <c r="BP71" s="51">
        <f t="shared" si="24"/>
        <v>182513.43724602379</v>
      </c>
      <c r="BQ71" s="51">
        <f>IF(AND(ISNUMBER(Input!$D18),ISNUMBER(Input!$E18)),BP71*As,0)</f>
        <v>146786015.65018371</v>
      </c>
      <c r="BR71" s="51">
        <f t="shared" si="66"/>
        <v>19082182034.523884</v>
      </c>
      <c r="BS71" s="54">
        <f t="shared" si="67"/>
        <v>2480683664488.105</v>
      </c>
      <c r="BU71" s="25">
        <v>9</v>
      </c>
      <c r="BV71" s="51">
        <f t="shared" si="25"/>
        <v>249</v>
      </c>
      <c r="BW71" s="74">
        <f t="shared" si="68"/>
        <v>1.0068220881562832E-3</v>
      </c>
      <c r="BX71" s="52">
        <f t="shared" si="26"/>
        <v>19.21168492583918</v>
      </c>
      <c r="BY71" s="53">
        <f t="shared" si="69"/>
        <v>46108.043822014028</v>
      </c>
      <c r="BZ71" s="51">
        <f t="shared" si="70"/>
        <v>11480902.911681494</v>
      </c>
      <c r="CA71" s="52">
        <f t="shared" si="27"/>
        <v>12663.018376007391</v>
      </c>
      <c r="CB71" s="51">
        <f t="shared" si="28"/>
        <v>30391244.102417737</v>
      </c>
      <c r="CC71" s="51">
        <f t="shared" si="71"/>
        <v>7567419781.502017</v>
      </c>
      <c r="CD71" s="54">
        <f t="shared" si="72"/>
        <v>1884287525594.0022</v>
      </c>
      <c r="CF71" s="25">
        <v>9</v>
      </c>
      <c r="CG71" s="51">
        <f>Input!$E18</f>
        <v>130</v>
      </c>
      <c r="CH71" s="74">
        <f t="shared" si="73"/>
        <v>6.3352516982783953E-4</v>
      </c>
      <c r="CI71" s="52">
        <f t="shared" si="29"/>
        <v>126.70503396556791</v>
      </c>
      <c r="CJ71" s="52">
        <f t="shared" si="30"/>
        <v>13.596259182975528</v>
      </c>
      <c r="CK71" s="83">
        <f t="shared" si="74"/>
        <v>113.10877478259238</v>
      </c>
      <c r="CL71" s="51">
        <f>IF(AND(ISNUMBER(Input!$D18),ISNUMBER(Input!$E18)),CK71*As,0)</f>
        <v>90967.474153864867</v>
      </c>
      <c r="CM71" s="51">
        <f t="shared" si="31"/>
        <v>11825771.640002433</v>
      </c>
      <c r="CN71" s="51">
        <f t="shared" si="32"/>
        <v>182577.44591530494</v>
      </c>
      <c r="CO71" s="51">
        <f>IF(AND(ISNUMBER(Input!$D18),ISNUMBER(Input!$E18)),CN71*As,0)</f>
        <v>146837494.4764697</v>
      </c>
      <c r="CP71" s="51">
        <f t="shared" si="75"/>
        <v>19088874281.941059</v>
      </c>
      <c r="CQ71" s="54">
        <f t="shared" si="76"/>
        <v>2481553656652.3379</v>
      </c>
      <c r="CS71" s="25">
        <v>9</v>
      </c>
      <c r="CT71" s="51">
        <f t="shared" si="33"/>
        <v>249</v>
      </c>
      <c r="CU71" s="74">
        <f t="shared" si="77"/>
        <v>1.0068347385420321E-3</v>
      </c>
      <c r="CV71" s="52">
        <f t="shared" si="34"/>
        <v>19.211845116886177</v>
      </c>
      <c r="CW71" s="53">
        <f t="shared" si="78"/>
        <v>46108.428280526823</v>
      </c>
      <c r="CX71" s="51">
        <f t="shared" si="79"/>
        <v>11480998.641851179</v>
      </c>
      <c r="CY71" s="52">
        <f t="shared" si="35"/>
        <v>12662.857083589091</v>
      </c>
      <c r="CZ71" s="51">
        <f t="shared" si="36"/>
        <v>30390857.00061382</v>
      </c>
      <c r="DA71" s="51">
        <f t="shared" si="80"/>
        <v>7567323393.1528416</v>
      </c>
      <c r="DB71" s="54">
        <f t="shared" si="81"/>
        <v>1884263524895.0576</v>
      </c>
      <c r="DD71" s="25">
        <v>9</v>
      </c>
      <c r="DE71" s="51">
        <f>Input!$E18</f>
        <v>130</v>
      </c>
      <c r="DF71" s="74">
        <f t="shared" si="82"/>
        <v>6.3353373691190382E-4</v>
      </c>
      <c r="DG71" s="52">
        <f t="shared" si="37"/>
        <v>126.70674738238077</v>
      </c>
      <c r="DH71" s="52">
        <f t="shared" si="38"/>
        <v>13.596408442993091</v>
      </c>
      <c r="DI71" s="83">
        <f t="shared" si="83"/>
        <v>113.11033893938767</v>
      </c>
      <c r="DJ71" s="51">
        <f>IF(AND(ISNUMBER(Input!$D18),ISNUMBER(Input!$E18)),DI71*As,0)</f>
        <v>90968.732123400143</v>
      </c>
      <c r="DK71" s="51">
        <f t="shared" si="39"/>
        <v>11825935.176042018</v>
      </c>
      <c r="DL71" s="51">
        <f t="shared" si="40"/>
        <v>182577.55514562677</v>
      </c>
      <c r="DM71" s="51">
        <f>IF(AND(ISNUMBER(Input!$D18),ISNUMBER(Input!$E18)),DL71*As,0)</f>
        <v>146837582.32470691</v>
      </c>
      <c r="DN71" s="51">
        <f t="shared" si="84"/>
        <v>19088885702.211899</v>
      </c>
      <c r="DO71" s="54">
        <f t="shared" si="85"/>
        <v>2481555141287.5469</v>
      </c>
    </row>
    <row r="72" spans="1:119">
      <c r="A72" s="25">
        <v>10</v>
      </c>
      <c r="B72" s="51">
        <f t="shared" si="1"/>
        <v>243</v>
      </c>
      <c r="C72" s="74">
        <f t="shared" si="41"/>
        <v>1.7150000000000002E-3</v>
      </c>
      <c r="D72" s="52">
        <f t="shared" si="2"/>
        <v>24.982190625000001</v>
      </c>
      <c r="E72" s="53">
        <f t="shared" si="42"/>
        <v>59957.2575</v>
      </c>
      <c r="F72" s="51">
        <f t="shared" si="43"/>
        <v>14569613.5725</v>
      </c>
      <c r="G72" s="52">
        <f t="shared" si="3"/>
        <v>3633.7499999999991</v>
      </c>
      <c r="H72" s="51">
        <f t="shared" si="4"/>
        <v>8720999.9999999981</v>
      </c>
      <c r="I72" s="51">
        <f t="shared" si="44"/>
        <v>2119202999.9999995</v>
      </c>
      <c r="J72" s="54">
        <f t="shared" si="45"/>
        <v>514966328999.99988</v>
      </c>
      <c r="L72" s="25">
        <v>10</v>
      </c>
      <c r="M72" s="51">
        <f>Input!$E19</f>
        <v>130</v>
      </c>
      <c r="N72" s="74">
        <f t="shared" si="46"/>
        <v>1.15E-3</v>
      </c>
      <c r="O72" s="52">
        <f t="shared" si="5"/>
        <v>230</v>
      </c>
      <c r="P72" s="52">
        <f t="shared" si="6"/>
        <v>20.8940625</v>
      </c>
      <c r="Q72" s="83">
        <f t="shared" si="47"/>
        <v>209.10593750000001</v>
      </c>
      <c r="R72" s="51">
        <f>IF(AND(ISNUMBER(Input!$D19),ISNUMBER(Input!$E19)),Q72*As,0)</f>
        <v>168172.97333043366</v>
      </c>
      <c r="S72" s="51">
        <f t="shared" si="7"/>
        <v>21862486.532956377</v>
      </c>
      <c r="T72" s="51">
        <f t="shared" si="8"/>
        <v>189162.5</v>
      </c>
      <c r="U72" s="51">
        <f>IF(AND(ISNUMBER(Input!$D19),ISNUMBER(Input!$E19)),T72*As,0)</f>
        <v>152133509.2056779</v>
      </c>
      <c r="V72" s="51">
        <f t="shared" si="48"/>
        <v>19777356196.738125</v>
      </c>
      <c r="W72" s="54">
        <f t="shared" si="49"/>
        <v>2571056305575.9561</v>
      </c>
      <c r="Y72" s="25">
        <v>10</v>
      </c>
      <c r="Z72" s="51">
        <f t="shared" si="9"/>
        <v>243</v>
      </c>
      <c r="AA72" s="74">
        <f t="shared" si="50"/>
        <v>8.0063438403858126E-4</v>
      </c>
      <c r="AB72" s="52">
        <f t="shared" si="10"/>
        <v>16.329703510215477</v>
      </c>
      <c r="AC72" s="53">
        <f t="shared" si="51"/>
        <v>39191.288424517144</v>
      </c>
      <c r="AD72" s="51">
        <f t="shared" si="52"/>
        <v>9523483.0871576667</v>
      </c>
      <c r="AE72" s="52">
        <f t="shared" si="11"/>
        <v>15291.91160350809</v>
      </c>
      <c r="AF72" s="51">
        <f t="shared" si="12"/>
        <v>36700587.848419413</v>
      </c>
      <c r="AG72" s="51">
        <f t="shared" si="53"/>
        <v>8918242847.1659164</v>
      </c>
      <c r="AH72" s="54">
        <f t="shared" si="54"/>
        <v>2167133011861.3176</v>
      </c>
      <c r="AJ72" s="25">
        <v>10</v>
      </c>
      <c r="AK72" s="51">
        <f>Input!$E19</f>
        <v>130</v>
      </c>
      <c r="AL72" s="74">
        <f t="shared" si="55"/>
        <v>5.0566390285750366E-4</v>
      </c>
      <c r="AM72" s="52">
        <f t="shared" si="13"/>
        <v>101.13278057150073</v>
      </c>
      <c r="AN72" s="52">
        <f t="shared" si="14"/>
        <v>11.26436763345294</v>
      </c>
      <c r="AO72" s="83">
        <f t="shared" si="56"/>
        <v>89.868412938047797</v>
      </c>
      <c r="AP72" s="51">
        <f>IF(AND(ISNUMBER(Input!$D19),ISNUMBER(Input!$E19)),AO72*As,0)</f>
        <v>72276.466144241887</v>
      </c>
      <c r="AQ72" s="51">
        <f t="shared" si="15"/>
        <v>9395940.5987514462</v>
      </c>
      <c r="AR72" s="51">
        <f t="shared" si="16"/>
        <v>180947.21476143316</v>
      </c>
      <c r="AS72" s="51">
        <f>IF(AND(ISNUMBER(Input!$D19),ISNUMBER(Input!$E19)),AR72*As,0)</f>
        <v>145526384.78900558</v>
      </c>
      <c r="AT72" s="51">
        <f t="shared" si="57"/>
        <v>18918430022.570724</v>
      </c>
      <c r="AU72" s="54">
        <f t="shared" si="58"/>
        <v>2459395902934.1943</v>
      </c>
      <c r="AW72" s="25">
        <v>10</v>
      </c>
      <c r="AX72" s="51">
        <f t="shared" si="17"/>
        <v>243</v>
      </c>
      <c r="AY72" s="74">
        <f t="shared" si="59"/>
        <v>9.8062103815132508E-4</v>
      </c>
      <c r="AZ72" s="52">
        <f t="shared" si="18"/>
        <v>18.875524142394525</v>
      </c>
      <c r="BA72" s="53">
        <f t="shared" si="60"/>
        <v>45301.257941746859</v>
      </c>
      <c r="BB72" s="51">
        <f t="shared" si="61"/>
        <v>11008205.679844487</v>
      </c>
      <c r="BC72" s="52">
        <f t="shared" si="19"/>
        <v>12997.081763570606</v>
      </c>
      <c r="BD72" s="51">
        <f t="shared" si="20"/>
        <v>31192996.232569456</v>
      </c>
      <c r="BE72" s="51">
        <f t="shared" si="62"/>
        <v>7579898084.5143776</v>
      </c>
      <c r="BF72" s="54">
        <f t="shared" si="63"/>
        <v>1841915234536.9937</v>
      </c>
      <c r="BH72" s="25">
        <v>10</v>
      </c>
      <c r="BI72" s="51">
        <f>Input!$E19</f>
        <v>130</v>
      </c>
      <c r="BJ72" s="74">
        <f t="shared" si="64"/>
        <v>6.2850488204108166E-4</v>
      </c>
      <c r="BK72" s="52">
        <f t="shared" si="21"/>
        <v>125.70097640821633</v>
      </c>
      <c r="BL72" s="52">
        <f t="shared" si="22"/>
        <v>13.508632276519686</v>
      </c>
      <c r="BM72" s="83">
        <f t="shared" si="65"/>
        <v>112.19234413169664</v>
      </c>
      <c r="BN72" s="51">
        <f>IF(AND(ISNUMBER(Input!$D19),ISNUMBER(Input!$E19)),BM72*As,0)</f>
        <v>90230.436892967962</v>
      </c>
      <c r="BO72" s="51">
        <f t="shared" si="23"/>
        <v>11729956.796085835</v>
      </c>
      <c r="BP72" s="51">
        <f t="shared" si="24"/>
        <v>182513.43724602379</v>
      </c>
      <c r="BQ72" s="51">
        <f>IF(AND(ISNUMBER(Input!$D19),ISNUMBER(Input!$E19)),BP72*As,0)</f>
        <v>146786015.65018371</v>
      </c>
      <c r="BR72" s="51">
        <f t="shared" si="66"/>
        <v>19082182034.523884</v>
      </c>
      <c r="BS72" s="54">
        <f t="shared" si="67"/>
        <v>2480683664488.105</v>
      </c>
      <c r="BU72" s="25">
        <v>10</v>
      </c>
      <c r="BV72" s="51">
        <f t="shared" si="25"/>
        <v>243</v>
      </c>
      <c r="BW72" s="74">
        <f t="shared" si="68"/>
        <v>9.880003947951852E-4</v>
      </c>
      <c r="BX72" s="52">
        <f t="shared" si="26"/>
        <v>18.971087094041277</v>
      </c>
      <c r="BY72" s="53">
        <f t="shared" si="69"/>
        <v>45530.609025699065</v>
      </c>
      <c r="BZ72" s="51">
        <f t="shared" si="70"/>
        <v>11063937.993244873</v>
      </c>
      <c r="CA72" s="52">
        <f t="shared" si="27"/>
        <v>12902.994966361388</v>
      </c>
      <c r="CB72" s="51">
        <f t="shared" si="28"/>
        <v>30967187.91926733</v>
      </c>
      <c r="CC72" s="51">
        <f t="shared" si="71"/>
        <v>7525026664.3819609</v>
      </c>
      <c r="CD72" s="54">
        <f t="shared" si="72"/>
        <v>1828581479444.8164</v>
      </c>
      <c r="CF72" s="25">
        <v>10</v>
      </c>
      <c r="CG72" s="51">
        <f>Input!$E19</f>
        <v>130</v>
      </c>
      <c r="CH72" s="74">
        <f t="shared" si="73"/>
        <v>6.3352516982783953E-4</v>
      </c>
      <c r="CI72" s="52">
        <f t="shared" si="29"/>
        <v>126.70503396556791</v>
      </c>
      <c r="CJ72" s="52">
        <f t="shared" si="30"/>
        <v>13.596259182975528</v>
      </c>
      <c r="CK72" s="83">
        <f t="shared" si="74"/>
        <v>113.10877478259238</v>
      </c>
      <c r="CL72" s="51">
        <f>IF(AND(ISNUMBER(Input!$D19),ISNUMBER(Input!$E19)),CK72*As,0)</f>
        <v>90967.474153864867</v>
      </c>
      <c r="CM72" s="51">
        <f t="shared" si="31"/>
        <v>11825771.640002433</v>
      </c>
      <c r="CN72" s="51">
        <f t="shared" si="32"/>
        <v>182577.44591530494</v>
      </c>
      <c r="CO72" s="51">
        <f>IF(AND(ISNUMBER(Input!$D19),ISNUMBER(Input!$E19)),CN72*As,0)</f>
        <v>146837494.4764697</v>
      </c>
      <c r="CP72" s="51">
        <f t="shared" si="75"/>
        <v>19088874281.941059</v>
      </c>
      <c r="CQ72" s="54">
        <f t="shared" si="76"/>
        <v>2481553656652.3379</v>
      </c>
      <c r="CS72" s="25">
        <v>10</v>
      </c>
      <c r="CT72" s="51">
        <f t="shared" si="33"/>
        <v>243</v>
      </c>
      <c r="CU72" s="74">
        <f t="shared" si="77"/>
        <v>9.880128393001768E-4</v>
      </c>
      <c r="CV72" s="52">
        <f t="shared" si="34"/>
        <v>18.971247664439279</v>
      </c>
      <c r="CW72" s="53">
        <f t="shared" si="78"/>
        <v>45530.99439465427</v>
      </c>
      <c r="CX72" s="51">
        <f t="shared" si="79"/>
        <v>11064031.637900988</v>
      </c>
      <c r="CY72" s="52">
        <f t="shared" si="35"/>
        <v>12902.836298922746</v>
      </c>
      <c r="CZ72" s="51">
        <f t="shared" si="36"/>
        <v>30966807.11741459</v>
      </c>
      <c r="DA72" s="51">
        <f t="shared" si="80"/>
        <v>7524934129.531745</v>
      </c>
      <c r="DB72" s="54">
        <f t="shared" si="81"/>
        <v>1828558993476.2141</v>
      </c>
      <c r="DD72" s="25">
        <v>10</v>
      </c>
      <c r="DE72" s="51">
        <f>Input!$E19</f>
        <v>130</v>
      </c>
      <c r="DF72" s="74">
        <f t="shared" si="82"/>
        <v>6.3353373691190382E-4</v>
      </c>
      <c r="DG72" s="52">
        <f t="shared" si="37"/>
        <v>126.70674738238077</v>
      </c>
      <c r="DH72" s="52">
        <f t="shared" si="38"/>
        <v>13.596408442993091</v>
      </c>
      <c r="DI72" s="83">
        <f t="shared" si="83"/>
        <v>113.11033893938767</v>
      </c>
      <c r="DJ72" s="51">
        <f>IF(AND(ISNUMBER(Input!$D19),ISNUMBER(Input!$E19)),DI72*As,0)</f>
        <v>90968.732123400143</v>
      </c>
      <c r="DK72" s="51">
        <f t="shared" si="39"/>
        <v>11825935.176042018</v>
      </c>
      <c r="DL72" s="51">
        <f t="shared" si="40"/>
        <v>182577.55514562677</v>
      </c>
      <c r="DM72" s="51">
        <f>IF(AND(ISNUMBER(Input!$D19),ISNUMBER(Input!$E19)),DL72*As,0)</f>
        <v>146837582.32470691</v>
      </c>
      <c r="DN72" s="51">
        <f t="shared" si="84"/>
        <v>19088885702.211899</v>
      </c>
      <c r="DO72" s="54">
        <f t="shared" si="85"/>
        <v>2481555141287.5469</v>
      </c>
    </row>
    <row r="73" spans="1:119">
      <c r="A73" s="25">
        <v>11</v>
      </c>
      <c r="B73" s="51">
        <f t="shared" si="1"/>
        <v>237</v>
      </c>
      <c r="C73" s="74">
        <f t="shared" si="41"/>
        <v>1.6850000000000001E-3</v>
      </c>
      <c r="D73" s="52">
        <f t="shared" si="2"/>
        <v>24.867440625</v>
      </c>
      <c r="E73" s="53">
        <f t="shared" si="42"/>
        <v>59681.857499999998</v>
      </c>
      <c r="F73" s="51">
        <f t="shared" si="43"/>
        <v>14144600.227499999</v>
      </c>
      <c r="G73" s="52">
        <f t="shared" si="3"/>
        <v>4016.2499999999995</v>
      </c>
      <c r="H73" s="51">
        <f t="shared" si="4"/>
        <v>9638999.9999999981</v>
      </c>
      <c r="I73" s="51">
        <f t="shared" si="44"/>
        <v>2284442999.9999995</v>
      </c>
      <c r="J73" s="54">
        <f t="shared" si="45"/>
        <v>541412990999.99988</v>
      </c>
      <c r="L73" s="25">
        <v>11</v>
      </c>
      <c r="M73" s="51">
        <f>Input!$E20</f>
        <v>-130</v>
      </c>
      <c r="N73" s="74">
        <f t="shared" si="46"/>
        <v>-1.5000000000000007E-4</v>
      </c>
      <c r="O73" s="52">
        <f t="shared" si="5"/>
        <v>-30.000000000000014</v>
      </c>
      <c r="P73" s="52">
        <f t="shared" si="6"/>
        <v>0</v>
      </c>
      <c r="Q73" s="83">
        <f t="shared" si="47"/>
        <v>-30.000000000000014</v>
      </c>
      <c r="R73" s="51">
        <f>IF(AND(ISNUMBER(Input!$D20),ISNUMBER(Input!$E20)),Q73*As,0)</f>
        <v>-24127.431579569624</v>
      </c>
      <c r="S73" s="51">
        <f t="shared" si="7"/>
        <v>3136566.105344051</v>
      </c>
      <c r="T73" s="51">
        <f t="shared" si="8"/>
        <v>200000</v>
      </c>
      <c r="U73" s="51">
        <f>IF(AND(ISNUMBER(Input!$D20),ISNUMBER(Input!$E20)),T73*As,0)</f>
        <v>160849543.8637974</v>
      </c>
      <c r="V73" s="51">
        <f t="shared" si="48"/>
        <v>-20910440702.293663</v>
      </c>
      <c r="W73" s="54">
        <f t="shared" si="49"/>
        <v>2718357291298.1763</v>
      </c>
      <c r="Y73" s="25">
        <v>11</v>
      </c>
      <c r="Z73" s="51">
        <f t="shared" si="9"/>
        <v>237</v>
      </c>
      <c r="AA73" s="74">
        <f t="shared" si="50"/>
        <v>7.8497223459533805E-4</v>
      </c>
      <c r="AB73" s="52">
        <f t="shared" si="10"/>
        <v>16.088635499260427</v>
      </c>
      <c r="AC73" s="53">
        <f t="shared" si="51"/>
        <v>38612.725198225024</v>
      </c>
      <c r="AD73" s="51">
        <f t="shared" si="52"/>
        <v>9151215.8719793297</v>
      </c>
      <c r="AE73" s="52">
        <f t="shared" si="11"/>
        <v>15491.60400890944</v>
      </c>
      <c r="AF73" s="51">
        <f t="shared" si="12"/>
        <v>37179849.621382654</v>
      </c>
      <c r="AG73" s="51">
        <f t="shared" si="53"/>
        <v>8811624360.2676888</v>
      </c>
      <c r="AH73" s="54">
        <f t="shared" si="54"/>
        <v>2088354973383.4421</v>
      </c>
      <c r="AJ73" s="25">
        <v>11</v>
      </c>
      <c r="AK73" s="51">
        <f>Input!$E20</f>
        <v>-130</v>
      </c>
      <c r="AL73" s="74">
        <f t="shared" si="55"/>
        <v>-1.7302923968302874E-4</v>
      </c>
      <c r="AM73" s="52">
        <f t="shared" si="13"/>
        <v>-34.605847936605748</v>
      </c>
      <c r="AN73" s="52">
        <f t="shared" si="14"/>
        <v>0</v>
      </c>
      <c r="AO73" s="83">
        <f t="shared" si="56"/>
        <v>-34.605847936605748</v>
      </c>
      <c r="AP73" s="51">
        <f>IF(AND(ISNUMBER(Input!$D20),ISNUMBER(Input!$E20)),AO73*As,0)</f>
        <v>-27831.674278114846</v>
      </c>
      <c r="AQ73" s="51">
        <f t="shared" si="15"/>
        <v>3618117.6561549301</v>
      </c>
      <c r="AR73" s="51">
        <f t="shared" si="16"/>
        <v>200000</v>
      </c>
      <c r="AS73" s="51">
        <f>IF(AND(ISNUMBER(Input!$D20),ISNUMBER(Input!$E20)),AR73*As,0)</f>
        <v>160849543.8637974</v>
      </c>
      <c r="AT73" s="51">
        <f t="shared" si="57"/>
        <v>-20910440702.293663</v>
      </c>
      <c r="AU73" s="54">
        <f t="shared" si="58"/>
        <v>2718357291298.1763</v>
      </c>
      <c r="AW73" s="25">
        <v>11</v>
      </c>
      <c r="AX73" s="51">
        <f t="shared" si="17"/>
        <v>237</v>
      </c>
      <c r="AY73" s="74">
        <f t="shared" si="59"/>
        <v>9.619246050835247E-4</v>
      </c>
      <c r="AZ73" s="52">
        <f t="shared" si="18"/>
        <v>18.630296649739901</v>
      </c>
      <c r="BA73" s="53">
        <f t="shared" si="60"/>
        <v>44712.71195937576</v>
      </c>
      <c r="BB73" s="51">
        <f t="shared" si="61"/>
        <v>10596912.734372055</v>
      </c>
      <c r="BC73" s="52">
        <f t="shared" si="19"/>
        <v>13235.461285185062</v>
      </c>
      <c r="BD73" s="51">
        <f t="shared" si="20"/>
        <v>31765107.084444147</v>
      </c>
      <c r="BE73" s="51">
        <f t="shared" si="62"/>
        <v>7528330379.0132627</v>
      </c>
      <c r="BF73" s="54">
        <f t="shared" si="63"/>
        <v>1784214299826.1433</v>
      </c>
      <c r="BH73" s="25">
        <v>11</v>
      </c>
      <c r="BI73" s="51">
        <f>Input!$E20</f>
        <v>-130</v>
      </c>
      <c r="BJ73" s="74">
        <f t="shared" si="64"/>
        <v>-1.8167388423027505E-4</v>
      </c>
      <c r="BK73" s="52">
        <f t="shared" si="21"/>
        <v>-36.334776846055007</v>
      </c>
      <c r="BL73" s="52">
        <f t="shared" si="22"/>
        <v>0</v>
      </c>
      <c r="BM73" s="83">
        <f t="shared" si="65"/>
        <v>-36.334776846055007</v>
      </c>
      <c r="BN73" s="51">
        <f>IF(AND(ISNUMBER(Input!$D20),ISNUMBER(Input!$E20)),BM73*As,0)</f>
        <v>-29222.161410404078</v>
      </c>
      <c r="BO73" s="51">
        <f t="shared" si="23"/>
        <v>3798880.9833525303</v>
      </c>
      <c r="BP73" s="51">
        <f t="shared" si="24"/>
        <v>200000</v>
      </c>
      <c r="BQ73" s="51">
        <f>IF(AND(ISNUMBER(Input!$D20),ISNUMBER(Input!$E20)),BP73*As,0)</f>
        <v>160849543.8637974</v>
      </c>
      <c r="BR73" s="51">
        <f t="shared" si="66"/>
        <v>-20910440702.293663</v>
      </c>
      <c r="BS73" s="54">
        <f t="shared" si="67"/>
        <v>2718357291298.1763</v>
      </c>
      <c r="BU73" s="25">
        <v>11</v>
      </c>
      <c r="BV73" s="51">
        <f t="shared" si="25"/>
        <v>237</v>
      </c>
      <c r="BW73" s="74">
        <f t="shared" si="68"/>
        <v>9.6917870143408726E-4</v>
      </c>
      <c r="BX73" s="52">
        <f t="shared" si="26"/>
        <v>18.725972496445891</v>
      </c>
      <c r="BY73" s="53">
        <f t="shared" si="69"/>
        <v>44942.333991470136</v>
      </c>
      <c r="BZ73" s="51">
        <f t="shared" si="70"/>
        <v>10651333.155978423</v>
      </c>
      <c r="CA73" s="52">
        <f t="shared" si="27"/>
        <v>13142.971556715389</v>
      </c>
      <c r="CB73" s="51">
        <f t="shared" si="28"/>
        <v>31543131.736116935</v>
      </c>
      <c r="CC73" s="51">
        <f t="shared" si="71"/>
        <v>7475722221.4597139</v>
      </c>
      <c r="CD73" s="54">
        <f t="shared" si="72"/>
        <v>1771746166485.9521</v>
      </c>
      <c r="CF73" s="25">
        <v>11</v>
      </c>
      <c r="CG73" s="51">
        <f>Input!$E20</f>
        <v>-130</v>
      </c>
      <c r="CH73" s="74">
        <f t="shared" si="73"/>
        <v>-1.8208154248640709E-4</v>
      </c>
      <c r="CI73" s="52">
        <f t="shared" si="29"/>
        <v>-36.41630849728142</v>
      </c>
      <c r="CJ73" s="52">
        <f t="shared" si="30"/>
        <v>0</v>
      </c>
      <c r="CK73" s="83">
        <f t="shared" si="74"/>
        <v>-36.41630849728142</v>
      </c>
      <c r="CL73" s="51">
        <f>IF(AND(ISNUMBER(Input!$D20),ISNUMBER(Input!$E20)),CK73*As,0)</f>
        <v>-29287.733054955232</v>
      </c>
      <c r="CM73" s="51">
        <f t="shared" si="31"/>
        <v>3807405.2971441802</v>
      </c>
      <c r="CN73" s="51">
        <f t="shared" si="32"/>
        <v>200000</v>
      </c>
      <c r="CO73" s="51">
        <f>IF(AND(ISNUMBER(Input!$D20),ISNUMBER(Input!$E20)),CN73*As,0)</f>
        <v>160849543.8637974</v>
      </c>
      <c r="CP73" s="51">
        <f t="shared" si="75"/>
        <v>-20910440702.293663</v>
      </c>
      <c r="CQ73" s="54">
        <f t="shared" si="76"/>
        <v>2718357291298.1763</v>
      </c>
      <c r="CS73" s="25">
        <v>11</v>
      </c>
      <c r="CT73" s="51">
        <f t="shared" si="33"/>
        <v>237</v>
      </c>
      <c r="CU73" s="74">
        <f t="shared" si="77"/>
        <v>9.6919094005832175E-4</v>
      </c>
      <c r="CV73" s="52">
        <f t="shared" si="34"/>
        <v>18.726133347381225</v>
      </c>
      <c r="CW73" s="53">
        <f t="shared" si="78"/>
        <v>44942.720033714941</v>
      </c>
      <c r="CX73" s="51">
        <f t="shared" si="79"/>
        <v>10651424.647990441</v>
      </c>
      <c r="CY73" s="52">
        <f t="shared" si="35"/>
        <v>13142.815514256399</v>
      </c>
      <c r="CZ73" s="51">
        <f t="shared" si="36"/>
        <v>31542757.234215356</v>
      </c>
      <c r="DA73" s="51">
        <f t="shared" si="80"/>
        <v>7475633464.5090399</v>
      </c>
      <c r="DB73" s="54">
        <f t="shared" si="81"/>
        <v>1771725131088.6423</v>
      </c>
      <c r="DD73" s="25">
        <v>11</v>
      </c>
      <c r="DE73" s="51">
        <f>Input!$E20</f>
        <v>-130</v>
      </c>
      <c r="DF73" s="74">
        <f t="shared" si="82"/>
        <v>-1.8208189690182175E-4</v>
      </c>
      <c r="DG73" s="52">
        <f t="shared" si="37"/>
        <v>-36.416379380364347</v>
      </c>
      <c r="DH73" s="52">
        <f t="shared" si="38"/>
        <v>0</v>
      </c>
      <c r="DI73" s="83">
        <f t="shared" si="83"/>
        <v>-36.416379380364347</v>
      </c>
      <c r="DJ73" s="51">
        <f>IF(AND(ISNUMBER(Input!$D20),ISNUMBER(Input!$E20)),DI73*As,0)</f>
        <v>-29287.790062513013</v>
      </c>
      <c r="DK73" s="51">
        <f t="shared" si="39"/>
        <v>3807412.7081266916</v>
      </c>
      <c r="DL73" s="51">
        <f t="shared" si="40"/>
        <v>200000</v>
      </c>
      <c r="DM73" s="51">
        <f>IF(AND(ISNUMBER(Input!$D20),ISNUMBER(Input!$E20)),DL73*As,0)</f>
        <v>160849543.8637974</v>
      </c>
      <c r="DN73" s="51">
        <f t="shared" si="84"/>
        <v>-20910440702.293663</v>
      </c>
      <c r="DO73" s="54">
        <f t="shared" si="85"/>
        <v>2718357291298.1763</v>
      </c>
    </row>
    <row r="74" spans="1:119">
      <c r="A74" s="25">
        <v>12</v>
      </c>
      <c r="B74" s="51">
        <f t="shared" si="1"/>
        <v>231</v>
      </c>
      <c r="C74" s="74">
        <f t="shared" si="41"/>
        <v>1.655E-3</v>
      </c>
      <c r="D74" s="52">
        <f t="shared" si="2"/>
        <v>24.741215624999999</v>
      </c>
      <c r="E74" s="53">
        <f t="shared" si="42"/>
        <v>59378.917499999996</v>
      </c>
      <c r="F74" s="51">
        <f t="shared" si="43"/>
        <v>13716529.942499999</v>
      </c>
      <c r="G74" s="52">
        <f t="shared" si="3"/>
        <v>4398.75</v>
      </c>
      <c r="H74" s="51">
        <f t="shared" si="4"/>
        <v>10557000</v>
      </c>
      <c r="I74" s="51">
        <f t="shared" si="44"/>
        <v>2438667000</v>
      </c>
      <c r="J74" s="54">
        <f t="shared" si="45"/>
        <v>563332077000</v>
      </c>
      <c r="L74" s="25">
        <v>12</v>
      </c>
      <c r="M74" s="51">
        <f>Input!$E21</f>
        <v>-130</v>
      </c>
      <c r="N74" s="74">
        <f t="shared" si="46"/>
        <v>-1.5000000000000007E-4</v>
      </c>
      <c r="O74" s="52">
        <f t="shared" si="5"/>
        <v>-30.000000000000014</v>
      </c>
      <c r="P74" s="52">
        <f t="shared" si="6"/>
        <v>0</v>
      </c>
      <c r="Q74" s="83">
        <f t="shared" si="47"/>
        <v>-30.000000000000014</v>
      </c>
      <c r="R74" s="51">
        <f>IF(AND(ISNUMBER(Input!$D21),ISNUMBER(Input!$E21)),Q74*As,0)</f>
        <v>-24127.431579569624</v>
      </c>
      <c r="S74" s="51">
        <f t="shared" si="7"/>
        <v>3136566.105344051</v>
      </c>
      <c r="T74" s="51">
        <f t="shared" si="8"/>
        <v>200000</v>
      </c>
      <c r="U74" s="51">
        <f>IF(AND(ISNUMBER(Input!$D21),ISNUMBER(Input!$E21)),T74*As,0)</f>
        <v>160849543.8637974</v>
      </c>
      <c r="V74" s="51">
        <f t="shared" si="48"/>
        <v>-20910440702.293663</v>
      </c>
      <c r="W74" s="54">
        <f t="shared" si="49"/>
        <v>2718357291298.1763</v>
      </c>
      <c r="Y74" s="25">
        <v>12</v>
      </c>
      <c r="Z74" s="51">
        <f t="shared" si="9"/>
        <v>231</v>
      </c>
      <c r="AA74" s="74">
        <f t="shared" si="50"/>
        <v>7.6931008515209506E-4</v>
      </c>
      <c r="AB74" s="52">
        <f t="shared" si="10"/>
        <v>15.844439876009311</v>
      </c>
      <c r="AC74" s="53">
        <f t="shared" si="51"/>
        <v>38026.655702422344</v>
      </c>
      <c r="AD74" s="51">
        <f t="shared" si="52"/>
        <v>8784157.4672595616</v>
      </c>
      <c r="AE74" s="52">
        <f t="shared" si="11"/>
        <v>15691.296414310787</v>
      </c>
      <c r="AF74" s="51">
        <f t="shared" si="12"/>
        <v>37659111.394345887</v>
      </c>
      <c r="AG74" s="51">
        <f t="shared" si="53"/>
        <v>8699254732.0939007</v>
      </c>
      <c r="AH74" s="54">
        <f t="shared" si="54"/>
        <v>2009527843113.6912</v>
      </c>
      <c r="AJ74" s="25">
        <v>12</v>
      </c>
      <c r="AK74" s="51">
        <f>Input!$E21</f>
        <v>-130</v>
      </c>
      <c r="AL74" s="74">
        <f t="shared" si="55"/>
        <v>-1.7302923968302874E-4</v>
      </c>
      <c r="AM74" s="52">
        <f t="shared" si="13"/>
        <v>-34.605847936605748</v>
      </c>
      <c r="AN74" s="52">
        <f t="shared" si="14"/>
        <v>0</v>
      </c>
      <c r="AO74" s="83">
        <f t="shared" si="56"/>
        <v>-34.605847936605748</v>
      </c>
      <c r="AP74" s="51">
        <f>IF(AND(ISNUMBER(Input!$D21),ISNUMBER(Input!$E21)),AO74*As,0)</f>
        <v>-27831.674278114846</v>
      </c>
      <c r="AQ74" s="51">
        <f t="shared" si="15"/>
        <v>3618117.6561549301</v>
      </c>
      <c r="AR74" s="51">
        <f t="shared" si="16"/>
        <v>200000</v>
      </c>
      <c r="AS74" s="51">
        <f>IF(AND(ISNUMBER(Input!$D21),ISNUMBER(Input!$E21)),AR74*As,0)</f>
        <v>160849543.8637974</v>
      </c>
      <c r="AT74" s="51">
        <f t="shared" si="57"/>
        <v>-20910440702.293663</v>
      </c>
      <c r="AU74" s="54">
        <f t="shared" si="58"/>
        <v>2718357291298.1763</v>
      </c>
      <c r="AW74" s="25">
        <v>12</v>
      </c>
      <c r="AX74" s="51">
        <f t="shared" si="17"/>
        <v>231</v>
      </c>
      <c r="AY74" s="74">
        <f t="shared" si="59"/>
        <v>9.432281720157241E-4</v>
      </c>
      <c r="AZ74" s="52">
        <f t="shared" si="18"/>
        <v>18.380612310314667</v>
      </c>
      <c r="BA74" s="53">
        <f t="shared" si="60"/>
        <v>44113.4695447552</v>
      </c>
      <c r="BB74" s="51">
        <f t="shared" si="61"/>
        <v>10190211.464838451</v>
      </c>
      <c r="BC74" s="52">
        <f t="shared" si="19"/>
        <v>13473.840806799519</v>
      </c>
      <c r="BD74" s="51">
        <f t="shared" si="20"/>
        <v>32337217.936318845</v>
      </c>
      <c r="BE74" s="51">
        <f t="shared" si="62"/>
        <v>7469897343.2896528</v>
      </c>
      <c r="BF74" s="54">
        <f t="shared" si="63"/>
        <v>1725546286299.9099</v>
      </c>
      <c r="BH74" s="25">
        <v>12</v>
      </c>
      <c r="BI74" s="51">
        <f>Input!$E21</f>
        <v>-130</v>
      </c>
      <c r="BJ74" s="74">
        <f t="shared" si="64"/>
        <v>-1.8167388423027505E-4</v>
      </c>
      <c r="BK74" s="52">
        <f t="shared" si="21"/>
        <v>-36.334776846055007</v>
      </c>
      <c r="BL74" s="52">
        <f t="shared" si="22"/>
        <v>0</v>
      </c>
      <c r="BM74" s="83">
        <f t="shared" si="65"/>
        <v>-36.334776846055007</v>
      </c>
      <c r="BN74" s="51">
        <f>IF(AND(ISNUMBER(Input!$D21),ISNUMBER(Input!$E21)),BM74*As,0)</f>
        <v>-29222.161410404078</v>
      </c>
      <c r="BO74" s="51">
        <f t="shared" si="23"/>
        <v>3798880.9833525303</v>
      </c>
      <c r="BP74" s="51">
        <f t="shared" si="24"/>
        <v>200000</v>
      </c>
      <c r="BQ74" s="51">
        <f>IF(AND(ISNUMBER(Input!$D21),ISNUMBER(Input!$E21)),BP74*As,0)</f>
        <v>160849543.8637974</v>
      </c>
      <c r="BR74" s="51">
        <f t="shared" si="66"/>
        <v>-20910440702.293663</v>
      </c>
      <c r="BS74" s="54">
        <f t="shared" si="67"/>
        <v>2718357291298.1763</v>
      </c>
      <c r="BU74" s="25">
        <v>12</v>
      </c>
      <c r="BV74" s="51">
        <f t="shared" si="25"/>
        <v>231</v>
      </c>
      <c r="BW74" s="74">
        <f t="shared" si="68"/>
        <v>9.503570080729892E-4</v>
      </c>
      <c r="BX74" s="52">
        <f t="shared" si="26"/>
        <v>18.476341133053023</v>
      </c>
      <c r="BY74" s="53">
        <f t="shared" si="69"/>
        <v>44343.218719327255</v>
      </c>
      <c r="BZ74" s="51">
        <f t="shared" si="70"/>
        <v>10243283.524164597</v>
      </c>
      <c r="CA74" s="52">
        <f t="shared" si="27"/>
        <v>13382.948147069386</v>
      </c>
      <c r="CB74" s="51">
        <f t="shared" si="28"/>
        <v>32119075.552966528</v>
      </c>
      <c r="CC74" s="51">
        <f t="shared" si="71"/>
        <v>7419506452.7352676</v>
      </c>
      <c r="CD74" s="54">
        <f t="shared" si="72"/>
        <v>1713905990581.8469</v>
      </c>
      <c r="CF74" s="25">
        <v>12</v>
      </c>
      <c r="CG74" s="51">
        <f>Input!$E21</f>
        <v>-130</v>
      </c>
      <c r="CH74" s="74">
        <f t="shared" si="73"/>
        <v>-1.8208154248640709E-4</v>
      </c>
      <c r="CI74" s="52">
        <f t="shared" si="29"/>
        <v>-36.41630849728142</v>
      </c>
      <c r="CJ74" s="52">
        <f t="shared" si="30"/>
        <v>0</v>
      </c>
      <c r="CK74" s="83">
        <f t="shared" si="74"/>
        <v>-36.41630849728142</v>
      </c>
      <c r="CL74" s="51">
        <f>IF(AND(ISNUMBER(Input!$D21),ISNUMBER(Input!$E21)),CK74*As,0)</f>
        <v>-29287.733054955232</v>
      </c>
      <c r="CM74" s="51">
        <f t="shared" si="31"/>
        <v>3807405.2971441802</v>
      </c>
      <c r="CN74" s="51">
        <f t="shared" si="32"/>
        <v>200000</v>
      </c>
      <c r="CO74" s="51">
        <f>IF(AND(ISNUMBER(Input!$D21),ISNUMBER(Input!$E21)),CN74*As,0)</f>
        <v>160849543.8637974</v>
      </c>
      <c r="CP74" s="51">
        <f t="shared" si="75"/>
        <v>-20910440702.293663</v>
      </c>
      <c r="CQ74" s="54">
        <f t="shared" si="76"/>
        <v>2718357291298.1763</v>
      </c>
      <c r="CS74" s="25">
        <v>12</v>
      </c>
      <c r="CT74" s="51">
        <f t="shared" si="33"/>
        <v>231</v>
      </c>
      <c r="CU74" s="74">
        <f t="shared" si="77"/>
        <v>9.5036904081646648E-4</v>
      </c>
      <c r="CV74" s="52">
        <f t="shared" si="34"/>
        <v>18.476502165712027</v>
      </c>
      <c r="CW74" s="53">
        <f t="shared" si="78"/>
        <v>44343.605197708865</v>
      </c>
      <c r="CX74" s="51">
        <f t="shared" si="79"/>
        <v>10243372.800670749</v>
      </c>
      <c r="CY74" s="52">
        <f t="shared" si="35"/>
        <v>13382.794729590052</v>
      </c>
      <c r="CZ74" s="51">
        <f t="shared" si="36"/>
        <v>32118707.351016127</v>
      </c>
      <c r="DA74" s="51">
        <f t="shared" si="80"/>
        <v>7419421398.0847254</v>
      </c>
      <c r="DB74" s="54">
        <f t="shared" si="81"/>
        <v>1713886342957.5715</v>
      </c>
      <c r="DD74" s="25">
        <v>12</v>
      </c>
      <c r="DE74" s="51">
        <f>Input!$E21</f>
        <v>-130</v>
      </c>
      <c r="DF74" s="74">
        <f t="shared" si="82"/>
        <v>-1.8208189690182175E-4</v>
      </c>
      <c r="DG74" s="52">
        <f t="shared" si="37"/>
        <v>-36.416379380364347</v>
      </c>
      <c r="DH74" s="52">
        <f t="shared" si="38"/>
        <v>0</v>
      </c>
      <c r="DI74" s="83">
        <f t="shared" si="83"/>
        <v>-36.416379380364347</v>
      </c>
      <c r="DJ74" s="51">
        <f>IF(AND(ISNUMBER(Input!$D21),ISNUMBER(Input!$E21)),DI74*As,0)</f>
        <v>-29287.790062513013</v>
      </c>
      <c r="DK74" s="51">
        <f t="shared" si="39"/>
        <v>3807412.7081266916</v>
      </c>
      <c r="DL74" s="51">
        <f t="shared" si="40"/>
        <v>200000</v>
      </c>
      <c r="DM74" s="51">
        <f>IF(AND(ISNUMBER(Input!$D21),ISNUMBER(Input!$E21)),DL74*As,0)</f>
        <v>160849543.8637974</v>
      </c>
      <c r="DN74" s="51">
        <f t="shared" si="84"/>
        <v>-20910440702.293663</v>
      </c>
      <c r="DO74" s="54">
        <f t="shared" si="85"/>
        <v>2718357291298.1763</v>
      </c>
    </row>
    <row r="75" spans="1:119">
      <c r="A75" s="25">
        <v>13</v>
      </c>
      <c r="B75" s="51">
        <f t="shared" si="1"/>
        <v>225</v>
      </c>
      <c r="C75" s="74">
        <f t="shared" si="41"/>
        <v>1.6250000000000001E-3</v>
      </c>
      <c r="D75" s="52">
        <f t="shared" si="2"/>
        <v>24.603515625</v>
      </c>
      <c r="E75" s="53">
        <f t="shared" si="42"/>
        <v>59048.4375</v>
      </c>
      <c r="F75" s="51">
        <f t="shared" si="43"/>
        <v>13285898.4375</v>
      </c>
      <c r="G75" s="52">
        <f t="shared" si="3"/>
        <v>4781.25</v>
      </c>
      <c r="H75" s="51">
        <f t="shared" si="4"/>
        <v>11475000</v>
      </c>
      <c r="I75" s="51">
        <f t="shared" si="44"/>
        <v>2581875000</v>
      </c>
      <c r="J75" s="54">
        <f t="shared" si="45"/>
        <v>580921875000</v>
      </c>
      <c r="Y75" s="25">
        <v>13</v>
      </c>
      <c r="Z75" s="51">
        <f t="shared" si="9"/>
        <v>225</v>
      </c>
      <c r="AA75" s="74">
        <f t="shared" si="50"/>
        <v>7.5364793570885207E-4</v>
      </c>
      <c r="AB75" s="52">
        <f t="shared" si="10"/>
        <v>15.597116640462113</v>
      </c>
      <c r="AC75" s="53">
        <f t="shared" si="51"/>
        <v>37433.079937109069</v>
      </c>
      <c r="AD75" s="51">
        <f t="shared" si="52"/>
        <v>8422442.9858495407</v>
      </c>
      <c r="AE75" s="52">
        <f t="shared" si="11"/>
        <v>15890.988819712135</v>
      </c>
      <c r="AF75" s="51">
        <f t="shared" si="12"/>
        <v>38138373.16730912</v>
      </c>
      <c r="AG75" s="51">
        <f t="shared" si="53"/>
        <v>8581133962.6445522</v>
      </c>
      <c r="AH75" s="54">
        <f t="shared" si="54"/>
        <v>1930755141595.0242</v>
      </c>
      <c r="AW75" s="25">
        <v>13</v>
      </c>
      <c r="AX75" s="51">
        <f t="shared" si="17"/>
        <v>225</v>
      </c>
      <c r="AY75" s="74">
        <f t="shared" si="59"/>
        <v>9.245317389479236E-4</v>
      </c>
      <c r="AZ75" s="52">
        <f t="shared" si="18"/>
        <v>18.126471124118847</v>
      </c>
      <c r="BA75" s="53">
        <f t="shared" si="60"/>
        <v>43503.530697885231</v>
      </c>
      <c r="BB75" s="51">
        <f t="shared" si="61"/>
        <v>9788294.4070241768</v>
      </c>
      <c r="BC75" s="52">
        <f t="shared" si="19"/>
        <v>13712.220328413972</v>
      </c>
      <c r="BD75" s="51">
        <f t="shared" si="20"/>
        <v>32909328.788193535</v>
      </c>
      <c r="BE75" s="51">
        <f t="shared" si="62"/>
        <v>7404598977.343545</v>
      </c>
      <c r="BF75" s="54">
        <f t="shared" si="63"/>
        <v>1666034769902.2976</v>
      </c>
      <c r="BU75" s="25">
        <v>13</v>
      </c>
      <c r="BV75" s="51">
        <f t="shared" si="25"/>
        <v>225</v>
      </c>
      <c r="BW75" s="74">
        <f t="shared" si="68"/>
        <v>9.3153531471189125E-4</v>
      </c>
      <c r="BX75" s="52">
        <f t="shared" si="26"/>
        <v>18.222193003862664</v>
      </c>
      <c r="BY75" s="53">
        <f t="shared" si="69"/>
        <v>43733.263209270393</v>
      </c>
      <c r="BZ75" s="51">
        <f t="shared" si="70"/>
        <v>9839984.2220858391</v>
      </c>
      <c r="CA75" s="52">
        <f t="shared" si="27"/>
        <v>13622.924737423387</v>
      </c>
      <c r="CB75" s="51">
        <f t="shared" si="28"/>
        <v>32695019.369816128</v>
      </c>
      <c r="CC75" s="51">
        <f t="shared" si="71"/>
        <v>7356379358.2086287</v>
      </c>
      <c r="CD75" s="54">
        <f t="shared" si="72"/>
        <v>1655185355596.9414</v>
      </c>
      <c r="CS75" s="25">
        <v>13</v>
      </c>
      <c r="CT75" s="51">
        <f t="shared" si="33"/>
        <v>225</v>
      </c>
      <c r="CU75" s="74">
        <f t="shared" si="77"/>
        <v>9.3154714157461121E-4</v>
      </c>
      <c r="CV75" s="52">
        <f t="shared" si="34"/>
        <v>18.222354119431678</v>
      </c>
      <c r="CW75" s="53">
        <f t="shared" si="78"/>
        <v>43733.649886636027</v>
      </c>
      <c r="CX75" s="51">
        <f t="shared" si="79"/>
        <v>9840071.2244931068</v>
      </c>
      <c r="CY75" s="52">
        <f t="shared" si="35"/>
        <v>13622.773944923707</v>
      </c>
      <c r="CZ75" s="51">
        <f t="shared" si="36"/>
        <v>32694657.467816897</v>
      </c>
      <c r="DA75" s="51">
        <f t="shared" si="80"/>
        <v>7356297930.2588015</v>
      </c>
      <c r="DB75" s="54">
        <f t="shared" si="81"/>
        <v>1655167034308.2302</v>
      </c>
    </row>
    <row r="76" spans="1:119">
      <c r="A76" s="25">
        <v>14</v>
      </c>
      <c r="B76" s="51">
        <f t="shared" si="1"/>
        <v>219</v>
      </c>
      <c r="C76" s="74">
        <f t="shared" si="41"/>
        <v>1.5950000000000001E-3</v>
      </c>
      <c r="D76" s="52">
        <f t="shared" si="2"/>
        <v>24.454340624999997</v>
      </c>
      <c r="E76" s="53">
        <f t="shared" si="42"/>
        <v>58690.417499999996</v>
      </c>
      <c r="F76" s="51">
        <f t="shared" si="43"/>
        <v>12853201.432499999</v>
      </c>
      <c r="G76" s="52">
        <f t="shared" si="3"/>
        <v>5163.75</v>
      </c>
      <c r="H76" s="51">
        <f t="shared" si="4"/>
        <v>12393000</v>
      </c>
      <c r="I76" s="51">
        <f t="shared" si="44"/>
        <v>2714067000</v>
      </c>
      <c r="J76" s="54">
        <f t="shared" si="45"/>
        <v>594380673000</v>
      </c>
      <c r="Y76" s="25">
        <v>14</v>
      </c>
      <c r="Z76" s="51">
        <f t="shared" si="9"/>
        <v>219</v>
      </c>
      <c r="AA76" s="74">
        <f t="shared" si="50"/>
        <v>7.3798578626560907E-4</v>
      </c>
      <c r="AB76" s="52">
        <f t="shared" si="10"/>
        <v>15.346665792618841</v>
      </c>
      <c r="AC76" s="53">
        <f t="shared" si="51"/>
        <v>36831.99790228522</v>
      </c>
      <c r="AD76" s="51">
        <f t="shared" si="52"/>
        <v>8066207.5406004628</v>
      </c>
      <c r="AE76" s="52">
        <f t="shared" si="11"/>
        <v>16090.681225113483</v>
      </c>
      <c r="AF76" s="51">
        <f t="shared" si="12"/>
        <v>38617634.940272361</v>
      </c>
      <c r="AG76" s="51">
        <f t="shared" si="53"/>
        <v>8457262051.9196472</v>
      </c>
      <c r="AH76" s="54">
        <f t="shared" si="54"/>
        <v>1852140389370.4028</v>
      </c>
      <c r="AW76" s="25">
        <v>14</v>
      </c>
      <c r="AX76" s="51">
        <f t="shared" si="17"/>
        <v>219</v>
      </c>
      <c r="AY76" s="74">
        <f t="shared" si="59"/>
        <v>9.0583530588012311E-4</v>
      </c>
      <c r="AZ76" s="52">
        <f t="shared" si="18"/>
        <v>17.867873091152422</v>
      </c>
      <c r="BA76" s="53">
        <f t="shared" si="60"/>
        <v>42882.895418765809</v>
      </c>
      <c r="BB76" s="51">
        <f t="shared" si="61"/>
        <v>9391354.0967097115</v>
      </c>
      <c r="BC76" s="52">
        <f t="shared" si="19"/>
        <v>13950.59985002843</v>
      </c>
      <c r="BD76" s="51">
        <f t="shared" si="20"/>
        <v>33481439.640068229</v>
      </c>
      <c r="BE76" s="51">
        <f t="shared" si="62"/>
        <v>7332435281.174942</v>
      </c>
      <c r="BF76" s="54">
        <f t="shared" si="63"/>
        <v>1605803326577.3123</v>
      </c>
      <c r="BU76" s="25">
        <v>14</v>
      </c>
      <c r="BV76" s="51">
        <f t="shared" si="25"/>
        <v>219</v>
      </c>
      <c r="BW76" s="74">
        <f t="shared" si="68"/>
        <v>9.1271362135079319E-4</v>
      </c>
      <c r="BX76" s="52">
        <f t="shared" si="26"/>
        <v>17.963528108874822</v>
      </c>
      <c r="BY76" s="53">
        <f t="shared" si="69"/>
        <v>43112.467461299573</v>
      </c>
      <c r="BZ76" s="51">
        <f t="shared" si="70"/>
        <v>9441630.3740246072</v>
      </c>
      <c r="CA76" s="52">
        <f t="shared" si="27"/>
        <v>13862.901327777387</v>
      </c>
      <c r="CB76" s="51">
        <f t="shared" si="28"/>
        <v>33270963.186665729</v>
      </c>
      <c r="CC76" s="51">
        <f t="shared" si="71"/>
        <v>7286340937.8797941</v>
      </c>
      <c r="CD76" s="54">
        <f t="shared" si="72"/>
        <v>1595708665395.6748</v>
      </c>
      <c r="CS76" s="25">
        <v>14</v>
      </c>
      <c r="CT76" s="51">
        <f t="shared" si="33"/>
        <v>219</v>
      </c>
      <c r="CU76" s="74">
        <f t="shared" si="77"/>
        <v>9.1272524233275594E-4</v>
      </c>
      <c r="CV76" s="52">
        <f t="shared" si="34"/>
        <v>17.963689208540174</v>
      </c>
      <c r="CW76" s="53">
        <f t="shared" si="78"/>
        <v>43112.854100496421</v>
      </c>
      <c r="CX76" s="51">
        <f t="shared" si="79"/>
        <v>9441715.0480087157</v>
      </c>
      <c r="CY76" s="52">
        <f t="shared" si="35"/>
        <v>13862.753160257362</v>
      </c>
      <c r="CZ76" s="51">
        <f t="shared" si="36"/>
        <v>33270607.584617667</v>
      </c>
      <c r="DA76" s="51">
        <f t="shared" si="80"/>
        <v>7286263061.0312691</v>
      </c>
      <c r="DB76" s="54">
        <f t="shared" si="81"/>
        <v>1595691610365.8479</v>
      </c>
    </row>
    <row r="77" spans="1:119">
      <c r="A77" s="25">
        <v>15</v>
      </c>
      <c r="B77" s="51">
        <f t="shared" si="1"/>
        <v>213</v>
      </c>
      <c r="C77" s="74">
        <f t="shared" si="41"/>
        <v>1.5650000000000002E-3</v>
      </c>
      <c r="D77" s="52">
        <f t="shared" si="2"/>
        <v>24.293690625</v>
      </c>
      <c r="E77" s="53">
        <f t="shared" si="42"/>
        <v>58304.857499999998</v>
      </c>
      <c r="F77" s="51">
        <f t="shared" si="43"/>
        <v>12418934.647499999</v>
      </c>
      <c r="G77" s="52">
        <f t="shared" si="3"/>
        <v>5546.2499999999982</v>
      </c>
      <c r="H77" s="51">
        <f t="shared" si="4"/>
        <v>13310999.999999996</v>
      </c>
      <c r="I77" s="51">
        <f t="shared" si="44"/>
        <v>2835242999.999999</v>
      </c>
      <c r="J77" s="54">
        <f t="shared" si="45"/>
        <v>603906758999.99976</v>
      </c>
      <c r="Y77" s="25">
        <v>15</v>
      </c>
      <c r="Z77" s="51">
        <f t="shared" si="9"/>
        <v>213</v>
      </c>
      <c r="AA77" s="74">
        <f t="shared" si="50"/>
        <v>7.2232363682236587E-4</v>
      </c>
      <c r="AB77" s="52">
        <f t="shared" si="10"/>
        <v>15.093087332479485</v>
      </c>
      <c r="AC77" s="53">
        <f t="shared" si="51"/>
        <v>36223.409597950762</v>
      </c>
      <c r="AD77" s="51">
        <f t="shared" si="52"/>
        <v>7715586.2443635119</v>
      </c>
      <c r="AE77" s="52">
        <f t="shared" si="11"/>
        <v>16290.373630514836</v>
      </c>
      <c r="AF77" s="51">
        <f t="shared" si="12"/>
        <v>39096896.713235609</v>
      </c>
      <c r="AG77" s="51">
        <f t="shared" si="53"/>
        <v>8327638999.9191847</v>
      </c>
      <c r="AH77" s="54">
        <f t="shared" si="54"/>
        <v>1773787106982.7864</v>
      </c>
      <c r="AW77" s="25">
        <v>15</v>
      </c>
      <c r="AX77" s="51">
        <f t="shared" si="17"/>
        <v>213</v>
      </c>
      <c r="AY77" s="74">
        <f t="shared" si="59"/>
        <v>8.8713887281232251E-4</v>
      </c>
      <c r="AZ77" s="52">
        <f t="shared" si="18"/>
        <v>17.604818211415395</v>
      </c>
      <c r="BA77" s="53">
        <f t="shared" si="60"/>
        <v>42251.563707396948</v>
      </c>
      <c r="BB77" s="51">
        <f t="shared" si="61"/>
        <v>8999583.0696755499</v>
      </c>
      <c r="BC77" s="52">
        <f t="shared" si="19"/>
        <v>14188.979371642887</v>
      </c>
      <c r="BD77" s="51">
        <f t="shared" si="20"/>
        <v>34053550.491942927</v>
      </c>
      <c r="BE77" s="51">
        <f t="shared" si="62"/>
        <v>7253406254.783843</v>
      </c>
      <c r="BF77" s="54">
        <f t="shared" si="63"/>
        <v>1544975532268.9585</v>
      </c>
      <c r="BU77" s="25">
        <v>15</v>
      </c>
      <c r="BV77" s="51">
        <f t="shared" si="25"/>
        <v>213</v>
      </c>
      <c r="BW77" s="74">
        <f t="shared" si="68"/>
        <v>8.9389192798969524E-4</v>
      </c>
      <c r="BX77" s="52">
        <f t="shared" si="26"/>
        <v>17.700346448089494</v>
      </c>
      <c r="BY77" s="53">
        <f t="shared" si="69"/>
        <v>42480.831475414787</v>
      </c>
      <c r="BZ77" s="51">
        <f t="shared" si="70"/>
        <v>9048417.1042633504</v>
      </c>
      <c r="CA77" s="52">
        <f t="shared" si="27"/>
        <v>14102.877918131386</v>
      </c>
      <c r="CB77" s="51">
        <f t="shared" si="28"/>
        <v>33846907.003515325</v>
      </c>
      <c r="CC77" s="51">
        <f t="shared" si="71"/>
        <v>7209391191.748764</v>
      </c>
      <c r="CD77" s="54">
        <f t="shared" si="72"/>
        <v>1535600323842.4868</v>
      </c>
      <c r="CS77" s="25">
        <v>15</v>
      </c>
      <c r="CT77" s="51">
        <f t="shared" si="33"/>
        <v>213</v>
      </c>
      <c r="CU77" s="74">
        <f t="shared" si="77"/>
        <v>8.9390334309090089E-4</v>
      </c>
      <c r="CV77" s="52">
        <f t="shared" si="34"/>
        <v>17.700507433037529</v>
      </c>
      <c r="CW77" s="53">
        <f t="shared" si="78"/>
        <v>42481.217839290068</v>
      </c>
      <c r="CX77" s="51">
        <f t="shared" si="79"/>
        <v>9048499.3997687846</v>
      </c>
      <c r="CY77" s="52">
        <f t="shared" si="35"/>
        <v>14102.732375591013</v>
      </c>
      <c r="CZ77" s="51">
        <f t="shared" si="36"/>
        <v>33846557.70141843</v>
      </c>
      <c r="DA77" s="51">
        <f t="shared" si="80"/>
        <v>7209316790.4021254</v>
      </c>
      <c r="DB77" s="54">
        <f t="shared" si="81"/>
        <v>1535584476355.6526</v>
      </c>
    </row>
    <row r="78" spans="1:119">
      <c r="A78" s="25">
        <v>16</v>
      </c>
      <c r="B78" s="51">
        <f t="shared" si="1"/>
        <v>207</v>
      </c>
      <c r="C78" s="74">
        <f t="shared" si="41"/>
        <v>1.5350000000000001E-3</v>
      </c>
      <c r="D78" s="52">
        <f t="shared" si="2"/>
        <v>24.121565625000002</v>
      </c>
      <c r="E78" s="53">
        <f t="shared" si="42"/>
        <v>57891.757500000007</v>
      </c>
      <c r="F78" s="51">
        <f t="shared" si="43"/>
        <v>11983593.802500002</v>
      </c>
      <c r="G78" s="52">
        <f t="shared" si="3"/>
        <v>5928.7499999999982</v>
      </c>
      <c r="H78" s="51">
        <f t="shared" si="4"/>
        <v>14228999.999999996</v>
      </c>
      <c r="I78" s="51">
        <f t="shared" si="44"/>
        <v>2945402999.999999</v>
      </c>
      <c r="J78" s="54">
        <f t="shared" si="45"/>
        <v>609698420999.99976</v>
      </c>
      <c r="Y78" s="25">
        <v>16</v>
      </c>
      <c r="Z78" s="51">
        <f t="shared" si="9"/>
        <v>207</v>
      </c>
      <c r="AA78" s="74">
        <f t="shared" si="50"/>
        <v>7.0666148737912288E-4</v>
      </c>
      <c r="AB78" s="52">
        <f t="shared" si="10"/>
        <v>14.83638126004406</v>
      </c>
      <c r="AC78" s="53">
        <f t="shared" si="51"/>
        <v>35607.315024105745</v>
      </c>
      <c r="AD78" s="51">
        <f t="shared" si="52"/>
        <v>7370714.2099898895</v>
      </c>
      <c r="AE78" s="52">
        <f t="shared" si="11"/>
        <v>16490.066035916185</v>
      </c>
      <c r="AF78" s="51">
        <f t="shared" si="12"/>
        <v>39576158.486198843</v>
      </c>
      <c r="AG78" s="51">
        <f t="shared" si="53"/>
        <v>8192264806.6431608</v>
      </c>
      <c r="AH78" s="54">
        <f t="shared" si="54"/>
        <v>1695798814975.1343</v>
      </c>
      <c r="AW78" s="25">
        <v>16</v>
      </c>
      <c r="AX78" s="51">
        <f t="shared" si="17"/>
        <v>207</v>
      </c>
      <c r="AY78" s="74">
        <f t="shared" si="59"/>
        <v>8.6844243974452202E-4</v>
      </c>
      <c r="AZ78" s="52">
        <f t="shared" si="18"/>
        <v>17.337306484907774</v>
      </c>
      <c r="BA78" s="53">
        <f t="shared" si="60"/>
        <v>41609.535563778656</v>
      </c>
      <c r="BB78" s="51">
        <f t="shared" si="61"/>
        <v>8613173.8617021814</v>
      </c>
      <c r="BC78" s="52">
        <f t="shared" si="19"/>
        <v>14427.358893257344</v>
      </c>
      <c r="BD78" s="51">
        <f t="shared" si="20"/>
        <v>34625661.343817629</v>
      </c>
      <c r="BE78" s="51">
        <f t="shared" si="62"/>
        <v>7167511898.170249</v>
      </c>
      <c r="BF78" s="54">
        <f t="shared" si="63"/>
        <v>1483674962921.2415</v>
      </c>
      <c r="BU78" s="25">
        <v>16</v>
      </c>
      <c r="BV78" s="51">
        <f t="shared" si="25"/>
        <v>207</v>
      </c>
      <c r="BW78" s="74">
        <f t="shared" si="68"/>
        <v>8.7507023462859719E-4</v>
      </c>
      <c r="BX78" s="52">
        <f t="shared" si="26"/>
        <v>17.432648021506679</v>
      </c>
      <c r="BY78" s="53">
        <f t="shared" si="69"/>
        <v>41838.355251616027</v>
      </c>
      <c r="BZ78" s="51">
        <f t="shared" si="70"/>
        <v>8660539.537084518</v>
      </c>
      <c r="CA78" s="52">
        <f t="shared" si="27"/>
        <v>14342.854508485389</v>
      </c>
      <c r="CB78" s="51">
        <f t="shared" si="28"/>
        <v>34422850.82036493</v>
      </c>
      <c r="CC78" s="51">
        <f t="shared" si="71"/>
        <v>7125530119.8155403</v>
      </c>
      <c r="CD78" s="54">
        <f t="shared" si="72"/>
        <v>1474984734801.8169</v>
      </c>
      <c r="CS78" s="25">
        <v>16</v>
      </c>
      <c r="CT78" s="51">
        <f t="shared" si="33"/>
        <v>207</v>
      </c>
      <c r="CU78" s="74">
        <f t="shared" si="77"/>
        <v>8.7508144384904562E-4</v>
      </c>
      <c r="CV78" s="52">
        <f t="shared" si="34"/>
        <v>17.432808792923733</v>
      </c>
      <c r="CW78" s="53">
        <f t="shared" si="78"/>
        <v>41838.741103016961</v>
      </c>
      <c r="CX78" s="51">
        <f t="shared" si="79"/>
        <v>8660619.4083245117</v>
      </c>
      <c r="CY78" s="52">
        <f t="shared" si="35"/>
        <v>14342.711590924668</v>
      </c>
      <c r="CZ78" s="51">
        <f t="shared" si="36"/>
        <v>34422507.8182192</v>
      </c>
      <c r="DA78" s="51">
        <f t="shared" si="80"/>
        <v>7125459118.3713741</v>
      </c>
      <c r="DB78" s="54">
        <f t="shared" si="81"/>
        <v>1474970037502.8745</v>
      </c>
    </row>
    <row r="79" spans="1:119">
      <c r="A79" s="25">
        <v>17</v>
      </c>
      <c r="B79" s="51">
        <f t="shared" si="1"/>
        <v>201</v>
      </c>
      <c r="C79" s="74">
        <f t="shared" si="41"/>
        <v>1.505E-3</v>
      </c>
      <c r="D79" s="52">
        <f t="shared" si="2"/>
        <v>23.937965624999997</v>
      </c>
      <c r="E79" s="53">
        <f t="shared" si="42"/>
        <v>57451.117499999993</v>
      </c>
      <c r="F79" s="51">
        <f t="shared" si="43"/>
        <v>11547674.617499998</v>
      </c>
      <c r="G79" s="52">
        <f t="shared" si="3"/>
        <v>6311.2499999999982</v>
      </c>
      <c r="H79" s="51">
        <f t="shared" si="4"/>
        <v>15146999.999999996</v>
      </c>
      <c r="I79" s="51">
        <f t="shared" si="44"/>
        <v>3044546999.999999</v>
      </c>
      <c r="J79" s="54">
        <f t="shared" si="45"/>
        <v>611953946999.99976</v>
      </c>
      <c r="Y79" s="25">
        <v>17</v>
      </c>
      <c r="Z79" s="51">
        <f t="shared" si="9"/>
        <v>201</v>
      </c>
      <c r="AA79" s="74">
        <f t="shared" si="50"/>
        <v>6.9099933793587988E-4</v>
      </c>
      <c r="AB79" s="52">
        <f t="shared" si="10"/>
        <v>14.576547575312556</v>
      </c>
      <c r="AC79" s="53">
        <f t="shared" si="51"/>
        <v>34983.714180750132</v>
      </c>
      <c r="AD79" s="51">
        <f t="shared" si="52"/>
        <v>7031726.5503307767</v>
      </c>
      <c r="AE79" s="52">
        <f t="shared" si="11"/>
        <v>16689.758441317532</v>
      </c>
      <c r="AF79" s="51">
        <f t="shared" si="12"/>
        <v>40055420.259162076</v>
      </c>
      <c r="AG79" s="51">
        <f t="shared" si="53"/>
        <v>8051139472.0915775</v>
      </c>
      <c r="AH79" s="54">
        <f t="shared" si="54"/>
        <v>1618279033890.407</v>
      </c>
      <c r="AW79" s="25">
        <v>17</v>
      </c>
      <c r="AX79" s="51">
        <f t="shared" si="17"/>
        <v>201</v>
      </c>
      <c r="AY79" s="74">
        <f t="shared" si="59"/>
        <v>8.4974600667672142E-4</v>
      </c>
      <c r="AZ79" s="52">
        <f t="shared" si="18"/>
        <v>17.065337911629548</v>
      </c>
      <c r="BA79" s="53">
        <f t="shared" si="60"/>
        <v>40956.810987910918</v>
      </c>
      <c r="BB79" s="51">
        <f t="shared" si="61"/>
        <v>8232319.0085700946</v>
      </c>
      <c r="BC79" s="52">
        <f t="shared" si="19"/>
        <v>14665.738414871801</v>
      </c>
      <c r="BD79" s="51">
        <f t="shared" si="20"/>
        <v>35197772.195692323</v>
      </c>
      <c r="BE79" s="51">
        <f t="shared" si="62"/>
        <v>7074752211.334157</v>
      </c>
      <c r="BF79" s="54">
        <f t="shared" si="63"/>
        <v>1422025194478.1655</v>
      </c>
      <c r="BU79" s="25">
        <v>17</v>
      </c>
      <c r="BV79" s="51">
        <f t="shared" si="25"/>
        <v>201</v>
      </c>
      <c r="BW79" s="74">
        <f t="shared" si="68"/>
        <v>8.5624854126749924E-4</v>
      </c>
      <c r="BX79" s="52">
        <f t="shared" si="26"/>
        <v>17.160432829126389</v>
      </c>
      <c r="BY79" s="53">
        <f t="shared" si="69"/>
        <v>41185.03878990333</v>
      </c>
      <c r="BZ79" s="51">
        <f t="shared" si="70"/>
        <v>8278192.7967705689</v>
      </c>
      <c r="CA79" s="52">
        <f t="shared" si="27"/>
        <v>14582.831098839386</v>
      </c>
      <c r="CB79" s="51">
        <f t="shared" si="28"/>
        <v>34998794.637214527</v>
      </c>
      <c r="CC79" s="51">
        <f t="shared" si="71"/>
        <v>7034757722.0801201</v>
      </c>
      <c r="CD79" s="54">
        <f t="shared" si="72"/>
        <v>1413986302138.1042</v>
      </c>
      <c r="CS79" s="25">
        <v>17</v>
      </c>
      <c r="CT79" s="51">
        <f t="shared" si="33"/>
        <v>201</v>
      </c>
      <c r="CU79" s="74">
        <f t="shared" si="77"/>
        <v>8.5625954460719035E-4</v>
      </c>
      <c r="CV79" s="52">
        <f t="shared" si="34"/>
        <v>17.160593288198783</v>
      </c>
      <c r="CW79" s="53">
        <f t="shared" si="78"/>
        <v>41185.423891677077</v>
      </c>
      <c r="CX79" s="51">
        <f t="shared" si="79"/>
        <v>8278270.2022270923</v>
      </c>
      <c r="CY79" s="52">
        <f t="shared" si="35"/>
        <v>14582.690806258322</v>
      </c>
      <c r="CZ79" s="51">
        <f t="shared" si="36"/>
        <v>34998457.935019977</v>
      </c>
      <c r="DA79" s="51">
        <f t="shared" si="80"/>
        <v>7034690044.9390154</v>
      </c>
      <c r="DB79" s="54">
        <f t="shared" si="81"/>
        <v>1413972699032.7422</v>
      </c>
    </row>
    <row r="80" spans="1:119">
      <c r="A80" s="25">
        <v>18</v>
      </c>
      <c r="B80" s="51">
        <f t="shared" si="1"/>
        <v>195</v>
      </c>
      <c r="C80" s="74">
        <f t="shared" si="41"/>
        <v>1.4750000000000002E-3</v>
      </c>
      <c r="D80" s="52">
        <f t="shared" si="2"/>
        <v>23.742890625000001</v>
      </c>
      <c r="E80" s="53">
        <f t="shared" si="42"/>
        <v>56982.9375</v>
      </c>
      <c r="F80" s="51">
        <f t="shared" si="43"/>
        <v>11111672.8125</v>
      </c>
      <c r="G80" s="52">
        <f t="shared" si="3"/>
        <v>6693.7499999999991</v>
      </c>
      <c r="H80" s="51">
        <f t="shared" si="4"/>
        <v>16064999.999999998</v>
      </c>
      <c r="I80" s="51">
        <f t="shared" si="44"/>
        <v>3132674999.9999995</v>
      </c>
      <c r="J80" s="54">
        <f t="shared" si="45"/>
        <v>610871624999.99988</v>
      </c>
      <c r="Y80" s="25">
        <v>18</v>
      </c>
      <c r="Z80" s="51">
        <f t="shared" si="9"/>
        <v>195</v>
      </c>
      <c r="AA80" s="74">
        <f t="shared" si="50"/>
        <v>6.7533718849263668E-4</v>
      </c>
      <c r="AB80" s="52">
        <f t="shared" si="10"/>
        <v>14.313586278284973</v>
      </c>
      <c r="AC80" s="53">
        <f t="shared" si="51"/>
        <v>34352.607067883931</v>
      </c>
      <c r="AD80" s="51">
        <f t="shared" si="52"/>
        <v>6698758.3782373667</v>
      </c>
      <c r="AE80" s="52">
        <f t="shared" si="11"/>
        <v>16889.450846718883</v>
      </c>
      <c r="AF80" s="51">
        <f t="shared" si="12"/>
        <v>40534682.032125317</v>
      </c>
      <c r="AG80" s="51">
        <f t="shared" si="53"/>
        <v>7904262996.2644367</v>
      </c>
      <c r="AH80" s="54">
        <f t="shared" si="54"/>
        <v>1541331284271.5652</v>
      </c>
      <c r="AW80" s="25">
        <v>18</v>
      </c>
      <c r="AX80" s="51">
        <f t="shared" si="17"/>
        <v>195</v>
      </c>
      <c r="AY80" s="74">
        <f t="shared" si="59"/>
        <v>8.3104957360892093E-4</v>
      </c>
      <c r="AZ80" s="52">
        <f t="shared" si="18"/>
        <v>16.788912491580732</v>
      </c>
      <c r="BA80" s="53">
        <f t="shared" si="60"/>
        <v>40293.389979793756</v>
      </c>
      <c r="BB80" s="51">
        <f t="shared" si="61"/>
        <v>7857211.0460597826</v>
      </c>
      <c r="BC80" s="52">
        <f t="shared" si="19"/>
        <v>14904.117936486258</v>
      </c>
      <c r="BD80" s="51">
        <f t="shared" si="20"/>
        <v>35769883.047567017</v>
      </c>
      <c r="BE80" s="51">
        <f t="shared" si="62"/>
        <v>6975127194.275568</v>
      </c>
      <c r="BF80" s="54">
        <f t="shared" si="63"/>
        <v>1360149802883.7358</v>
      </c>
      <c r="BU80" s="25">
        <v>18</v>
      </c>
      <c r="BV80" s="51">
        <f t="shared" si="25"/>
        <v>195</v>
      </c>
      <c r="BW80" s="74">
        <f t="shared" si="68"/>
        <v>8.3742684790640118E-4</v>
      </c>
      <c r="BX80" s="52">
        <f t="shared" si="26"/>
        <v>16.883700870948608</v>
      </c>
      <c r="BY80" s="53">
        <f t="shared" si="69"/>
        <v>40520.88209027666</v>
      </c>
      <c r="BZ80" s="51">
        <f t="shared" si="70"/>
        <v>7901572.0076039489</v>
      </c>
      <c r="CA80" s="52">
        <f t="shared" si="27"/>
        <v>14822.807689193383</v>
      </c>
      <c r="CB80" s="51">
        <f t="shared" si="28"/>
        <v>35574738.454064123</v>
      </c>
      <c r="CC80" s="51">
        <f t="shared" si="71"/>
        <v>6937073998.5425043</v>
      </c>
      <c r="CD80" s="54">
        <f t="shared" si="72"/>
        <v>1352729429715.7883</v>
      </c>
      <c r="CS80" s="25">
        <v>18</v>
      </c>
      <c r="CT80" s="51">
        <f t="shared" si="33"/>
        <v>195</v>
      </c>
      <c r="CU80" s="74">
        <f t="shared" si="77"/>
        <v>8.3743764536533529E-4</v>
      </c>
      <c r="CV80" s="52">
        <f t="shared" si="34"/>
        <v>16.883860918862688</v>
      </c>
      <c r="CW80" s="53">
        <f t="shared" si="78"/>
        <v>40521.266205270447</v>
      </c>
      <c r="CX80" s="51">
        <f t="shared" si="79"/>
        <v>7901646.9100277368</v>
      </c>
      <c r="CY80" s="52">
        <f t="shared" si="35"/>
        <v>14822.670021591974</v>
      </c>
      <c r="CZ80" s="51">
        <f t="shared" si="36"/>
        <v>35574408.05182074</v>
      </c>
      <c r="DA80" s="51">
        <f t="shared" si="80"/>
        <v>6937009570.1050444</v>
      </c>
      <c r="DB80" s="54">
        <f t="shared" si="81"/>
        <v>1352716866170.4836</v>
      </c>
    </row>
    <row r="81" spans="1:106">
      <c r="A81" s="25">
        <v>19</v>
      </c>
      <c r="B81" s="51">
        <f t="shared" si="1"/>
        <v>189</v>
      </c>
      <c r="C81" s="74">
        <f t="shared" si="41"/>
        <v>1.4450000000000001E-3</v>
      </c>
      <c r="D81" s="52">
        <f t="shared" si="2"/>
        <v>23.536340625000001</v>
      </c>
      <c r="E81" s="53">
        <f t="shared" si="42"/>
        <v>56487.217500000006</v>
      </c>
      <c r="F81" s="51">
        <f t="shared" si="43"/>
        <v>10676084.107500002</v>
      </c>
      <c r="G81" s="52">
        <f t="shared" si="3"/>
        <v>7076.2499999999991</v>
      </c>
      <c r="H81" s="51">
        <f t="shared" si="4"/>
        <v>16982999.999999996</v>
      </c>
      <c r="I81" s="51">
        <f t="shared" si="44"/>
        <v>3209786999.9999995</v>
      </c>
      <c r="J81" s="54">
        <f t="shared" si="45"/>
        <v>606649742999.99988</v>
      </c>
      <c r="Y81" s="25">
        <v>19</v>
      </c>
      <c r="Z81" s="51">
        <f t="shared" si="9"/>
        <v>189</v>
      </c>
      <c r="AA81" s="74">
        <f t="shared" si="50"/>
        <v>6.5967503904939368E-4</v>
      </c>
      <c r="AB81" s="52">
        <f t="shared" si="10"/>
        <v>14.047497368961313</v>
      </c>
      <c r="AC81" s="53">
        <f t="shared" si="51"/>
        <v>33713.99368550715</v>
      </c>
      <c r="AD81" s="51">
        <f t="shared" si="52"/>
        <v>6371944.8065608516</v>
      </c>
      <c r="AE81" s="52">
        <f t="shared" si="11"/>
        <v>17089.143252120233</v>
      </c>
      <c r="AF81" s="51">
        <f t="shared" si="12"/>
        <v>41013943.805088557</v>
      </c>
      <c r="AG81" s="51">
        <f t="shared" si="53"/>
        <v>7751635379.1617374</v>
      </c>
      <c r="AH81" s="54">
        <f t="shared" si="54"/>
        <v>1465059086661.5684</v>
      </c>
      <c r="AW81" s="25">
        <v>19</v>
      </c>
      <c r="AX81" s="51">
        <f t="shared" si="17"/>
        <v>189</v>
      </c>
      <c r="AY81" s="74">
        <f t="shared" si="59"/>
        <v>8.1235314054112033E-4</v>
      </c>
      <c r="AZ81" s="52">
        <f t="shared" si="18"/>
        <v>16.508030224761306</v>
      </c>
      <c r="BA81" s="53">
        <f t="shared" si="60"/>
        <v>39619.272539427133</v>
      </c>
      <c r="BB81" s="51">
        <f t="shared" si="61"/>
        <v>7488042.5099517284</v>
      </c>
      <c r="BC81" s="52">
        <f t="shared" si="19"/>
        <v>15142.497458100715</v>
      </c>
      <c r="BD81" s="51">
        <f t="shared" si="20"/>
        <v>36341993.899441719</v>
      </c>
      <c r="BE81" s="51">
        <f t="shared" si="62"/>
        <v>6868636846.9944849</v>
      </c>
      <c r="BF81" s="54">
        <f t="shared" si="63"/>
        <v>1298172364081.9578</v>
      </c>
      <c r="BU81" s="25">
        <v>19</v>
      </c>
      <c r="BV81" s="51">
        <f t="shared" si="25"/>
        <v>189</v>
      </c>
      <c r="BW81" s="74">
        <f t="shared" si="68"/>
        <v>8.1860515454530323E-4</v>
      </c>
      <c r="BX81" s="52">
        <f t="shared" si="26"/>
        <v>16.602452146973341</v>
      </c>
      <c r="BY81" s="53">
        <f t="shared" si="69"/>
        <v>39845.885152736017</v>
      </c>
      <c r="BZ81" s="51">
        <f t="shared" si="70"/>
        <v>7530872.2938671075</v>
      </c>
      <c r="CA81" s="52">
        <f t="shared" si="27"/>
        <v>15062.784279547384</v>
      </c>
      <c r="CB81" s="51">
        <f t="shared" si="28"/>
        <v>36150682.27091372</v>
      </c>
      <c r="CC81" s="51">
        <f t="shared" si="71"/>
        <v>6832478949.202693</v>
      </c>
      <c r="CD81" s="54">
        <f t="shared" si="72"/>
        <v>1291338521399.3091</v>
      </c>
      <c r="CS81" s="25">
        <v>19</v>
      </c>
      <c r="CT81" s="51">
        <f t="shared" si="33"/>
        <v>189</v>
      </c>
      <c r="CU81" s="74">
        <f t="shared" si="77"/>
        <v>8.1861574612348002E-4</v>
      </c>
      <c r="CV81" s="52">
        <f t="shared" si="34"/>
        <v>16.602611684915441</v>
      </c>
      <c r="CW81" s="53">
        <f t="shared" si="78"/>
        <v>39846.268043797056</v>
      </c>
      <c r="CX81" s="51">
        <f t="shared" si="79"/>
        <v>7530944.6602776432</v>
      </c>
      <c r="CY81" s="52">
        <f t="shared" si="35"/>
        <v>15062.64923692563</v>
      </c>
      <c r="CZ81" s="51">
        <f t="shared" si="36"/>
        <v>36150358.16862151</v>
      </c>
      <c r="DA81" s="51">
        <f t="shared" si="80"/>
        <v>6832417693.8694658</v>
      </c>
      <c r="DB81" s="54">
        <f t="shared" si="81"/>
        <v>1291326944141.3291</v>
      </c>
    </row>
    <row r="82" spans="1:106">
      <c r="A82" s="25">
        <v>20</v>
      </c>
      <c r="B82" s="51">
        <f t="shared" si="1"/>
        <v>183</v>
      </c>
      <c r="C82" s="74">
        <f t="shared" si="41"/>
        <v>1.415E-3</v>
      </c>
      <c r="D82" s="52">
        <f t="shared" si="2"/>
        <v>23.318315625</v>
      </c>
      <c r="E82" s="53">
        <f t="shared" si="42"/>
        <v>55963.957500000004</v>
      </c>
      <c r="F82" s="51">
        <f t="shared" si="43"/>
        <v>10241404.2225</v>
      </c>
      <c r="G82" s="52">
        <f t="shared" si="3"/>
        <v>7458.75</v>
      </c>
      <c r="H82" s="51">
        <f t="shared" si="4"/>
        <v>17901000</v>
      </c>
      <c r="I82" s="51">
        <f t="shared" si="44"/>
        <v>3275883000</v>
      </c>
      <c r="J82" s="54">
        <f t="shared" si="45"/>
        <v>599486589000</v>
      </c>
      <c r="Y82" s="25">
        <v>20</v>
      </c>
      <c r="Z82" s="51">
        <f t="shared" si="9"/>
        <v>183</v>
      </c>
      <c r="AA82" s="74">
        <f t="shared" si="50"/>
        <v>6.4401288960615069E-4</v>
      </c>
      <c r="AB82" s="52">
        <f t="shared" si="10"/>
        <v>13.778280847341581</v>
      </c>
      <c r="AC82" s="53">
        <f t="shared" si="51"/>
        <v>33067.874033619795</v>
      </c>
      <c r="AD82" s="51">
        <f t="shared" si="52"/>
        <v>6051420.9481524229</v>
      </c>
      <c r="AE82" s="52">
        <f t="shared" si="11"/>
        <v>17288.83565752158</v>
      </c>
      <c r="AF82" s="51">
        <f t="shared" si="12"/>
        <v>41493205.578051791</v>
      </c>
      <c r="AG82" s="51">
        <f t="shared" si="53"/>
        <v>7593256620.7834778</v>
      </c>
      <c r="AH82" s="54">
        <f t="shared" si="54"/>
        <v>1389565961603.3765</v>
      </c>
      <c r="AW82" s="25">
        <v>20</v>
      </c>
      <c r="AX82" s="51">
        <f t="shared" si="17"/>
        <v>183</v>
      </c>
      <c r="AY82" s="74">
        <f t="shared" si="59"/>
        <v>7.9365670747331984E-4</v>
      </c>
      <c r="AZ82" s="52">
        <f t="shared" si="18"/>
        <v>16.22269111117129</v>
      </c>
      <c r="BA82" s="53">
        <f t="shared" si="60"/>
        <v>38934.458666811093</v>
      </c>
      <c r="BB82" s="51">
        <f t="shared" si="61"/>
        <v>7125005.9360264298</v>
      </c>
      <c r="BC82" s="52">
        <f t="shared" si="19"/>
        <v>15380.876979715173</v>
      </c>
      <c r="BD82" s="51">
        <f t="shared" si="20"/>
        <v>36914104.751316413</v>
      </c>
      <c r="BE82" s="51">
        <f t="shared" si="62"/>
        <v>6755281169.4909039</v>
      </c>
      <c r="BF82" s="54">
        <f t="shared" si="63"/>
        <v>1236216454016.8354</v>
      </c>
      <c r="BU82" s="25">
        <v>20</v>
      </c>
      <c r="BV82" s="51">
        <f t="shared" si="25"/>
        <v>183</v>
      </c>
      <c r="BW82" s="74">
        <f t="shared" si="68"/>
        <v>7.9978346118420517E-4</v>
      </c>
      <c r="BX82" s="52">
        <f t="shared" si="26"/>
        <v>16.316686657200592</v>
      </c>
      <c r="BY82" s="53">
        <f t="shared" si="69"/>
        <v>39160.047977281421</v>
      </c>
      <c r="BZ82" s="51">
        <f t="shared" si="70"/>
        <v>7166288.7798425006</v>
      </c>
      <c r="CA82" s="52">
        <f t="shared" si="27"/>
        <v>15302.760869901384</v>
      </c>
      <c r="CB82" s="51">
        <f t="shared" si="28"/>
        <v>36726626.087763317</v>
      </c>
      <c r="CC82" s="51">
        <f t="shared" si="71"/>
        <v>6720972574.0606871</v>
      </c>
      <c r="CD82" s="54">
        <f t="shared" si="72"/>
        <v>1229937981053.1057</v>
      </c>
      <c r="CS82" s="25">
        <v>20</v>
      </c>
      <c r="CT82" s="51">
        <f t="shared" si="33"/>
        <v>183</v>
      </c>
      <c r="CU82" s="74">
        <f t="shared" si="77"/>
        <v>7.9979384688162476E-4</v>
      </c>
      <c r="CV82" s="52">
        <f t="shared" si="34"/>
        <v>16.316845586357044</v>
      </c>
      <c r="CW82" s="53">
        <f t="shared" si="78"/>
        <v>39160.429407256903</v>
      </c>
      <c r="CX82" s="51">
        <f t="shared" si="79"/>
        <v>7166358.5815280136</v>
      </c>
      <c r="CY82" s="52">
        <f t="shared" si="35"/>
        <v>15302.628452259287</v>
      </c>
      <c r="CZ82" s="51">
        <f t="shared" si="36"/>
        <v>36726308.285422288</v>
      </c>
      <c r="DA82" s="51">
        <f t="shared" si="80"/>
        <v>6720914416.2322788</v>
      </c>
      <c r="DB82" s="54">
        <f t="shared" si="81"/>
        <v>1229927338170.5071</v>
      </c>
    </row>
    <row r="83" spans="1:106">
      <c r="A83" s="25">
        <v>21</v>
      </c>
      <c r="B83" s="51">
        <f t="shared" si="1"/>
        <v>177</v>
      </c>
      <c r="C83" s="74">
        <f t="shared" si="41"/>
        <v>1.3849999999999999E-3</v>
      </c>
      <c r="D83" s="52">
        <f t="shared" si="2"/>
        <v>23.088815624999999</v>
      </c>
      <c r="E83" s="53">
        <f t="shared" si="42"/>
        <v>55413.157499999994</v>
      </c>
      <c r="F83" s="51">
        <f t="shared" si="43"/>
        <v>9808128.8774999995</v>
      </c>
      <c r="G83" s="52">
        <f t="shared" si="3"/>
        <v>7841.25</v>
      </c>
      <c r="H83" s="51">
        <f t="shared" si="4"/>
        <v>18819000</v>
      </c>
      <c r="I83" s="51">
        <f t="shared" si="44"/>
        <v>3330963000</v>
      </c>
      <c r="J83" s="54">
        <f t="shared" si="45"/>
        <v>589580451000</v>
      </c>
      <c r="Y83" s="25">
        <v>21</v>
      </c>
      <c r="Z83" s="51">
        <f t="shared" si="9"/>
        <v>177</v>
      </c>
      <c r="AA83" s="74">
        <f t="shared" si="50"/>
        <v>6.2835074016290759E-4</v>
      </c>
      <c r="AB83" s="52">
        <f t="shared" si="10"/>
        <v>13.505936713425776</v>
      </c>
      <c r="AC83" s="53">
        <f t="shared" si="51"/>
        <v>32414.24811222186</v>
      </c>
      <c r="AD83" s="51">
        <f t="shared" si="52"/>
        <v>5737321.915863269</v>
      </c>
      <c r="AE83" s="52">
        <f t="shared" si="11"/>
        <v>17488.528062922927</v>
      </c>
      <c r="AF83" s="51">
        <f t="shared" si="12"/>
        <v>41972467.351015024</v>
      </c>
      <c r="AG83" s="51">
        <f t="shared" si="53"/>
        <v>7429126721.1296597</v>
      </c>
      <c r="AH83" s="54">
        <f t="shared" si="54"/>
        <v>1314955429639.9497</v>
      </c>
      <c r="AW83" s="25">
        <v>21</v>
      </c>
      <c r="AX83" s="51">
        <f t="shared" si="17"/>
        <v>177</v>
      </c>
      <c r="AY83" s="74">
        <f t="shared" si="59"/>
        <v>7.7496027440551924E-4</v>
      </c>
      <c r="AZ83" s="52">
        <f t="shared" si="18"/>
        <v>15.932895150810669</v>
      </c>
      <c r="BA83" s="53">
        <f t="shared" si="60"/>
        <v>38238.948361945608</v>
      </c>
      <c r="BB83" s="51">
        <f t="shared" si="61"/>
        <v>6768293.8600643724</v>
      </c>
      <c r="BC83" s="52">
        <f t="shared" si="19"/>
        <v>15619.25650132963</v>
      </c>
      <c r="BD83" s="51">
        <f t="shared" si="20"/>
        <v>37486215.603191115</v>
      </c>
      <c r="BE83" s="51">
        <f t="shared" si="62"/>
        <v>6635060161.7648277</v>
      </c>
      <c r="BF83" s="54">
        <f t="shared" si="63"/>
        <v>1174405648632.3745</v>
      </c>
      <c r="BU83" s="25">
        <v>21</v>
      </c>
      <c r="BV83" s="51">
        <f t="shared" si="25"/>
        <v>177</v>
      </c>
      <c r="BW83" s="74">
        <f t="shared" si="68"/>
        <v>7.8096176782310723E-4</v>
      </c>
      <c r="BX83" s="52">
        <f t="shared" si="26"/>
        <v>16.026404401630355</v>
      </c>
      <c r="BY83" s="53">
        <f t="shared" si="69"/>
        <v>38463.370563912853</v>
      </c>
      <c r="BZ83" s="51">
        <f t="shared" si="70"/>
        <v>6808016.5898125749</v>
      </c>
      <c r="CA83" s="52">
        <f t="shared" si="27"/>
        <v>15542.737460255381</v>
      </c>
      <c r="CB83" s="51">
        <f t="shared" si="28"/>
        <v>37302569.904612914</v>
      </c>
      <c r="CC83" s="51">
        <f t="shared" si="71"/>
        <v>6602554873.1164856</v>
      </c>
      <c r="CD83" s="54">
        <f t="shared" si="72"/>
        <v>1168652212541.6179</v>
      </c>
      <c r="CS83" s="25">
        <v>21</v>
      </c>
      <c r="CT83" s="51">
        <f t="shared" si="33"/>
        <v>177</v>
      </c>
      <c r="CU83" s="74">
        <f t="shared" si="77"/>
        <v>7.8097194763976949E-4</v>
      </c>
      <c r="CV83" s="52">
        <f t="shared" si="34"/>
        <v>16.026562623187495</v>
      </c>
      <c r="CW83" s="53">
        <f t="shared" si="78"/>
        <v>38463.750295649988</v>
      </c>
      <c r="CX83" s="51">
        <f t="shared" si="79"/>
        <v>6808083.8023300478</v>
      </c>
      <c r="CY83" s="52">
        <f t="shared" si="35"/>
        <v>15542.60766759294</v>
      </c>
      <c r="CZ83" s="51">
        <f t="shared" si="36"/>
        <v>37302258.402223058</v>
      </c>
      <c r="DA83" s="51">
        <f t="shared" si="80"/>
        <v>6602499737.1934814</v>
      </c>
      <c r="DB83" s="54">
        <f t="shared" si="81"/>
        <v>1168642453483.2461</v>
      </c>
    </row>
    <row r="84" spans="1:106">
      <c r="A84" s="25">
        <v>22</v>
      </c>
      <c r="B84" s="51">
        <f t="shared" si="1"/>
        <v>171</v>
      </c>
      <c r="C84" s="74">
        <f t="shared" si="41"/>
        <v>1.3550000000000001E-3</v>
      </c>
      <c r="D84" s="52">
        <f t="shared" si="2"/>
        <v>22.847840625</v>
      </c>
      <c r="E84" s="53">
        <f t="shared" si="42"/>
        <v>54834.817499999997</v>
      </c>
      <c r="F84" s="51">
        <f t="shared" si="43"/>
        <v>9376753.7925000004</v>
      </c>
      <c r="G84" s="52">
        <f t="shared" si="3"/>
        <v>8223.75</v>
      </c>
      <c r="H84" s="51">
        <f t="shared" si="4"/>
        <v>19737000</v>
      </c>
      <c r="I84" s="51">
        <f t="shared" si="44"/>
        <v>3375027000</v>
      </c>
      <c r="J84" s="54">
        <f t="shared" si="45"/>
        <v>577129617000</v>
      </c>
      <c r="Y84" s="25">
        <v>22</v>
      </c>
      <c r="Z84" s="51">
        <f t="shared" si="9"/>
        <v>171</v>
      </c>
      <c r="AA84" s="74">
        <f t="shared" si="50"/>
        <v>6.1268859071966449E-4</v>
      </c>
      <c r="AB84" s="52">
        <f t="shared" si="10"/>
        <v>13.230464967213889</v>
      </c>
      <c r="AC84" s="53">
        <f t="shared" si="51"/>
        <v>31753.115921313332</v>
      </c>
      <c r="AD84" s="51">
        <f t="shared" si="52"/>
        <v>5429782.8225445794</v>
      </c>
      <c r="AE84" s="52">
        <f t="shared" si="11"/>
        <v>17688.220468324274</v>
      </c>
      <c r="AF84" s="51">
        <f t="shared" si="12"/>
        <v>42451729.123978257</v>
      </c>
      <c r="AG84" s="51">
        <f t="shared" si="53"/>
        <v>7259245680.2002821</v>
      </c>
      <c r="AH84" s="54">
        <f t="shared" si="54"/>
        <v>1241331011314.2483</v>
      </c>
      <c r="AW84" s="25">
        <v>22</v>
      </c>
      <c r="AX84" s="51">
        <f t="shared" si="17"/>
        <v>171</v>
      </c>
      <c r="AY84" s="74">
        <f t="shared" si="59"/>
        <v>7.5626384133771875E-4</v>
      </c>
      <c r="AZ84" s="52">
        <f t="shared" si="18"/>
        <v>15.638642343679454</v>
      </c>
      <c r="BA84" s="53">
        <f t="shared" si="60"/>
        <v>37532.741624830691</v>
      </c>
      <c r="BB84" s="51">
        <f t="shared" si="61"/>
        <v>6418098.8178460477</v>
      </c>
      <c r="BC84" s="52">
        <f t="shared" si="19"/>
        <v>15857.636022944087</v>
      </c>
      <c r="BD84" s="51">
        <f t="shared" si="20"/>
        <v>38058326.455065809</v>
      </c>
      <c r="BE84" s="51">
        <f t="shared" si="62"/>
        <v>6507973823.8162537</v>
      </c>
      <c r="BF84" s="54">
        <f t="shared" si="63"/>
        <v>1112863523872.5793</v>
      </c>
      <c r="BU84" s="25">
        <v>22</v>
      </c>
      <c r="BV84" s="51">
        <f t="shared" si="25"/>
        <v>171</v>
      </c>
      <c r="BW84" s="74">
        <f t="shared" si="68"/>
        <v>7.6214007446200917E-4</v>
      </c>
      <c r="BX84" s="52">
        <f t="shared" si="26"/>
        <v>15.731605380262632</v>
      </c>
      <c r="BY84" s="53">
        <f t="shared" si="69"/>
        <v>37755.852912630318</v>
      </c>
      <c r="BZ84" s="51">
        <f t="shared" si="70"/>
        <v>6456250.8480597846</v>
      </c>
      <c r="CA84" s="52">
        <f t="shared" si="27"/>
        <v>15782.714050609386</v>
      </c>
      <c r="CB84" s="51">
        <f t="shared" si="28"/>
        <v>37878513.721462525</v>
      </c>
      <c r="CC84" s="51">
        <f t="shared" si="71"/>
        <v>6477225846.3700914</v>
      </c>
      <c r="CD84" s="54">
        <f t="shared" si="72"/>
        <v>1107605619729.2856</v>
      </c>
      <c r="CS84" s="25">
        <v>22</v>
      </c>
      <c r="CT84" s="51">
        <f t="shared" si="33"/>
        <v>171</v>
      </c>
      <c r="CU84" s="74">
        <f t="shared" si="77"/>
        <v>7.6215004839791443E-4</v>
      </c>
      <c r="CV84" s="52">
        <f t="shared" si="34"/>
        <v>15.731762795406802</v>
      </c>
      <c r="CW84" s="53">
        <f t="shared" si="78"/>
        <v>37756.230708976327</v>
      </c>
      <c r="CX84" s="51">
        <f t="shared" si="79"/>
        <v>6456315.4512349516</v>
      </c>
      <c r="CY84" s="52">
        <f t="shared" si="35"/>
        <v>15782.586882926591</v>
      </c>
      <c r="CZ84" s="51">
        <f t="shared" si="36"/>
        <v>37878208.519023821</v>
      </c>
      <c r="DA84" s="51">
        <f t="shared" si="80"/>
        <v>6477173656.7530737</v>
      </c>
      <c r="DB84" s="54">
        <f t="shared" si="81"/>
        <v>1107596695304.7756</v>
      </c>
    </row>
    <row r="85" spans="1:106">
      <c r="A85" s="25">
        <v>23</v>
      </c>
      <c r="B85" s="51">
        <f t="shared" si="1"/>
        <v>165</v>
      </c>
      <c r="C85" s="74">
        <f t="shared" si="41"/>
        <v>1.3250000000000002E-3</v>
      </c>
      <c r="D85" s="52">
        <f t="shared" si="2"/>
        <v>22.595390625</v>
      </c>
      <c r="E85" s="53">
        <f t="shared" si="42"/>
        <v>54228.9375</v>
      </c>
      <c r="F85" s="51">
        <f t="shared" si="43"/>
        <v>8947774.6875</v>
      </c>
      <c r="G85" s="52">
        <f t="shared" si="3"/>
        <v>8606.2499999999982</v>
      </c>
      <c r="H85" s="51">
        <f t="shared" si="4"/>
        <v>20654999.999999996</v>
      </c>
      <c r="I85" s="51">
        <f t="shared" si="44"/>
        <v>3408074999.9999995</v>
      </c>
      <c r="J85" s="54">
        <f t="shared" si="45"/>
        <v>562332374999.99988</v>
      </c>
      <c r="Y85" s="25">
        <v>23</v>
      </c>
      <c r="Z85" s="51">
        <f t="shared" si="9"/>
        <v>165</v>
      </c>
      <c r="AA85" s="74">
        <f t="shared" si="50"/>
        <v>5.970264412764215E-4</v>
      </c>
      <c r="AB85" s="52">
        <f t="shared" si="10"/>
        <v>12.951865608705921</v>
      </c>
      <c r="AC85" s="53">
        <f t="shared" si="51"/>
        <v>31084.47746089421</v>
      </c>
      <c r="AD85" s="51">
        <f t="shared" si="52"/>
        <v>5128938.7810475444</v>
      </c>
      <c r="AE85" s="52">
        <f t="shared" si="11"/>
        <v>17887.912873725625</v>
      </c>
      <c r="AF85" s="51">
        <f t="shared" si="12"/>
        <v>42930990.896941498</v>
      </c>
      <c r="AG85" s="51">
        <f t="shared" si="53"/>
        <v>7083613497.995347</v>
      </c>
      <c r="AH85" s="54">
        <f t="shared" si="54"/>
        <v>1168796227169.2322</v>
      </c>
      <c r="AW85" s="25">
        <v>23</v>
      </c>
      <c r="AX85" s="51">
        <f t="shared" si="17"/>
        <v>165</v>
      </c>
      <c r="AY85" s="74">
        <f t="shared" si="59"/>
        <v>7.3756740826991815E-4</v>
      </c>
      <c r="AZ85" s="52">
        <f t="shared" si="18"/>
        <v>15.339932689777633</v>
      </c>
      <c r="BA85" s="53">
        <f t="shared" si="60"/>
        <v>36815.838455466321</v>
      </c>
      <c r="BB85" s="51">
        <f t="shared" si="61"/>
        <v>6074613.3451519432</v>
      </c>
      <c r="BC85" s="52">
        <f t="shared" si="19"/>
        <v>16096.015544558542</v>
      </c>
      <c r="BD85" s="51">
        <f t="shared" si="20"/>
        <v>38630437.306940503</v>
      </c>
      <c r="BE85" s="51">
        <f t="shared" si="62"/>
        <v>6374022155.6451826</v>
      </c>
      <c r="BF85" s="54">
        <f t="shared" si="63"/>
        <v>1051713655681.4551</v>
      </c>
      <c r="BU85" s="25">
        <v>23</v>
      </c>
      <c r="BV85" s="51">
        <f t="shared" si="25"/>
        <v>165</v>
      </c>
      <c r="BW85" s="74">
        <f t="shared" si="68"/>
        <v>7.4331838110091122E-4</v>
      </c>
      <c r="BX85" s="52">
        <f t="shared" si="26"/>
        <v>15.432289593097428</v>
      </c>
      <c r="BY85" s="53">
        <f t="shared" si="69"/>
        <v>37037.495023433825</v>
      </c>
      <c r="BZ85" s="51">
        <f t="shared" si="70"/>
        <v>6111186.6788665811</v>
      </c>
      <c r="CA85" s="52">
        <f t="shared" si="27"/>
        <v>16022.690640963383</v>
      </c>
      <c r="CB85" s="51">
        <f t="shared" si="28"/>
        <v>38454457.538312122</v>
      </c>
      <c r="CC85" s="51">
        <f t="shared" si="71"/>
        <v>6344985493.8214998</v>
      </c>
      <c r="CD85" s="54">
        <f t="shared" si="72"/>
        <v>1046922606480.5475</v>
      </c>
      <c r="CS85" s="25">
        <v>23</v>
      </c>
      <c r="CT85" s="51">
        <f t="shared" si="33"/>
        <v>165</v>
      </c>
      <c r="CU85" s="74">
        <f t="shared" si="77"/>
        <v>7.4332814915605916E-4</v>
      </c>
      <c r="CV85" s="52">
        <f t="shared" si="34"/>
        <v>15.432446103014957</v>
      </c>
      <c r="CW85" s="53">
        <f t="shared" si="78"/>
        <v>37037.870647235897</v>
      </c>
      <c r="CX85" s="51">
        <f t="shared" si="79"/>
        <v>6111248.6567939231</v>
      </c>
      <c r="CY85" s="52">
        <f t="shared" si="35"/>
        <v>16022.566098260248</v>
      </c>
      <c r="CZ85" s="51">
        <f t="shared" si="36"/>
        <v>38454158.635824591</v>
      </c>
      <c r="DA85" s="51">
        <f t="shared" si="80"/>
        <v>6344936174.9110575</v>
      </c>
      <c r="DB85" s="54">
        <f t="shared" si="81"/>
        <v>1046914468860.3245</v>
      </c>
    </row>
    <row r="86" spans="1:106">
      <c r="A86" s="25">
        <v>24</v>
      </c>
      <c r="B86" s="51">
        <f t="shared" si="1"/>
        <v>159</v>
      </c>
      <c r="C86" s="74">
        <f t="shared" si="41"/>
        <v>1.2950000000000001E-3</v>
      </c>
      <c r="D86" s="52">
        <f t="shared" si="2"/>
        <v>22.331465625000003</v>
      </c>
      <c r="E86" s="53">
        <f t="shared" si="42"/>
        <v>53595.517500000009</v>
      </c>
      <c r="F86" s="51">
        <f t="shared" si="43"/>
        <v>8521687.2825000007</v>
      </c>
      <c r="G86" s="52">
        <f t="shared" si="3"/>
        <v>8988.7499999999982</v>
      </c>
      <c r="H86" s="51">
        <f t="shared" si="4"/>
        <v>21572999.999999996</v>
      </c>
      <c r="I86" s="51">
        <f t="shared" si="44"/>
        <v>3430106999.9999995</v>
      </c>
      <c r="J86" s="54">
        <f t="shared" si="45"/>
        <v>545387012999.99994</v>
      </c>
      <c r="Y86" s="25">
        <v>24</v>
      </c>
      <c r="Z86" s="51">
        <f t="shared" si="9"/>
        <v>159</v>
      </c>
      <c r="AA86" s="74">
        <f t="shared" si="50"/>
        <v>5.813642918331784E-4</v>
      </c>
      <c r="AB86" s="52">
        <f t="shared" si="10"/>
        <v>12.670138637901877</v>
      </c>
      <c r="AC86" s="53">
        <f t="shared" si="51"/>
        <v>30408.332730964503</v>
      </c>
      <c r="AD86" s="51">
        <f t="shared" si="52"/>
        <v>4834924.9042233564</v>
      </c>
      <c r="AE86" s="52">
        <f t="shared" si="11"/>
        <v>18087.605279126976</v>
      </c>
      <c r="AF86" s="51">
        <f t="shared" si="12"/>
        <v>43410252.669904739</v>
      </c>
      <c r="AG86" s="51">
        <f t="shared" si="53"/>
        <v>6902230174.5148535</v>
      </c>
      <c r="AH86" s="54">
        <f t="shared" si="54"/>
        <v>1097454597747.8617</v>
      </c>
      <c r="AW86" s="25">
        <v>24</v>
      </c>
      <c r="AX86" s="51">
        <f t="shared" si="17"/>
        <v>159</v>
      </c>
      <c r="AY86" s="74">
        <f t="shared" si="59"/>
        <v>7.1887097520211766E-4</v>
      </c>
      <c r="AZ86" s="52">
        <f t="shared" si="18"/>
        <v>15.03676618910522</v>
      </c>
      <c r="BA86" s="53">
        <f t="shared" si="60"/>
        <v>36088.238853852527</v>
      </c>
      <c r="BB86" s="51">
        <f t="shared" si="61"/>
        <v>5738029.977762552</v>
      </c>
      <c r="BC86" s="52">
        <f t="shared" si="19"/>
        <v>16334.395066173</v>
      </c>
      <c r="BD86" s="51">
        <f t="shared" si="20"/>
        <v>39202548.158815198</v>
      </c>
      <c r="BE86" s="51">
        <f t="shared" si="62"/>
        <v>6233205157.2516165</v>
      </c>
      <c r="BF86" s="54">
        <f t="shared" si="63"/>
        <v>991079620003.00708</v>
      </c>
      <c r="BU86" s="25">
        <v>24</v>
      </c>
      <c r="BV86" s="51">
        <f t="shared" si="25"/>
        <v>159</v>
      </c>
      <c r="BW86" s="74">
        <f t="shared" si="68"/>
        <v>7.2449668773981316E-4</v>
      </c>
      <c r="BX86" s="52">
        <f t="shared" si="26"/>
        <v>15.128457040134737</v>
      </c>
      <c r="BY86" s="53">
        <f t="shared" si="69"/>
        <v>36308.296896323372</v>
      </c>
      <c r="BZ86" s="51">
        <f t="shared" si="70"/>
        <v>5773019.2065154165</v>
      </c>
      <c r="CA86" s="52">
        <f t="shared" si="27"/>
        <v>16262.667231317382</v>
      </c>
      <c r="CB86" s="51">
        <f t="shared" si="28"/>
        <v>39030401.355161719</v>
      </c>
      <c r="CC86" s="51">
        <f t="shared" si="71"/>
        <v>6205833815.4707136</v>
      </c>
      <c r="CD86" s="54">
        <f t="shared" si="72"/>
        <v>986727576659.84351</v>
      </c>
      <c r="CS86" s="25">
        <v>24</v>
      </c>
      <c r="CT86" s="51">
        <f t="shared" si="33"/>
        <v>159</v>
      </c>
      <c r="CU86" s="74">
        <f t="shared" si="77"/>
        <v>7.2450624991420389E-4</v>
      </c>
      <c r="CV86" s="52">
        <f t="shared" si="34"/>
        <v>15.128612546011965</v>
      </c>
      <c r="CW86" s="53">
        <f t="shared" si="78"/>
        <v>36308.670110428713</v>
      </c>
      <c r="CX86" s="51">
        <f t="shared" si="79"/>
        <v>5773078.5475581652</v>
      </c>
      <c r="CY86" s="52">
        <f t="shared" si="35"/>
        <v>16262.545313593901</v>
      </c>
      <c r="CZ86" s="51">
        <f t="shared" si="36"/>
        <v>39030108.752625361</v>
      </c>
      <c r="DA86" s="51">
        <f t="shared" si="80"/>
        <v>6205787291.6674328</v>
      </c>
      <c r="DB86" s="54">
        <f t="shared" si="81"/>
        <v>986720179375.12183</v>
      </c>
    </row>
    <row r="87" spans="1:106">
      <c r="A87" s="25">
        <v>25</v>
      </c>
      <c r="B87" s="51">
        <f t="shared" si="1"/>
        <v>153</v>
      </c>
      <c r="C87" s="74">
        <f t="shared" si="41"/>
        <v>1.2650000000000001E-3</v>
      </c>
      <c r="D87" s="52">
        <f t="shared" si="2"/>
        <v>22.056065624999999</v>
      </c>
      <c r="E87" s="53">
        <f t="shared" si="42"/>
        <v>52934.557499999995</v>
      </c>
      <c r="F87" s="51">
        <f t="shared" si="43"/>
        <v>8098987.2974999994</v>
      </c>
      <c r="G87" s="52">
        <f t="shared" si="3"/>
        <v>9371.2499999999982</v>
      </c>
      <c r="H87" s="51">
        <f t="shared" si="4"/>
        <v>22490999.999999996</v>
      </c>
      <c r="I87" s="51">
        <f t="shared" si="44"/>
        <v>3441122999.9999995</v>
      </c>
      <c r="J87" s="54">
        <f t="shared" si="45"/>
        <v>526491818999.99994</v>
      </c>
      <c r="Y87" s="25">
        <v>25</v>
      </c>
      <c r="Z87" s="51">
        <f t="shared" si="9"/>
        <v>153</v>
      </c>
      <c r="AA87" s="74">
        <f t="shared" si="50"/>
        <v>5.657021423899353E-4</v>
      </c>
      <c r="AB87" s="52">
        <f t="shared" si="10"/>
        <v>12.385284054801762</v>
      </c>
      <c r="AC87" s="53">
        <f t="shared" si="51"/>
        <v>29724.68173152423</v>
      </c>
      <c r="AD87" s="51">
        <f t="shared" si="52"/>
        <v>4547876.3049232075</v>
      </c>
      <c r="AE87" s="52">
        <f t="shared" si="11"/>
        <v>18287.297684528323</v>
      </c>
      <c r="AF87" s="51">
        <f t="shared" si="12"/>
        <v>43889514.442867972</v>
      </c>
      <c r="AG87" s="51">
        <f t="shared" si="53"/>
        <v>6715095709.7587996</v>
      </c>
      <c r="AH87" s="54">
        <f t="shared" si="54"/>
        <v>1027409643593.0963</v>
      </c>
      <c r="AW87" s="25">
        <v>25</v>
      </c>
      <c r="AX87" s="51">
        <f t="shared" si="17"/>
        <v>153</v>
      </c>
      <c r="AY87" s="74">
        <f t="shared" si="59"/>
        <v>7.0017454213431706E-4</v>
      </c>
      <c r="AZ87" s="52">
        <f t="shared" si="18"/>
        <v>14.729142841662204</v>
      </c>
      <c r="BA87" s="53">
        <f t="shared" si="60"/>
        <v>35349.942819989294</v>
      </c>
      <c r="BB87" s="51">
        <f t="shared" si="61"/>
        <v>5408541.2514583617</v>
      </c>
      <c r="BC87" s="52">
        <f t="shared" si="19"/>
        <v>16572.774587787459</v>
      </c>
      <c r="BD87" s="51">
        <f t="shared" si="20"/>
        <v>39774659.010689899</v>
      </c>
      <c r="BE87" s="51">
        <f t="shared" si="62"/>
        <v>6085522828.6355543</v>
      </c>
      <c r="BF87" s="54">
        <f t="shared" si="63"/>
        <v>931084992781.23987</v>
      </c>
      <c r="BU87" s="25">
        <v>25</v>
      </c>
      <c r="BV87" s="51">
        <f t="shared" si="25"/>
        <v>153</v>
      </c>
      <c r="BW87" s="74">
        <f t="shared" si="68"/>
        <v>7.0567499437871521E-4</v>
      </c>
      <c r="BX87" s="52">
        <f t="shared" si="26"/>
        <v>14.82010772137456</v>
      </c>
      <c r="BY87" s="53">
        <f t="shared" si="69"/>
        <v>35568.258531298947</v>
      </c>
      <c r="BZ87" s="51">
        <f t="shared" si="70"/>
        <v>5441943.5552887386</v>
      </c>
      <c r="CA87" s="52">
        <f t="shared" si="27"/>
        <v>16502.643821671383</v>
      </c>
      <c r="CB87" s="51">
        <f t="shared" si="28"/>
        <v>39606345.172011323</v>
      </c>
      <c r="CC87" s="51">
        <f t="shared" si="71"/>
        <v>6059770811.3177328</v>
      </c>
      <c r="CD87" s="54">
        <f t="shared" si="72"/>
        <v>927144934131.61316</v>
      </c>
      <c r="CS87" s="25">
        <v>25</v>
      </c>
      <c r="CT87" s="51">
        <f t="shared" si="33"/>
        <v>153</v>
      </c>
      <c r="CU87" s="74">
        <f t="shared" si="77"/>
        <v>7.0568435067234884E-4</v>
      </c>
      <c r="CV87" s="52">
        <f t="shared" si="34"/>
        <v>14.82026212439782</v>
      </c>
      <c r="CW87" s="53">
        <f t="shared" si="78"/>
        <v>35568.629098554768</v>
      </c>
      <c r="CX87" s="51">
        <f t="shared" si="79"/>
        <v>5442000.2520788796</v>
      </c>
      <c r="CY87" s="52">
        <f t="shared" si="35"/>
        <v>16502.524528927555</v>
      </c>
      <c r="CZ87" s="51">
        <f t="shared" si="36"/>
        <v>39606058.869426131</v>
      </c>
      <c r="DA87" s="51">
        <f t="shared" si="80"/>
        <v>6059727007.0221977</v>
      </c>
      <c r="DB87" s="54">
        <f t="shared" si="81"/>
        <v>927138232074.39624</v>
      </c>
    </row>
    <row r="88" spans="1:106">
      <c r="A88" s="25">
        <v>26</v>
      </c>
      <c r="B88" s="51">
        <f t="shared" si="1"/>
        <v>147</v>
      </c>
      <c r="C88" s="74">
        <f t="shared" si="41"/>
        <v>1.235E-3</v>
      </c>
      <c r="D88" s="52">
        <f t="shared" si="2"/>
        <v>21.769190625</v>
      </c>
      <c r="E88" s="53">
        <f t="shared" si="42"/>
        <v>52246.057500000003</v>
      </c>
      <c r="F88" s="51">
        <f t="shared" si="43"/>
        <v>7680170.4525000006</v>
      </c>
      <c r="G88" s="52">
        <f t="shared" si="3"/>
        <v>9753.7500000000018</v>
      </c>
      <c r="H88" s="51">
        <f t="shared" si="4"/>
        <v>23409000.000000004</v>
      </c>
      <c r="I88" s="51">
        <f t="shared" si="44"/>
        <v>3441123000.0000005</v>
      </c>
      <c r="J88" s="54">
        <f t="shared" si="45"/>
        <v>505845081000.00006</v>
      </c>
      <c r="Y88" s="25">
        <v>26</v>
      </c>
      <c r="Z88" s="51">
        <f t="shared" si="9"/>
        <v>147</v>
      </c>
      <c r="AA88" s="74">
        <f t="shared" si="50"/>
        <v>5.5003999294669231E-4</v>
      </c>
      <c r="AB88" s="52">
        <f t="shared" si="10"/>
        <v>12.097301859405572</v>
      </c>
      <c r="AC88" s="53">
        <f t="shared" si="51"/>
        <v>29033.524462573372</v>
      </c>
      <c r="AD88" s="51">
        <f t="shared" si="52"/>
        <v>4267928.0959982853</v>
      </c>
      <c r="AE88" s="52">
        <f t="shared" si="11"/>
        <v>18486.990089929674</v>
      </c>
      <c r="AF88" s="51">
        <f t="shared" si="12"/>
        <v>44368776.21583122</v>
      </c>
      <c r="AG88" s="51">
        <f t="shared" si="53"/>
        <v>6522210103.7271891</v>
      </c>
      <c r="AH88" s="54">
        <f t="shared" si="54"/>
        <v>958764885247.89685</v>
      </c>
      <c r="AW88" s="25">
        <v>26</v>
      </c>
      <c r="AX88" s="51">
        <f t="shared" si="17"/>
        <v>147</v>
      </c>
      <c r="AY88" s="74">
        <f t="shared" si="59"/>
        <v>6.8147810906651657E-4</v>
      </c>
      <c r="AZ88" s="52">
        <f t="shared" si="18"/>
        <v>14.417062647448592</v>
      </c>
      <c r="BA88" s="53">
        <f t="shared" si="60"/>
        <v>34600.950353876622</v>
      </c>
      <c r="BB88" s="51">
        <f t="shared" si="61"/>
        <v>5086339.7020198638</v>
      </c>
      <c r="BC88" s="52">
        <f t="shared" si="19"/>
        <v>16811.154109401916</v>
      </c>
      <c r="BD88" s="51">
        <f t="shared" si="20"/>
        <v>40346769.862564601</v>
      </c>
      <c r="BE88" s="51">
        <f t="shared" si="62"/>
        <v>5930975169.7969961</v>
      </c>
      <c r="BF88" s="54">
        <f t="shared" si="63"/>
        <v>871853349960.15845</v>
      </c>
      <c r="BU88" s="25">
        <v>26</v>
      </c>
      <c r="BV88" s="51">
        <f t="shared" si="25"/>
        <v>147</v>
      </c>
      <c r="BW88" s="74">
        <f t="shared" si="68"/>
        <v>6.8685330101761716E-4</v>
      </c>
      <c r="BX88" s="52">
        <f t="shared" si="26"/>
        <v>14.507241636816904</v>
      </c>
      <c r="BY88" s="53">
        <f t="shared" si="69"/>
        <v>34817.379928360569</v>
      </c>
      <c r="BZ88" s="51">
        <f t="shared" si="70"/>
        <v>5118154.8494690033</v>
      </c>
      <c r="CA88" s="52">
        <f t="shared" si="27"/>
        <v>16742.620412025379</v>
      </c>
      <c r="CB88" s="51">
        <f t="shared" si="28"/>
        <v>40182288.988860913</v>
      </c>
      <c r="CC88" s="51">
        <f t="shared" si="71"/>
        <v>5906796481.3625546</v>
      </c>
      <c r="CD88" s="54">
        <f t="shared" si="72"/>
        <v>868299082760.29553</v>
      </c>
      <c r="CS88" s="25">
        <v>26</v>
      </c>
      <c r="CT88" s="51">
        <f t="shared" si="33"/>
        <v>147</v>
      </c>
      <c r="CU88" s="74">
        <f t="shared" si="77"/>
        <v>6.8686245143049357E-4</v>
      </c>
      <c r="CV88" s="52">
        <f t="shared" si="34"/>
        <v>14.507394838172525</v>
      </c>
      <c r="CW88" s="53">
        <f t="shared" si="78"/>
        <v>34817.747611614061</v>
      </c>
      <c r="CX88" s="51">
        <f t="shared" si="79"/>
        <v>5118208.8989072666</v>
      </c>
      <c r="CY88" s="52">
        <f t="shared" si="35"/>
        <v>16742.503744261208</v>
      </c>
      <c r="CZ88" s="51">
        <f t="shared" si="36"/>
        <v>40182008.986226901</v>
      </c>
      <c r="DA88" s="51">
        <f t="shared" si="80"/>
        <v>5906755320.9753542</v>
      </c>
      <c r="DB88" s="54">
        <f t="shared" si="81"/>
        <v>868293032183.37708</v>
      </c>
    </row>
    <row r="89" spans="1:106">
      <c r="A89" s="25">
        <v>27</v>
      </c>
      <c r="B89" s="51">
        <f t="shared" si="1"/>
        <v>141</v>
      </c>
      <c r="C89" s="74">
        <f t="shared" si="41"/>
        <v>1.2049999999999999E-3</v>
      </c>
      <c r="D89" s="52">
        <f t="shared" si="2"/>
        <v>21.470840624999997</v>
      </c>
      <c r="E89" s="53">
        <f t="shared" si="42"/>
        <v>51530.017499999994</v>
      </c>
      <c r="F89" s="51">
        <f t="shared" si="43"/>
        <v>7265732.4674999993</v>
      </c>
      <c r="G89" s="52">
        <f t="shared" si="3"/>
        <v>10136.250000000002</v>
      </c>
      <c r="H89" s="51">
        <f t="shared" si="4"/>
        <v>24327000.000000004</v>
      </c>
      <c r="I89" s="51">
        <f t="shared" si="44"/>
        <v>3430107000.0000005</v>
      </c>
      <c r="J89" s="54">
        <f t="shared" si="45"/>
        <v>483645087000.00006</v>
      </c>
      <c r="Y89" s="25">
        <v>27</v>
      </c>
      <c r="Z89" s="51">
        <f t="shared" si="9"/>
        <v>141</v>
      </c>
      <c r="AA89" s="74">
        <f t="shared" si="50"/>
        <v>5.3437784350344932E-4</v>
      </c>
      <c r="AB89" s="52">
        <f t="shared" si="10"/>
        <v>11.806192051713303</v>
      </c>
      <c r="AC89" s="53">
        <f t="shared" si="51"/>
        <v>28334.860924111927</v>
      </c>
      <c r="AD89" s="51">
        <f t="shared" si="52"/>
        <v>3995215.3902997817</v>
      </c>
      <c r="AE89" s="52">
        <f t="shared" si="11"/>
        <v>18686.682495331021</v>
      </c>
      <c r="AF89" s="51">
        <f t="shared" si="12"/>
        <v>44848037.988794446</v>
      </c>
      <c r="AG89" s="51">
        <f t="shared" si="53"/>
        <v>6323573356.4200172</v>
      </c>
      <c r="AH89" s="54">
        <f t="shared" si="54"/>
        <v>891623843255.22241</v>
      </c>
      <c r="AW89" s="25">
        <v>27</v>
      </c>
      <c r="AX89" s="51">
        <f t="shared" si="17"/>
        <v>141</v>
      </c>
      <c r="AY89" s="74">
        <f t="shared" si="59"/>
        <v>6.6278167599871597E-4</v>
      </c>
      <c r="AZ89" s="52">
        <f t="shared" si="18"/>
        <v>14.100525606464378</v>
      </c>
      <c r="BA89" s="53">
        <f t="shared" si="60"/>
        <v>33841.261455514512</v>
      </c>
      <c r="BB89" s="51">
        <f t="shared" si="61"/>
        <v>4771617.8652275465</v>
      </c>
      <c r="BC89" s="52">
        <f t="shared" si="19"/>
        <v>17049.533631016373</v>
      </c>
      <c r="BD89" s="51">
        <f t="shared" si="20"/>
        <v>40918880.714439295</v>
      </c>
      <c r="BE89" s="51">
        <f t="shared" si="62"/>
        <v>5769562180.7359409</v>
      </c>
      <c r="BF89" s="54">
        <f t="shared" si="63"/>
        <v>813508267483.7677</v>
      </c>
      <c r="BU89" s="25">
        <v>27</v>
      </c>
      <c r="BV89" s="51">
        <f t="shared" si="25"/>
        <v>141</v>
      </c>
      <c r="BW89" s="74">
        <f t="shared" si="68"/>
        <v>6.6803160765651921E-4</v>
      </c>
      <c r="BX89" s="52">
        <f t="shared" si="26"/>
        <v>14.189858786461759</v>
      </c>
      <c r="BY89" s="53">
        <f t="shared" si="69"/>
        <v>34055.661087508219</v>
      </c>
      <c r="BZ89" s="51">
        <f t="shared" si="70"/>
        <v>4801848.2133386591</v>
      </c>
      <c r="CA89" s="52">
        <f t="shared" si="27"/>
        <v>16982.597002379382</v>
      </c>
      <c r="CB89" s="51">
        <f t="shared" si="28"/>
        <v>40758232.805710517</v>
      </c>
      <c r="CC89" s="51">
        <f t="shared" si="71"/>
        <v>5746910825.6051826</v>
      </c>
      <c r="CD89" s="54">
        <f t="shared" si="72"/>
        <v>810314426410.33081</v>
      </c>
      <c r="CS89" s="25">
        <v>27</v>
      </c>
      <c r="CT89" s="51">
        <f t="shared" si="33"/>
        <v>141</v>
      </c>
      <c r="CU89" s="74">
        <f t="shared" si="77"/>
        <v>6.680405521886383E-4</v>
      </c>
      <c r="CV89" s="52">
        <f t="shared" si="34"/>
        <v>14.190010687336084</v>
      </c>
      <c r="CW89" s="53">
        <f t="shared" si="78"/>
        <v>34056.025649606599</v>
      </c>
      <c r="CX89" s="51">
        <f t="shared" si="79"/>
        <v>4801899.6165945306</v>
      </c>
      <c r="CY89" s="52">
        <f t="shared" si="35"/>
        <v>16982.482959594861</v>
      </c>
      <c r="CZ89" s="51">
        <f t="shared" si="36"/>
        <v>40757959.103027664</v>
      </c>
      <c r="DA89" s="51">
        <f t="shared" si="80"/>
        <v>5746872233.5269003</v>
      </c>
      <c r="DB89" s="54">
        <f t="shared" si="81"/>
        <v>810308984927.29297</v>
      </c>
    </row>
    <row r="90" spans="1:106">
      <c r="A90" s="25">
        <v>28</v>
      </c>
      <c r="B90" s="51">
        <f t="shared" si="1"/>
        <v>135</v>
      </c>
      <c r="C90" s="74">
        <f t="shared" si="41"/>
        <v>1.175E-3</v>
      </c>
      <c r="D90" s="52">
        <f t="shared" si="2"/>
        <v>21.161015624999997</v>
      </c>
      <c r="E90" s="53">
        <f t="shared" si="42"/>
        <v>50786.437499999993</v>
      </c>
      <c r="F90" s="51">
        <f t="shared" si="43"/>
        <v>6856169.0624999991</v>
      </c>
      <c r="G90" s="52">
        <f t="shared" si="3"/>
        <v>10518.75</v>
      </c>
      <c r="H90" s="51">
        <f t="shared" si="4"/>
        <v>25245000</v>
      </c>
      <c r="I90" s="51">
        <f t="shared" si="44"/>
        <v>3408075000</v>
      </c>
      <c r="J90" s="54">
        <f t="shared" si="45"/>
        <v>460090125000</v>
      </c>
      <c r="Y90" s="25">
        <v>28</v>
      </c>
      <c r="Z90" s="51">
        <f t="shared" si="9"/>
        <v>135</v>
      </c>
      <c r="AA90" s="74">
        <f t="shared" si="50"/>
        <v>5.1871569406020622E-4</v>
      </c>
      <c r="AB90" s="52">
        <f t="shared" si="10"/>
        <v>11.511954631724956</v>
      </c>
      <c r="AC90" s="53">
        <f t="shared" si="51"/>
        <v>27628.691116139893</v>
      </c>
      <c r="AD90" s="51">
        <f t="shared" si="52"/>
        <v>3729873.3006788855</v>
      </c>
      <c r="AE90" s="52">
        <f t="shared" si="11"/>
        <v>18886.374900732371</v>
      </c>
      <c r="AF90" s="51">
        <f t="shared" si="12"/>
        <v>45327299.761757694</v>
      </c>
      <c r="AG90" s="51">
        <f t="shared" si="53"/>
        <v>6119185467.8372889</v>
      </c>
      <c r="AH90" s="54">
        <f t="shared" si="54"/>
        <v>826090038158.03394</v>
      </c>
      <c r="AW90" s="25">
        <v>28</v>
      </c>
      <c r="AX90" s="51">
        <f t="shared" si="17"/>
        <v>135</v>
      </c>
      <c r="AY90" s="74">
        <f t="shared" si="59"/>
        <v>6.4408524293091548E-4</v>
      </c>
      <c r="AZ90" s="52">
        <f t="shared" si="18"/>
        <v>13.779531718709569</v>
      </c>
      <c r="BA90" s="53">
        <f t="shared" si="60"/>
        <v>33070.876124902963</v>
      </c>
      <c r="BB90" s="51">
        <f t="shared" si="61"/>
        <v>4464568.2768619005</v>
      </c>
      <c r="BC90" s="52">
        <f t="shared" si="19"/>
        <v>17287.91315263083</v>
      </c>
      <c r="BD90" s="51">
        <f t="shared" si="20"/>
        <v>41490991.566313989</v>
      </c>
      <c r="BE90" s="51">
        <f t="shared" si="62"/>
        <v>5601283861.4523888</v>
      </c>
      <c r="BF90" s="54">
        <f t="shared" si="63"/>
        <v>756173321296.07251</v>
      </c>
      <c r="BU90" s="25">
        <v>28</v>
      </c>
      <c r="BV90" s="51">
        <f t="shared" si="25"/>
        <v>135</v>
      </c>
      <c r="BW90" s="74">
        <f t="shared" si="68"/>
        <v>6.4920991429542126E-4</v>
      </c>
      <c r="BX90" s="52">
        <f t="shared" si="26"/>
        <v>13.867959170309131</v>
      </c>
      <c r="BY90" s="53">
        <f t="shared" si="69"/>
        <v>33283.102008741917</v>
      </c>
      <c r="BZ90" s="51">
        <f t="shared" si="70"/>
        <v>4493218.7711801585</v>
      </c>
      <c r="CA90" s="52">
        <f t="shared" si="27"/>
        <v>17222.573592733377</v>
      </c>
      <c r="CB90" s="51">
        <f t="shared" si="28"/>
        <v>41334176.622560106</v>
      </c>
      <c r="CC90" s="51">
        <f t="shared" si="71"/>
        <v>5580113844.0456142</v>
      </c>
      <c r="CD90" s="54">
        <f t="shared" si="72"/>
        <v>753315368946.15796</v>
      </c>
      <c r="CS90" s="25">
        <v>28</v>
      </c>
      <c r="CT90" s="51">
        <f t="shared" si="33"/>
        <v>135</v>
      </c>
      <c r="CU90" s="74">
        <f t="shared" si="77"/>
        <v>6.4921865294678314E-4</v>
      </c>
      <c r="CV90" s="52">
        <f t="shared" si="34"/>
        <v>13.868109671888494</v>
      </c>
      <c r="CW90" s="53">
        <f t="shared" si="78"/>
        <v>33283.463212532384</v>
      </c>
      <c r="CX90" s="51">
        <f t="shared" si="79"/>
        <v>4493267.5336918719</v>
      </c>
      <c r="CY90" s="52">
        <f t="shared" si="35"/>
        <v>17222.462174928514</v>
      </c>
      <c r="CZ90" s="51">
        <f t="shared" si="36"/>
        <v>41333909.219828434</v>
      </c>
      <c r="DA90" s="51">
        <f t="shared" si="80"/>
        <v>5580077744.6768389</v>
      </c>
      <c r="DB90" s="54">
        <f t="shared" si="81"/>
        <v>753310495531.37329</v>
      </c>
    </row>
    <row r="91" spans="1:106">
      <c r="A91" s="25">
        <v>29</v>
      </c>
      <c r="B91" s="51">
        <f t="shared" si="1"/>
        <v>129</v>
      </c>
      <c r="C91" s="74">
        <f t="shared" si="41"/>
        <v>1.1450000000000002E-3</v>
      </c>
      <c r="D91" s="52">
        <f t="shared" si="2"/>
        <v>20.839715625</v>
      </c>
      <c r="E91" s="53">
        <f t="shared" si="42"/>
        <v>50015.317499999997</v>
      </c>
      <c r="F91" s="51">
        <f t="shared" si="43"/>
        <v>6451975.9574999996</v>
      </c>
      <c r="G91" s="52">
        <f t="shared" si="3"/>
        <v>10901.249999999996</v>
      </c>
      <c r="H91" s="51">
        <f t="shared" si="4"/>
        <v>26162999.999999993</v>
      </c>
      <c r="I91" s="51">
        <f t="shared" si="44"/>
        <v>3375026999.999999</v>
      </c>
      <c r="J91" s="54">
        <f t="shared" si="45"/>
        <v>435378482999.99988</v>
      </c>
      <c r="Y91" s="25">
        <v>29</v>
      </c>
      <c r="Z91" s="51">
        <f t="shared" si="9"/>
        <v>129</v>
      </c>
      <c r="AA91" s="74">
        <f t="shared" si="50"/>
        <v>5.0305354461696312E-4</v>
      </c>
      <c r="AB91" s="52">
        <f t="shared" si="10"/>
        <v>11.214589599440528</v>
      </c>
      <c r="AC91" s="53">
        <f t="shared" si="51"/>
        <v>26915.015038657268</v>
      </c>
      <c r="AD91" s="51">
        <f t="shared" si="52"/>
        <v>3472036.9399867877</v>
      </c>
      <c r="AE91" s="52">
        <f t="shared" si="11"/>
        <v>19086.067306133722</v>
      </c>
      <c r="AF91" s="51">
        <f t="shared" si="12"/>
        <v>45806561.534720935</v>
      </c>
      <c r="AG91" s="51">
        <f t="shared" si="53"/>
        <v>5909046437.979001</v>
      </c>
      <c r="AH91" s="54">
        <f t="shared" si="54"/>
        <v>762266990499.29114</v>
      </c>
      <c r="AW91" s="25">
        <v>29</v>
      </c>
      <c r="AX91" s="51">
        <f t="shared" si="17"/>
        <v>129</v>
      </c>
      <c r="AY91" s="74">
        <f t="shared" si="59"/>
        <v>6.2538880986311488E-4</v>
      </c>
      <c r="AZ91" s="52">
        <f t="shared" si="18"/>
        <v>13.454080984184156</v>
      </c>
      <c r="BA91" s="53">
        <f t="shared" si="60"/>
        <v>32289.794362041976</v>
      </c>
      <c r="BB91" s="51">
        <f t="shared" si="61"/>
        <v>4165383.472703415</v>
      </c>
      <c r="BC91" s="52">
        <f t="shared" si="19"/>
        <v>17526.292674245287</v>
      </c>
      <c r="BD91" s="51">
        <f t="shared" si="20"/>
        <v>42063102.418188691</v>
      </c>
      <c r="BE91" s="51">
        <f t="shared" si="62"/>
        <v>5426140211.9463415</v>
      </c>
      <c r="BF91" s="54">
        <f t="shared" si="63"/>
        <v>699972087341.078</v>
      </c>
      <c r="BU91" s="25">
        <v>29</v>
      </c>
      <c r="BV91" s="51">
        <f t="shared" si="25"/>
        <v>129</v>
      </c>
      <c r="BW91" s="74">
        <f t="shared" si="68"/>
        <v>6.303882209343232E-4</v>
      </c>
      <c r="BX91" s="52">
        <f t="shared" si="26"/>
        <v>13.541542788359017</v>
      </c>
      <c r="BY91" s="53">
        <f t="shared" si="69"/>
        <v>32499.702692061641</v>
      </c>
      <c r="BZ91" s="51">
        <f t="shared" si="70"/>
        <v>4192461.6472759517</v>
      </c>
      <c r="CA91" s="52">
        <f t="shared" si="27"/>
        <v>17462.55018308738</v>
      </c>
      <c r="CB91" s="51">
        <f t="shared" si="28"/>
        <v>41910120.43940971</v>
      </c>
      <c r="CC91" s="51">
        <f t="shared" si="71"/>
        <v>5406405536.6838522</v>
      </c>
      <c r="CD91" s="54">
        <f t="shared" si="72"/>
        <v>697426314232.21692</v>
      </c>
      <c r="CS91" s="25">
        <v>29</v>
      </c>
      <c r="CT91" s="51">
        <f t="shared" si="33"/>
        <v>129</v>
      </c>
      <c r="CU91" s="74">
        <f t="shared" si="77"/>
        <v>6.3039675370492798E-4</v>
      </c>
      <c r="CV91" s="52">
        <f t="shared" si="34"/>
        <v>13.54169179182975</v>
      </c>
      <c r="CW91" s="53">
        <f t="shared" si="78"/>
        <v>32500.0603003914</v>
      </c>
      <c r="CX91" s="51">
        <f t="shared" si="79"/>
        <v>4192507.7787504904</v>
      </c>
      <c r="CY91" s="52">
        <f t="shared" si="35"/>
        <v>17462.441390262167</v>
      </c>
      <c r="CZ91" s="51">
        <f t="shared" si="36"/>
        <v>41909859.336629204</v>
      </c>
      <c r="DA91" s="51">
        <f t="shared" si="80"/>
        <v>5406371854.4251671</v>
      </c>
      <c r="DB91" s="54">
        <f t="shared" si="81"/>
        <v>697421969220.84656</v>
      </c>
    </row>
    <row r="92" spans="1:106">
      <c r="A92" s="25">
        <v>30</v>
      </c>
      <c r="B92" s="51">
        <f t="shared" si="1"/>
        <v>123</v>
      </c>
      <c r="C92" s="74">
        <f t="shared" si="41"/>
        <v>1.1150000000000001E-3</v>
      </c>
      <c r="D92" s="52">
        <f t="shared" si="2"/>
        <v>20.506940624999999</v>
      </c>
      <c r="E92" s="53">
        <f t="shared" si="42"/>
        <v>49216.657499999994</v>
      </c>
      <c r="F92" s="51">
        <f t="shared" si="43"/>
        <v>6053648.8724999996</v>
      </c>
      <c r="G92" s="52">
        <f t="shared" si="3"/>
        <v>11283.75</v>
      </c>
      <c r="H92" s="51">
        <f t="shared" si="4"/>
        <v>27081000</v>
      </c>
      <c r="I92" s="51">
        <f t="shared" si="44"/>
        <v>3330963000</v>
      </c>
      <c r="J92" s="54">
        <f t="shared" si="45"/>
        <v>409708449000</v>
      </c>
      <c r="Y92" s="25">
        <v>30</v>
      </c>
      <c r="Z92" s="51">
        <f t="shared" si="9"/>
        <v>123</v>
      </c>
      <c r="AA92" s="74">
        <f t="shared" si="50"/>
        <v>4.8739139517372008E-4</v>
      </c>
      <c r="AB92" s="52">
        <f t="shared" si="10"/>
        <v>10.914096954860032</v>
      </c>
      <c r="AC92" s="53">
        <f t="shared" si="51"/>
        <v>26193.832691664076</v>
      </c>
      <c r="AD92" s="51">
        <f t="shared" si="52"/>
        <v>3221841.4210746814</v>
      </c>
      <c r="AE92" s="52">
        <f t="shared" si="11"/>
        <v>19285.759711535069</v>
      </c>
      <c r="AF92" s="51">
        <f t="shared" si="12"/>
        <v>46285823.307684168</v>
      </c>
      <c r="AG92" s="51">
        <f t="shared" si="53"/>
        <v>5693156266.8451529</v>
      </c>
      <c r="AH92" s="54">
        <f t="shared" si="54"/>
        <v>700258220821.95386</v>
      </c>
      <c r="AW92" s="25">
        <v>30</v>
      </c>
      <c r="AX92" s="51">
        <f t="shared" si="17"/>
        <v>123</v>
      </c>
      <c r="AY92" s="74">
        <f t="shared" si="59"/>
        <v>6.0669237679531439E-4</v>
      </c>
      <c r="AZ92" s="52">
        <f t="shared" si="18"/>
        <v>13.124173402888147</v>
      </c>
      <c r="BA92" s="53">
        <f t="shared" si="60"/>
        <v>31498.016166931553</v>
      </c>
      <c r="BB92" s="51">
        <f t="shared" si="61"/>
        <v>3874255.9885325809</v>
      </c>
      <c r="BC92" s="52">
        <f t="shared" si="19"/>
        <v>17764.672195859745</v>
      </c>
      <c r="BD92" s="51">
        <f t="shared" si="20"/>
        <v>42635213.270063385</v>
      </c>
      <c r="BE92" s="51">
        <f t="shared" si="62"/>
        <v>5244131232.2177963</v>
      </c>
      <c r="BF92" s="54">
        <f t="shared" si="63"/>
        <v>645028141562.78894</v>
      </c>
      <c r="BU92" s="25">
        <v>30</v>
      </c>
      <c r="BV92" s="51">
        <f t="shared" si="25"/>
        <v>123</v>
      </c>
      <c r="BW92" s="74">
        <f t="shared" si="68"/>
        <v>6.1156652757322514E-4</v>
      </c>
      <c r="BX92" s="52">
        <f t="shared" si="26"/>
        <v>13.210609640611416</v>
      </c>
      <c r="BY92" s="53">
        <f t="shared" si="69"/>
        <v>31705.463137467399</v>
      </c>
      <c r="BZ92" s="51">
        <f t="shared" si="70"/>
        <v>3899771.9659084901</v>
      </c>
      <c r="CA92" s="52">
        <f t="shared" si="27"/>
        <v>17702.526773441379</v>
      </c>
      <c r="CB92" s="51">
        <f t="shared" si="28"/>
        <v>42486064.256259307</v>
      </c>
      <c r="CC92" s="51">
        <f t="shared" si="71"/>
        <v>5225785903.5198946</v>
      </c>
      <c r="CD92" s="54">
        <f t="shared" si="72"/>
        <v>642771666132.94702</v>
      </c>
      <c r="CS92" s="25">
        <v>30</v>
      </c>
      <c r="CT92" s="51">
        <f t="shared" si="33"/>
        <v>123</v>
      </c>
      <c r="CU92" s="74">
        <f t="shared" si="77"/>
        <v>6.1157485446307271E-4</v>
      </c>
      <c r="CV92" s="52">
        <f t="shared" si="34"/>
        <v>13.210757047159861</v>
      </c>
      <c r="CW92" s="53">
        <f t="shared" si="78"/>
        <v>31705.816913183666</v>
      </c>
      <c r="CX92" s="51">
        <f t="shared" si="79"/>
        <v>3899815.4803215908</v>
      </c>
      <c r="CY92" s="52">
        <f t="shared" si="35"/>
        <v>17702.42060559582</v>
      </c>
      <c r="CZ92" s="51">
        <f t="shared" si="36"/>
        <v>42485809.453429967</v>
      </c>
      <c r="DA92" s="51">
        <f t="shared" si="80"/>
        <v>5225754562.7718859</v>
      </c>
      <c r="DB92" s="54">
        <f t="shared" si="81"/>
        <v>642767811220.94202</v>
      </c>
    </row>
    <row r="93" spans="1:106">
      <c r="A93" s="25">
        <v>31</v>
      </c>
      <c r="B93" s="51">
        <f t="shared" si="1"/>
        <v>117</v>
      </c>
      <c r="C93" s="74">
        <f t="shared" si="41"/>
        <v>1.085E-3</v>
      </c>
      <c r="D93" s="52">
        <f t="shared" si="2"/>
        <v>20.162690625</v>
      </c>
      <c r="E93" s="53">
        <f t="shared" si="42"/>
        <v>48390.457499999997</v>
      </c>
      <c r="F93" s="51">
        <f t="shared" si="43"/>
        <v>5661683.5274999999</v>
      </c>
      <c r="G93" s="52">
        <f t="shared" si="3"/>
        <v>11666.25</v>
      </c>
      <c r="H93" s="51">
        <f t="shared" si="4"/>
        <v>27999000</v>
      </c>
      <c r="I93" s="51">
        <f t="shared" si="44"/>
        <v>3275883000</v>
      </c>
      <c r="J93" s="54">
        <f t="shared" si="45"/>
        <v>383278311000</v>
      </c>
      <c r="Y93" s="25">
        <v>31</v>
      </c>
      <c r="Z93" s="51">
        <f t="shared" si="9"/>
        <v>117</v>
      </c>
      <c r="AA93" s="74">
        <f t="shared" si="50"/>
        <v>4.7172924573047703E-4</v>
      </c>
      <c r="AB93" s="52">
        <f t="shared" si="10"/>
        <v>10.610476697983454</v>
      </c>
      <c r="AC93" s="53">
        <f t="shared" si="51"/>
        <v>25465.14407516029</v>
      </c>
      <c r="AD93" s="51">
        <f t="shared" si="52"/>
        <v>2979421.8567937538</v>
      </c>
      <c r="AE93" s="52">
        <f t="shared" si="11"/>
        <v>19485.452116936416</v>
      </c>
      <c r="AF93" s="51">
        <f t="shared" si="12"/>
        <v>46765085.080647402</v>
      </c>
      <c r="AG93" s="51">
        <f t="shared" si="53"/>
        <v>5471514954.4357462</v>
      </c>
      <c r="AH93" s="54">
        <f t="shared" si="54"/>
        <v>640167249668.9823</v>
      </c>
      <c r="AW93" s="25">
        <v>31</v>
      </c>
      <c r="AX93" s="51">
        <f t="shared" si="17"/>
        <v>117</v>
      </c>
      <c r="AY93" s="74">
        <f t="shared" si="59"/>
        <v>5.879959437275139E-4</v>
      </c>
      <c r="AZ93" s="52">
        <f t="shared" si="18"/>
        <v>12.789808974821542</v>
      </c>
      <c r="BA93" s="53">
        <f t="shared" si="60"/>
        <v>30695.541539571699</v>
      </c>
      <c r="BB93" s="51">
        <f t="shared" si="61"/>
        <v>3591378.3601298886</v>
      </c>
      <c r="BC93" s="52">
        <f t="shared" si="19"/>
        <v>18003.051717474198</v>
      </c>
      <c r="BD93" s="51">
        <f t="shared" si="20"/>
        <v>43207324.121938072</v>
      </c>
      <c r="BE93" s="51">
        <f t="shared" si="62"/>
        <v>5055256922.2667542</v>
      </c>
      <c r="BF93" s="54">
        <f t="shared" si="63"/>
        <v>591465059905.21021</v>
      </c>
      <c r="BU93" s="25">
        <v>31</v>
      </c>
      <c r="BV93" s="51">
        <f t="shared" si="25"/>
        <v>117</v>
      </c>
      <c r="BW93" s="74">
        <f t="shared" si="68"/>
        <v>5.9274483421212719E-4</v>
      </c>
      <c r="BX93" s="52">
        <f t="shared" si="26"/>
        <v>12.875159727066331</v>
      </c>
      <c r="BY93" s="53">
        <f t="shared" si="69"/>
        <v>30900.383344959195</v>
      </c>
      <c r="BZ93" s="51">
        <f t="shared" si="70"/>
        <v>3615344.8513602256</v>
      </c>
      <c r="CA93" s="52">
        <f t="shared" si="27"/>
        <v>17942.503363795378</v>
      </c>
      <c r="CB93" s="51">
        <f t="shared" si="28"/>
        <v>43062008.073108912</v>
      </c>
      <c r="CC93" s="51">
        <f t="shared" si="71"/>
        <v>5038254944.5537424</v>
      </c>
      <c r="CD93" s="54">
        <f t="shared" si="72"/>
        <v>589475828512.78784</v>
      </c>
      <c r="CS93" s="25">
        <v>31</v>
      </c>
      <c r="CT93" s="51">
        <f t="shared" si="33"/>
        <v>117</v>
      </c>
      <c r="CU93" s="74">
        <f t="shared" si="77"/>
        <v>5.9275295522121755E-4</v>
      </c>
      <c r="CV93" s="52">
        <f t="shared" si="34"/>
        <v>12.875305437878819</v>
      </c>
      <c r="CW93" s="53">
        <f t="shared" si="78"/>
        <v>30900.733050909166</v>
      </c>
      <c r="CX93" s="51">
        <f t="shared" si="79"/>
        <v>3615385.7669563727</v>
      </c>
      <c r="CY93" s="52">
        <f t="shared" si="35"/>
        <v>17942.399820929477</v>
      </c>
      <c r="CZ93" s="51">
        <f t="shared" si="36"/>
        <v>43061759.570230745</v>
      </c>
      <c r="DA93" s="51">
        <f t="shared" si="80"/>
        <v>5038225869.7169971</v>
      </c>
      <c r="DB93" s="54">
        <f t="shared" si="81"/>
        <v>589472426756.88867</v>
      </c>
    </row>
    <row r="94" spans="1:106">
      <c r="A94" s="25">
        <v>32</v>
      </c>
      <c r="B94" s="51">
        <f t="shared" si="1"/>
        <v>111</v>
      </c>
      <c r="C94" s="74">
        <f t="shared" si="41"/>
        <v>1.0549999999999999E-3</v>
      </c>
      <c r="D94" s="52">
        <f t="shared" si="2"/>
        <v>19.806965624999997</v>
      </c>
      <c r="E94" s="53">
        <f t="shared" si="42"/>
        <v>47536.717499999992</v>
      </c>
      <c r="F94" s="51">
        <f t="shared" si="43"/>
        <v>5276575.6424999991</v>
      </c>
      <c r="G94" s="52">
        <f t="shared" si="3"/>
        <v>12048.75</v>
      </c>
      <c r="H94" s="51">
        <f t="shared" si="4"/>
        <v>28917000</v>
      </c>
      <c r="I94" s="51">
        <f t="shared" si="44"/>
        <v>3209787000</v>
      </c>
      <c r="J94" s="54">
        <f t="shared" si="45"/>
        <v>356286357000</v>
      </c>
      <c r="Y94" s="25">
        <v>32</v>
      </c>
      <c r="Z94" s="51">
        <f t="shared" si="9"/>
        <v>111</v>
      </c>
      <c r="AA94" s="74">
        <f t="shared" si="50"/>
        <v>4.5606709628723399E-4</v>
      </c>
      <c r="AB94" s="52">
        <f t="shared" si="10"/>
        <v>10.303728828810801</v>
      </c>
      <c r="AC94" s="53">
        <f t="shared" si="51"/>
        <v>24728.949189145922</v>
      </c>
      <c r="AD94" s="51">
        <f t="shared" si="52"/>
        <v>2744913.3599951975</v>
      </c>
      <c r="AE94" s="52">
        <f t="shared" si="11"/>
        <v>19685.144522337767</v>
      </c>
      <c r="AF94" s="51">
        <f t="shared" si="12"/>
        <v>47244346.853610642</v>
      </c>
      <c r="AG94" s="51">
        <f t="shared" si="53"/>
        <v>5244122500.7507811</v>
      </c>
      <c r="AH94" s="54">
        <f t="shared" si="54"/>
        <v>582097597583.33667</v>
      </c>
      <c r="AW94" s="25">
        <v>32</v>
      </c>
      <c r="AX94" s="51">
        <f t="shared" si="17"/>
        <v>111</v>
      </c>
      <c r="AY94" s="74">
        <f t="shared" si="59"/>
        <v>5.692995106597133E-4</v>
      </c>
      <c r="AZ94" s="52">
        <f t="shared" si="18"/>
        <v>12.450987699984331</v>
      </c>
      <c r="BA94" s="53">
        <f t="shared" si="60"/>
        <v>29882.370479962396</v>
      </c>
      <c r="BB94" s="51">
        <f t="shared" si="61"/>
        <v>3316943.1232758258</v>
      </c>
      <c r="BC94" s="52">
        <f t="shared" si="19"/>
        <v>18241.431239088655</v>
      </c>
      <c r="BD94" s="51">
        <f t="shared" si="20"/>
        <v>43779434.973812774</v>
      </c>
      <c r="BE94" s="51">
        <f t="shared" si="62"/>
        <v>4859517282.0932178</v>
      </c>
      <c r="BF94" s="54">
        <f t="shared" si="63"/>
        <v>539406418312.34717</v>
      </c>
      <c r="BU94" s="25">
        <v>32</v>
      </c>
      <c r="BV94" s="51">
        <f t="shared" si="25"/>
        <v>111</v>
      </c>
      <c r="BW94" s="74">
        <f t="shared" si="68"/>
        <v>5.7392314085102925E-4</v>
      </c>
      <c r="BX94" s="52">
        <f t="shared" si="26"/>
        <v>12.535193047723766</v>
      </c>
      <c r="BY94" s="53">
        <f t="shared" si="69"/>
        <v>30084.463314537039</v>
      </c>
      <c r="BZ94" s="51">
        <f t="shared" si="70"/>
        <v>3339375.4279136113</v>
      </c>
      <c r="CA94" s="52">
        <f t="shared" si="27"/>
        <v>18182.479954149378</v>
      </c>
      <c r="CB94" s="51">
        <f t="shared" si="28"/>
        <v>43637951.889958508</v>
      </c>
      <c r="CC94" s="51">
        <f t="shared" si="71"/>
        <v>4843812659.7853947</v>
      </c>
      <c r="CD94" s="54">
        <f t="shared" si="72"/>
        <v>537663205236.17883</v>
      </c>
      <c r="CS94" s="25">
        <v>32</v>
      </c>
      <c r="CT94" s="51">
        <f t="shared" si="33"/>
        <v>111</v>
      </c>
      <c r="CU94" s="74">
        <f t="shared" si="77"/>
        <v>5.7393105597936239E-4</v>
      </c>
      <c r="CV94" s="52">
        <f t="shared" si="34"/>
        <v>12.53533696398663</v>
      </c>
      <c r="CW94" s="53">
        <f t="shared" si="78"/>
        <v>30084.808713567912</v>
      </c>
      <c r="CX94" s="51">
        <f t="shared" si="79"/>
        <v>3339413.7672060383</v>
      </c>
      <c r="CY94" s="52">
        <f t="shared" si="35"/>
        <v>18182.37903626313</v>
      </c>
      <c r="CZ94" s="51">
        <f t="shared" si="36"/>
        <v>43637709.687031515</v>
      </c>
      <c r="DA94" s="51">
        <f t="shared" si="80"/>
        <v>4843785775.260498</v>
      </c>
      <c r="DB94" s="54">
        <f t="shared" si="81"/>
        <v>537660221053.91528</v>
      </c>
    </row>
    <row r="95" spans="1:106">
      <c r="A95" s="25">
        <v>33</v>
      </c>
      <c r="B95" s="51">
        <f t="shared" ref="B95:B126" si="86">h/2-($A95-0.5)*$M$51</f>
        <v>105</v>
      </c>
      <c r="C95" s="74">
        <f t="shared" si="41"/>
        <v>1.0250000000000001E-3</v>
      </c>
      <c r="D95" s="52">
        <f t="shared" si="2"/>
        <v>19.439765625000003</v>
      </c>
      <c r="E95" s="53">
        <f t="shared" si="42"/>
        <v>46655.437500000007</v>
      </c>
      <c r="F95" s="51">
        <f t="shared" si="43"/>
        <v>4898820.9375000009</v>
      </c>
      <c r="G95" s="52">
        <f t="shared" ref="G95:G126" si="87">IF(AND(C95&gt;0,C95&lt;eco),0.85*fck*n/eco*(1-C95/eco)^(n-1),0)</f>
        <v>12431.249999999998</v>
      </c>
      <c r="H95" s="51">
        <f t="shared" ref="H95:H126" si="88">+G95*$M$53</f>
        <v>29834999.999999996</v>
      </c>
      <c r="I95" s="51">
        <f t="shared" si="44"/>
        <v>3132674999.9999995</v>
      </c>
      <c r="J95" s="54">
        <f t="shared" si="45"/>
        <v>328930874999.99994</v>
      </c>
      <c r="Y95" s="25">
        <v>33</v>
      </c>
      <c r="Z95" s="51">
        <f t="shared" ref="Z95:Z126" si="89">h/2-($A95-0.5)*$M$51</f>
        <v>105</v>
      </c>
      <c r="AA95" s="74">
        <f t="shared" si="50"/>
        <v>4.4040494684399094E-4</v>
      </c>
      <c r="AB95" s="52">
        <f t="shared" si="10"/>
        <v>9.9938533473420712</v>
      </c>
      <c r="AC95" s="53">
        <f t="shared" si="51"/>
        <v>23985.24803362097</v>
      </c>
      <c r="AD95" s="51">
        <f t="shared" si="52"/>
        <v>2518451.043530202</v>
      </c>
      <c r="AE95" s="52">
        <f t="shared" ref="AE95:AE126" si="90">IF(AND(AA95&gt;0,AA95&lt;eco),0.85*fck*n/eco*(1-AA95/eco)^(n-1),0)</f>
        <v>19884.836927739114</v>
      </c>
      <c r="AF95" s="51">
        <f t="shared" ref="AF95:AF126" si="91">+AE95*$M$53</f>
        <v>47723608.626573876</v>
      </c>
      <c r="AG95" s="51">
        <f t="shared" si="53"/>
        <v>5010978905.7902565</v>
      </c>
      <c r="AH95" s="54">
        <f t="shared" si="54"/>
        <v>526152785107.97693</v>
      </c>
      <c r="AW95" s="25">
        <v>33</v>
      </c>
      <c r="AX95" s="51">
        <f t="shared" ref="AX95:AX126" si="92">h/2-($A95-0.5)*$M$51</f>
        <v>105</v>
      </c>
      <c r="AY95" s="74">
        <f t="shared" si="59"/>
        <v>5.5060307759191281E-4</v>
      </c>
      <c r="AZ95" s="52">
        <f t="shared" si="18"/>
        <v>12.107709578376531</v>
      </c>
      <c r="BA95" s="53">
        <f t="shared" si="60"/>
        <v>29058.502988103672</v>
      </c>
      <c r="BB95" s="51">
        <f t="shared" si="61"/>
        <v>3051142.8137508854</v>
      </c>
      <c r="BC95" s="52">
        <f t="shared" ref="BC95:BC126" si="93">IF(AND(AY95&gt;0,AY95&lt;eco),0.85*fck*n/eco*(1-AY95/eco)^(n-1),0)</f>
        <v>18479.810760703112</v>
      </c>
      <c r="BD95" s="51">
        <f t="shared" ref="BD95:BD126" si="94">+BC95*$M$53</f>
        <v>44351545.825687468</v>
      </c>
      <c r="BE95" s="51">
        <f t="shared" si="62"/>
        <v>4656912311.6971846</v>
      </c>
      <c r="BF95" s="54">
        <f t="shared" si="63"/>
        <v>488975792728.20441</v>
      </c>
      <c r="BU95" s="25">
        <v>33</v>
      </c>
      <c r="BV95" s="51">
        <f t="shared" ref="BV95:BV126" si="95">h/2-($A95-0.5)*$M$51</f>
        <v>105</v>
      </c>
      <c r="BW95" s="74">
        <f t="shared" si="68"/>
        <v>5.5510144748993119E-4</v>
      </c>
      <c r="BX95" s="52">
        <f t="shared" si="26"/>
        <v>12.190709602583713</v>
      </c>
      <c r="BY95" s="53">
        <f t="shared" si="69"/>
        <v>29257.70304620091</v>
      </c>
      <c r="BZ95" s="51">
        <f t="shared" si="70"/>
        <v>3072058.8198510953</v>
      </c>
      <c r="CA95" s="52">
        <f t="shared" ref="CA95:CA126" si="96">IF(AND(BW95&gt;0,BW95&lt;eco),0.85*fck*n/eco*(1-BW95/eco)^(n-1),0)</f>
        <v>18422.456544503377</v>
      </c>
      <c r="CB95" s="51">
        <f t="shared" ref="CB95:CB126" si="97">+CA95*$M$53</f>
        <v>44213895.706808105</v>
      </c>
      <c r="CC95" s="51">
        <f t="shared" si="71"/>
        <v>4642459049.2148514</v>
      </c>
      <c r="CD95" s="54">
        <f t="shared" si="72"/>
        <v>487458200167.55939</v>
      </c>
      <c r="CS95" s="25">
        <v>33</v>
      </c>
      <c r="CT95" s="51">
        <f t="shared" ref="CT95:CT126" si="98">h/2-($A95-0.5)*$M$51</f>
        <v>105</v>
      </c>
      <c r="CU95" s="74">
        <f t="shared" si="77"/>
        <v>5.5510915673750712E-4</v>
      </c>
      <c r="CV95" s="52">
        <f t="shared" si="34"/>
        <v>12.190851625483292</v>
      </c>
      <c r="CW95" s="53">
        <f t="shared" si="78"/>
        <v>29258.043901159901</v>
      </c>
      <c r="CX95" s="51">
        <f t="shared" si="79"/>
        <v>3072094.6096217898</v>
      </c>
      <c r="CY95" s="52">
        <f t="shared" ref="CY95:CY126" si="99">IF(AND(CU95&gt;0,CU95&lt;eco),0.85*fck*n/eco*(1-CU95/eco)^(n-1),0)</f>
        <v>18422.358251596783</v>
      </c>
      <c r="CZ95" s="51">
        <f t="shared" ref="CZ95:CZ126" si="100">+CY95*$M$53</f>
        <v>44213659.803832278</v>
      </c>
      <c r="DA95" s="51">
        <f t="shared" si="80"/>
        <v>4642434279.4023895</v>
      </c>
      <c r="DB95" s="54">
        <f t="shared" si="81"/>
        <v>487455599337.25092</v>
      </c>
    </row>
    <row r="96" spans="1:106">
      <c r="A96" s="25">
        <v>34</v>
      </c>
      <c r="B96" s="51">
        <f t="shared" si="86"/>
        <v>99</v>
      </c>
      <c r="C96" s="74">
        <f t="shared" si="41"/>
        <v>9.9500000000000001E-4</v>
      </c>
      <c r="D96" s="52">
        <f t="shared" si="2"/>
        <v>19.061090624999999</v>
      </c>
      <c r="E96" s="53">
        <f t="shared" si="42"/>
        <v>45746.617499999993</v>
      </c>
      <c r="F96" s="51">
        <f t="shared" si="43"/>
        <v>4528915.1324999994</v>
      </c>
      <c r="G96" s="52">
        <f t="shared" si="87"/>
        <v>12813.749999999998</v>
      </c>
      <c r="H96" s="51">
        <f t="shared" si="88"/>
        <v>30752999.999999996</v>
      </c>
      <c r="I96" s="51">
        <f t="shared" si="44"/>
        <v>3044546999.9999995</v>
      </c>
      <c r="J96" s="54">
        <f t="shared" si="45"/>
        <v>301410152999.99994</v>
      </c>
      <c r="Y96" s="25">
        <v>34</v>
      </c>
      <c r="Z96" s="51">
        <f t="shared" si="89"/>
        <v>99</v>
      </c>
      <c r="AA96" s="74">
        <f t="shared" si="50"/>
        <v>4.247427974007479E-4</v>
      </c>
      <c r="AB96" s="52">
        <f t="shared" si="10"/>
        <v>9.6808502535772636</v>
      </c>
      <c r="AC96" s="53">
        <f t="shared" si="51"/>
        <v>23234.040608585434</v>
      </c>
      <c r="AD96" s="51">
        <f t="shared" si="52"/>
        <v>2300170.0202499582</v>
      </c>
      <c r="AE96" s="52">
        <f t="shared" si="90"/>
        <v>20084.529333140465</v>
      </c>
      <c r="AF96" s="51">
        <f t="shared" si="91"/>
        <v>48202870.399537116</v>
      </c>
      <c r="AG96" s="51">
        <f t="shared" si="53"/>
        <v>4772084169.5541744</v>
      </c>
      <c r="AH96" s="54">
        <f t="shared" si="54"/>
        <v>472436332785.86328</v>
      </c>
      <c r="AW96" s="25">
        <v>34</v>
      </c>
      <c r="AX96" s="51">
        <f t="shared" si="92"/>
        <v>99</v>
      </c>
      <c r="AY96" s="74">
        <f t="shared" si="59"/>
        <v>5.3190664452411221E-4</v>
      </c>
      <c r="AZ96" s="52">
        <f t="shared" si="18"/>
        <v>11.759974609998119</v>
      </c>
      <c r="BA96" s="53">
        <f t="shared" si="60"/>
        <v>28223.939063995487</v>
      </c>
      <c r="BB96" s="51">
        <f t="shared" si="61"/>
        <v>2794169.9673355534</v>
      </c>
      <c r="BC96" s="52">
        <f t="shared" si="93"/>
        <v>18718.19028231757</v>
      </c>
      <c r="BD96" s="51">
        <f t="shared" si="94"/>
        <v>44923656.67756217</v>
      </c>
      <c r="BE96" s="51">
        <f t="shared" si="62"/>
        <v>4447442011.0786552</v>
      </c>
      <c r="BF96" s="54">
        <f t="shared" si="63"/>
        <v>440296759096.78687</v>
      </c>
      <c r="BU96" s="25">
        <v>34</v>
      </c>
      <c r="BV96" s="51">
        <f t="shared" si="95"/>
        <v>99</v>
      </c>
      <c r="BW96" s="74">
        <f t="shared" si="68"/>
        <v>5.3627975412883313E-4</v>
      </c>
      <c r="BX96" s="52">
        <f t="shared" si="26"/>
        <v>11.841709391646173</v>
      </c>
      <c r="BY96" s="53">
        <f t="shared" si="69"/>
        <v>28420.102539950814</v>
      </c>
      <c r="BZ96" s="51">
        <f t="shared" si="70"/>
        <v>2813590.1514551304</v>
      </c>
      <c r="CA96" s="52">
        <f t="shared" si="96"/>
        <v>18662.43313485738</v>
      </c>
      <c r="CB96" s="51">
        <f t="shared" si="97"/>
        <v>44789839.523657709</v>
      </c>
      <c r="CC96" s="51">
        <f t="shared" si="71"/>
        <v>4434194112.8421135</v>
      </c>
      <c r="CD96" s="54">
        <f t="shared" si="72"/>
        <v>438985217171.36926</v>
      </c>
      <c r="CS96" s="25">
        <v>34</v>
      </c>
      <c r="CT96" s="51">
        <f t="shared" si="98"/>
        <v>99</v>
      </c>
      <c r="CU96" s="74">
        <f t="shared" si="77"/>
        <v>5.3628725749565185E-4</v>
      </c>
      <c r="CV96" s="52">
        <f t="shared" si="34"/>
        <v>11.841849422368799</v>
      </c>
      <c r="CW96" s="53">
        <f t="shared" si="78"/>
        <v>28420.438613685117</v>
      </c>
      <c r="CX96" s="51">
        <f t="shared" si="79"/>
        <v>2813623.4227548265</v>
      </c>
      <c r="CY96" s="52">
        <f t="shared" si="99"/>
        <v>18662.337466930439</v>
      </c>
      <c r="CZ96" s="51">
        <f t="shared" si="100"/>
        <v>44789609.920633055</v>
      </c>
      <c r="DA96" s="51">
        <f t="shared" si="80"/>
        <v>4434171382.1426725</v>
      </c>
      <c r="DB96" s="54">
        <f t="shared" si="81"/>
        <v>438982966832.12457</v>
      </c>
    </row>
    <row r="97" spans="1:106">
      <c r="A97" s="25">
        <v>35</v>
      </c>
      <c r="B97" s="51">
        <f t="shared" si="86"/>
        <v>93</v>
      </c>
      <c r="C97" s="74">
        <f t="shared" si="41"/>
        <v>9.6500000000000004E-4</v>
      </c>
      <c r="D97" s="52">
        <f t="shared" si="2"/>
        <v>18.670940625</v>
      </c>
      <c r="E97" s="53">
        <f t="shared" si="42"/>
        <v>44810.2575</v>
      </c>
      <c r="F97" s="51">
        <f t="shared" si="43"/>
        <v>4167353.9474999998</v>
      </c>
      <c r="G97" s="52">
        <f t="shared" si="87"/>
        <v>13196.250000000002</v>
      </c>
      <c r="H97" s="51">
        <f t="shared" si="88"/>
        <v>31671000.000000004</v>
      </c>
      <c r="I97" s="51">
        <f t="shared" si="44"/>
        <v>2945403000.0000005</v>
      </c>
      <c r="J97" s="54">
        <f t="shared" si="45"/>
        <v>273922479000.00003</v>
      </c>
      <c r="Y97" s="25">
        <v>35</v>
      </c>
      <c r="Z97" s="51">
        <f t="shared" si="89"/>
        <v>93</v>
      </c>
      <c r="AA97" s="74">
        <f t="shared" si="50"/>
        <v>4.0908064795750485E-4</v>
      </c>
      <c r="AB97" s="52">
        <f t="shared" si="10"/>
        <v>9.3647195475163816</v>
      </c>
      <c r="AC97" s="53">
        <f t="shared" si="51"/>
        <v>22475.326914039317</v>
      </c>
      <c r="AD97" s="51">
        <f t="shared" si="52"/>
        <v>2090205.4030056566</v>
      </c>
      <c r="AE97" s="52">
        <f t="shared" si="90"/>
        <v>20284.221738541812</v>
      </c>
      <c r="AF97" s="51">
        <f t="shared" si="91"/>
        <v>48682132.17250035</v>
      </c>
      <c r="AG97" s="51">
        <f t="shared" si="53"/>
        <v>4527438292.0425329</v>
      </c>
      <c r="AH97" s="54">
        <f t="shared" si="54"/>
        <v>421051761159.95557</v>
      </c>
      <c r="AW97" s="25">
        <v>35</v>
      </c>
      <c r="AX97" s="51">
        <f t="shared" si="92"/>
        <v>93</v>
      </c>
      <c r="AY97" s="74">
        <f t="shared" si="59"/>
        <v>5.1321021145631172E-4</v>
      </c>
      <c r="AZ97" s="52">
        <f t="shared" si="18"/>
        <v>11.407782794849119</v>
      </c>
      <c r="BA97" s="53">
        <f t="shared" si="60"/>
        <v>27378.678707637886</v>
      </c>
      <c r="BB97" s="51">
        <f t="shared" si="61"/>
        <v>2546217.1198103232</v>
      </c>
      <c r="BC97" s="52">
        <f t="shared" si="93"/>
        <v>18956.569803932027</v>
      </c>
      <c r="BD97" s="51">
        <f t="shared" si="94"/>
        <v>45495767.529436864</v>
      </c>
      <c r="BE97" s="51">
        <f t="shared" si="62"/>
        <v>4231106380.2376285</v>
      </c>
      <c r="BF97" s="54">
        <f t="shared" si="63"/>
        <v>393492893362.09943</v>
      </c>
      <c r="BU97" s="25">
        <v>35</v>
      </c>
      <c r="BV97" s="51">
        <f t="shared" si="95"/>
        <v>93</v>
      </c>
      <c r="BW97" s="74">
        <f t="shared" si="68"/>
        <v>5.1745806076773518E-4</v>
      </c>
      <c r="BX97" s="52">
        <f t="shared" si="26"/>
        <v>11.488192414911152</v>
      </c>
      <c r="BY97" s="53">
        <f t="shared" si="69"/>
        <v>27571.661795786764</v>
      </c>
      <c r="BZ97" s="51">
        <f t="shared" si="70"/>
        <v>2564164.5470081689</v>
      </c>
      <c r="CA97" s="52">
        <f t="shared" si="96"/>
        <v>18902.409725211375</v>
      </c>
      <c r="CB97" s="51">
        <f t="shared" si="97"/>
        <v>45365783.340507299</v>
      </c>
      <c r="CC97" s="51">
        <f t="shared" si="71"/>
        <v>4219017850.6671786</v>
      </c>
      <c r="CD97" s="54">
        <f t="shared" si="72"/>
        <v>392368660112.04761</v>
      </c>
      <c r="CS97" s="25">
        <v>35</v>
      </c>
      <c r="CT97" s="51">
        <f t="shared" si="98"/>
        <v>93</v>
      </c>
      <c r="CU97" s="74">
        <f t="shared" si="77"/>
        <v>5.1746535825379679E-4</v>
      </c>
      <c r="CV97" s="52">
        <f t="shared" si="34"/>
        <v>11.488330354643164</v>
      </c>
      <c r="CW97" s="53">
        <f t="shared" si="78"/>
        <v>27571.992851143594</v>
      </c>
      <c r="CX97" s="51">
        <f t="shared" si="79"/>
        <v>2564195.3351563541</v>
      </c>
      <c r="CY97" s="52">
        <f t="shared" si="99"/>
        <v>18902.316682264089</v>
      </c>
      <c r="CZ97" s="51">
        <f t="shared" si="100"/>
        <v>45365560.037433811</v>
      </c>
      <c r="DA97" s="51">
        <f t="shared" si="80"/>
        <v>4218997083.4813442</v>
      </c>
      <c r="DB97" s="54">
        <f t="shared" si="81"/>
        <v>392366728763.76501</v>
      </c>
    </row>
    <row r="98" spans="1:106">
      <c r="A98" s="25">
        <v>36</v>
      </c>
      <c r="B98" s="51">
        <f t="shared" si="86"/>
        <v>87</v>
      </c>
      <c r="C98" s="74">
        <f t="shared" si="41"/>
        <v>9.3500000000000007E-4</v>
      </c>
      <c r="D98" s="52">
        <f t="shared" si="2"/>
        <v>18.269315625000001</v>
      </c>
      <c r="E98" s="53">
        <f t="shared" si="42"/>
        <v>43846.357500000006</v>
      </c>
      <c r="F98" s="51">
        <f t="shared" si="43"/>
        <v>3814633.1025000005</v>
      </c>
      <c r="G98" s="52">
        <f t="shared" si="87"/>
        <v>13578.75</v>
      </c>
      <c r="H98" s="51">
        <f t="shared" si="88"/>
        <v>32589000</v>
      </c>
      <c r="I98" s="51">
        <f t="shared" si="44"/>
        <v>2835243000</v>
      </c>
      <c r="J98" s="54">
        <f t="shared" si="45"/>
        <v>246666141000</v>
      </c>
      <c r="Y98" s="25">
        <v>36</v>
      </c>
      <c r="Z98" s="51">
        <f t="shared" si="89"/>
        <v>87</v>
      </c>
      <c r="AA98" s="74">
        <f t="shared" si="50"/>
        <v>3.9341849851426175E-4</v>
      </c>
      <c r="AB98" s="52">
        <f t="shared" si="10"/>
        <v>9.0454612291594199</v>
      </c>
      <c r="AC98" s="53">
        <f t="shared" si="51"/>
        <v>21709.106949982608</v>
      </c>
      <c r="AD98" s="51">
        <f t="shared" si="52"/>
        <v>1888692.3046484869</v>
      </c>
      <c r="AE98" s="52">
        <f t="shared" si="90"/>
        <v>20483.914143943162</v>
      </c>
      <c r="AF98" s="51">
        <f t="shared" si="91"/>
        <v>49161393.94546359</v>
      </c>
      <c r="AG98" s="51">
        <f t="shared" si="53"/>
        <v>4277041273.2553325</v>
      </c>
      <c r="AH98" s="54">
        <f t="shared" si="54"/>
        <v>372102590773.21393</v>
      </c>
      <c r="AW98" s="25">
        <v>36</v>
      </c>
      <c r="AX98" s="51">
        <f t="shared" si="92"/>
        <v>87</v>
      </c>
      <c r="AY98" s="74">
        <f t="shared" si="59"/>
        <v>4.9451377838851112E-4</v>
      </c>
      <c r="AZ98" s="52">
        <f t="shared" si="18"/>
        <v>11.051134132929514</v>
      </c>
      <c r="BA98" s="53">
        <f t="shared" si="60"/>
        <v>26522.721919030831</v>
      </c>
      <c r="BB98" s="51">
        <f t="shared" si="61"/>
        <v>2307476.8069556821</v>
      </c>
      <c r="BC98" s="52">
        <f t="shared" si="93"/>
        <v>19194.949325546484</v>
      </c>
      <c r="BD98" s="51">
        <f t="shared" si="94"/>
        <v>46067878.381311558</v>
      </c>
      <c r="BE98" s="51">
        <f t="shared" si="62"/>
        <v>4007905419.1741056</v>
      </c>
      <c r="BF98" s="54">
        <f t="shared" si="63"/>
        <v>348687771468.14722</v>
      </c>
      <c r="BU98" s="25">
        <v>36</v>
      </c>
      <c r="BV98" s="51">
        <f t="shared" si="95"/>
        <v>87</v>
      </c>
      <c r="BW98" s="74">
        <f t="shared" si="68"/>
        <v>4.9863636740663723E-4</v>
      </c>
      <c r="BX98" s="52">
        <f t="shared" si="26"/>
        <v>11.130158672378645</v>
      </c>
      <c r="BY98" s="53">
        <f t="shared" si="69"/>
        <v>26712.380813708747</v>
      </c>
      <c r="BZ98" s="51">
        <f t="shared" si="70"/>
        <v>2323977.1307926611</v>
      </c>
      <c r="CA98" s="52">
        <f t="shared" si="96"/>
        <v>19142.386315565374</v>
      </c>
      <c r="CB98" s="51">
        <f t="shared" si="97"/>
        <v>45941727.157356896</v>
      </c>
      <c r="CC98" s="51">
        <f t="shared" si="71"/>
        <v>3996930262.6900501</v>
      </c>
      <c r="CD98" s="54">
        <f t="shared" si="72"/>
        <v>347732932854.03436</v>
      </c>
      <c r="CS98" s="25">
        <v>36</v>
      </c>
      <c r="CT98" s="51">
        <f t="shared" si="98"/>
        <v>87</v>
      </c>
      <c r="CU98" s="74">
        <f t="shared" si="77"/>
        <v>4.9864345901194152E-4</v>
      </c>
      <c r="CV98" s="52">
        <f t="shared" si="34"/>
        <v>11.130294422306374</v>
      </c>
      <c r="CW98" s="53">
        <f t="shared" si="78"/>
        <v>26712.706613535298</v>
      </c>
      <c r="CX98" s="51">
        <f t="shared" si="79"/>
        <v>2324005.4753775708</v>
      </c>
      <c r="CY98" s="52">
        <f t="shared" si="99"/>
        <v>19142.295897597745</v>
      </c>
      <c r="CZ98" s="51">
        <f t="shared" si="100"/>
        <v>45941510.154234588</v>
      </c>
      <c r="DA98" s="51">
        <f t="shared" si="80"/>
        <v>3996911383.4184093</v>
      </c>
      <c r="DB98" s="54">
        <f t="shared" si="81"/>
        <v>347731290357.40161</v>
      </c>
    </row>
    <row r="99" spans="1:106">
      <c r="A99" s="25">
        <v>37</v>
      </c>
      <c r="B99" s="51">
        <f t="shared" si="86"/>
        <v>81</v>
      </c>
      <c r="C99" s="74">
        <f t="shared" si="41"/>
        <v>9.0499999999999999E-4</v>
      </c>
      <c r="D99" s="52">
        <f t="shared" si="2"/>
        <v>17.856215624999994</v>
      </c>
      <c r="E99" s="53">
        <f t="shared" si="42"/>
        <v>42854.917499999981</v>
      </c>
      <c r="F99" s="51">
        <f t="shared" si="43"/>
        <v>3471248.3174999985</v>
      </c>
      <c r="G99" s="52">
        <f t="shared" si="87"/>
        <v>13961.250000000002</v>
      </c>
      <c r="H99" s="51">
        <f t="shared" si="88"/>
        <v>33507000.000000004</v>
      </c>
      <c r="I99" s="51">
        <f t="shared" si="44"/>
        <v>2714067000.0000005</v>
      </c>
      <c r="J99" s="54">
        <f t="shared" si="45"/>
        <v>219839427000.00003</v>
      </c>
      <c r="Y99" s="25">
        <v>37</v>
      </c>
      <c r="Z99" s="51">
        <f t="shared" si="89"/>
        <v>81</v>
      </c>
      <c r="AA99" s="74">
        <f t="shared" si="50"/>
        <v>3.7775634907101871E-4</v>
      </c>
      <c r="AB99" s="52">
        <f t="shared" si="10"/>
        <v>8.7230752985063873</v>
      </c>
      <c r="AC99" s="53">
        <f t="shared" si="51"/>
        <v>20935.38071641533</v>
      </c>
      <c r="AD99" s="51">
        <f t="shared" si="52"/>
        <v>1695765.8380296417</v>
      </c>
      <c r="AE99" s="52">
        <f t="shared" si="90"/>
        <v>20683.606549344509</v>
      </c>
      <c r="AF99" s="51">
        <f t="shared" si="91"/>
        <v>49640655.718426824</v>
      </c>
      <c r="AG99" s="51">
        <f t="shared" si="53"/>
        <v>4020893113.1925726</v>
      </c>
      <c r="AH99" s="54">
        <f t="shared" si="54"/>
        <v>325692342168.59839</v>
      </c>
      <c r="AW99" s="25">
        <v>37</v>
      </c>
      <c r="AX99" s="51">
        <f t="shared" si="92"/>
        <v>81</v>
      </c>
      <c r="AY99" s="74">
        <f t="shared" si="59"/>
        <v>4.7581734532071063E-4</v>
      </c>
      <c r="AZ99" s="52">
        <f t="shared" si="18"/>
        <v>10.690028624239311</v>
      </c>
      <c r="BA99" s="53">
        <f t="shared" si="60"/>
        <v>25656.068698174346</v>
      </c>
      <c r="BB99" s="51">
        <f t="shared" si="61"/>
        <v>2078141.564552122</v>
      </c>
      <c r="BC99" s="52">
        <f t="shared" si="93"/>
        <v>19433.328847160941</v>
      </c>
      <c r="BD99" s="51">
        <f t="shared" si="94"/>
        <v>46639989.23318626</v>
      </c>
      <c r="BE99" s="51">
        <f t="shared" si="62"/>
        <v>3777839127.8880873</v>
      </c>
      <c r="BF99" s="54">
        <f t="shared" si="63"/>
        <v>306004969358.93506</v>
      </c>
      <c r="BU99" s="25">
        <v>37</v>
      </c>
      <c r="BV99" s="51">
        <f t="shared" si="95"/>
        <v>81</v>
      </c>
      <c r="BW99" s="74">
        <f t="shared" si="68"/>
        <v>4.7981467404553923E-4</v>
      </c>
      <c r="BX99" s="52">
        <f t="shared" si="26"/>
        <v>10.767608164048651</v>
      </c>
      <c r="BY99" s="53">
        <f t="shared" si="69"/>
        <v>25842.259593716764</v>
      </c>
      <c r="BZ99" s="51">
        <f t="shared" si="70"/>
        <v>2093223.027091058</v>
      </c>
      <c r="CA99" s="52">
        <f t="shared" si="96"/>
        <v>19382.362905919377</v>
      </c>
      <c r="CB99" s="51">
        <f t="shared" si="97"/>
        <v>46517670.974206507</v>
      </c>
      <c r="CC99" s="51">
        <f t="shared" si="71"/>
        <v>3767931348.910727</v>
      </c>
      <c r="CD99" s="54">
        <f t="shared" si="72"/>
        <v>305202439261.76886</v>
      </c>
      <c r="CS99" s="25">
        <v>37</v>
      </c>
      <c r="CT99" s="51">
        <f t="shared" si="98"/>
        <v>81</v>
      </c>
      <c r="CU99" s="74">
        <f t="shared" si="77"/>
        <v>4.7982155977008631E-4</v>
      </c>
      <c r="CV99" s="52">
        <f t="shared" si="34"/>
        <v>10.767741625358436</v>
      </c>
      <c r="CW99" s="53">
        <f t="shared" si="78"/>
        <v>25842.579900860248</v>
      </c>
      <c r="CX99" s="51">
        <f t="shared" si="79"/>
        <v>2093248.9719696802</v>
      </c>
      <c r="CY99" s="52">
        <f t="shared" si="99"/>
        <v>19382.275112931398</v>
      </c>
      <c r="CZ99" s="51">
        <f t="shared" si="100"/>
        <v>46517460.271035358</v>
      </c>
      <c r="DA99" s="51">
        <f t="shared" si="80"/>
        <v>3767914281.9538641</v>
      </c>
      <c r="DB99" s="54">
        <f t="shared" si="81"/>
        <v>305201056838.263</v>
      </c>
    </row>
    <row r="100" spans="1:106">
      <c r="A100" s="25">
        <v>38</v>
      </c>
      <c r="B100" s="51">
        <f t="shared" si="86"/>
        <v>75</v>
      </c>
      <c r="C100" s="74">
        <f t="shared" si="41"/>
        <v>8.7500000000000002E-4</v>
      </c>
      <c r="D100" s="52">
        <f t="shared" si="2"/>
        <v>17.431640625</v>
      </c>
      <c r="E100" s="53">
        <f t="shared" si="42"/>
        <v>41835.9375</v>
      </c>
      <c r="F100" s="51">
        <f t="shared" si="43"/>
        <v>3137695.3125</v>
      </c>
      <c r="G100" s="52">
        <f t="shared" si="87"/>
        <v>14343.75</v>
      </c>
      <c r="H100" s="51">
        <f t="shared" si="88"/>
        <v>34425000</v>
      </c>
      <c r="I100" s="51">
        <f t="shared" si="44"/>
        <v>2581875000</v>
      </c>
      <c r="J100" s="54">
        <f t="shared" si="45"/>
        <v>193640625000</v>
      </c>
      <c r="Y100" s="25">
        <v>38</v>
      </c>
      <c r="Z100" s="51">
        <f t="shared" si="89"/>
        <v>75</v>
      </c>
      <c r="AA100" s="74">
        <f t="shared" si="50"/>
        <v>3.6209419962777566E-4</v>
      </c>
      <c r="AB100" s="52">
        <f t="shared" si="10"/>
        <v>8.3975617555572715</v>
      </c>
      <c r="AC100" s="53">
        <f t="shared" si="51"/>
        <v>20154.148213337452</v>
      </c>
      <c r="AD100" s="51">
        <f t="shared" si="52"/>
        <v>1511561.1160003089</v>
      </c>
      <c r="AE100" s="52">
        <f t="shared" si="90"/>
        <v>20883.29895474586</v>
      </c>
      <c r="AF100" s="51">
        <f t="shared" si="91"/>
        <v>50119917.491390064</v>
      </c>
      <c r="AG100" s="51">
        <f t="shared" si="53"/>
        <v>3758993811.8542547</v>
      </c>
      <c r="AH100" s="54">
        <f t="shared" si="54"/>
        <v>281924535889.06909</v>
      </c>
      <c r="AW100" s="25">
        <v>38</v>
      </c>
      <c r="AX100" s="51">
        <f t="shared" si="92"/>
        <v>75</v>
      </c>
      <c r="AY100" s="74">
        <f t="shared" si="59"/>
        <v>4.5712091225291008E-4</v>
      </c>
      <c r="AZ100" s="52">
        <f t="shared" si="18"/>
        <v>10.324466268778512</v>
      </c>
      <c r="BA100" s="53">
        <f t="shared" si="60"/>
        <v>24778.719045068428</v>
      </c>
      <c r="BB100" s="51">
        <f t="shared" si="61"/>
        <v>1858403.9283801322</v>
      </c>
      <c r="BC100" s="52">
        <f t="shared" si="93"/>
        <v>19671.708368775395</v>
      </c>
      <c r="BD100" s="51">
        <f t="shared" si="94"/>
        <v>47212100.085060947</v>
      </c>
      <c r="BE100" s="51">
        <f t="shared" si="62"/>
        <v>3540907506.379571</v>
      </c>
      <c r="BF100" s="54">
        <f t="shared" si="63"/>
        <v>265568062978.46783</v>
      </c>
      <c r="BU100" s="25">
        <v>38</v>
      </c>
      <c r="BV100" s="51">
        <f t="shared" si="95"/>
        <v>75</v>
      </c>
      <c r="BW100" s="74">
        <f t="shared" si="68"/>
        <v>4.6099298068444123E-4</v>
      </c>
      <c r="BX100" s="52">
        <f t="shared" si="26"/>
        <v>10.400540889921176</v>
      </c>
      <c r="BY100" s="53">
        <f t="shared" si="69"/>
        <v>24961.298135810823</v>
      </c>
      <c r="BZ100" s="51">
        <f t="shared" si="70"/>
        <v>1872097.3601858118</v>
      </c>
      <c r="CA100" s="52">
        <f t="shared" si="96"/>
        <v>19622.339496273373</v>
      </c>
      <c r="CB100" s="51">
        <f t="shared" si="97"/>
        <v>47093614.791056097</v>
      </c>
      <c r="CC100" s="51">
        <f t="shared" si="71"/>
        <v>3532021109.3292074</v>
      </c>
      <c r="CD100" s="54">
        <f t="shared" si="72"/>
        <v>264901583199.69055</v>
      </c>
      <c r="CS100" s="25">
        <v>38</v>
      </c>
      <c r="CT100" s="51">
        <f t="shared" si="98"/>
        <v>75</v>
      </c>
      <c r="CU100" s="74">
        <f t="shared" si="77"/>
        <v>4.6099966052823109E-4</v>
      </c>
      <c r="CV100" s="52">
        <f t="shared" si="34"/>
        <v>10.400671963799347</v>
      </c>
      <c r="CW100" s="53">
        <f t="shared" si="78"/>
        <v>24961.612713118433</v>
      </c>
      <c r="CX100" s="51">
        <f t="shared" si="79"/>
        <v>1872120.9534838824</v>
      </c>
      <c r="CY100" s="52">
        <f t="shared" si="99"/>
        <v>19622.254328265051</v>
      </c>
      <c r="CZ100" s="51">
        <f t="shared" si="100"/>
        <v>47093410.387836121</v>
      </c>
      <c r="DA100" s="51">
        <f t="shared" si="80"/>
        <v>3532005779.087709</v>
      </c>
      <c r="DB100" s="54">
        <f t="shared" si="81"/>
        <v>264900433431.57819</v>
      </c>
    </row>
    <row r="101" spans="1:106">
      <c r="A101" s="25">
        <v>39</v>
      </c>
      <c r="B101" s="51">
        <f t="shared" si="86"/>
        <v>69</v>
      </c>
      <c r="C101" s="74">
        <f t="shared" si="41"/>
        <v>8.4500000000000005E-4</v>
      </c>
      <c r="D101" s="52">
        <f t="shared" si="2"/>
        <v>16.995590625000002</v>
      </c>
      <c r="E101" s="53">
        <f t="shared" si="42"/>
        <v>40789.417500000003</v>
      </c>
      <c r="F101" s="51">
        <f t="shared" si="43"/>
        <v>2814469.8075000001</v>
      </c>
      <c r="G101" s="52">
        <f t="shared" si="87"/>
        <v>14726.249999999998</v>
      </c>
      <c r="H101" s="51">
        <f t="shared" si="88"/>
        <v>35342999.999999993</v>
      </c>
      <c r="I101" s="51">
        <f t="shared" si="44"/>
        <v>2438666999.9999995</v>
      </c>
      <c r="J101" s="54">
        <f t="shared" si="45"/>
        <v>168268022999.99997</v>
      </c>
      <c r="Y101" s="25">
        <v>39</v>
      </c>
      <c r="Z101" s="51">
        <f t="shared" si="89"/>
        <v>69</v>
      </c>
      <c r="AA101" s="74">
        <f t="shared" si="50"/>
        <v>3.4643205018453256E-4</v>
      </c>
      <c r="AB101" s="52">
        <f t="shared" si="10"/>
        <v>8.068920600312083</v>
      </c>
      <c r="AC101" s="53">
        <f t="shared" si="51"/>
        <v>19365.409440748997</v>
      </c>
      <c r="AD101" s="51">
        <f t="shared" si="52"/>
        <v>1336213.2514116808</v>
      </c>
      <c r="AE101" s="52">
        <f t="shared" si="90"/>
        <v>21082.991360147211</v>
      </c>
      <c r="AF101" s="51">
        <f t="shared" si="91"/>
        <v>50599179.264353305</v>
      </c>
      <c r="AG101" s="51">
        <f t="shared" si="53"/>
        <v>3491343369.2403779</v>
      </c>
      <c r="AH101" s="54">
        <f t="shared" si="54"/>
        <v>240902692477.58609</v>
      </c>
      <c r="AW101" s="25">
        <v>39</v>
      </c>
      <c r="AX101" s="51">
        <f t="shared" si="92"/>
        <v>69</v>
      </c>
      <c r="AY101" s="74">
        <f t="shared" si="59"/>
        <v>4.3842447918510954E-4</v>
      </c>
      <c r="AZ101" s="52">
        <f t="shared" si="18"/>
        <v>9.9544470665471092</v>
      </c>
      <c r="BA101" s="53">
        <f t="shared" si="60"/>
        <v>23890.672959713062</v>
      </c>
      <c r="BB101" s="51">
        <f t="shared" si="61"/>
        <v>1648456.4342202013</v>
      </c>
      <c r="BC101" s="52">
        <f t="shared" si="93"/>
        <v>19910.087890389852</v>
      </c>
      <c r="BD101" s="51">
        <f t="shared" si="94"/>
        <v>47784210.936935648</v>
      </c>
      <c r="BE101" s="51">
        <f t="shared" si="62"/>
        <v>3297110554.6485596</v>
      </c>
      <c r="BF101" s="54">
        <f t="shared" si="63"/>
        <v>227500628270.75061</v>
      </c>
      <c r="BU101" s="25">
        <v>39</v>
      </c>
      <c r="BV101" s="51">
        <f t="shared" si="95"/>
        <v>69</v>
      </c>
      <c r="BW101" s="74">
        <f t="shared" si="68"/>
        <v>4.4217128732334322E-4</v>
      </c>
      <c r="BX101" s="52">
        <f t="shared" si="26"/>
        <v>10.028956849996215</v>
      </c>
      <c r="BY101" s="53">
        <f t="shared" si="69"/>
        <v>24069.496439990915</v>
      </c>
      <c r="BZ101" s="51">
        <f t="shared" si="70"/>
        <v>1660795.2543593731</v>
      </c>
      <c r="CA101" s="52">
        <f t="shared" si="96"/>
        <v>19862.316086627376</v>
      </c>
      <c r="CB101" s="51">
        <f t="shared" si="97"/>
        <v>47669558.607905701</v>
      </c>
      <c r="CC101" s="51">
        <f t="shared" si="71"/>
        <v>3289199543.9454932</v>
      </c>
      <c r="CD101" s="54">
        <f t="shared" si="72"/>
        <v>226954768532.23904</v>
      </c>
      <c r="CS101" s="25">
        <v>39</v>
      </c>
      <c r="CT101" s="51">
        <f t="shared" si="98"/>
        <v>69</v>
      </c>
      <c r="CU101" s="74">
        <f t="shared" si="77"/>
        <v>4.4217776128637593E-4</v>
      </c>
      <c r="CV101" s="52">
        <f t="shared" si="34"/>
        <v>10.029085437629114</v>
      </c>
      <c r="CW101" s="53">
        <f t="shared" si="78"/>
        <v>24069.805050309871</v>
      </c>
      <c r="CX101" s="51">
        <f t="shared" si="79"/>
        <v>1660816.5484713812</v>
      </c>
      <c r="CY101" s="52">
        <f t="shared" si="99"/>
        <v>19862.233543598708</v>
      </c>
      <c r="CZ101" s="51">
        <f t="shared" si="100"/>
        <v>47669360.504636899</v>
      </c>
      <c r="DA101" s="51">
        <f t="shared" si="80"/>
        <v>3289185874.8199458</v>
      </c>
      <c r="DB101" s="54">
        <f t="shared" si="81"/>
        <v>226953825362.57626</v>
      </c>
    </row>
    <row r="102" spans="1:106">
      <c r="A102" s="25">
        <v>40</v>
      </c>
      <c r="B102" s="51">
        <f t="shared" si="86"/>
        <v>63</v>
      </c>
      <c r="C102" s="74">
        <f t="shared" si="41"/>
        <v>8.1499999999999997E-4</v>
      </c>
      <c r="D102" s="52">
        <f t="shared" si="2"/>
        <v>16.548065624999996</v>
      </c>
      <c r="E102" s="53">
        <f t="shared" si="42"/>
        <v>39715.357499999991</v>
      </c>
      <c r="F102" s="51">
        <f t="shared" si="43"/>
        <v>2502067.5224999995</v>
      </c>
      <c r="G102" s="52">
        <f t="shared" si="87"/>
        <v>15108.75</v>
      </c>
      <c r="H102" s="51">
        <f t="shared" si="88"/>
        <v>36261000</v>
      </c>
      <c r="I102" s="51">
        <f t="shared" si="44"/>
        <v>2284443000</v>
      </c>
      <c r="J102" s="54">
        <f t="shared" si="45"/>
        <v>143919909000</v>
      </c>
      <c r="Y102" s="25">
        <v>40</v>
      </c>
      <c r="Z102" s="51">
        <f t="shared" si="89"/>
        <v>63</v>
      </c>
      <c r="AA102" s="74">
        <f t="shared" si="50"/>
        <v>3.3076990074128957E-4</v>
      </c>
      <c r="AB102" s="52">
        <f t="shared" si="10"/>
        <v>7.7371518327708184</v>
      </c>
      <c r="AC102" s="53">
        <f t="shared" si="51"/>
        <v>18569.164398649966</v>
      </c>
      <c r="AD102" s="51">
        <f t="shared" si="52"/>
        <v>1169857.3571149479</v>
      </c>
      <c r="AE102" s="52">
        <f t="shared" si="90"/>
        <v>21282.683765548558</v>
      </c>
      <c r="AF102" s="51">
        <f t="shared" si="91"/>
        <v>51078441.037316538</v>
      </c>
      <c r="AG102" s="51">
        <f t="shared" si="53"/>
        <v>3217941785.3509421</v>
      </c>
      <c r="AH102" s="54">
        <f t="shared" si="54"/>
        <v>202730332477.10934</v>
      </c>
      <c r="AW102" s="25">
        <v>40</v>
      </c>
      <c r="AX102" s="51">
        <f t="shared" si="92"/>
        <v>63</v>
      </c>
      <c r="AY102" s="74">
        <f t="shared" si="59"/>
        <v>4.1972804611730899E-4</v>
      </c>
      <c r="AZ102" s="52">
        <f t="shared" si="18"/>
        <v>9.5799710175451107</v>
      </c>
      <c r="BA102" s="53">
        <f t="shared" si="60"/>
        <v>22991.930442108267</v>
      </c>
      <c r="BB102" s="51">
        <f t="shared" si="61"/>
        <v>1448491.6178528208</v>
      </c>
      <c r="BC102" s="52">
        <f t="shared" si="93"/>
        <v>20148.467412004309</v>
      </c>
      <c r="BD102" s="51">
        <f t="shared" si="94"/>
        <v>48356321.788810343</v>
      </c>
      <c r="BE102" s="51">
        <f t="shared" si="62"/>
        <v>3046448272.6950517</v>
      </c>
      <c r="BF102" s="54">
        <f t="shared" si="63"/>
        <v>191926241179.78827</v>
      </c>
      <c r="BU102" s="25">
        <v>40</v>
      </c>
      <c r="BV102" s="51">
        <f t="shared" si="95"/>
        <v>63</v>
      </c>
      <c r="BW102" s="74">
        <f t="shared" si="68"/>
        <v>4.2334959396224522E-4</v>
      </c>
      <c r="BX102" s="52">
        <f t="shared" si="26"/>
        <v>9.6528560442737632</v>
      </c>
      <c r="BY102" s="53">
        <f t="shared" si="69"/>
        <v>23166.85450625703</v>
      </c>
      <c r="BZ102" s="51">
        <f t="shared" si="70"/>
        <v>1459511.8338941929</v>
      </c>
      <c r="CA102" s="52">
        <f t="shared" si="96"/>
        <v>20102.292676981375</v>
      </c>
      <c r="CB102" s="51">
        <f t="shared" si="97"/>
        <v>48245502.424755298</v>
      </c>
      <c r="CC102" s="51">
        <f t="shared" si="71"/>
        <v>3039466652.759584</v>
      </c>
      <c r="CD102" s="54">
        <f t="shared" si="72"/>
        <v>191486399123.85379</v>
      </c>
      <c r="CS102" s="25">
        <v>40</v>
      </c>
      <c r="CT102" s="51">
        <f t="shared" si="98"/>
        <v>63</v>
      </c>
      <c r="CU102" s="74">
        <f t="shared" si="77"/>
        <v>4.2335586204452066E-4</v>
      </c>
      <c r="CV102" s="52">
        <f t="shared" si="34"/>
        <v>9.6529820468477237</v>
      </c>
      <c r="CW102" s="53">
        <f t="shared" si="78"/>
        <v>23167.156912434537</v>
      </c>
      <c r="CX102" s="51">
        <f t="shared" si="79"/>
        <v>1459530.8854833758</v>
      </c>
      <c r="CY102" s="52">
        <f t="shared" si="99"/>
        <v>20102.212758932361</v>
      </c>
      <c r="CZ102" s="51">
        <f t="shared" si="100"/>
        <v>48245310.621437669</v>
      </c>
      <c r="DA102" s="51">
        <f t="shared" si="80"/>
        <v>3039454569.1505733</v>
      </c>
      <c r="DB102" s="54">
        <f t="shared" si="81"/>
        <v>191485637856.48611</v>
      </c>
    </row>
    <row r="103" spans="1:106">
      <c r="A103" s="25">
        <v>41</v>
      </c>
      <c r="B103" s="51">
        <f t="shared" si="86"/>
        <v>57</v>
      </c>
      <c r="C103" s="74">
        <f t="shared" si="41"/>
        <v>7.8500000000000011E-4</v>
      </c>
      <c r="D103" s="52">
        <f t="shared" si="2"/>
        <v>16.089065625000003</v>
      </c>
      <c r="E103" s="53">
        <f t="shared" si="42"/>
        <v>38613.757500000007</v>
      </c>
      <c r="F103" s="51">
        <f t="shared" si="43"/>
        <v>2200984.1775000002</v>
      </c>
      <c r="G103" s="52">
        <f t="shared" si="87"/>
        <v>15491.249999999998</v>
      </c>
      <c r="H103" s="51">
        <f t="shared" si="88"/>
        <v>37178999.999999993</v>
      </c>
      <c r="I103" s="51">
        <f t="shared" si="44"/>
        <v>2119202999.9999995</v>
      </c>
      <c r="J103" s="54">
        <f t="shared" si="45"/>
        <v>120794570999.99997</v>
      </c>
      <c r="Y103" s="25">
        <v>41</v>
      </c>
      <c r="Z103" s="51">
        <f t="shared" si="89"/>
        <v>57</v>
      </c>
      <c r="AA103" s="74">
        <f t="shared" si="50"/>
        <v>3.1510775129804647E-4</v>
      </c>
      <c r="AB103" s="52">
        <f t="shared" si="10"/>
        <v>7.402255452933475</v>
      </c>
      <c r="AC103" s="53">
        <f t="shared" si="51"/>
        <v>17765.413087040339</v>
      </c>
      <c r="AD103" s="51">
        <f t="shared" si="52"/>
        <v>1012628.5459612993</v>
      </c>
      <c r="AE103" s="52">
        <f t="shared" si="90"/>
        <v>21482.376170949909</v>
      </c>
      <c r="AF103" s="51">
        <f t="shared" si="91"/>
        <v>51557702.810279779</v>
      </c>
      <c r="AG103" s="51">
        <f t="shared" si="53"/>
        <v>2938789060.1859474</v>
      </c>
      <c r="AH103" s="54">
        <f t="shared" si="54"/>
        <v>167510976430.599</v>
      </c>
      <c r="AW103" s="25">
        <v>41</v>
      </c>
      <c r="AX103" s="51">
        <f t="shared" si="92"/>
        <v>57</v>
      </c>
      <c r="AY103" s="74">
        <f t="shared" si="59"/>
        <v>4.0103161304950845E-4</v>
      </c>
      <c r="AZ103" s="52">
        <f t="shared" si="18"/>
        <v>9.2010381217725108</v>
      </c>
      <c r="BA103" s="53">
        <f t="shared" si="60"/>
        <v>22082.491492254027</v>
      </c>
      <c r="BB103" s="51">
        <f t="shared" si="61"/>
        <v>1258702.0150584795</v>
      </c>
      <c r="BC103" s="52">
        <f t="shared" si="93"/>
        <v>20386.846933618766</v>
      </c>
      <c r="BD103" s="51">
        <f t="shared" si="94"/>
        <v>48928432.640685037</v>
      </c>
      <c r="BE103" s="51">
        <f t="shared" si="62"/>
        <v>2788920660.5190473</v>
      </c>
      <c r="BF103" s="54">
        <f t="shared" si="63"/>
        <v>158968477649.58569</v>
      </c>
      <c r="BU103" s="25">
        <v>41</v>
      </c>
      <c r="BV103" s="51">
        <f t="shared" si="95"/>
        <v>57</v>
      </c>
      <c r="BW103" s="74">
        <f t="shared" si="68"/>
        <v>4.0452790060114722E-4</v>
      </c>
      <c r="BX103" s="52">
        <f t="shared" si="26"/>
        <v>9.2722384727538376</v>
      </c>
      <c r="BY103" s="53">
        <f t="shared" si="69"/>
        <v>22253.372334609212</v>
      </c>
      <c r="BZ103" s="51">
        <f t="shared" si="70"/>
        <v>1268442.2230727251</v>
      </c>
      <c r="CA103" s="52">
        <f t="shared" si="96"/>
        <v>20342.26926733537</v>
      </c>
      <c r="CB103" s="51">
        <f t="shared" si="97"/>
        <v>48821446.241604887</v>
      </c>
      <c r="CC103" s="51">
        <f t="shared" si="71"/>
        <v>2782822435.7714787</v>
      </c>
      <c r="CD103" s="54">
        <f t="shared" si="72"/>
        <v>158620878838.97427</v>
      </c>
      <c r="CS103" s="25">
        <v>41</v>
      </c>
      <c r="CT103" s="51">
        <f t="shared" si="98"/>
        <v>57</v>
      </c>
      <c r="CU103" s="74">
        <f t="shared" si="77"/>
        <v>4.045339628026655E-4</v>
      </c>
      <c r="CV103" s="52">
        <f t="shared" si="34"/>
        <v>9.2723617914551895</v>
      </c>
      <c r="CW103" s="53">
        <f t="shared" si="78"/>
        <v>22253.668299492456</v>
      </c>
      <c r="CX103" s="51">
        <f t="shared" si="79"/>
        <v>1268459.09307107</v>
      </c>
      <c r="CY103" s="52">
        <f t="shared" si="99"/>
        <v>20342.191974266017</v>
      </c>
      <c r="CZ103" s="51">
        <f t="shared" si="100"/>
        <v>48821260.738238439</v>
      </c>
      <c r="DA103" s="51">
        <f t="shared" si="80"/>
        <v>2782811862.0795908</v>
      </c>
      <c r="DB103" s="54">
        <f t="shared" si="81"/>
        <v>158620276138.53668</v>
      </c>
    </row>
    <row r="104" spans="1:106">
      <c r="A104" s="25">
        <v>42</v>
      </c>
      <c r="B104" s="51">
        <f t="shared" si="86"/>
        <v>51</v>
      </c>
      <c r="C104" s="74">
        <f t="shared" si="41"/>
        <v>7.5500000000000003E-4</v>
      </c>
      <c r="D104" s="52">
        <f t="shared" si="2"/>
        <v>15.618590625</v>
      </c>
      <c r="E104" s="53">
        <f t="shared" si="42"/>
        <v>37484.6175</v>
      </c>
      <c r="F104" s="51">
        <f t="shared" si="43"/>
        <v>1911715.4924999999</v>
      </c>
      <c r="G104" s="52">
        <f t="shared" si="87"/>
        <v>15873.750000000002</v>
      </c>
      <c r="H104" s="51">
        <f t="shared" si="88"/>
        <v>38097000.000000007</v>
      </c>
      <c r="I104" s="51">
        <f t="shared" si="44"/>
        <v>1942947000.0000005</v>
      </c>
      <c r="J104" s="54">
        <f t="shared" si="45"/>
        <v>99090297000.000031</v>
      </c>
      <c r="Y104" s="25">
        <v>42</v>
      </c>
      <c r="Z104" s="51">
        <f t="shared" si="89"/>
        <v>51</v>
      </c>
      <c r="AA104" s="74">
        <f t="shared" si="50"/>
        <v>2.9944560185480343E-4</v>
      </c>
      <c r="AB104" s="52">
        <f t="shared" si="10"/>
        <v>7.0642314608000518</v>
      </c>
      <c r="AC104" s="53">
        <f t="shared" si="51"/>
        <v>16954.155505920124</v>
      </c>
      <c r="AD104" s="51">
        <f t="shared" si="52"/>
        <v>864661.9308019263</v>
      </c>
      <c r="AE104" s="52">
        <f t="shared" si="90"/>
        <v>21682.068576351259</v>
      </c>
      <c r="AF104" s="51">
        <f t="shared" si="91"/>
        <v>52036964.58324302</v>
      </c>
      <c r="AG104" s="51">
        <f t="shared" si="53"/>
        <v>2653885193.7453942</v>
      </c>
      <c r="AH104" s="54">
        <f t="shared" si="54"/>
        <v>135348144881.01511</v>
      </c>
      <c r="AW104" s="25">
        <v>42</v>
      </c>
      <c r="AX104" s="51">
        <f t="shared" si="92"/>
        <v>51</v>
      </c>
      <c r="AY104" s="74">
        <f t="shared" si="59"/>
        <v>3.823351799817079E-4</v>
      </c>
      <c r="AZ104" s="52">
        <f t="shared" si="18"/>
        <v>8.8176483792293148</v>
      </c>
      <c r="BA104" s="53">
        <f t="shared" si="60"/>
        <v>21162.356110150355</v>
      </c>
      <c r="BB104" s="51">
        <f t="shared" si="61"/>
        <v>1079280.1616176681</v>
      </c>
      <c r="BC104" s="52">
        <f t="shared" si="93"/>
        <v>20625.226455233224</v>
      </c>
      <c r="BD104" s="51">
        <f t="shared" si="94"/>
        <v>49500543.492559738</v>
      </c>
      <c r="BE104" s="51">
        <f t="shared" si="62"/>
        <v>2524527718.1205468</v>
      </c>
      <c r="BF104" s="54">
        <f t="shared" si="63"/>
        <v>128750913624.14789</v>
      </c>
      <c r="BU104" s="25">
        <v>42</v>
      </c>
      <c r="BV104" s="51">
        <f t="shared" si="95"/>
        <v>51</v>
      </c>
      <c r="BW104" s="74">
        <f t="shared" si="68"/>
        <v>3.8570620724004921E-4</v>
      </c>
      <c r="BX104" s="52">
        <f t="shared" si="26"/>
        <v>8.8871041354364184</v>
      </c>
      <c r="BY104" s="53">
        <f t="shared" si="69"/>
        <v>21329.049925047406</v>
      </c>
      <c r="BZ104" s="51">
        <f t="shared" si="70"/>
        <v>1087781.5461774177</v>
      </c>
      <c r="CA104" s="52">
        <f t="shared" si="96"/>
        <v>20582.245857689373</v>
      </c>
      <c r="CB104" s="51">
        <f t="shared" si="97"/>
        <v>49397390.058454499</v>
      </c>
      <c r="CC104" s="51">
        <f t="shared" si="71"/>
        <v>2519266892.9811792</v>
      </c>
      <c r="CD104" s="54">
        <f t="shared" si="72"/>
        <v>128482611542.04015</v>
      </c>
      <c r="CS104" s="25">
        <v>42</v>
      </c>
      <c r="CT104" s="51">
        <f t="shared" si="98"/>
        <v>51</v>
      </c>
      <c r="CU104" s="74">
        <f t="shared" si="77"/>
        <v>3.8571206356081028E-4</v>
      </c>
      <c r="CV104" s="52">
        <f t="shared" si="34"/>
        <v>8.887224671451504</v>
      </c>
      <c r="CW104" s="53">
        <f t="shared" si="78"/>
        <v>21329.33921148361</v>
      </c>
      <c r="CX104" s="51">
        <f t="shared" si="79"/>
        <v>1087796.2997856641</v>
      </c>
      <c r="CY104" s="52">
        <f t="shared" si="99"/>
        <v>20582.17118959967</v>
      </c>
      <c r="CZ104" s="51">
        <f t="shared" si="100"/>
        <v>49397210.855039209</v>
      </c>
      <c r="DA104" s="51">
        <f t="shared" si="80"/>
        <v>2519257753.6069999</v>
      </c>
      <c r="DB104" s="54">
        <f t="shared" si="81"/>
        <v>128482145433.957</v>
      </c>
    </row>
    <row r="105" spans="1:106">
      <c r="A105" s="25">
        <v>43</v>
      </c>
      <c r="B105" s="51">
        <f t="shared" si="86"/>
        <v>45</v>
      </c>
      <c r="C105" s="74">
        <f t="shared" si="41"/>
        <v>7.2500000000000006E-4</v>
      </c>
      <c r="D105" s="52">
        <f t="shared" si="2"/>
        <v>15.136640625</v>
      </c>
      <c r="E105" s="53">
        <f t="shared" si="42"/>
        <v>36327.9375</v>
      </c>
      <c r="F105" s="51">
        <f t="shared" si="43"/>
        <v>1634757.1875</v>
      </c>
      <c r="G105" s="52">
        <f t="shared" si="87"/>
        <v>16256.249999999998</v>
      </c>
      <c r="H105" s="51">
        <f t="shared" si="88"/>
        <v>39014999.999999993</v>
      </c>
      <c r="I105" s="51">
        <f t="shared" si="44"/>
        <v>1755674999.9999998</v>
      </c>
      <c r="J105" s="54">
        <f t="shared" si="45"/>
        <v>79005374999.999985</v>
      </c>
      <c r="Y105" s="25">
        <v>43</v>
      </c>
      <c r="Z105" s="51">
        <f t="shared" si="89"/>
        <v>45</v>
      </c>
      <c r="AA105" s="74">
        <f t="shared" si="50"/>
        <v>2.8378345241156038E-4</v>
      </c>
      <c r="AB105" s="52">
        <f t="shared" si="10"/>
        <v>6.7230798563705569</v>
      </c>
      <c r="AC105" s="53">
        <f t="shared" si="51"/>
        <v>16135.391655289337</v>
      </c>
      <c r="AD105" s="51">
        <f t="shared" si="52"/>
        <v>726092.6244880202</v>
      </c>
      <c r="AE105" s="52">
        <f t="shared" si="90"/>
        <v>21881.760981752606</v>
      </c>
      <c r="AF105" s="51">
        <f t="shared" si="91"/>
        <v>52516226.356206253</v>
      </c>
      <c r="AG105" s="51">
        <f t="shared" si="53"/>
        <v>2363230186.0292816</v>
      </c>
      <c r="AH105" s="54">
        <f t="shared" si="54"/>
        <v>106345358371.31767</v>
      </c>
      <c r="AW105" s="25">
        <v>43</v>
      </c>
      <c r="AX105" s="51">
        <f t="shared" si="92"/>
        <v>45</v>
      </c>
      <c r="AY105" s="74">
        <f t="shared" si="59"/>
        <v>3.6363874691390735E-4</v>
      </c>
      <c r="AZ105" s="52">
        <f t="shared" si="18"/>
        <v>8.4298017899155173</v>
      </c>
      <c r="BA105" s="53">
        <f t="shared" si="60"/>
        <v>20231.52429579724</v>
      </c>
      <c r="BB105" s="51">
        <f t="shared" si="61"/>
        <v>910418.59331087582</v>
      </c>
      <c r="BC105" s="52">
        <f t="shared" si="93"/>
        <v>20863.605976847681</v>
      </c>
      <c r="BD105" s="51">
        <f t="shared" si="94"/>
        <v>50072654.344434433</v>
      </c>
      <c r="BE105" s="51">
        <f t="shared" si="62"/>
        <v>2253269445.4995494</v>
      </c>
      <c r="BF105" s="54">
        <f t="shared" si="63"/>
        <v>101397125047.47972</v>
      </c>
      <c r="BU105" s="25">
        <v>43</v>
      </c>
      <c r="BV105" s="51">
        <f t="shared" si="95"/>
        <v>45</v>
      </c>
      <c r="BW105" s="74">
        <f t="shared" si="68"/>
        <v>3.6688451387895121E-4</v>
      </c>
      <c r="BX105" s="52">
        <f t="shared" si="26"/>
        <v>8.4974530323215145</v>
      </c>
      <c r="BY105" s="53">
        <f t="shared" si="69"/>
        <v>20393.887277571634</v>
      </c>
      <c r="BZ105" s="51">
        <f t="shared" si="70"/>
        <v>917724.92749072355</v>
      </c>
      <c r="CA105" s="52">
        <f t="shared" si="96"/>
        <v>20822.222448043372</v>
      </c>
      <c r="CB105" s="51">
        <f t="shared" si="97"/>
        <v>49973333.875304095</v>
      </c>
      <c r="CC105" s="51">
        <f t="shared" si="71"/>
        <v>2248800024.3886843</v>
      </c>
      <c r="CD105" s="54">
        <f t="shared" si="72"/>
        <v>101196001097.4908</v>
      </c>
      <c r="CS105" s="25">
        <v>43</v>
      </c>
      <c r="CT105" s="51">
        <f t="shared" si="98"/>
        <v>45</v>
      </c>
      <c r="CU105" s="74">
        <f t="shared" si="77"/>
        <v>3.6689016431895507E-4</v>
      </c>
      <c r="CV105" s="52">
        <f t="shared" si="34"/>
        <v>8.4975706868366689</v>
      </c>
      <c r="CW105" s="53">
        <f t="shared" si="78"/>
        <v>20394.169648408006</v>
      </c>
      <c r="CX105" s="51">
        <f t="shared" si="79"/>
        <v>917737.63417836023</v>
      </c>
      <c r="CY105" s="52">
        <f t="shared" si="99"/>
        <v>20822.150404933323</v>
      </c>
      <c r="CZ105" s="51">
        <f t="shared" si="100"/>
        <v>49973160.971839979</v>
      </c>
      <c r="DA105" s="51">
        <f t="shared" si="80"/>
        <v>2248792243.7327991</v>
      </c>
      <c r="DB105" s="54">
        <f t="shared" si="81"/>
        <v>101195650967.97595</v>
      </c>
    </row>
    <row r="106" spans="1:106">
      <c r="A106" s="25">
        <v>44</v>
      </c>
      <c r="B106" s="51">
        <f t="shared" si="86"/>
        <v>39</v>
      </c>
      <c r="C106" s="74">
        <f t="shared" si="41"/>
        <v>6.9500000000000009E-4</v>
      </c>
      <c r="D106" s="52">
        <f t="shared" si="2"/>
        <v>14.643215625000002</v>
      </c>
      <c r="E106" s="53">
        <f t="shared" si="42"/>
        <v>35143.717500000006</v>
      </c>
      <c r="F106" s="51">
        <f t="shared" si="43"/>
        <v>1370604.9825000002</v>
      </c>
      <c r="G106" s="52">
        <f t="shared" si="87"/>
        <v>16638.75</v>
      </c>
      <c r="H106" s="51">
        <f t="shared" si="88"/>
        <v>39933000</v>
      </c>
      <c r="I106" s="51">
        <f t="shared" si="44"/>
        <v>1557387000</v>
      </c>
      <c r="J106" s="54">
        <f t="shared" si="45"/>
        <v>60738093000</v>
      </c>
      <c r="Y106" s="25">
        <v>44</v>
      </c>
      <c r="Z106" s="51">
        <f t="shared" si="89"/>
        <v>39</v>
      </c>
      <c r="AA106" s="74">
        <f t="shared" si="50"/>
        <v>2.6812130296831733E-4</v>
      </c>
      <c r="AB106" s="52">
        <f t="shared" si="10"/>
        <v>6.3788006396449877</v>
      </c>
      <c r="AC106" s="53">
        <f t="shared" si="51"/>
        <v>15309.12153514797</v>
      </c>
      <c r="AD106" s="51">
        <f t="shared" si="52"/>
        <v>597055.73987077083</v>
      </c>
      <c r="AE106" s="52">
        <f t="shared" si="90"/>
        <v>22081.453387153953</v>
      </c>
      <c r="AF106" s="51">
        <f t="shared" si="91"/>
        <v>52995488.129169486</v>
      </c>
      <c r="AG106" s="51">
        <f t="shared" si="53"/>
        <v>2066824037.0376101</v>
      </c>
      <c r="AH106" s="54">
        <f t="shared" si="54"/>
        <v>80606137444.466797</v>
      </c>
      <c r="AW106" s="25">
        <v>44</v>
      </c>
      <c r="AX106" s="51">
        <f t="shared" si="92"/>
        <v>39</v>
      </c>
      <c r="AY106" s="74">
        <f t="shared" si="59"/>
        <v>3.4494231384610686E-4</v>
      </c>
      <c r="AZ106" s="52">
        <f t="shared" si="18"/>
        <v>8.0374983538311238</v>
      </c>
      <c r="BA106" s="53">
        <f t="shared" si="60"/>
        <v>19289.996049194699</v>
      </c>
      <c r="BB106" s="51">
        <f t="shared" si="61"/>
        <v>752309.84591859323</v>
      </c>
      <c r="BC106" s="52">
        <f t="shared" si="93"/>
        <v>21101.985498462138</v>
      </c>
      <c r="BD106" s="51">
        <f t="shared" si="94"/>
        <v>50644765.196309134</v>
      </c>
      <c r="BE106" s="51">
        <f t="shared" si="62"/>
        <v>1975145842.6560562</v>
      </c>
      <c r="BF106" s="54">
        <f t="shared" si="63"/>
        <v>77030687863.586197</v>
      </c>
      <c r="BU106" s="25">
        <v>44</v>
      </c>
      <c r="BV106" s="51">
        <f t="shared" si="95"/>
        <v>39</v>
      </c>
      <c r="BW106" s="74">
        <f t="shared" si="68"/>
        <v>3.4806282051785321E-4</v>
      </c>
      <c r="BX106" s="52">
        <f t="shared" si="26"/>
        <v>8.103285163409133</v>
      </c>
      <c r="BY106" s="53">
        <f t="shared" si="69"/>
        <v>19447.884392181921</v>
      </c>
      <c r="BZ106" s="51">
        <f t="shared" si="70"/>
        <v>758467.49129509495</v>
      </c>
      <c r="CA106" s="52">
        <f t="shared" si="96"/>
        <v>21062.199038397372</v>
      </c>
      <c r="CB106" s="51">
        <f t="shared" si="97"/>
        <v>50549277.692153692</v>
      </c>
      <c r="CC106" s="51">
        <f t="shared" si="71"/>
        <v>1971421829.993994</v>
      </c>
      <c r="CD106" s="54">
        <f t="shared" si="72"/>
        <v>76885451369.765762</v>
      </c>
      <c r="CS106" s="25">
        <v>44</v>
      </c>
      <c r="CT106" s="51">
        <f t="shared" si="98"/>
        <v>39</v>
      </c>
      <c r="CU106" s="74">
        <f t="shared" si="77"/>
        <v>3.4806826507709991E-4</v>
      </c>
      <c r="CV106" s="52">
        <f t="shared" si="34"/>
        <v>8.1033998376106844</v>
      </c>
      <c r="CW106" s="53">
        <f t="shared" si="78"/>
        <v>19448.159610265644</v>
      </c>
      <c r="CX106" s="51">
        <f t="shared" si="79"/>
        <v>758478.22480036016</v>
      </c>
      <c r="CY106" s="52">
        <f t="shared" si="99"/>
        <v>21062.129620266976</v>
      </c>
      <c r="CZ106" s="51">
        <f t="shared" si="100"/>
        <v>50549111.088640742</v>
      </c>
      <c r="DA106" s="51">
        <f t="shared" si="80"/>
        <v>1971415332.456989</v>
      </c>
      <c r="DB106" s="54">
        <f t="shared" si="81"/>
        <v>76885197965.822571</v>
      </c>
    </row>
    <row r="107" spans="1:106">
      <c r="A107" s="25">
        <v>45</v>
      </c>
      <c r="B107" s="51">
        <f t="shared" si="86"/>
        <v>33</v>
      </c>
      <c r="C107" s="74">
        <f t="shared" si="41"/>
        <v>6.6500000000000001E-4</v>
      </c>
      <c r="D107" s="52">
        <f t="shared" si="2"/>
        <v>14.138315624999999</v>
      </c>
      <c r="E107" s="53">
        <f t="shared" si="42"/>
        <v>33931.957499999997</v>
      </c>
      <c r="F107" s="51">
        <f t="shared" si="43"/>
        <v>1119754.5974999999</v>
      </c>
      <c r="G107" s="52">
        <f t="shared" si="87"/>
        <v>17021.25</v>
      </c>
      <c r="H107" s="51">
        <f t="shared" si="88"/>
        <v>40851000</v>
      </c>
      <c r="I107" s="51">
        <f t="shared" si="44"/>
        <v>1348083000</v>
      </c>
      <c r="J107" s="54">
        <f t="shared" si="45"/>
        <v>44486739000</v>
      </c>
      <c r="Y107" s="25">
        <v>45</v>
      </c>
      <c r="Z107" s="51">
        <f t="shared" si="89"/>
        <v>33</v>
      </c>
      <c r="AA107" s="74">
        <f t="shared" si="50"/>
        <v>2.5245915352507429E-4</v>
      </c>
      <c r="AB107" s="52">
        <f t="shared" si="10"/>
        <v>6.0313938106233405</v>
      </c>
      <c r="AC107" s="53">
        <f t="shared" si="51"/>
        <v>14475.345145496018</v>
      </c>
      <c r="AD107" s="51">
        <f t="shared" si="52"/>
        <v>477686.38980136858</v>
      </c>
      <c r="AE107" s="52">
        <f t="shared" si="90"/>
        <v>22281.1457925553</v>
      </c>
      <c r="AF107" s="51">
        <f t="shared" si="91"/>
        <v>53474749.90213272</v>
      </c>
      <c r="AG107" s="51">
        <f t="shared" si="53"/>
        <v>1764666746.7703798</v>
      </c>
      <c r="AH107" s="54">
        <f t="shared" si="54"/>
        <v>58234002643.422531</v>
      </c>
      <c r="AW107" s="25">
        <v>45</v>
      </c>
      <c r="AX107" s="51">
        <f t="shared" si="92"/>
        <v>33</v>
      </c>
      <c r="AY107" s="74">
        <f t="shared" si="59"/>
        <v>3.2624588077830626E-4</v>
      </c>
      <c r="AZ107" s="52">
        <f t="shared" si="18"/>
        <v>7.6407380709761261</v>
      </c>
      <c r="BA107" s="53">
        <f t="shared" si="60"/>
        <v>18337.771370342703</v>
      </c>
      <c r="BB107" s="51">
        <f t="shared" si="61"/>
        <v>605146.45522130921</v>
      </c>
      <c r="BC107" s="52">
        <f t="shared" si="93"/>
        <v>21340.365020076595</v>
      </c>
      <c r="BD107" s="51">
        <f t="shared" si="94"/>
        <v>51216876.048183829</v>
      </c>
      <c r="BE107" s="51">
        <f t="shared" si="62"/>
        <v>1690156909.5900664</v>
      </c>
      <c r="BF107" s="54">
        <f t="shared" si="63"/>
        <v>55775178016.472191</v>
      </c>
      <c r="BU107" s="25">
        <v>45</v>
      </c>
      <c r="BV107" s="51">
        <f t="shared" si="95"/>
        <v>33</v>
      </c>
      <c r="BW107" s="74">
        <f t="shared" si="68"/>
        <v>3.2924112715675521E-4</v>
      </c>
      <c r="BX107" s="52">
        <f t="shared" si="26"/>
        <v>7.7046005286992596</v>
      </c>
      <c r="BY107" s="53">
        <f t="shared" si="69"/>
        <v>18491.041268878223</v>
      </c>
      <c r="BZ107" s="51">
        <f t="shared" si="70"/>
        <v>610204.36187298142</v>
      </c>
      <c r="CA107" s="52">
        <f t="shared" si="96"/>
        <v>21302.175628751371</v>
      </c>
      <c r="CB107" s="51">
        <f t="shared" si="97"/>
        <v>51125221.509003289</v>
      </c>
      <c r="CC107" s="51">
        <f t="shared" si="71"/>
        <v>1687132309.7971087</v>
      </c>
      <c r="CD107" s="54">
        <f t="shared" si="72"/>
        <v>55675366223.304588</v>
      </c>
      <c r="CS107" s="25">
        <v>45</v>
      </c>
      <c r="CT107" s="51">
        <f t="shared" si="98"/>
        <v>33</v>
      </c>
      <c r="CU107" s="74">
        <f t="shared" si="77"/>
        <v>3.2924636583524464E-4</v>
      </c>
      <c r="CV107" s="52">
        <f t="shared" si="34"/>
        <v>7.7047121237735521</v>
      </c>
      <c r="CW107" s="53">
        <f t="shared" si="78"/>
        <v>18491.309097056524</v>
      </c>
      <c r="CX107" s="51">
        <f t="shared" si="79"/>
        <v>610213.20020286529</v>
      </c>
      <c r="CY107" s="52">
        <f t="shared" si="99"/>
        <v>21302.108835600629</v>
      </c>
      <c r="CZ107" s="51">
        <f t="shared" si="100"/>
        <v>51125061.205441512</v>
      </c>
      <c r="DA107" s="51">
        <f t="shared" si="80"/>
        <v>1687127019.7795699</v>
      </c>
      <c r="DB107" s="54">
        <f t="shared" si="81"/>
        <v>55675191652.725807</v>
      </c>
    </row>
    <row r="108" spans="1:106">
      <c r="A108" s="25">
        <v>46</v>
      </c>
      <c r="B108" s="51">
        <f t="shared" si="86"/>
        <v>27</v>
      </c>
      <c r="C108" s="74">
        <f t="shared" si="41"/>
        <v>6.3500000000000004E-4</v>
      </c>
      <c r="D108" s="52">
        <f t="shared" si="2"/>
        <v>13.621940625000001</v>
      </c>
      <c r="E108" s="53">
        <f t="shared" si="42"/>
        <v>32692.657500000001</v>
      </c>
      <c r="F108" s="51">
        <f t="shared" si="43"/>
        <v>882701.75250000006</v>
      </c>
      <c r="G108" s="52">
        <f t="shared" si="87"/>
        <v>17403.75</v>
      </c>
      <c r="H108" s="51">
        <f t="shared" si="88"/>
        <v>41769000</v>
      </c>
      <c r="I108" s="51">
        <f t="shared" si="44"/>
        <v>1127763000</v>
      </c>
      <c r="J108" s="54">
        <f t="shared" si="45"/>
        <v>30449601000</v>
      </c>
      <c r="Y108" s="25">
        <v>46</v>
      </c>
      <c r="Z108" s="51">
        <f t="shared" si="89"/>
        <v>27</v>
      </c>
      <c r="AA108" s="74">
        <f t="shared" si="50"/>
        <v>2.3679700408183119E-4</v>
      </c>
      <c r="AB108" s="52">
        <f t="shared" si="10"/>
        <v>5.6808593693056135</v>
      </c>
      <c r="AC108" s="53">
        <f t="shared" si="51"/>
        <v>13634.062486333472</v>
      </c>
      <c r="AD108" s="51">
        <f t="shared" si="52"/>
        <v>368119.68713100377</v>
      </c>
      <c r="AE108" s="52">
        <f t="shared" si="90"/>
        <v>22480.838197956651</v>
      </c>
      <c r="AF108" s="51">
        <f t="shared" si="91"/>
        <v>53954011.67509596</v>
      </c>
      <c r="AG108" s="51">
        <f t="shared" si="53"/>
        <v>1456758315.227591</v>
      </c>
      <c r="AH108" s="54">
        <f t="shared" si="54"/>
        <v>39332474511.144958</v>
      </c>
      <c r="AW108" s="25">
        <v>46</v>
      </c>
      <c r="AX108" s="51">
        <f t="shared" si="92"/>
        <v>27</v>
      </c>
      <c r="AY108" s="74">
        <f t="shared" si="59"/>
        <v>3.0754944771050577E-4</v>
      </c>
      <c r="AZ108" s="52">
        <f t="shared" si="18"/>
        <v>7.2395209413505368</v>
      </c>
      <c r="BA108" s="53">
        <f t="shared" si="60"/>
        <v>17374.850259241288</v>
      </c>
      <c r="BB108" s="51">
        <f t="shared" si="61"/>
        <v>469120.95699951478</v>
      </c>
      <c r="BC108" s="52">
        <f t="shared" si="93"/>
        <v>21578.744541691049</v>
      </c>
      <c r="BD108" s="51">
        <f t="shared" si="94"/>
        <v>51788986.900058515</v>
      </c>
      <c r="BE108" s="51">
        <f t="shared" si="62"/>
        <v>1398302646.30158</v>
      </c>
      <c r="BF108" s="54">
        <f t="shared" si="63"/>
        <v>37754171450.142662</v>
      </c>
      <c r="BU108" s="25">
        <v>46</v>
      </c>
      <c r="BV108" s="51">
        <f t="shared" si="95"/>
        <v>27</v>
      </c>
      <c r="BW108" s="74">
        <f t="shared" si="68"/>
        <v>3.104194337956572E-4</v>
      </c>
      <c r="BX108" s="52">
        <f t="shared" si="26"/>
        <v>7.3013991281919033</v>
      </c>
      <c r="BY108" s="53">
        <f t="shared" si="69"/>
        <v>17523.357907660567</v>
      </c>
      <c r="BZ108" s="51">
        <f t="shared" si="70"/>
        <v>473130.66350683535</v>
      </c>
      <c r="CA108" s="52">
        <f t="shared" si="96"/>
        <v>21542.15221910537</v>
      </c>
      <c r="CB108" s="51">
        <f t="shared" si="97"/>
        <v>51701165.325852886</v>
      </c>
      <c r="CC108" s="51">
        <f t="shared" si="71"/>
        <v>1395931463.798028</v>
      </c>
      <c r="CD108" s="54">
        <f t="shared" si="72"/>
        <v>37690149522.546753</v>
      </c>
      <c r="CS108" s="25">
        <v>46</v>
      </c>
      <c r="CT108" s="51">
        <f t="shared" si="98"/>
        <v>27</v>
      </c>
      <c r="CU108" s="74">
        <f t="shared" si="77"/>
        <v>3.1042446659338948E-4</v>
      </c>
      <c r="CV108" s="52">
        <f t="shared" si="34"/>
        <v>7.3015075453252702</v>
      </c>
      <c r="CW108" s="53">
        <f t="shared" si="78"/>
        <v>17523.618108780647</v>
      </c>
      <c r="CX108" s="51">
        <f t="shared" si="79"/>
        <v>473137.68893707747</v>
      </c>
      <c r="CY108" s="52">
        <f t="shared" si="99"/>
        <v>21542.088050934282</v>
      </c>
      <c r="CZ108" s="51">
        <f t="shared" si="100"/>
        <v>51701011.322242275</v>
      </c>
      <c r="DA108" s="51">
        <f t="shared" si="80"/>
        <v>1395927305.7005415</v>
      </c>
      <c r="DB108" s="54">
        <f t="shared" si="81"/>
        <v>37690037253.914619</v>
      </c>
    </row>
    <row r="109" spans="1:106">
      <c r="A109" s="25">
        <v>47</v>
      </c>
      <c r="B109" s="51">
        <f t="shared" si="86"/>
        <v>21</v>
      </c>
      <c r="C109" s="74">
        <f t="shared" si="41"/>
        <v>6.0500000000000007E-4</v>
      </c>
      <c r="D109" s="52">
        <f t="shared" si="2"/>
        <v>13.094090625</v>
      </c>
      <c r="E109" s="53">
        <f t="shared" si="42"/>
        <v>31425.817500000001</v>
      </c>
      <c r="F109" s="51">
        <f t="shared" si="43"/>
        <v>659942.16749999998</v>
      </c>
      <c r="G109" s="52">
        <f t="shared" si="87"/>
        <v>17786.25</v>
      </c>
      <c r="H109" s="51">
        <f t="shared" si="88"/>
        <v>42687000</v>
      </c>
      <c r="I109" s="51">
        <f t="shared" si="44"/>
        <v>896427000</v>
      </c>
      <c r="J109" s="54">
        <f t="shared" si="45"/>
        <v>18824967000</v>
      </c>
      <c r="Y109" s="25">
        <v>47</v>
      </c>
      <c r="Z109" s="51">
        <f t="shared" si="89"/>
        <v>21</v>
      </c>
      <c r="AA109" s="74">
        <f t="shared" si="50"/>
        <v>2.2113485463858814E-4</v>
      </c>
      <c r="AB109" s="52">
        <f t="shared" si="10"/>
        <v>5.327197315691806</v>
      </c>
      <c r="AC109" s="53">
        <f t="shared" si="51"/>
        <v>12785.273557660334</v>
      </c>
      <c r="AD109" s="51">
        <f t="shared" si="52"/>
        <v>268490.744710867</v>
      </c>
      <c r="AE109" s="52">
        <f t="shared" si="90"/>
        <v>22680.530603358002</v>
      </c>
      <c r="AF109" s="51">
        <f t="shared" si="91"/>
        <v>54433273.448059201</v>
      </c>
      <c r="AG109" s="51">
        <f t="shared" si="53"/>
        <v>1143098742.4092431</v>
      </c>
      <c r="AH109" s="54">
        <f t="shared" si="54"/>
        <v>24005073590.594105</v>
      </c>
      <c r="AW109" s="25">
        <v>47</v>
      </c>
      <c r="AX109" s="51">
        <f t="shared" si="92"/>
        <v>21</v>
      </c>
      <c r="AY109" s="74">
        <f t="shared" si="59"/>
        <v>2.8885301464270523E-4</v>
      </c>
      <c r="AZ109" s="52">
        <f t="shared" si="18"/>
        <v>6.8338469649543434</v>
      </c>
      <c r="BA109" s="53">
        <f t="shared" si="60"/>
        <v>16401.232715890423</v>
      </c>
      <c r="BB109" s="51">
        <f t="shared" si="61"/>
        <v>344425.88703369885</v>
      </c>
      <c r="BC109" s="52">
        <f t="shared" si="93"/>
        <v>21817.124063305506</v>
      </c>
      <c r="BD109" s="51">
        <f t="shared" si="94"/>
        <v>52361097.751933217</v>
      </c>
      <c r="BE109" s="51">
        <f t="shared" si="62"/>
        <v>1099583052.7905974</v>
      </c>
      <c r="BF109" s="54">
        <f t="shared" si="63"/>
        <v>23091244108.602547</v>
      </c>
      <c r="BU109" s="25">
        <v>47</v>
      </c>
      <c r="BV109" s="51">
        <f t="shared" si="95"/>
        <v>21</v>
      </c>
      <c r="BW109" s="74">
        <f t="shared" si="68"/>
        <v>2.915977404345592E-4</v>
      </c>
      <c r="BX109" s="52">
        <f t="shared" si="26"/>
        <v>6.8936809618870658</v>
      </c>
      <c r="BY109" s="53">
        <f t="shared" si="69"/>
        <v>16544.834308528956</v>
      </c>
      <c r="BZ109" s="51">
        <f t="shared" si="70"/>
        <v>347441.52047910809</v>
      </c>
      <c r="CA109" s="52">
        <f t="shared" si="96"/>
        <v>21782.128809459369</v>
      </c>
      <c r="CB109" s="51">
        <f t="shared" si="97"/>
        <v>52277109.142702483</v>
      </c>
      <c r="CC109" s="51">
        <f t="shared" si="71"/>
        <v>1097819291.996752</v>
      </c>
      <c r="CD109" s="54">
        <f t="shared" si="72"/>
        <v>23054205131.931793</v>
      </c>
      <c r="CS109" s="25">
        <v>47</v>
      </c>
      <c r="CT109" s="51">
        <f t="shared" si="98"/>
        <v>21</v>
      </c>
      <c r="CU109" s="74">
        <f t="shared" si="77"/>
        <v>2.9160256735153426E-4</v>
      </c>
      <c r="CV109" s="52">
        <f t="shared" si="34"/>
        <v>6.8937861022658362</v>
      </c>
      <c r="CW109" s="53">
        <f t="shared" si="78"/>
        <v>16545.086645438008</v>
      </c>
      <c r="CX109" s="51">
        <f t="shared" si="79"/>
        <v>347446.81955419818</v>
      </c>
      <c r="CY109" s="52">
        <f t="shared" si="99"/>
        <v>21782.067266267939</v>
      </c>
      <c r="CZ109" s="51">
        <f t="shared" si="100"/>
        <v>52276961.439043052</v>
      </c>
      <c r="DA109" s="51">
        <f t="shared" si="80"/>
        <v>1097816190.2199042</v>
      </c>
      <c r="DB109" s="54">
        <f t="shared" si="81"/>
        <v>23054139994.617989</v>
      </c>
    </row>
    <row r="110" spans="1:106">
      <c r="A110" s="25">
        <v>48</v>
      </c>
      <c r="B110" s="51">
        <f t="shared" si="86"/>
        <v>15</v>
      </c>
      <c r="C110" s="74">
        <f t="shared" si="41"/>
        <v>5.7499999999999999E-4</v>
      </c>
      <c r="D110" s="52">
        <f t="shared" si="2"/>
        <v>12.554765624999998</v>
      </c>
      <c r="E110" s="53">
        <f t="shared" si="42"/>
        <v>30131.437499999996</v>
      </c>
      <c r="F110" s="51">
        <f t="shared" si="43"/>
        <v>451971.56249999994</v>
      </c>
      <c r="G110" s="52">
        <f t="shared" si="87"/>
        <v>18168.75</v>
      </c>
      <c r="H110" s="51">
        <f t="shared" si="88"/>
        <v>43605000</v>
      </c>
      <c r="I110" s="51">
        <f t="shared" si="44"/>
        <v>654075000</v>
      </c>
      <c r="J110" s="54">
        <f t="shared" si="45"/>
        <v>9811125000</v>
      </c>
      <c r="Y110" s="25">
        <v>48</v>
      </c>
      <c r="Z110" s="51">
        <f t="shared" si="89"/>
        <v>15</v>
      </c>
      <c r="AA110" s="74">
        <f t="shared" si="50"/>
        <v>2.054727051953451E-4</v>
      </c>
      <c r="AB110" s="52">
        <f t="shared" si="10"/>
        <v>4.9704076497819303</v>
      </c>
      <c r="AC110" s="53">
        <f t="shared" si="51"/>
        <v>11928.978359476632</v>
      </c>
      <c r="AD110" s="51">
        <f t="shared" si="52"/>
        <v>178934.67539214948</v>
      </c>
      <c r="AE110" s="52">
        <f t="shared" si="90"/>
        <v>22880.223008759349</v>
      </c>
      <c r="AF110" s="51">
        <f t="shared" si="91"/>
        <v>54912535.221022435</v>
      </c>
      <c r="AG110" s="51">
        <f t="shared" si="53"/>
        <v>823688028.31533647</v>
      </c>
      <c r="AH110" s="54">
        <f t="shared" si="54"/>
        <v>12355320424.730047</v>
      </c>
      <c r="AW110" s="25">
        <v>48</v>
      </c>
      <c r="AX110" s="51">
        <f t="shared" si="92"/>
        <v>15</v>
      </c>
      <c r="AY110" s="74">
        <f t="shared" si="59"/>
        <v>2.7015658157490468E-4</v>
      </c>
      <c r="AZ110" s="52">
        <f t="shared" si="18"/>
        <v>6.4237161417875521</v>
      </c>
      <c r="BA110" s="53">
        <f t="shared" si="60"/>
        <v>15416.918740290124</v>
      </c>
      <c r="BB110" s="51">
        <f t="shared" si="61"/>
        <v>231253.78110435186</v>
      </c>
      <c r="BC110" s="52">
        <f t="shared" si="93"/>
        <v>22055.503584919963</v>
      </c>
      <c r="BD110" s="51">
        <f t="shared" si="94"/>
        <v>52933208.603807911</v>
      </c>
      <c r="BE110" s="51">
        <f t="shared" si="62"/>
        <v>793998129.05711865</v>
      </c>
      <c r="BF110" s="54">
        <f t="shared" si="63"/>
        <v>11909971935.856779</v>
      </c>
      <c r="BU110" s="25">
        <v>48</v>
      </c>
      <c r="BV110" s="51">
        <f t="shared" si="95"/>
        <v>15</v>
      </c>
      <c r="BW110" s="74">
        <f t="shared" si="68"/>
        <v>2.727760470734612E-4</v>
      </c>
      <c r="BX110" s="52">
        <f t="shared" si="26"/>
        <v>6.48144602978474</v>
      </c>
      <c r="BY110" s="53">
        <f t="shared" si="69"/>
        <v>15555.470471483377</v>
      </c>
      <c r="BZ110" s="51">
        <f t="shared" si="70"/>
        <v>233332.05707225067</v>
      </c>
      <c r="CA110" s="52">
        <f t="shared" si="96"/>
        <v>22022.105399813368</v>
      </c>
      <c r="CB110" s="51">
        <f t="shared" si="97"/>
        <v>52853052.959552087</v>
      </c>
      <c r="CC110" s="51">
        <f t="shared" si="71"/>
        <v>792795794.39328134</v>
      </c>
      <c r="CD110" s="54">
        <f t="shared" si="72"/>
        <v>11891936915.89922</v>
      </c>
      <c r="CS110" s="25">
        <v>48</v>
      </c>
      <c r="CT110" s="51">
        <f t="shared" si="98"/>
        <v>15</v>
      </c>
      <c r="CU110" s="74">
        <f t="shared" si="77"/>
        <v>2.7278066810967904E-4</v>
      </c>
      <c r="CV110" s="52">
        <f t="shared" si="34"/>
        <v>6.4815477945952562</v>
      </c>
      <c r="CW110" s="53">
        <f t="shared" si="78"/>
        <v>15555.714707028616</v>
      </c>
      <c r="CX110" s="51">
        <f t="shared" si="79"/>
        <v>233335.72060542923</v>
      </c>
      <c r="CY110" s="52">
        <f t="shared" si="99"/>
        <v>22022.046481601592</v>
      </c>
      <c r="CZ110" s="51">
        <f t="shared" si="100"/>
        <v>52852911.555843823</v>
      </c>
      <c r="DA110" s="51">
        <f t="shared" si="80"/>
        <v>792793673.33765733</v>
      </c>
      <c r="DB110" s="54">
        <f t="shared" si="81"/>
        <v>11891905100.064859</v>
      </c>
    </row>
    <row r="111" spans="1:106">
      <c r="A111" s="25">
        <v>49</v>
      </c>
      <c r="B111" s="51">
        <f t="shared" si="86"/>
        <v>9</v>
      </c>
      <c r="C111" s="74">
        <f t="shared" si="41"/>
        <v>5.4500000000000002E-4</v>
      </c>
      <c r="D111" s="52">
        <f t="shared" si="2"/>
        <v>12.003965624999998</v>
      </c>
      <c r="E111" s="53">
        <f t="shared" si="42"/>
        <v>28809.517499999994</v>
      </c>
      <c r="F111" s="51">
        <f t="shared" si="43"/>
        <v>259285.65749999994</v>
      </c>
      <c r="G111" s="52">
        <f t="shared" si="87"/>
        <v>18551.25</v>
      </c>
      <c r="H111" s="51">
        <f t="shared" si="88"/>
        <v>44523000</v>
      </c>
      <c r="I111" s="51">
        <f t="shared" si="44"/>
        <v>400707000</v>
      </c>
      <c r="J111" s="54">
        <f t="shared" si="45"/>
        <v>3606363000</v>
      </c>
      <c r="Y111" s="25">
        <v>49</v>
      </c>
      <c r="Z111" s="51">
        <f t="shared" si="89"/>
        <v>9</v>
      </c>
      <c r="AA111" s="74">
        <f t="shared" si="50"/>
        <v>1.8981055575210205E-4</v>
      </c>
      <c r="AB111" s="52">
        <f t="shared" si="10"/>
        <v>4.6104903715759784</v>
      </c>
      <c r="AC111" s="53">
        <f t="shared" si="51"/>
        <v>11065.176891782348</v>
      </c>
      <c r="AD111" s="51">
        <f t="shared" si="52"/>
        <v>99586.592026041137</v>
      </c>
      <c r="AE111" s="52">
        <f t="shared" si="90"/>
        <v>23079.915414160696</v>
      </c>
      <c r="AF111" s="51">
        <f t="shared" si="91"/>
        <v>55391796.993985668</v>
      </c>
      <c r="AG111" s="51">
        <f t="shared" si="53"/>
        <v>498526172.945871</v>
      </c>
      <c r="AH111" s="54">
        <f t="shared" si="54"/>
        <v>4486735556.5128393</v>
      </c>
      <c r="AW111" s="25">
        <v>49</v>
      </c>
      <c r="AX111" s="51">
        <f t="shared" si="92"/>
        <v>9</v>
      </c>
      <c r="AY111" s="74">
        <f t="shared" si="59"/>
        <v>2.5146014850710414E-4</v>
      </c>
      <c r="AZ111" s="52">
        <f t="shared" si="18"/>
        <v>6.0091284718501612</v>
      </c>
      <c r="BA111" s="53">
        <f t="shared" si="60"/>
        <v>14421.908332440387</v>
      </c>
      <c r="BB111" s="51">
        <f t="shared" si="61"/>
        <v>129797.17499196349</v>
      </c>
      <c r="BC111" s="52">
        <f t="shared" si="93"/>
        <v>22293.88310653442</v>
      </c>
      <c r="BD111" s="51">
        <f t="shared" si="94"/>
        <v>53505319.455682606</v>
      </c>
      <c r="BE111" s="51">
        <f t="shared" si="62"/>
        <v>481547875.10114348</v>
      </c>
      <c r="BF111" s="54">
        <f t="shared" si="63"/>
        <v>4333930875.9102917</v>
      </c>
      <c r="BU111" s="25">
        <v>49</v>
      </c>
      <c r="BV111" s="51">
        <f t="shared" si="95"/>
        <v>9</v>
      </c>
      <c r="BW111" s="74">
        <f t="shared" si="68"/>
        <v>2.5395435371236319E-4</v>
      </c>
      <c r="BX111" s="52">
        <f t="shared" si="26"/>
        <v>6.064694331884926</v>
      </c>
      <c r="BY111" s="53">
        <f t="shared" si="69"/>
        <v>14555.266396523823</v>
      </c>
      <c r="BZ111" s="51">
        <f t="shared" si="70"/>
        <v>130997.3975687144</v>
      </c>
      <c r="CA111" s="52">
        <f t="shared" si="96"/>
        <v>22262.081990167368</v>
      </c>
      <c r="CB111" s="51">
        <f t="shared" si="97"/>
        <v>53428996.776401684</v>
      </c>
      <c r="CC111" s="51">
        <f t="shared" si="71"/>
        <v>480860970.98761517</v>
      </c>
      <c r="CD111" s="54">
        <f t="shared" si="72"/>
        <v>4327748738.8885365</v>
      </c>
      <c r="CS111" s="25">
        <v>49</v>
      </c>
      <c r="CT111" s="51">
        <f t="shared" si="98"/>
        <v>9</v>
      </c>
      <c r="CU111" s="74">
        <f t="shared" si="77"/>
        <v>2.5395876886782383E-4</v>
      </c>
      <c r="CV111" s="52">
        <f t="shared" si="34"/>
        <v>6.0647926223135187</v>
      </c>
      <c r="CW111" s="53">
        <f t="shared" si="78"/>
        <v>14555.502293552445</v>
      </c>
      <c r="CX111" s="51">
        <f t="shared" si="79"/>
        <v>130999.52064197201</v>
      </c>
      <c r="CY111" s="52">
        <f t="shared" si="99"/>
        <v>22262.025696935249</v>
      </c>
      <c r="CZ111" s="51">
        <f t="shared" si="100"/>
        <v>53428861.6726446</v>
      </c>
      <c r="DA111" s="51">
        <f t="shared" si="80"/>
        <v>480859755.05380142</v>
      </c>
      <c r="DB111" s="54">
        <f t="shared" si="81"/>
        <v>4327737795.4842129</v>
      </c>
    </row>
    <row r="112" spans="1:106">
      <c r="A112" s="25">
        <v>50</v>
      </c>
      <c r="B112" s="51">
        <f t="shared" si="86"/>
        <v>3</v>
      </c>
      <c r="C112" s="74">
        <f t="shared" si="41"/>
        <v>5.1500000000000005E-4</v>
      </c>
      <c r="D112" s="52">
        <f t="shared" si="2"/>
        <v>11.441690625000001</v>
      </c>
      <c r="E112" s="53">
        <f t="shared" si="42"/>
        <v>27460.057500000003</v>
      </c>
      <c r="F112" s="51">
        <f t="shared" si="43"/>
        <v>82380.172500000015</v>
      </c>
      <c r="G112" s="52">
        <f t="shared" si="87"/>
        <v>18933.75</v>
      </c>
      <c r="H112" s="51">
        <f t="shared" si="88"/>
        <v>45441000</v>
      </c>
      <c r="I112" s="51">
        <f t="shared" si="44"/>
        <v>136323000</v>
      </c>
      <c r="J112" s="54">
        <f t="shared" si="45"/>
        <v>408969000</v>
      </c>
      <c r="Y112" s="25">
        <v>50</v>
      </c>
      <c r="Z112" s="51">
        <f t="shared" si="89"/>
        <v>3</v>
      </c>
      <c r="AA112" s="74">
        <f t="shared" si="50"/>
        <v>1.7414840630885898E-4</v>
      </c>
      <c r="AB112" s="52">
        <f t="shared" si="10"/>
        <v>4.2474454810739424</v>
      </c>
      <c r="AC112" s="53">
        <f t="shared" si="51"/>
        <v>10193.869154577462</v>
      </c>
      <c r="AD112" s="51">
        <f t="shared" si="52"/>
        <v>30581.607463732384</v>
      </c>
      <c r="AE112" s="52">
        <f t="shared" si="90"/>
        <v>23279.607819562047</v>
      </c>
      <c r="AF112" s="51">
        <f t="shared" si="91"/>
        <v>55871058.766948909</v>
      </c>
      <c r="AG112" s="51">
        <f t="shared" si="53"/>
        <v>167613176.30084673</v>
      </c>
      <c r="AH112" s="54">
        <f t="shared" si="54"/>
        <v>502839528.90254021</v>
      </c>
      <c r="AW112" s="25">
        <v>50</v>
      </c>
      <c r="AX112" s="51">
        <f t="shared" si="92"/>
        <v>3</v>
      </c>
      <c r="AY112" s="74">
        <f t="shared" si="59"/>
        <v>2.3276371543930359E-4</v>
      </c>
      <c r="AZ112" s="52">
        <f t="shared" si="18"/>
        <v>5.5900839551421706</v>
      </c>
      <c r="BA112" s="53">
        <f t="shared" si="60"/>
        <v>13416.20149234121</v>
      </c>
      <c r="BB112" s="51">
        <f t="shared" si="61"/>
        <v>40248.604477023633</v>
      </c>
      <c r="BC112" s="52">
        <f t="shared" si="93"/>
        <v>22532.262628148877</v>
      </c>
      <c r="BD112" s="51">
        <f t="shared" si="94"/>
        <v>54077430.307557307</v>
      </c>
      <c r="BE112" s="51">
        <f t="shared" si="62"/>
        <v>162232290.92267191</v>
      </c>
      <c r="BF112" s="54">
        <f t="shared" si="63"/>
        <v>486696872.76801574</v>
      </c>
      <c r="BU112" s="25">
        <v>50</v>
      </c>
      <c r="BV112" s="51">
        <f t="shared" si="95"/>
        <v>3</v>
      </c>
      <c r="BW112" s="74">
        <f t="shared" si="68"/>
        <v>2.3513266035126522E-4</v>
      </c>
      <c r="BX112" s="52">
        <f t="shared" si="26"/>
        <v>5.6434258681876326</v>
      </c>
      <c r="BY112" s="53">
        <f t="shared" si="69"/>
        <v>13544.222083650318</v>
      </c>
      <c r="BZ112" s="51">
        <f t="shared" si="70"/>
        <v>40632.666250950955</v>
      </c>
      <c r="CA112" s="52">
        <f t="shared" si="96"/>
        <v>22502.05858052137</v>
      </c>
      <c r="CB112" s="51">
        <f t="shared" si="97"/>
        <v>54004940.593251288</v>
      </c>
      <c r="CC112" s="51">
        <f t="shared" si="71"/>
        <v>162014821.77975386</v>
      </c>
      <c r="CD112" s="54">
        <f t="shared" si="72"/>
        <v>486044465.33926159</v>
      </c>
      <c r="CS112" s="25">
        <v>50</v>
      </c>
      <c r="CT112" s="51">
        <f t="shared" si="98"/>
        <v>3</v>
      </c>
      <c r="CU112" s="74">
        <f t="shared" si="77"/>
        <v>2.3513686962596864E-4</v>
      </c>
      <c r="CV112" s="52">
        <f t="shared" si="34"/>
        <v>5.6435205854206378</v>
      </c>
      <c r="CW112" s="53">
        <f t="shared" si="78"/>
        <v>13544.449405009531</v>
      </c>
      <c r="CX112" s="51">
        <f t="shared" si="79"/>
        <v>40633.348215028593</v>
      </c>
      <c r="CY112" s="52">
        <f t="shared" si="99"/>
        <v>22502.004912268902</v>
      </c>
      <c r="CZ112" s="51">
        <f t="shared" si="100"/>
        <v>54004811.789445363</v>
      </c>
      <c r="DA112" s="51">
        <f t="shared" si="80"/>
        <v>162014435.36833608</v>
      </c>
      <c r="DB112" s="54">
        <f t="shared" si="81"/>
        <v>486043306.10500824</v>
      </c>
    </row>
    <row r="113" spans="1:106">
      <c r="A113" s="25">
        <v>51</v>
      </c>
      <c r="B113" s="51">
        <f t="shared" si="86"/>
        <v>-3</v>
      </c>
      <c r="C113" s="74">
        <f t="shared" si="41"/>
        <v>4.8500000000000003E-4</v>
      </c>
      <c r="D113" s="52">
        <f t="shared" si="2"/>
        <v>10.867940625000001</v>
      </c>
      <c r="E113" s="53">
        <f t="shared" si="42"/>
        <v>26083.057500000003</v>
      </c>
      <c r="F113" s="51">
        <f t="shared" si="43"/>
        <v>-78249.172500000015</v>
      </c>
      <c r="G113" s="52">
        <f t="shared" si="87"/>
        <v>19316.25</v>
      </c>
      <c r="H113" s="51">
        <f t="shared" si="88"/>
        <v>46359000</v>
      </c>
      <c r="I113" s="51">
        <f t="shared" si="44"/>
        <v>-139077000</v>
      </c>
      <c r="J113" s="54">
        <f t="shared" si="45"/>
        <v>417231000</v>
      </c>
      <c r="Y113" s="25">
        <v>51</v>
      </c>
      <c r="Z113" s="51">
        <f t="shared" si="89"/>
        <v>-3</v>
      </c>
      <c r="AA113" s="74">
        <f t="shared" si="50"/>
        <v>1.5848625686561594E-4</v>
      </c>
      <c r="AB113" s="52">
        <f t="shared" si="10"/>
        <v>3.8812729782758359</v>
      </c>
      <c r="AC113" s="53">
        <f t="shared" si="51"/>
        <v>9315.0551478620055</v>
      </c>
      <c r="AD113" s="51">
        <f t="shared" si="52"/>
        <v>-27945.165443586018</v>
      </c>
      <c r="AE113" s="52">
        <f t="shared" si="90"/>
        <v>23479.300224963397</v>
      </c>
      <c r="AF113" s="51">
        <f t="shared" si="91"/>
        <v>56350320.539912157</v>
      </c>
      <c r="AG113" s="51">
        <f t="shared" si="53"/>
        <v>-169050961.61973646</v>
      </c>
      <c r="AH113" s="54">
        <f t="shared" si="54"/>
        <v>507152884.85920942</v>
      </c>
      <c r="AW113" s="25">
        <v>51</v>
      </c>
      <c r="AX113" s="51">
        <f t="shared" si="92"/>
        <v>-3</v>
      </c>
      <c r="AY113" s="74">
        <f t="shared" si="59"/>
        <v>2.1406728237150305E-4</v>
      </c>
      <c r="AZ113" s="52">
        <f t="shared" si="18"/>
        <v>5.1665825916635821</v>
      </c>
      <c r="BA113" s="53">
        <f t="shared" si="60"/>
        <v>12399.798219992597</v>
      </c>
      <c r="BB113" s="51">
        <f t="shared" si="61"/>
        <v>-37199.394659977792</v>
      </c>
      <c r="BC113" s="52">
        <f t="shared" si="93"/>
        <v>22770.642149763335</v>
      </c>
      <c r="BD113" s="51">
        <f t="shared" si="94"/>
        <v>54649541.159432001</v>
      </c>
      <c r="BE113" s="51">
        <f t="shared" si="62"/>
        <v>-163948623.47829601</v>
      </c>
      <c r="BF113" s="54">
        <f t="shared" si="63"/>
        <v>491845870.43488801</v>
      </c>
      <c r="BU113" s="25">
        <v>51</v>
      </c>
      <c r="BV113" s="51">
        <f t="shared" si="95"/>
        <v>-3</v>
      </c>
      <c r="BW113" s="74">
        <f t="shared" si="68"/>
        <v>2.1631096699016721E-4</v>
      </c>
      <c r="BX113" s="52">
        <f t="shared" si="26"/>
        <v>5.2176406386928544</v>
      </c>
      <c r="BY113" s="53">
        <f t="shared" si="69"/>
        <v>12522.33753286285</v>
      </c>
      <c r="BZ113" s="51">
        <f t="shared" si="70"/>
        <v>-37567.012598588553</v>
      </c>
      <c r="CA113" s="52">
        <f t="shared" si="96"/>
        <v>22742.035170875366</v>
      </c>
      <c r="CB113" s="51">
        <f t="shared" si="97"/>
        <v>54580884.410100877</v>
      </c>
      <c r="CC113" s="51">
        <f t="shared" si="71"/>
        <v>-163742653.23030263</v>
      </c>
      <c r="CD113" s="54">
        <f t="shared" si="72"/>
        <v>491227959.6909079</v>
      </c>
      <c r="CS113" s="25">
        <v>51</v>
      </c>
      <c r="CT113" s="51">
        <f t="shared" si="98"/>
        <v>-3</v>
      </c>
      <c r="CU113" s="74">
        <f t="shared" si="77"/>
        <v>2.1631497038411343E-4</v>
      </c>
      <c r="CV113" s="52">
        <f t="shared" si="34"/>
        <v>5.2177316839166075</v>
      </c>
      <c r="CW113" s="53">
        <f t="shared" si="78"/>
        <v>12522.556041399857</v>
      </c>
      <c r="CX113" s="51">
        <f t="shared" si="79"/>
        <v>-37567.668124199568</v>
      </c>
      <c r="CY113" s="52">
        <f t="shared" si="99"/>
        <v>22741.984127602555</v>
      </c>
      <c r="CZ113" s="51">
        <f t="shared" si="100"/>
        <v>54580761.906246133</v>
      </c>
      <c r="DA113" s="51">
        <f t="shared" si="80"/>
        <v>-163742285.71873841</v>
      </c>
      <c r="DB113" s="54">
        <f t="shared" si="81"/>
        <v>491226857.15621519</v>
      </c>
    </row>
    <row r="114" spans="1:106">
      <c r="A114" s="25">
        <v>52</v>
      </c>
      <c r="B114" s="51">
        <f t="shared" si="86"/>
        <v>-9</v>
      </c>
      <c r="C114" s="74">
        <f t="shared" si="41"/>
        <v>4.55E-4</v>
      </c>
      <c r="D114" s="52">
        <f t="shared" si="2"/>
        <v>10.282715625</v>
      </c>
      <c r="E114" s="53">
        <f t="shared" si="42"/>
        <v>24678.517499999998</v>
      </c>
      <c r="F114" s="51">
        <f t="shared" si="43"/>
        <v>-222106.65749999997</v>
      </c>
      <c r="G114" s="52">
        <f t="shared" si="87"/>
        <v>19698.75</v>
      </c>
      <c r="H114" s="51">
        <f t="shared" si="88"/>
        <v>47277000</v>
      </c>
      <c r="I114" s="51">
        <f t="shared" si="44"/>
        <v>-425493000</v>
      </c>
      <c r="J114" s="54">
        <f t="shared" si="45"/>
        <v>3829437000</v>
      </c>
      <c r="Y114" s="25">
        <v>52</v>
      </c>
      <c r="Z114" s="51">
        <f t="shared" si="89"/>
        <v>-9</v>
      </c>
      <c r="AA114" s="74">
        <f t="shared" si="50"/>
        <v>1.4282410742237286E-4</v>
      </c>
      <c r="AB114" s="52">
        <f t="shared" si="10"/>
        <v>3.5119728631816471</v>
      </c>
      <c r="AC114" s="53">
        <f t="shared" si="51"/>
        <v>8428.7348716359538</v>
      </c>
      <c r="AD114" s="51">
        <f t="shared" si="52"/>
        <v>-75858.613844723586</v>
      </c>
      <c r="AE114" s="52">
        <f t="shared" si="90"/>
        <v>23678.992630364748</v>
      </c>
      <c r="AF114" s="51">
        <f t="shared" si="91"/>
        <v>56829582.312875398</v>
      </c>
      <c r="AG114" s="51">
        <f t="shared" si="53"/>
        <v>-511466240.81587857</v>
      </c>
      <c r="AH114" s="54">
        <f t="shared" si="54"/>
        <v>4603196167.342907</v>
      </c>
      <c r="AW114" s="25">
        <v>52</v>
      </c>
      <c r="AX114" s="51">
        <f t="shared" si="92"/>
        <v>-9</v>
      </c>
      <c r="AY114" s="74">
        <f t="shared" si="59"/>
        <v>1.953708493037025E-4</v>
      </c>
      <c r="AZ114" s="52">
        <f t="shared" si="18"/>
        <v>4.7386243814143958</v>
      </c>
      <c r="BA114" s="53">
        <f t="shared" si="60"/>
        <v>11372.69851539455</v>
      </c>
      <c r="BB114" s="51">
        <f t="shared" si="61"/>
        <v>-102354.28663855096</v>
      </c>
      <c r="BC114" s="52">
        <f t="shared" si="93"/>
        <v>23009.021671377792</v>
      </c>
      <c r="BD114" s="51">
        <f t="shared" si="94"/>
        <v>55221652.011306703</v>
      </c>
      <c r="BE114" s="51">
        <f t="shared" si="62"/>
        <v>-496994868.10176033</v>
      </c>
      <c r="BF114" s="54">
        <f t="shared" si="63"/>
        <v>4472953812.915843</v>
      </c>
      <c r="BU114" s="25">
        <v>52</v>
      </c>
      <c r="BV114" s="51">
        <f t="shared" si="95"/>
        <v>-9</v>
      </c>
      <c r="BW114" s="74">
        <f t="shared" si="68"/>
        <v>1.9748927362906921E-4</v>
      </c>
      <c r="BX114" s="52">
        <f t="shared" si="26"/>
        <v>4.7873386434005889</v>
      </c>
      <c r="BY114" s="53">
        <f t="shared" si="69"/>
        <v>11489.612744161414</v>
      </c>
      <c r="BZ114" s="51">
        <f t="shared" si="70"/>
        <v>-103406.51469745272</v>
      </c>
      <c r="CA114" s="52">
        <f t="shared" si="96"/>
        <v>22982.011761229369</v>
      </c>
      <c r="CB114" s="51">
        <f t="shared" si="97"/>
        <v>55156828.226950482</v>
      </c>
      <c r="CC114" s="51">
        <f t="shared" si="71"/>
        <v>-496411454.04255432</v>
      </c>
      <c r="CD114" s="54">
        <f t="shared" si="72"/>
        <v>4467703086.3829889</v>
      </c>
      <c r="CS114" s="25">
        <v>52</v>
      </c>
      <c r="CT114" s="51">
        <f t="shared" si="98"/>
        <v>-9</v>
      </c>
      <c r="CU114" s="74">
        <f t="shared" si="77"/>
        <v>1.9749307114225824E-4</v>
      </c>
      <c r="CV114" s="52">
        <f t="shared" si="34"/>
        <v>4.7874259178014285</v>
      </c>
      <c r="CW114" s="53">
        <f t="shared" si="78"/>
        <v>11489.822202723428</v>
      </c>
      <c r="CX114" s="51">
        <f t="shared" si="79"/>
        <v>-103408.39982451085</v>
      </c>
      <c r="CY114" s="52">
        <f t="shared" si="99"/>
        <v>22981.963342936207</v>
      </c>
      <c r="CZ114" s="51">
        <f t="shared" si="100"/>
        <v>55156712.023046896</v>
      </c>
      <c r="DA114" s="51">
        <f t="shared" si="80"/>
        <v>-496410408.20742208</v>
      </c>
      <c r="DB114" s="54">
        <f t="shared" si="81"/>
        <v>4467693673.8667984</v>
      </c>
    </row>
    <row r="115" spans="1:106">
      <c r="A115" s="25">
        <v>53</v>
      </c>
      <c r="B115" s="51">
        <f t="shared" si="86"/>
        <v>-15</v>
      </c>
      <c r="C115" s="74">
        <f t="shared" si="41"/>
        <v>4.2500000000000003E-4</v>
      </c>
      <c r="D115" s="52">
        <f t="shared" si="2"/>
        <v>9.6860156250000014</v>
      </c>
      <c r="E115" s="53">
        <f t="shared" si="42"/>
        <v>23246.437500000004</v>
      </c>
      <c r="F115" s="51">
        <f t="shared" si="43"/>
        <v>-348696.56250000006</v>
      </c>
      <c r="G115" s="52">
        <f t="shared" si="87"/>
        <v>20081.25</v>
      </c>
      <c r="H115" s="51">
        <f t="shared" si="88"/>
        <v>48195000</v>
      </c>
      <c r="I115" s="51">
        <f t="shared" si="44"/>
        <v>-722925000</v>
      </c>
      <c r="J115" s="54">
        <f t="shared" si="45"/>
        <v>10843875000</v>
      </c>
      <c r="Y115" s="25">
        <v>53</v>
      </c>
      <c r="Z115" s="51">
        <f t="shared" si="89"/>
        <v>-15</v>
      </c>
      <c r="AA115" s="74">
        <f t="shared" si="50"/>
        <v>1.2716195797912982E-4</v>
      </c>
      <c r="AB115" s="52">
        <f t="shared" si="10"/>
        <v>3.1395451357913893</v>
      </c>
      <c r="AC115" s="53">
        <f t="shared" si="51"/>
        <v>7534.9083258993342</v>
      </c>
      <c r="AD115" s="51">
        <f t="shared" si="52"/>
        <v>-113023.62488849001</v>
      </c>
      <c r="AE115" s="52">
        <f t="shared" si="90"/>
        <v>23878.685035766095</v>
      </c>
      <c r="AF115" s="51">
        <f t="shared" si="91"/>
        <v>57308844.085838631</v>
      </c>
      <c r="AG115" s="51">
        <f t="shared" si="53"/>
        <v>-859632661.28757942</v>
      </c>
      <c r="AH115" s="54">
        <f t="shared" si="54"/>
        <v>12894489919.313692</v>
      </c>
      <c r="AW115" s="25">
        <v>53</v>
      </c>
      <c r="AX115" s="51">
        <f t="shared" si="92"/>
        <v>-15</v>
      </c>
      <c r="AY115" s="74">
        <f t="shared" si="59"/>
        <v>1.7667441623590196E-4</v>
      </c>
      <c r="AZ115" s="52">
        <f t="shared" si="18"/>
        <v>4.3062093243946089</v>
      </c>
      <c r="BA115" s="53">
        <f t="shared" si="60"/>
        <v>10334.902378547062</v>
      </c>
      <c r="BB115" s="51">
        <f t="shared" si="61"/>
        <v>-155023.53567820592</v>
      </c>
      <c r="BC115" s="52">
        <f t="shared" si="93"/>
        <v>23247.401192992249</v>
      </c>
      <c r="BD115" s="51">
        <f t="shared" si="94"/>
        <v>55793762.863181397</v>
      </c>
      <c r="BE115" s="51">
        <f t="shared" si="62"/>
        <v>-836906442.947721</v>
      </c>
      <c r="BF115" s="54">
        <f t="shared" si="63"/>
        <v>12553596644.215815</v>
      </c>
      <c r="BU115" s="25">
        <v>53</v>
      </c>
      <c r="BV115" s="51">
        <f t="shared" si="95"/>
        <v>-15</v>
      </c>
      <c r="BW115" s="74">
        <f t="shared" si="68"/>
        <v>1.7866758026797121E-4</v>
      </c>
      <c r="BX115" s="52">
        <f t="shared" si="26"/>
        <v>4.3525198823108369</v>
      </c>
      <c r="BY115" s="53">
        <f t="shared" si="69"/>
        <v>10446.047717546009</v>
      </c>
      <c r="BZ115" s="51">
        <f t="shared" si="70"/>
        <v>-156690.71576319015</v>
      </c>
      <c r="CA115" s="52">
        <f t="shared" si="96"/>
        <v>23221.988351583368</v>
      </c>
      <c r="CB115" s="51">
        <f t="shared" si="97"/>
        <v>55732772.043800086</v>
      </c>
      <c r="CC115" s="51">
        <f t="shared" si="71"/>
        <v>-835991580.65700126</v>
      </c>
      <c r="CD115" s="54">
        <f t="shared" si="72"/>
        <v>12539873709.855019</v>
      </c>
      <c r="CS115" s="25">
        <v>53</v>
      </c>
      <c r="CT115" s="51">
        <f t="shared" si="98"/>
        <v>-15</v>
      </c>
      <c r="CU115" s="74">
        <f t="shared" si="77"/>
        <v>1.7867117190040302E-4</v>
      </c>
      <c r="CV115" s="52">
        <f t="shared" si="34"/>
        <v>4.3526032870750999</v>
      </c>
      <c r="CW115" s="53">
        <f t="shared" si="78"/>
        <v>10446.247888980241</v>
      </c>
      <c r="CX115" s="51">
        <f t="shared" si="79"/>
        <v>-156693.71833470362</v>
      </c>
      <c r="CY115" s="52">
        <f t="shared" si="99"/>
        <v>23221.94255826986</v>
      </c>
      <c r="CZ115" s="51">
        <f t="shared" si="100"/>
        <v>55732662.139847666</v>
      </c>
      <c r="DA115" s="51">
        <f t="shared" si="80"/>
        <v>-835989932.09771502</v>
      </c>
      <c r="DB115" s="54">
        <f t="shared" si="81"/>
        <v>12539848981.465725</v>
      </c>
    </row>
    <row r="116" spans="1:106">
      <c r="A116" s="25">
        <v>54</v>
      </c>
      <c r="B116" s="51">
        <f t="shared" si="86"/>
        <v>-21</v>
      </c>
      <c r="C116" s="74">
        <f t="shared" si="41"/>
        <v>3.9500000000000001E-4</v>
      </c>
      <c r="D116" s="52">
        <f t="shared" si="2"/>
        <v>9.0778406250000003</v>
      </c>
      <c r="E116" s="53">
        <f t="shared" si="42"/>
        <v>21786.817500000001</v>
      </c>
      <c r="F116" s="51">
        <f t="shared" si="43"/>
        <v>-457523.16750000004</v>
      </c>
      <c r="G116" s="52">
        <f t="shared" si="87"/>
        <v>20463.75</v>
      </c>
      <c r="H116" s="51">
        <f t="shared" si="88"/>
        <v>49113000</v>
      </c>
      <c r="I116" s="51">
        <f t="shared" si="44"/>
        <v>-1031373000</v>
      </c>
      <c r="J116" s="54">
        <f t="shared" si="45"/>
        <v>21658833000</v>
      </c>
      <c r="Y116" s="25">
        <v>54</v>
      </c>
      <c r="Z116" s="51">
        <f t="shared" si="89"/>
        <v>-21</v>
      </c>
      <c r="AA116" s="74">
        <f t="shared" si="50"/>
        <v>1.1149980853588677E-4</v>
      </c>
      <c r="AB116" s="52">
        <f t="shared" si="10"/>
        <v>2.7639897961050486</v>
      </c>
      <c r="AC116" s="53">
        <f t="shared" si="51"/>
        <v>6633.5755106521165</v>
      </c>
      <c r="AD116" s="51">
        <f t="shared" si="52"/>
        <v>-139305.08572369444</v>
      </c>
      <c r="AE116" s="52">
        <f t="shared" si="90"/>
        <v>24078.377441167446</v>
      </c>
      <c r="AF116" s="51">
        <f t="shared" si="91"/>
        <v>57788105.858801872</v>
      </c>
      <c r="AG116" s="51">
        <f t="shared" si="53"/>
        <v>-1213550223.0348394</v>
      </c>
      <c r="AH116" s="54">
        <f t="shared" si="54"/>
        <v>25484554683.731628</v>
      </c>
      <c r="AW116" s="25">
        <v>54</v>
      </c>
      <c r="AX116" s="51">
        <f t="shared" si="92"/>
        <v>-21</v>
      </c>
      <c r="AY116" s="74">
        <f t="shared" si="59"/>
        <v>1.5797798316810141E-4</v>
      </c>
      <c r="AZ116" s="52">
        <f t="shared" si="18"/>
        <v>3.8693374206042233</v>
      </c>
      <c r="BA116" s="53">
        <f t="shared" si="60"/>
        <v>9286.4098094501351</v>
      </c>
      <c r="BB116" s="51">
        <f t="shared" si="61"/>
        <v>-195014.60599845284</v>
      </c>
      <c r="BC116" s="52">
        <f t="shared" si="93"/>
        <v>23485.780714606706</v>
      </c>
      <c r="BD116" s="51">
        <f t="shared" si="94"/>
        <v>56365873.715056092</v>
      </c>
      <c r="BE116" s="51">
        <f t="shared" si="62"/>
        <v>-1183683348.0161779</v>
      </c>
      <c r="BF116" s="54">
        <f t="shared" si="63"/>
        <v>24857350308.339737</v>
      </c>
      <c r="BU116" s="25">
        <v>54</v>
      </c>
      <c r="BV116" s="51">
        <f t="shared" si="95"/>
        <v>-21</v>
      </c>
      <c r="BW116" s="74">
        <f t="shared" si="68"/>
        <v>1.5984588690687323E-4</v>
      </c>
      <c r="BX116" s="52">
        <f t="shared" si="26"/>
        <v>3.9131843554236081</v>
      </c>
      <c r="BY116" s="53">
        <f t="shared" si="69"/>
        <v>9391.6424530166587</v>
      </c>
      <c r="BZ116" s="51">
        <f t="shared" si="70"/>
        <v>-197224.49151334984</v>
      </c>
      <c r="CA116" s="52">
        <f t="shared" si="96"/>
        <v>23461.964941937367</v>
      </c>
      <c r="CB116" s="51">
        <f t="shared" si="97"/>
        <v>56308715.860649683</v>
      </c>
      <c r="CC116" s="51">
        <f t="shared" si="71"/>
        <v>-1182483033.0736434</v>
      </c>
      <c r="CD116" s="54">
        <f t="shared" si="72"/>
        <v>24832143694.546513</v>
      </c>
      <c r="CS116" s="25">
        <v>54</v>
      </c>
      <c r="CT116" s="51">
        <f t="shared" si="98"/>
        <v>-21</v>
      </c>
      <c r="CU116" s="74">
        <f t="shared" si="77"/>
        <v>1.5984927265854781E-4</v>
      </c>
      <c r="CV116" s="52">
        <f t="shared" si="34"/>
        <v>3.9132637917376196</v>
      </c>
      <c r="CW116" s="53">
        <f t="shared" si="78"/>
        <v>9391.8331001702863</v>
      </c>
      <c r="CX116" s="51">
        <f t="shared" si="79"/>
        <v>-197228.49510357602</v>
      </c>
      <c r="CY116" s="52">
        <f t="shared" si="99"/>
        <v>23461.921773603513</v>
      </c>
      <c r="CZ116" s="51">
        <f t="shared" si="100"/>
        <v>56308612.256648429</v>
      </c>
      <c r="DA116" s="51">
        <f t="shared" si="80"/>
        <v>-1182480857.389617</v>
      </c>
      <c r="DB116" s="54">
        <f t="shared" si="81"/>
        <v>24832098005.181957</v>
      </c>
    </row>
    <row r="117" spans="1:106">
      <c r="A117" s="25">
        <v>55</v>
      </c>
      <c r="B117" s="51">
        <f t="shared" si="86"/>
        <v>-27</v>
      </c>
      <c r="C117" s="74">
        <f t="shared" si="41"/>
        <v>3.6499999999999998E-4</v>
      </c>
      <c r="D117" s="52">
        <f t="shared" si="2"/>
        <v>8.4581906250000003</v>
      </c>
      <c r="E117" s="53">
        <f t="shared" si="42"/>
        <v>20299.657500000001</v>
      </c>
      <c r="F117" s="51">
        <f t="shared" si="43"/>
        <v>-548090.75250000006</v>
      </c>
      <c r="G117" s="52">
        <f t="shared" si="87"/>
        <v>20846.25</v>
      </c>
      <c r="H117" s="51">
        <f t="shared" si="88"/>
        <v>50031000</v>
      </c>
      <c r="I117" s="51">
        <f t="shared" si="44"/>
        <v>-1350837000</v>
      </c>
      <c r="J117" s="54">
        <f t="shared" si="45"/>
        <v>36472599000</v>
      </c>
      <c r="Y117" s="25">
        <v>55</v>
      </c>
      <c r="Z117" s="51">
        <f t="shared" si="89"/>
        <v>-27</v>
      </c>
      <c r="AA117" s="74">
        <f t="shared" si="50"/>
        <v>9.5837659092643714E-5</v>
      </c>
      <c r="AB117" s="52">
        <f t="shared" si="10"/>
        <v>2.3853068441226357</v>
      </c>
      <c r="AC117" s="53">
        <f t="shared" si="51"/>
        <v>5724.7364258943253</v>
      </c>
      <c r="AD117" s="51">
        <f t="shared" si="52"/>
        <v>-154567.88349914679</v>
      </c>
      <c r="AE117" s="52">
        <f t="shared" si="90"/>
        <v>24278.069846568793</v>
      </c>
      <c r="AF117" s="51">
        <f t="shared" si="91"/>
        <v>58267367.631765105</v>
      </c>
      <c r="AG117" s="51">
        <f t="shared" si="53"/>
        <v>-1573218926.0576577</v>
      </c>
      <c r="AH117" s="54">
        <f t="shared" si="54"/>
        <v>42476911003.556755</v>
      </c>
      <c r="AW117" s="25">
        <v>55</v>
      </c>
      <c r="AX117" s="51">
        <f t="shared" si="92"/>
        <v>-27</v>
      </c>
      <c r="AY117" s="74">
        <f t="shared" si="59"/>
        <v>1.3928155010030089E-4</v>
      </c>
      <c r="AZ117" s="52">
        <f t="shared" si="18"/>
        <v>3.4280086700432366</v>
      </c>
      <c r="BA117" s="53">
        <f t="shared" si="60"/>
        <v>8227.2208081037679</v>
      </c>
      <c r="BB117" s="51">
        <f t="shared" si="61"/>
        <v>-222134.96181880173</v>
      </c>
      <c r="BC117" s="52">
        <f t="shared" si="93"/>
        <v>23724.160236221163</v>
      </c>
      <c r="BD117" s="51">
        <f t="shared" si="94"/>
        <v>56937984.566930793</v>
      </c>
      <c r="BE117" s="51">
        <f t="shared" si="62"/>
        <v>-1537325583.3071315</v>
      </c>
      <c r="BF117" s="54">
        <f t="shared" si="63"/>
        <v>41507790749.292549</v>
      </c>
      <c r="BU117" s="25">
        <v>55</v>
      </c>
      <c r="BV117" s="51">
        <f t="shared" si="95"/>
        <v>-27</v>
      </c>
      <c r="BW117" s="74">
        <f t="shared" si="68"/>
        <v>1.4102419354577523E-4</v>
      </c>
      <c r="BX117" s="52">
        <f t="shared" si="26"/>
        <v>3.4693320627388871</v>
      </c>
      <c r="BY117" s="53">
        <f t="shared" si="69"/>
        <v>8326.3969505733294</v>
      </c>
      <c r="BZ117" s="51">
        <f t="shared" si="70"/>
        <v>-224812.7176654799</v>
      </c>
      <c r="CA117" s="52">
        <f t="shared" si="96"/>
        <v>23701.941532291366</v>
      </c>
      <c r="CB117" s="51">
        <f t="shared" si="97"/>
        <v>56884659.677499279</v>
      </c>
      <c r="CC117" s="51">
        <f t="shared" si="71"/>
        <v>-1535885811.2924805</v>
      </c>
      <c r="CD117" s="54">
        <f t="shared" si="72"/>
        <v>41468916904.896973</v>
      </c>
      <c r="CS117" s="25">
        <v>55</v>
      </c>
      <c r="CT117" s="51">
        <f t="shared" si="98"/>
        <v>-27</v>
      </c>
      <c r="CU117" s="74">
        <f t="shared" si="77"/>
        <v>1.4102737341669259E-4</v>
      </c>
      <c r="CV117" s="52">
        <f t="shared" si="34"/>
        <v>3.4694074317889876</v>
      </c>
      <c r="CW117" s="53">
        <f t="shared" si="78"/>
        <v>8326.5778362935707</v>
      </c>
      <c r="CX117" s="51">
        <f t="shared" si="79"/>
        <v>-224817.60157992641</v>
      </c>
      <c r="CY117" s="52">
        <f t="shared" si="99"/>
        <v>23701.90098893717</v>
      </c>
      <c r="CZ117" s="51">
        <f t="shared" si="100"/>
        <v>56884562.373449206</v>
      </c>
      <c r="DA117" s="51">
        <f t="shared" si="80"/>
        <v>-1535883184.0831285</v>
      </c>
      <c r="DB117" s="54">
        <f t="shared" si="81"/>
        <v>41468845970.244469</v>
      </c>
    </row>
    <row r="118" spans="1:106">
      <c r="A118" s="25">
        <v>56</v>
      </c>
      <c r="B118" s="51">
        <f t="shared" si="86"/>
        <v>-33</v>
      </c>
      <c r="C118" s="74">
        <f t="shared" si="41"/>
        <v>3.3500000000000001E-4</v>
      </c>
      <c r="D118" s="52">
        <f t="shared" si="2"/>
        <v>7.8270656249999977</v>
      </c>
      <c r="E118" s="53">
        <f t="shared" si="42"/>
        <v>18784.957499999993</v>
      </c>
      <c r="F118" s="51">
        <f t="shared" si="43"/>
        <v>-619903.5974999998</v>
      </c>
      <c r="G118" s="52">
        <f t="shared" si="87"/>
        <v>21228.75</v>
      </c>
      <c r="H118" s="51">
        <f t="shared" si="88"/>
        <v>50949000</v>
      </c>
      <c r="I118" s="51">
        <f t="shared" si="44"/>
        <v>-1681317000</v>
      </c>
      <c r="J118" s="54">
        <f t="shared" si="45"/>
        <v>55483461000</v>
      </c>
      <c r="Y118" s="25">
        <v>56</v>
      </c>
      <c r="Z118" s="51">
        <f t="shared" si="89"/>
        <v>-33</v>
      </c>
      <c r="AA118" s="74">
        <f t="shared" si="50"/>
        <v>8.0175509649400655E-5</v>
      </c>
      <c r="AB118" s="52">
        <f t="shared" si="10"/>
        <v>2.0034962798441396</v>
      </c>
      <c r="AC118" s="53">
        <f t="shared" si="51"/>
        <v>4808.3910716259352</v>
      </c>
      <c r="AD118" s="51">
        <f t="shared" si="52"/>
        <v>-158676.90536365585</v>
      </c>
      <c r="AE118" s="52">
        <f t="shared" si="90"/>
        <v>24477.762251970144</v>
      </c>
      <c r="AF118" s="51">
        <f t="shared" si="91"/>
        <v>58746629.404728346</v>
      </c>
      <c r="AG118" s="51">
        <f t="shared" si="53"/>
        <v>-1938638770.3560355</v>
      </c>
      <c r="AH118" s="54">
        <f t="shared" si="54"/>
        <v>63975079421.749168</v>
      </c>
      <c r="AW118" s="25">
        <v>56</v>
      </c>
      <c r="AX118" s="51">
        <f t="shared" si="92"/>
        <v>-33</v>
      </c>
      <c r="AY118" s="74">
        <f t="shared" si="59"/>
        <v>1.2058511703250035E-4</v>
      </c>
      <c r="AZ118" s="52">
        <f t="shared" si="18"/>
        <v>2.9822230727116521</v>
      </c>
      <c r="BA118" s="53">
        <f t="shared" si="60"/>
        <v>7157.3353745079648</v>
      </c>
      <c r="BB118" s="51">
        <f t="shared" si="61"/>
        <v>-236192.06735876284</v>
      </c>
      <c r="BC118" s="52">
        <f t="shared" si="93"/>
        <v>23962.539757835621</v>
      </c>
      <c r="BD118" s="51">
        <f t="shared" si="94"/>
        <v>57510095.418805487</v>
      </c>
      <c r="BE118" s="51">
        <f t="shared" si="62"/>
        <v>-1897833148.8205812</v>
      </c>
      <c r="BF118" s="54">
        <f t="shared" si="63"/>
        <v>62628493911.079178</v>
      </c>
      <c r="BU118" s="25">
        <v>56</v>
      </c>
      <c r="BV118" s="51">
        <f t="shared" si="95"/>
        <v>-33</v>
      </c>
      <c r="BW118" s="74">
        <f t="shared" si="68"/>
        <v>1.2220250018467723E-4</v>
      </c>
      <c r="BX118" s="52">
        <f t="shared" si="26"/>
        <v>3.0209630042566813</v>
      </c>
      <c r="BY118" s="53">
        <f t="shared" si="69"/>
        <v>7250.3112102160349</v>
      </c>
      <c r="BZ118" s="51">
        <f t="shared" si="70"/>
        <v>-239260.26993712914</v>
      </c>
      <c r="CA118" s="52">
        <f t="shared" si="96"/>
        <v>23941.918122645366</v>
      </c>
      <c r="CB118" s="51">
        <f t="shared" si="97"/>
        <v>57460603.494348876</v>
      </c>
      <c r="CC118" s="51">
        <f t="shared" si="71"/>
        <v>-1896199915.3135128</v>
      </c>
      <c r="CD118" s="54">
        <f t="shared" si="72"/>
        <v>62574597205.345924</v>
      </c>
      <c r="CS118" s="25">
        <v>56</v>
      </c>
      <c r="CT118" s="51">
        <f t="shared" si="98"/>
        <v>-33</v>
      </c>
      <c r="CU118" s="74">
        <f t="shared" si="77"/>
        <v>1.222054741748374E-4</v>
      </c>
      <c r="CV118" s="52">
        <f t="shared" si="34"/>
        <v>3.0210342072292091</v>
      </c>
      <c r="CW118" s="53">
        <f t="shared" si="78"/>
        <v>7250.4820973501019</v>
      </c>
      <c r="CX118" s="51">
        <f t="shared" si="79"/>
        <v>-239265.90921255335</v>
      </c>
      <c r="CY118" s="52">
        <f t="shared" si="99"/>
        <v>23941.880204270823</v>
      </c>
      <c r="CZ118" s="51">
        <f t="shared" si="100"/>
        <v>57460512.490249977</v>
      </c>
      <c r="DA118" s="51">
        <f t="shared" si="80"/>
        <v>-1896196912.1782491</v>
      </c>
      <c r="DB118" s="54">
        <f t="shared" si="81"/>
        <v>62574498101.882217</v>
      </c>
    </row>
    <row r="119" spans="1:106">
      <c r="A119" s="25">
        <v>57</v>
      </c>
      <c r="B119" s="51">
        <f t="shared" si="86"/>
        <v>-39</v>
      </c>
      <c r="C119" s="74">
        <f t="shared" si="41"/>
        <v>3.0499999999999999E-4</v>
      </c>
      <c r="D119" s="52">
        <f t="shared" si="2"/>
        <v>7.1844656249999987</v>
      </c>
      <c r="E119" s="53">
        <f t="shared" si="42"/>
        <v>17242.717499999995</v>
      </c>
      <c r="F119" s="51">
        <f t="shared" si="43"/>
        <v>-672465.98249999981</v>
      </c>
      <c r="G119" s="52">
        <f t="shared" si="87"/>
        <v>21611.25</v>
      </c>
      <c r="H119" s="51">
        <f t="shared" si="88"/>
        <v>51867000</v>
      </c>
      <c r="I119" s="51">
        <f t="shared" si="44"/>
        <v>-2022813000</v>
      </c>
      <c r="J119" s="54">
        <f t="shared" si="45"/>
        <v>78889707000</v>
      </c>
      <c r="Y119" s="25">
        <v>57</v>
      </c>
      <c r="Z119" s="51">
        <f t="shared" si="89"/>
        <v>-39</v>
      </c>
      <c r="AA119" s="74">
        <f t="shared" si="50"/>
        <v>6.4513360206157596E-5</v>
      </c>
      <c r="AB119" s="52">
        <f t="shared" si="10"/>
        <v>1.6185581032695748</v>
      </c>
      <c r="AC119" s="53">
        <f t="shared" si="51"/>
        <v>3884.5394478469798</v>
      </c>
      <c r="AD119" s="51">
        <f t="shared" si="52"/>
        <v>-151497.03846603222</v>
      </c>
      <c r="AE119" s="52">
        <f t="shared" si="90"/>
        <v>24677.454657371491</v>
      </c>
      <c r="AF119" s="51">
        <f t="shared" si="91"/>
        <v>59225891.177691579</v>
      </c>
      <c r="AG119" s="51">
        <f t="shared" si="53"/>
        <v>-2309809755.9299717</v>
      </c>
      <c r="AH119" s="54">
        <f t="shared" si="54"/>
        <v>90082580481.26889</v>
      </c>
      <c r="AW119" s="25">
        <v>57</v>
      </c>
      <c r="AX119" s="51">
        <f t="shared" si="92"/>
        <v>-39</v>
      </c>
      <c r="AY119" s="74">
        <f t="shared" si="59"/>
        <v>1.018886839646998E-4</v>
      </c>
      <c r="AZ119" s="52">
        <f t="shared" si="18"/>
        <v>2.5319806286094697</v>
      </c>
      <c r="BA119" s="53">
        <f t="shared" si="60"/>
        <v>6076.7535086627277</v>
      </c>
      <c r="BB119" s="51">
        <f t="shared" si="61"/>
        <v>-236993.38683784637</v>
      </c>
      <c r="BC119" s="52">
        <f t="shared" si="93"/>
        <v>24200.919279450078</v>
      </c>
      <c r="BD119" s="51">
        <f t="shared" si="94"/>
        <v>58082206.270680189</v>
      </c>
      <c r="BE119" s="51">
        <f t="shared" si="62"/>
        <v>-2265206044.5565271</v>
      </c>
      <c r="BF119" s="54">
        <f t="shared" si="63"/>
        <v>88343035737.704559</v>
      </c>
      <c r="BU119" s="25">
        <v>57</v>
      </c>
      <c r="BV119" s="51">
        <f t="shared" si="95"/>
        <v>-39</v>
      </c>
      <c r="BW119" s="74">
        <f t="shared" si="68"/>
        <v>1.0338080682357922E-4</v>
      </c>
      <c r="BX119" s="52">
        <f t="shared" si="26"/>
        <v>2.568077179976997</v>
      </c>
      <c r="BY119" s="53">
        <f t="shared" si="69"/>
        <v>6163.3852319447933</v>
      </c>
      <c r="BZ119" s="51">
        <f t="shared" si="70"/>
        <v>-240372.02404584695</v>
      </c>
      <c r="CA119" s="52">
        <f t="shared" si="96"/>
        <v>24181.894712999365</v>
      </c>
      <c r="CB119" s="51">
        <f t="shared" si="97"/>
        <v>58036547.311198473</v>
      </c>
      <c r="CC119" s="51">
        <f t="shared" si="71"/>
        <v>-2263425345.1367407</v>
      </c>
      <c r="CD119" s="54">
        <f t="shared" si="72"/>
        <v>88273588460.332886</v>
      </c>
      <c r="CS119" s="25">
        <v>57</v>
      </c>
      <c r="CT119" s="51">
        <f t="shared" si="98"/>
        <v>-39</v>
      </c>
      <c r="CU119" s="74">
        <f t="shared" si="77"/>
        <v>1.0338357493298219E-4</v>
      </c>
      <c r="CV119" s="52">
        <f t="shared" si="34"/>
        <v>2.5681441180582811</v>
      </c>
      <c r="CW119" s="53">
        <f t="shared" si="78"/>
        <v>6163.5458833398743</v>
      </c>
      <c r="CX119" s="51">
        <f t="shared" si="79"/>
        <v>-240378.28945025511</v>
      </c>
      <c r="CY119" s="52">
        <f t="shared" si="99"/>
        <v>24181.85941960448</v>
      </c>
      <c r="CZ119" s="51">
        <f t="shared" si="100"/>
        <v>58036462.607050754</v>
      </c>
      <c r="DA119" s="51">
        <f t="shared" si="80"/>
        <v>-2263422041.6749792</v>
      </c>
      <c r="DB119" s="54">
        <f t="shared" si="81"/>
        <v>88273459625.324188</v>
      </c>
    </row>
    <row r="120" spans="1:106">
      <c r="A120" s="25">
        <v>58</v>
      </c>
      <c r="B120" s="51">
        <f t="shared" si="86"/>
        <v>-45</v>
      </c>
      <c r="C120" s="74">
        <f t="shared" si="41"/>
        <v>2.7499999999999996E-4</v>
      </c>
      <c r="D120" s="52">
        <f t="shared" si="2"/>
        <v>6.5303906249999972</v>
      </c>
      <c r="E120" s="53">
        <f t="shared" si="42"/>
        <v>15672.937499999993</v>
      </c>
      <c r="F120" s="51">
        <f t="shared" si="43"/>
        <v>-705282.18749999965</v>
      </c>
      <c r="G120" s="52">
        <f t="shared" si="87"/>
        <v>21993.75</v>
      </c>
      <c r="H120" s="51">
        <f t="shared" si="88"/>
        <v>52785000</v>
      </c>
      <c r="I120" s="51">
        <f t="shared" si="44"/>
        <v>-2375325000</v>
      </c>
      <c r="J120" s="54">
        <f t="shared" si="45"/>
        <v>106889625000</v>
      </c>
      <c r="Y120" s="25">
        <v>58</v>
      </c>
      <c r="Z120" s="51">
        <f t="shared" si="89"/>
        <v>-45</v>
      </c>
      <c r="AA120" s="74">
        <f t="shared" si="50"/>
        <v>4.8851210762914537E-5</v>
      </c>
      <c r="AB120" s="52">
        <f t="shared" si="10"/>
        <v>1.2304923143989268</v>
      </c>
      <c r="AC120" s="53">
        <f t="shared" si="51"/>
        <v>2953.1815545574245</v>
      </c>
      <c r="AD120" s="51">
        <f t="shared" si="52"/>
        <v>-132893.1699550841</v>
      </c>
      <c r="AE120" s="52">
        <f t="shared" si="90"/>
        <v>24877.147062772841</v>
      </c>
      <c r="AF120" s="51">
        <f t="shared" si="91"/>
        <v>59705152.95065482</v>
      </c>
      <c r="AG120" s="51">
        <f t="shared" si="53"/>
        <v>-2686731882.7794671</v>
      </c>
      <c r="AH120" s="54">
        <f t="shared" si="54"/>
        <v>120902934725.07602</v>
      </c>
      <c r="AW120" s="25">
        <v>58</v>
      </c>
      <c r="AX120" s="51">
        <f t="shared" si="92"/>
        <v>-45</v>
      </c>
      <c r="AY120" s="74">
        <f t="shared" si="59"/>
        <v>8.3192250896899257E-5</v>
      </c>
      <c r="AZ120" s="52">
        <f t="shared" si="18"/>
        <v>2.0772813377366885</v>
      </c>
      <c r="BA120" s="53">
        <f t="shared" si="60"/>
        <v>4985.4752105680527</v>
      </c>
      <c r="BB120" s="51">
        <f t="shared" si="61"/>
        <v>-224346.38447556237</v>
      </c>
      <c r="BC120" s="52">
        <f t="shared" si="93"/>
        <v>24439.298801064535</v>
      </c>
      <c r="BD120" s="51">
        <f t="shared" si="94"/>
        <v>58654317.122554883</v>
      </c>
      <c r="BE120" s="51">
        <f t="shared" si="62"/>
        <v>-2639444270.5149698</v>
      </c>
      <c r="BF120" s="54">
        <f t="shared" si="63"/>
        <v>118774992173.17365</v>
      </c>
      <c r="BU120" s="25">
        <v>58</v>
      </c>
      <c r="BV120" s="51">
        <f t="shared" si="95"/>
        <v>-45</v>
      </c>
      <c r="BW120" s="74">
        <f t="shared" si="68"/>
        <v>8.455911346248122E-5</v>
      </c>
      <c r="BX120" s="52">
        <f t="shared" si="26"/>
        <v>2.1106745898998218</v>
      </c>
      <c r="BY120" s="53">
        <f t="shared" si="69"/>
        <v>5065.619015759572</v>
      </c>
      <c r="BZ120" s="51">
        <f t="shared" si="70"/>
        <v>-227952.85570918073</v>
      </c>
      <c r="CA120" s="52">
        <f t="shared" si="96"/>
        <v>24421.871303353364</v>
      </c>
      <c r="CB120" s="51">
        <f t="shared" si="97"/>
        <v>58612491.128048077</v>
      </c>
      <c r="CC120" s="51">
        <f t="shared" si="71"/>
        <v>-2637562100.7621636</v>
      </c>
      <c r="CD120" s="54">
        <f t="shared" si="72"/>
        <v>118690294534.29736</v>
      </c>
      <c r="CS120" s="25">
        <v>58</v>
      </c>
      <c r="CT120" s="51">
        <f t="shared" si="98"/>
        <v>-45</v>
      </c>
      <c r="CU120" s="74">
        <f t="shared" si="77"/>
        <v>8.4561675691126998E-5</v>
      </c>
      <c r="CV120" s="52">
        <f t="shared" si="34"/>
        <v>2.1107371642762049</v>
      </c>
      <c r="CW120" s="53">
        <f t="shared" si="78"/>
        <v>5065.7691942628917</v>
      </c>
      <c r="CX120" s="51">
        <f t="shared" si="79"/>
        <v>-227959.61374183014</v>
      </c>
      <c r="CY120" s="52">
        <f t="shared" si="99"/>
        <v>24421.838634938133</v>
      </c>
      <c r="CZ120" s="51">
        <f t="shared" si="100"/>
        <v>58612412.723851517</v>
      </c>
      <c r="DA120" s="51">
        <f t="shared" si="80"/>
        <v>-2637558572.5733185</v>
      </c>
      <c r="DB120" s="54">
        <f t="shared" si="81"/>
        <v>118690135765.79933</v>
      </c>
    </row>
    <row r="121" spans="1:106">
      <c r="A121" s="25">
        <v>59</v>
      </c>
      <c r="B121" s="51">
        <f t="shared" si="86"/>
        <v>-51</v>
      </c>
      <c r="C121" s="74">
        <f t="shared" si="41"/>
        <v>2.4499999999999999E-4</v>
      </c>
      <c r="D121" s="52">
        <f t="shared" si="2"/>
        <v>5.8648406250000029</v>
      </c>
      <c r="E121" s="53">
        <f t="shared" si="42"/>
        <v>14075.617500000008</v>
      </c>
      <c r="F121" s="51">
        <f t="shared" si="43"/>
        <v>-717856.4925000004</v>
      </c>
      <c r="G121" s="52">
        <f t="shared" si="87"/>
        <v>22376.25</v>
      </c>
      <c r="H121" s="51">
        <f t="shared" si="88"/>
        <v>53703000</v>
      </c>
      <c r="I121" s="51">
        <f t="shared" si="44"/>
        <v>-2738853000</v>
      </c>
      <c r="J121" s="54">
        <f t="shared" si="45"/>
        <v>139681503000</v>
      </c>
      <c r="Y121" s="25">
        <v>59</v>
      </c>
      <c r="Z121" s="51">
        <f t="shared" si="89"/>
        <v>-51</v>
      </c>
      <c r="AA121" s="74">
        <f t="shared" si="50"/>
        <v>3.3189061319671492E-5</v>
      </c>
      <c r="AB121" s="52">
        <f t="shared" si="10"/>
        <v>0.83929891323220707</v>
      </c>
      <c r="AC121" s="53">
        <f t="shared" si="51"/>
        <v>2014.3173917572969</v>
      </c>
      <c r="AD121" s="51">
        <f t="shared" si="52"/>
        <v>-102730.18697962214</v>
      </c>
      <c r="AE121" s="52">
        <f t="shared" si="90"/>
        <v>25076.839468174188</v>
      </c>
      <c r="AF121" s="51">
        <f t="shared" si="91"/>
        <v>60184414.723618053</v>
      </c>
      <c r="AG121" s="51">
        <f t="shared" si="53"/>
        <v>-3069405150.9045205</v>
      </c>
      <c r="AH121" s="54">
        <f t="shared" si="54"/>
        <v>156539662696.13055</v>
      </c>
      <c r="AW121" s="25">
        <v>59</v>
      </c>
      <c r="AX121" s="51">
        <f t="shared" si="92"/>
        <v>-51</v>
      </c>
      <c r="AY121" s="74">
        <f t="shared" si="59"/>
        <v>6.4495817829098739E-5</v>
      </c>
      <c r="AZ121" s="52">
        <f t="shared" si="18"/>
        <v>1.6181252000933066</v>
      </c>
      <c r="BA121" s="53">
        <f t="shared" si="60"/>
        <v>3883.5004802239359</v>
      </c>
      <c r="BB121" s="51">
        <f t="shared" si="61"/>
        <v>-198058.52449142074</v>
      </c>
      <c r="BC121" s="52">
        <f t="shared" si="93"/>
        <v>24677.678322678992</v>
      </c>
      <c r="BD121" s="51">
        <f t="shared" si="94"/>
        <v>59226427.974429578</v>
      </c>
      <c r="BE121" s="51">
        <f t="shared" si="62"/>
        <v>-3020547826.6959085</v>
      </c>
      <c r="BF121" s="54">
        <f t="shared" si="63"/>
        <v>154047939161.49133</v>
      </c>
      <c r="BU121" s="25">
        <v>59</v>
      </c>
      <c r="BV121" s="51">
        <f t="shared" si="95"/>
        <v>-51</v>
      </c>
      <c r="BW121" s="74">
        <f t="shared" si="68"/>
        <v>6.5737420101383216E-5</v>
      </c>
      <c r="BX121" s="52">
        <f t="shared" si="26"/>
        <v>1.6487552340251608</v>
      </c>
      <c r="BY121" s="53">
        <f t="shared" si="69"/>
        <v>3957.0125616603859</v>
      </c>
      <c r="BZ121" s="51">
        <f t="shared" si="70"/>
        <v>-201807.64064467969</v>
      </c>
      <c r="CA121" s="52">
        <f t="shared" si="96"/>
        <v>24661.847893707363</v>
      </c>
      <c r="CB121" s="51">
        <f t="shared" si="97"/>
        <v>59188434.944897674</v>
      </c>
      <c r="CC121" s="51">
        <f t="shared" si="71"/>
        <v>-3018610182.1897812</v>
      </c>
      <c r="CD121" s="54">
        <f t="shared" si="72"/>
        <v>153949119291.67883</v>
      </c>
      <c r="CS121" s="25">
        <v>59</v>
      </c>
      <c r="CT121" s="51">
        <f t="shared" si="98"/>
        <v>-51</v>
      </c>
      <c r="CU121" s="74">
        <f t="shared" si="77"/>
        <v>6.5739776449271782E-5</v>
      </c>
      <c r="CV121" s="52">
        <f t="shared" si="34"/>
        <v>1.6488133458829792</v>
      </c>
      <c r="CW121" s="53">
        <f t="shared" si="78"/>
        <v>3957.1520301191504</v>
      </c>
      <c r="CX121" s="51">
        <f t="shared" si="79"/>
        <v>-201814.75353607666</v>
      </c>
      <c r="CY121" s="52">
        <f t="shared" si="99"/>
        <v>24661.817850271786</v>
      </c>
      <c r="CZ121" s="51">
        <f t="shared" si="100"/>
        <v>59188362.840652287</v>
      </c>
      <c r="DA121" s="51">
        <f t="shared" si="80"/>
        <v>-3018606504.8732667</v>
      </c>
      <c r="DB121" s="54">
        <f t="shared" si="81"/>
        <v>153948931748.53659</v>
      </c>
    </row>
    <row r="122" spans="1:106">
      <c r="A122" s="25">
        <v>60</v>
      </c>
      <c r="B122" s="51">
        <f t="shared" si="86"/>
        <v>-57</v>
      </c>
      <c r="C122" s="74">
        <f t="shared" si="41"/>
        <v>2.1499999999999997E-4</v>
      </c>
      <c r="D122" s="52">
        <f t="shared" si="2"/>
        <v>5.187815624999998</v>
      </c>
      <c r="E122" s="53">
        <f t="shared" si="42"/>
        <v>12450.757499999996</v>
      </c>
      <c r="F122" s="51">
        <f t="shared" si="43"/>
        <v>-709693.17749999976</v>
      </c>
      <c r="G122" s="52">
        <f t="shared" si="87"/>
        <v>22758.75</v>
      </c>
      <c r="H122" s="51">
        <f t="shared" si="88"/>
        <v>54621000</v>
      </c>
      <c r="I122" s="51">
        <f t="shared" si="44"/>
        <v>-3113397000</v>
      </c>
      <c r="J122" s="54">
        <f t="shared" si="45"/>
        <v>177463629000</v>
      </c>
      <c r="Y122" s="25">
        <v>60</v>
      </c>
      <c r="Z122" s="51">
        <f t="shared" si="89"/>
        <v>-57</v>
      </c>
      <c r="AA122" s="74">
        <f t="shared" si="50"/>
        <v>1.7526911876428419E-5</v>
      </c>
      <c r="AB122" s="52">
        <f t="shared" si="10"/>
        <v>0.44497789976940988</v>
      </c>
      <c r="AC122" s="53">
        <f t="shared" si="51"/>
        <v>1067.9469594465836</v>
      </c>
      <c r="AD122" s="51">
        <f t="shared" si="52"/>
        <v>-60872.976688455266</v>
      </c>
      <c r="AE122" s="52">
        <f t="shared" si="90"/>
        <v>25276.531873575535</v>
      </c>
      <c r="AF122" s="51">
        <f t="shared" si="91"/>
        <v>60663676.496581286</v>
      </c>
      <c r="AG122" s="51">
        <f t="shared" si="53"/>
        <v>-3457829560.3051333</v>
      </c>
      <c r="AH122" s="54">
        <f t="shared" si="54"/>
        <v>197096284937.39261</v>
      </c>
      <c r="AW122" s="25">
        <v>60</v>
      </c>
      <c r="AX122" s="51">
        <f t="shared" si="92"/>
        <v>-57</v>
      </c>
      <c r="AY122" s="74">
        <f t="shared" si="59"/>
        <v>4.5799384761298194E-5</v>
      </c>
      <c r="AZ122" s="52">
        <f t="shared" si="18"/>
        <v>1.1545122156793266</v>
      </c>
      <c r="BA122" s="53">
        <f t="shared" si="60"/>
        <v>2770.8293176303837</v>
      </c>
      <c r="BB122" s="51">
        <f t="shared" si="61"/>
        <v>-157937.27110493186</v>
      </c>
      <c r="BC122" s="52">
        <f t="shared" si="93"/>
        <v>24916.057844293449</v>
      </c>
      <c r="BD122" s="51">
        <f t="shared" si="94"/>
        <v>59798538.826304279</v>
      </c>
      <c r="BE122" s="51">
        <f t="shared" si="62"/>
        <v>-3408516713.0993438</v>
      </c>
      <c r="BF122" s="54">
        <f t="shared" si="63"/>
        <v>194285452646.6626</v>
      </c>
      <c r="BU122" s="25">
        <v>60</v>
      </c>
      <c r="BV122" s="51">
        <f t="shared" si="95"/>
        <v>-57</v>
      </c>
      <c r="BW122" s="74">
        <f t="shared" si="68"/>
        <v>4.6915726740285213E-5</v>
      </c>
      <c r="BX122" s="52">
        <f t="shared" si="26"/>
        <v>1.1823191123530166</v>
      </c>
      <c r="BY122" s="53">
        <f t="shared" si="69"/>
        <v>2837.5658696472397</v>
      </c>
      <c r="BZ122" s="51">
        <f t="shared" si="70"/>
        <v>-161741.25456989266</v>
      </c>
      <c r="CA122" s="52">
        <f t="shared" si="96"/>
        <v>24901.824484061366</v>
      </c>
      <c r="CB122" s="51">
        <f t="shared" si="97"/>
        <v>59764378.761747278</v>
      </c>
      <c r="CC122" s="51">
        <f t="shared" si="71"/>
        <v>-3406569589.4195948</v>
      </c>
      <c r="CD122" s="54">
        <f t="shared" si="72"/>
        <v>194174466596.9169</v>
      </c>
      <c r="CS122" s="25">
        <v>60</v>
      </c>
      <c r="CT122" s="51">
        <f t="shared" si="98"/>
        <v>-57</v>
      </c>
      <c r="CU122" s="74">
        <f t="shared" si="77"/>
        <v>4.6917877207416594E-5</v>
      </c>
      <c r="CV122" s="52">
        <f t="shared" si="34"/>
        <v>1.1823726628786018</v>
      </c>
      <c r="CW122" s="53">
        <f t="shared" si="78"/>
        <v>2837.6943909086444</v>
      </c>
      <c r="CX122" s="51">
        <f t="shared" si="79"/>
        <v>-161748.58028179273</v>
      </c>
      <c r="CY122" s="52">
        <f t="shared" si="99"/>
        <v>24901.797065605439</v>
      </c>
      <c r="CZ122" s="51">
        <f t="shared" si="100"/>
        <v>59764312.95745305</v>
      </c>
      <c r="DA122" s="51">
        <f t="shared" si="80"/>
        <v>-3406565838.5748239</v>
      </c>
      <c r="DB122" s="54">
        <f t="shared" si="81"/>
        <v>194174252798.76495</v>
      </c>
    </row>
    <row r="123" spans="1:106">
      <c r="A123" s="25">
        <v>61</v>
      </c>
      <c r="B123" s="51">
        <f t="shared" si="86"/>
        <v>-63</v>
      </c>
      <c r="C123" s="74">
        <f t="shared" si="41"/>
        <v>1.85E-4</v>
      </c>
      <c r="D123" s="52">
        <f t="shared" si="2"/>
        <v>4.4993156249999995</v>
      </c>
      <c r="E123" s="53">
        <f t="shared" si="42"/>
        <v>10798.357499999998</v>
      </c>
      <c r="F123" s="51">
        <f t="shared" si="43"/>
        <v>-680296.52249999985</v>
      </c>
      <c r="G123" s="52">
        <f t="shared" si="87"/>
        <v>23141.25</v>
      </c>
      <c r="H123" s="51">
        <f t="shared" si="88"/>
        <v>55539000</v>
      </c>
      <c r="I123" s="51">
        <f t="shared" si="44"/>
        <v>-3498957000</v>
      </c>
      <c r="J123" s="54">
        <f t="shared" si="45"/>
        <v>220434291000</v>
      </c>
      <c r="Y123" s="25">
        <v>61</v>
      </c>
      <c r="Z123" s="51">
        <f t="shared" si="89"/>
        <v>-63</v>
      </c>
      <c r="AA123" s="74">
        <f t="shared" si="50"/>
        <v>1.8647624331853739E-6</v>
      </c>
      <c r="AB123" s="52">
        <f t="shared" si="10"/>
        <v>4.7529274010532419E-2</v>
      </c>
      <c r="AC123" s="53">
        <f t="shared" si="51"/>
        <v>114.0702576252778</v>
      </c>
      <c r="AD123" s="51">
        <f t="shared" si="52"/>
        <v>-7186.4262303925016</v>
      </c>
      <c r="AE123" s="52">
        <f t="shared" si="90"/>
        <v>25476.224278976886</v>
      </c>
      <c r="AF123" s="51">
        <f t="shared" si="91"/>
        <v>61142938.269544527</v>
      </c>
      <c r="AG123" s="51">
        <f t="shared" si="53"/>
        <v>-3852005110.9813051</v>
      </c>
      <c r="AH123" s="54">
        <f t="shared" si="54"/>
        <v>242676321991.82224</v>
      </c>
      <c r="AW123" s="25">
        <v>61</v>
      </c>
      <c r="AX123" s="51">
        <f t="shared" si="92"/>
        <v>-63</v>
      </c>
      <c r="AY123" s="74">
        <f t="shared" si="59"/>
        <v>2.7102951693497648E-5</v>
      </c>
      <c r="AZ123" s="52">
        <f t="shared" si="18"/>
        <v>0.68644238449475403</v>
      </c>
      <c r="BA123" s="53">
        <f t="shared" si="60"/>
        <v>1647.4617227874096</v>
      </c>
      <c r="BB123" s="51">
        <f t="shared" si="61"/>
        <v>-103790.0885356068</v>
      </c>
      <c r="BC123" s="52">
        <f t="shared" si="93"/>
        <v>25154.437365907903</v>
      </c>
      <c r="BD123" s="51">
        <f t="shared" si="94"/>
        <v>60370649.678178966</v>
      </c>
      <c r="BE123" s="51">
        <f t="shared" si="62"/>
        <v>-3803350929.725275</v>
      </c>
      <c r="BF123" s="54">
        <f t="shared" si="63"/>
        <v>239611108572.69232</v>
      </c>
      <c r="BU123" s="25">
        <v>61</v>
      </c>
      <c r="BV123" s="51">
        <f t="shared" si="95"/>
        <v>-63</v>
      </c>
      <c r="BW123" s="74">
        <f t="shared" si="68"/>
        <v>2.809403337918721E-5</v>
      </c>
      <c r="BX123" s="52">
        <f t="shared" si="26"/>
        <v>0.71136622488339218</v>
      </c>
      <c r="BY123" s="53">
        <f t="shared" si="69"/>
        <v>1707.2789397201414</v>
      </c>
      <c r="BZ123" s="51">
        <f t="shared" si="70"/>
        <v>-107558.57320236891</v>
      </c>
      <c r="CA123" s="52">
        <f t="shared" si="96"/>
        <v>25141.801074415362</v>
      </c>
      <c r="CB123" s="51">
        <f t="shared" si="97"/>
        <v>60340322.578596868</v>
      </c>
      <c r="CC123" s="51">
        <f t="shared" si="71"/>
        <v>-3801440322.4516025</v>
      </c>
      <c r="CD123" s="54">
        <f t="shared" si="72"/>
        <v>239490740314.45096</v>
      </c>
      <c r="CS123" s="25">
        <v>61</v>
      </c>
      <c r="CT123" s="51">
        <f t="shared" si="98"/>
        <v>-63</v>
      </c>
      <c r="CU123" s="74">
        <f t="shared" si="77"/>
        <v>2.8095977965561378E-5</v>
      </c>
      <c r="CV123" s="52">
        <f t="shared" si="34"/>
        <v>0.71141511526307788</v>
      </c>
      <c r="CW123" s="53">
        <f t="shared" si="78"/>
        <v>1707.3962766313869</v>
      </c>
      <c r="CX123" s="51">
        <f t="shared" si="79"/>
        <v>-107565.96542777737</v>
      </c>
      <c r="CY123" s="52">
        <f t="shared" si="99"/>
        <v>25141.776280939092</v>
      </c>
      <c r="CZ123" s="51">
        <f t="shared" si="100"/>
        <v>60340263.07425382</v>
      </c>
      <c r="DA123" s="51">
        <f t="shared" si="80"/>
        <v>-3801436573.6779904</v>
      </c>
      <c r="DB123" s="54">
        <f t="shared" si="81"/>
        <v>239490504141.71341</v>
      </c>
    </row>
    <row r="124" spans="1:106">
      <c r="A124" s="25">
        <v>62</v>
      </c>
      <c r="B124" s="51">
        <f t="shared" si="86"/>
        <v>-69</v>
      </c>
      <c r="C124" s="74">
        <f t="shared" si="41"/>
        <v>1.5499999999999997E-4</v>
      </c>
      <c r="D124" s="52">
        <f t="shared" si="2"/>
        <v>3.7993406250000006</v>
      </c>
      <c r="E124" s="53">
        <f t="shared" si="42"/>
        <v>9118.4175000000014</v>
      </c>
      <c r="F124" s="51">
        <f t="shared" si="43"/>
        <v>-629170.80750000011</v>
      </c>
      <c r="G124" s="52">
        <f t="shared" si="87"/>
        <v>23523.75</v>
      </c>
      <c r="H124" s="51">
        <f t="shared" si="88"/>
        <v>56457000</v>
      </c>
      <c r="I124" s="51">
        <f t="shared" si="44"/>
        <v>-3895533000</v>
      </c>
      <c r="J124" s="54">
        <f t="shared" si="45"/>
        <v>268791777000</v>
      </c>
      <c r="Y124" s="25">
        <v>62</v>
      </c>
      <c r="Z124" s="51">
        <f t="shared" si="89"/>
        <v>-69</v>
      </c>
      <c r="AA124" s="74">
        <f t="shared" si="50"/>
        <v>-1.3797387010057671E-5</v>
      </c>
      <c r="AB124" s="52">
        <f t="shared" si="10"/>
        <v>0</v>
      </c>
      <c r="AC124" s="53">
        <f t="shared" si="51"/>
        <v>0</v>
      </c>
      <c r="AD124" s="51">
        <f t="shared" si="52"/>
        <v>0</v>
      </c>
      <c r="AE124" s="52">
        <f t="shared" si="90"/>
        <v>0</v>
      </c>
      <c r="AF124" s="51">
        <f t="shared" si="91"/>
        <v>0</v>
      </c>
      <c r="AG124" s="51">
        <f t="shared" si="53"/>
        <v>0</v>
      </c>
      <c r="AH124" s="54">
        <f t="shared" si="54"/>
        <v>0</v>
      </c>
      <c r="AW124" s="25">
        <v>62</v>
      </c>
      <c r="AX124" s="51">
        <f t="shared" si="92"/>
        <v>-69</v>
      </c>
      <c r="AY124" s="74">
        <f t="shared" si="59"/>
        <v>8.406518625697103E-6</v>
      </c>
      <c r="AZ124" s="52">
        <f t="shared" si="18"/>
        <v>0.2139157065395777</v>
      </c>
      <c r="BA124" s="53">
        <f t="shared" si="60"/>
        <v>513.39769569498651</v>
      </c>
      <c r="BB124" s="51">
        <f t="shared" si="61"/>
        <v>-35424.441002954067</v>
      </c>
      <c r="BC124" s="52">
        <f t="shared" si="93"/>
        <v>25392.81688752236</v>
      </c>
      <c r="BD124" s="51">
        <f t="shared" si="94"/>
        <v>60942760.530053668</v>
      </c>
      <c r="BE124" s="51">
        <f t="shared" si="62"/>
        <v>-4205050476.5737033</v>
      </c>
      <c r="BF124" s="54">
        <f t="shared" si="63"/>
        <v>290148482883.58551</v>
      </c>
      <c r="BU124" s="25">
        <v>62</v>
      </c>
      <c r="BV124" s="51">
        <f t="shared" si="95"/>
        <v>-69</v>
      </c>
      <c r="BW124" s="74">
        <f t="shared" si="68"/>
        <v>9.2723400180892072E-6</v>
      </c>
      <c r="BX124" s="52">
        <f t="shared" si="26"/>
        <v>0.23589657161627922</v>
      </c>
      <c r="BY124" s="53">
        <f t="shared" si="69"/>
        <v>566.15177187907011</v>
      </c>
      <c r="BZ124" s="51">
        <f t="shared" si="70"/>
        <v>-39064.472259655835</v>
      </c>
      <c r="CA124" s="52">
        <f t="shared" si="96"/>
        <v>25381.777664769364</v>
      </c>
      <c r="CB124" s="51">
        <f t="shared" si="97"/>
        <v>60916266.395446472</v>
      </c>
      <c r="CC124" s="51">
        <f t="shared" si="71"/>
        <v>-4203222381.2858067</v>
      </c>
      <c r="CD124" s="54">
        <f t="shared" si="72"/>
        <v>290022344308.72064</v>
      </c>
      <c r="CS124" s="25">
        <v>62</v>
      </c>
      <c r="CT124" s="51">
        <f t="shared" si="98"/>
        <v>-69</v>
      </c>
      <c r="CU124" s="74">
        <f t="shared" si="77"/>
        <v>9.2740787237061628E-6</v>
      </c>
      <c r="CV124" s="52">
        <f t="shared" si="34"/>
        <v>0.23594070303640219</v>
      </c>
      <c r="CW124" s="53">
        <f t="shared" si="78"/>
        <v>566.25768728736523</v>
      </c>
      <c r="CX124" s="51">
        <f t="shared" si="79"/>
        <v>-39071.780422828204</v>
      </c>
      <c r="CY124" s="52">
        <f t="shared" si="99"/>
        <v>25381.755496272744</v>
      </c>
      <c r="CZ124" s="51">
        <f t="shared" si="100"/>
        <v>60916213.19105459</v>
      </c>
      <c r="DA124" s="51">
        <f t="shared" si="80"/>
        <v>-4203218710.1827669</v>
      </c>
      <c r="DB124" s="54">
        <f t="shared" si="81"/>
        <v>290022091002.6109</v>
      </c>
    </row>
    <row r="125" spans="1:106">
      <c r="A125" s="25">
        <v>63</v>
      </c>
      <c r="B125" s="51">
        <f t="shared" si="86"/>
        <v>-75</v>
      </c>
      <c r="C125" s="74">
        <f t="shared" si="41"/>
        <v>1.25E-4</v>
      </c>
      <c r="D125" s="52">
        <f t="shared" si="2"/>
        <v>3.0878906249999996</v>
      </c>
      <c r="E125" s="53">
        <f t="shared" si="42"/>
        <v>7410.9374999999991</v>
      </c>
      <c r="F125" s="51">
        <f t="shared" si="43"/>
        <v>-555820.31249999988</v>
      </c>
      <c r="G125" s="52">
        <f t="shared" si="87"/>
        <v>23906.25</v>
      </c>
      <c r="H125" s="51">
        <f t="shared" si="88"/>
        <v>57375000</v>
      </c>
      <c r="I125" s="51">
        <f t="shared" si="44"/>
        <v>-4303125000</v>
      </c>
      <c r="J125" s="54">
        <f t="shared" si="45"/>
        <v>322734375000</v>
      </c>
      <c r="Y125" s="25">
        <v>63</v>
      </c>
      <c r="Z125" s="51">
        <f t="shared" si="89"/>
        <v>-75</v>
      </c>
      <c r="AA125" s="74">
        <f t="shared" si="50"/>
        <v>-2.9459536453300744E-5</v>
      </c>
      <c r="AB125" s="52">
        <f t="shared" si="10"/>
        <v>0</v>
      </c>
      <c r="AC125" s="53">
        <f t="shared" si="51"/>
        <v>0</v>
      </c>
      <c r="AD125" s="51">
        <f t="shared" si="52"/>
        <v>0</v>
      </c>
      <c r="AE125" s="52">
        <f t="shared" si="90"/>
        <v>0</v>
      </c>
      <c r="AF125" s="51">
        <f t="shared" si="91"/>
        <v>0</v>
      </c>
      <c r="AG125" s="51">
        <f t="shared" si="53"/>
        <v>0</v>
      </c>
      <c r="AH125" s="54">
        <f t="shared" si="54"/>
        <v>0</v>
      </c>
      <c r="AW125" s="25">
        <v>63</v>
      </c>
      <c r="AX125" s="51">
        <f t="shared" si="92"/>
        <v>-75</v>
      </c>
      <c r="AY125" s="74">
        <f t="shared" si="59"/>
        <v>-1.0289914442103442E-5</v>
      </c>
      <c r="AZ125" s="52">
        <f t="shared" si="18"/>
        <v>0</v>
      </c>
      <c r="BA125" s="53">
        <f t="shared" si="60"/>
        <v>0</v>
      </c>
      <c r="BB125" s="51">
        <f t="shared" si="61"/>
        <v>0</v>
      </c>
      <c r="BC125" s="52">
        <f t="shared" si="93"/>
        <v>0</v>
      </c>
      <c r="BD125" s="51">
        <f t="shared" si="94"/>
        <v>0</v>
      </c>
      <c r="BE125" s="51">
        <f t="shared" si="62"/>
        <v>0</v>
      </c>
      <c r="BF125" s="54">
        <f t="shared" si="63"/>
        <v>0</v>
      </c>
      <c r="BU125" s="25">
        <v>63</v>
      </c>
      <c r="BV125" s="51">
        <f t="shared" si="95"/>
        <v>-75</v>
      </c>
      <c r="BW125" s="74">
        <f t="shared" si="68"/>
        <v>-9.5493533430087687E-6</v>
      </c>
      <c r="BX125" s="52">
        <f t="shared" si="26"/>
        <v>0</v>
      </c>
      <c r="BY125" s="53">
        <f t="shared" si="69"/>
        <v>0</v>
      </c>
      <c r="BZ125" s="51">
        <f t="shared" si="70"/>
        <v>0</v>
      </c>
      <c r="CA125" s="52">
        <f t="shared" si="96"/>
        <v>0</v>
      </c>
      <c r="CB125" s="51">
        <f t="shared" si="97"/>
        <v>0</v>
      </c>
      <c r="CC125" s="51">
        <f t="shared" si="71"/>
        <v>0</v>
      </c>
      <c r="CD125" s="54">
        <f t="shared" si="72"/>
        <v>0</v>
      </c>
      <c r="CS125" s="25">
        <v>63</v>
      </c>
      <c r="CT125" s="51">
        <f t="shared" si="98"/>
        <v>-75</v>
      </c>
      <c r="CU125" s="74">
        <f t="shared" si="77"/>
        <v>-9.5478205181490257E-6</v>
      </c>
      <c r="CV125" s="52">
        <f t="shared" si="34"/>
        <v>0</v>
      </c>
      <c r="CW125" s="53">
        <f t="shared" si="78"/>
        <v>0</v>
      </c>
      <c r="CX125" s="51">
        <f t="shared" si="79"/>
        <v>0</v>
      </c>
      <c r="CY125" s="52">
        <f t="shared" si="99"/>
        <v>0</v>
      </c>
      <c r="CZ125" s="51">
        <f t="shared" si="100"/>
        <v>0</v>
      </c>
      <c r="DA125" s="51">
        <f t="shared" si="80"/>
        <v>0</v>
      </c>
      <c r="DB125" s="54">
        <f t="shared" si="81"/>
        <v>0</v>
      </c>
    </row>
    <row r="126" spans="1:106">
      <c r="A126" s="25">
        <v>64</v>
      </c>
      <c r="B126" s="51">
        <f t="shared" si="86"/>
        <v>-81</v>
      </c>
      <c r="C126" s="74">
        <f t="shared" si="41"/>
        <v>9.4999999999999978E-5</v>
      </c>
      <c r="D126" s="52">
        <f t="shared" si="2"/>
        <v>2.3649656250000004</v>
      </c>
      <c r="E126" s="53">
        <f t="shared" si="42"/>
        <v>5675.9175000000014</v>
      </c>
      <c r="F126" s="51">
        <f t="shared" si="43"/>
        <v>-459749.31750000012</v>
      </c>
      <c r="G126" s="52">
        <f t="shared" si="87"/>
        <v>24288.75</v>
      </c>
      <c r="H126" s="51">
        <f t="shared" si="88"/>
        <v>58293000</v>
      </c>
      <c r="I126" s="51">
        <f t="shared" si="44"/>
        <v>-4721733000</v>
      </c>
      <c r="J126" s="54">
        <f t="shared" si="45"/>
        <v>382460373000</v>
      </c>
      <c r="Y126" s="25">
        <v>64</v>
      </c>
      <c r="Z126" s="51">
        <f t="shared" si="89"/>
        <v>-81</v>
      </c>
      <c r="AA126" s="74">
        <f t="shared" si="50"/>
        <v>-4.5121685896543789E-5</v>
      </c>
      <c r="AB126" s="52">
        <f t="shared" si="10"/>
        <v>0</v>
      </c>
      <c r="AC126" s="53">
        <f t="shared" si="51"/>
        <v>0</v>
      </c>
      <c r="AD126" s="51">
        <f t="shared" si="52"/>
        <v>0</v>
      </c>
      <c r="AE126" s="52">
        <f t="shared" si="90"/>
        <v>0</v>
      </c>
      <c r="AF126" s="51">
        <f t="shared" si="91"/>
        <v>0</v>
      </c>
      <c r="AG126" s="51">
        <f t="shared" si="53"/>
        <v>0</v>
      </c>
      <c r="AH126" s="54">
        <f t="shared" si="54"/>
        <v>0</v>
      </c>
      <c r="AW126" s="25">
        <v>64</v>
      </c>
      <c r="AX126" s="51">
        <f t="shared" si="92"/>
        <v>-81</v>
      </c>
      <c r="AY126" s="74">
        <f t="shared" si="59"/>
        <v>-2.898634750990396E-5</v>
      </c>
      <c r="AZ126" s="52">
        <f t="shared" si="18"/>
        <v>0</v>
      </c>
      <c r="BA126" s="53">
        <f t="shared" si="60"/>
        <v>0</v>
      </c>
      <c r="BB126" s="51">
        <f t="shared" si="61"/>
        <v>0</v>
      </c>
      <c r="BC126" s="52">
        <f t="shared" si="93"/>
        <v>0</v>
      </c>
      <c r="BD126" s="51">
        <f t="shared" si="94"/>
        <v>0</v>
      </c>
      <c r="BE126" s="51">
        <f t="shared" si="62"/>
        <v>0</v>
      </c>
      <c r="BF126" s="54">
        <f t="shared" si="63"/>
        <v>0</v>
      </c>
      <c r="BU126" s="25">
        <v>64</v>
      </c>
      <c r="BV126" s="51">
        <f t="shared" si="95"/>
        <v>-81</v>
      </c>
      <c r="BW126" s="74">
        <f t="shared" si="68"/>
        <v>-2.8371046704106799E-5</v>
      </c>
      <c r="BX126" s="52">
        <f t="shared" si="26"/>
        <v>0</v>
      </c>
      <c r="BY126" s="53">
        <f t="shared" si="69"/>
        <v>0</v>
      </c>
      <c r="BZ126" s="51">
        <f t="shared" si="70"/>
        <v>0</v>
      </c>
      <c r="CA126" s="52">
        <f t="shared" si="96"/>
        <v>0</v>
      </c>
      <c r="CB126" s="51">
        <f t="shared" si="97"/>
        <v>0</v>
      </c>
      <c r="CC126" s="51">
        <f t="shared" si="71"/>
        <v>0</v>
      </c>
      <c r="CD126" s="54">
        <f t="shared" si="72"/>
        <v>0</v>
      </c>
      <c r="CS126" s="25">
        <v>64</v>
      </c>
      <c r="CT126" s="51">
        <f t="shared" si="98"/>
        <v>-81</v>
      </c>
      <c r="CU126" s="74">
        <f t="shared" si="77"/>
        <v>-2.8369719760004241E-5</v>
      </c>
      <c r="CV126" s="52">
        <f t="shared" si="34"/>
        <v>0</v>
      </c>
      <c r="CW126" s="53">
        <f t="shared" si="78"/>
        <v>0</v>
      </c>
      <c r="CX126" s="51">
        <f t="shared" si="79"/>
        <v>0</v>
      </c>
      <c r="CY126" s="52">
        <f t="shared" si="99"/>
        <v>0</v>
      </c>
      <c r="CZ126" s="51">
        <f t="shared" si="100"/>
        <v>0</v>
      </c>
      <c r="DA126" s="51">
        <f t="shared" si="80"/>
        <v>0</v>
      </c>
      <c r="DB126" s="54">
        <f t="shared" si="81"/>
        <v>0</v>
      </c>
    </row>
    <row r="127" spans="1:106">
      <c r="A127" s="25">
        <v>65</v>
      </c>
      <c r="B127" s="51">
        <f t="shared" ref="B127:B162" si="101">h/2-($A127-0.5)*$M$51</f>
        <v>-87</v>
      </c>
      <c r="C127" s="74">
        <f t="shared" si="41"/>
        <v>6.4999999999999954E-5</v>
      </c>
      <c r="D127" s="52">
        <f t="shared" ref="D127:D162" si="102">+IF(C127&gt;=0,IF(C127&lt;=eco,1-(1-C127/eco)^n,1),0)*0.85*fck</f>
        <v>1.6305656249999991</v>
      </c>
      <c r="E127" s="53">
        <f t="shared" si="42"/>
        <v>3913.3574999999978</v>
      </c>
      <c r="F127" s="51">
        <f t="shared" ref="F127:F162" si="103">+E127*B127</f>
        <v>-340462.1024999998</v>
      </c>
      <c r="G127" s="52">
        <f t="shared" ref="G127:G162" si="104">IF(AND(C127&gt;0,C127&lt;eco),0.85*fck*n/eco*(1-C127/eco)^(n-1),0)</f>
        <v>24671.25</v>
      </c>
      <c r="H127" s="51">
        <f t="shared" ref="H127:H158" si="105">+G127*$M$53</f>
        <v>59211000</v>
      </c>
      <c r="I127" s="51">
        <f t="shared" si="44"/>
        <v>-5151357000</v>
      </c>
      <c r="J127" s="54">
        <f t="shared" si="45"/>
        <v>448168059000</v>
      </c>
      <c r="Y127" s="25">
        <v>65</v>
      </c>
      <c r="Z127" s="51">
        <f t="shared" ref="Z127:Z162" si="106">h/2-($A127-0.5)*$M$51</f>
        <v>-87</v>
      </c>
      <c r="AA127" s="74">
        <f t="shared" si="50"/>
        <v>-6.0783835339786835E-5</v>
      </c>
      <c r="AB127" s="52">
        <f t="shared" ref="AB127:AB162" si="107">+IF(AA127&gt;=0,IF(AA127&lt;=eco,1-(1-AA127/eco)^n,1),0)*0.85*fck</f>
        <v>0</v>
      </c>
      <c r="AC127" s="53">
        <f t="shared" si="51"/>
        <v>0</v>
      </c>
      <c r="AD127" s="51">
        <f t="shared" si="52"/>
        <v>0</v>
      </c>
      <c r="AE127" s="52">
        <f t="shared" ref="AE127:AE162" si="108">IF(AND(AA127&gt;0,AA127&lt;eco),0.85*fck*n/eco*(1-AA127/eco)^(n-1),0)</f>
        <v>0</v>
      </c>
      <c r="AF127" s="51">
        <f t="shared" ref="AF127:AF158" si="109">+AE127*$M$53</f>
        <v>0</v>
      </c>
      <c r="AG127" s="51">
        <f t="shared" si="53"/>
        <v>0</v>
      </c>
      <c r="AH127" s="54">
        <f t="shared" si="54"/>
        <v>0</v>
      </c>
      <c r="AW127" s="25">
        <v>65</v>
      </c>
      <c r="AX127" s="51">
        <f t="shared" ref="AX127:AX162" si="110">h/2-($A127-0.5)*$M$51</f>
        <v>-87</v>
      </c>
      <c r="AY127" s="74">
        <f t="shared" si="59"/>
        <v>-4.7682780577704506E-5</v>
      </c>
      <c r="AZ127" s="52">
        <f t="shared" ref="AZ127:AZ162" si="111">+IF(AY127&gt;=0,IF(AY127&lt;=eco,1-(1-AY127/eco)^n,1),0)*0.85*fck</f>
        <v>0</v>
      </c>
      <c r="BA127" s="53">
        <f t="shared" si="60"/>
        <v>0</v>
      </c>
      <c r="BB127" s="51">
        <f t="shared" si="61"/>
        <v>0</v>
      </c>
      <c r="BC127" s="52">
        <f t="shared" ref="BC127:BC162" si="112">IF(AND(AY127&gt;0,AY127&lt;eco),0.85*fck*n/eco*(1-AY127/eco)^(n-1),0)</f>
        <v>0</v>
      </c>
      <c r="BD127" s="51">
        <f t="shared" ref="BD127:BD158" si="113">+BC127*$M$53</f>
        <v>0</v>
      </c>
      <c r="BE127" s="51">
        <f t="shared" si="62"/>
        <v>0</v>
      </c>
      <c r="BF127" s="54">
        <f t="shared" si="63"/>
        <v>0</v>
      </c>
      <c r="BU127" s="25">
        <v>65</v>
      </c>
      <c r="BV127" s="51">
        <f t="shared" ref="BV127:BV162" si="114">h/2-($A127-0.5)*$M$51</f>
        <v>-87</v>
      </c>
      <c r="BW127" s="74">
        <f t="shared" si="68"/>
        <v>-4.7192740065204802E-5</v>
      </c>
      <c r="BX127" s="52">
        <f t="shared" ref="BX127:BX162" si="115">+IF(BW127&gt;=0,IF(BW127&lt;=eco,1-(1-BW127/eco)^n,1),0)*0.85*fck</f>
        <v>0</v>
      </c>
      <c r="BY127" s="53">
        <f t="shared" si="69"/>
        <v>0</v>
      </c>
      <c r="BZ127" s="51">
        <f t="shared" si="70"/>
        <v>0</v>
      </c>
      <c r="CA127" s="52">
        <f t="shared" ref="CA127:CA162" si="116">IF(AND(BW127&gt;0,BW127&lt;eco),0.85*fck*n/eco*(1-BW127/eco)^(n-1),0)</f>
        <v>0</v>
      </c>
      <c r="CB127" s="51">
        <f t="shared" ref="CB127:CB158" si="117">+CA127*$M$53</f>
        <v>0</v>
      </c>
      <c r="CC127" s="51">
        <f t="shared" si="71"/>
        <v>0</v>
      </c>
      <c r="CD127" s="54">
        <f t="shared" si="72"/>
        <v>0</v>
      </c>
      <c r="CS127" s="25">
        <v>65</v>
      </c>
      <c r="CT127" s="51">
        <f t="shared" ref="CT127:CT162" si="118">h/2-($A127-0.5)*$M$51</f>
        <v>-87</v>
      </c>
      <c r="CU127" s="74">
        <f t="shared" si="77"/>
        <v>-4.7191619001859457E-5</v>
      </c>
      <c r="CV127" s="52">
        <f t="shared" ref="CV127:CV162" si="119">+IF(CU127&gt;=0,IF(CU127&lt;=eco,1-(1-CU127/eco)^n,1),0)*0.85*fck</f>
        <v>0</v>
      </c>
      <c r="CW127" s="53">
        <f t="shared" si="78"/>
        <v>0</v>
      </c>
      <c r="CX127" s="51">
        <f t="shared" si="79"/>
        <v>0</v>
      </c>
      <c r="CY127" s="52">
        <f t="shared" ref="CY127:CY162" si="120">IF(AND(CU127&gt;0,CU127&lt;eco),0.85*fck*n/eco*(1-CU127/eco)^(n-1),0)</f>
        <v>0</v>
      </c>
      <c r="CZ127" s="51">
        <f t="shared" ref="CZ127:CZ158" si="121">+CY127*$M$53</f>
        <v>0</v>
      </c>
      <c r="DA127" s="51">
        <f t="shared" si="80"/>
        <v>0</v>
      </c>
      <c r="DB127" s="54">
        <f t="shared" si="81"/>
        <v>0</v>
      </c>
    </row>
    <row r="128" spans="1:106">
      <c r="A128" s="25">
        <v>66</v>
      </c>
      <c r="B128" s="51">
        <f t="shared" si="101"/>
        <v>-93</v>
      </c>
      <c r="C128" s="74">
        <f t="shared" ref="C128:C162" si="122">B$56+B$57*B128</f>
        <v>3.4999999999999983E-5</v>
      </c>
      <c r="D128" s="52">
        <f t="shared" si="102"/>
        <v>0.88469062499999918</v>
      </c>
      <c r="E128" s="53">
        <f t="shared" ref="E128:E162" si="123">+D128*$M$53</f>
        <v>2123.2574999999979</v>
      </c>
      <c r="F128" s="51">
        <f t="shared" si="103"/>
        <v>-197462.94749999981</v>
      </c>
      <c r="G128" s="52">
        <f t="shared" si="104"/>
        <v>25053.75</v>
      </c>
      <c r="H128" s="51">
        <f t="shared" si="105"/>
        <v>60129000</v>
      </c>
      <c r="I128" s="51">
        <f t="shared" ref="I128:I162" si="124">+H128*B128</f>
        <v>-5591997000</v>
      </c>
      <c r="J128" s="54">
        <f t="shared" ref="J128:J162" si="125">+I128*B128</f>
        <v>520055721000</v>
      </c>
      <c r="Y128" s="25">
        <v>66</v>
      </c>
      <c r="Z128" s="51">
        <f t="shared" si="106"/>
        <v>-93</v>
      </c>
      <c r="AA128" s="74">
        <f t="shared" ref="AA128:AA162" si="126">Z$56+Z$57*Z128</f>
        <v>-7.6445984783029907E-5</v>
      </c>
      <c r="AB128" s="52">
        <f t="shared" si="107"/>
        <v>0</v>
      </c>
      <c r="AC128" s="53">
        <f t="shared" ref="AC128:AC162" si="127">+AB128*$M$53</f>
        <v>0</v>
      </c>
      <c r="AD128" s="51">
        <f t="shared" ref="AD128:AD162" si="128">+AC128*Z128</f>
        <v>0</v>
      </c>
      <c r="AE128" s="52">
        <f t="shared" si="108"/>
        <v>0</v>
      </c>
      <c r="AF128" s="51">
        <f t="shared" si="109"/>
        <v>0</v>
      </c>
      <c r="AG128" s="51">
        <f t="shared" ref="AG128:AG162" si="129">+AF128*Z128</f>
        <v>0</v>
      </c>
      <c r="AH128" s="54">
        <f t="shared" ref="AH128:AH162" si="130">+AG128*Z128</f>
        <v>0</v>
      </c>
      <c r="AW128" s="25">
        <v>66</v>
      </c>
      <c r="AX128" s="51">
        <f t="shared" si="110"/>
        <v>-93</v>
      </c>
      <c r="AY128" s="74">
        <f t="shared" ref="AY128:AY162" si="131">AX$56+AX$57*AX128</f>
        <v>-6.6379213645505051E-5</v>
      </c>
      <c r="AZ128" s="52">
        <f t="shared" si="111"/>
        <v>0</v>
      </c>
      <c r="BA128" s="53">
        <f t="shared" ref="BA128:BA162" si="132">+AZ128*$M$53</f>
        <v>0</v>
      </c>
      <c r="BB128" s="51">
        <f t="shared" ref="BB128:BB162" si="133">+BA128*AX128</f>
        <v>0</v>
      </c>
      <c r="BC128" s="52">
        <f t="shared" si="112"/>
        <v>0</v>
      </c>
      <c r="BD128" s="51">
        <f t="shared" si="113"/>
        <v>0</v>
      </c>
      <c r="BE128" s="51">
        <f t="shared" ref="BE128:BE162" si="134">+BD128*AX128</f>
        <v>0</v>
      </c>
      <c r="BF128" s="54">
        <f t="shared" ref="BF128:BF162" si="135">+BE128*AX128</f>
        <v>0</v>
      </c>
      <c r="BU128" s="25">
        <v>66</v>
      </c>
      <c r="BV128" s="51">
        <f t="shared" si="114"/>
        <v>-93</v>
      </c>
      <c r="BW128" s="74">
        <f t="shared" ref="BW128:BW162" si="136">BV$56+BV$57*BV128</f>
        <v>-6.6014433426302805E-5</v>
      </c>
      <c r="BX128" s="52">
        <f t="shared" si="115"/>
        <v>0</v>
      </c>
      <c r="BY128" s="53">
        <f t="shared" ref="BY128:BY162" si="137">+BX128*$M$53</f>
        <v>0</v>
      </c>
      <c r="BZ128" s="51">
        <f t="shared" ref="BZ128:BZ162" si="138">+BY128*BV128</f>
        <v>0</v>
      </c>
      <c r="CA128" s="52">
        <f t="shared" si="116"/>
        <v>0</v>
      </c>
      <c r="CB128" s="51">
        <f t="shared" si="117"/>
        <v>0</v>
      </c>
      <c r="CC128" s="51">
        <f t="shared" ref="CC128:CC162" si="139">+CB128*BV128</f>
        <v>0</v>
      </c>
      <c r="CD128" s="54">
        <f t="shared" ref="CD128:CD162" si="140">+CC128*BV128</f>
        <v>0</v>
      </c>
      <c r="CS128" s="25">
        <v>66</v>
      </c>
      <c r="CT128" s="51">
        <f t="shared" si="118"/>
        <v>-93</v>
      </c>
      <c r="CU128" s="74">
        <f t="shared" ref="CU128:CU162" si="141">CT$56+CT$57*CT128</f>
        <v>-6.6013518243714672E-5</v>
      </c>
      <c r="CV128" s="52">
        <f t="shared" si="119"/>
        <v>0</v>
      </c>
      <c r="CW128" s="53">
        <f t="shared" ref="CW128:CW162" si="142">+CV128*$M$53</f>
        <v>0</v>
      </c>
      <c r="CX128" s="51">
        <f t="shared" ref="CX128:CX162" si="143">+CW128*CT128</f>
        <v>0</v>
      </c>
      <c r="CY128" s="52">
        <f t="shared" si="120"/>
        <v>0</v>
      </c>
      <c r="CZ128" s="51">
        <f t="shared" si="121"/>
        <v>0</v>
      </c>
      <c r="DA128" s="51">
        <f t="shared" ref="DA128:DA162" si="144">+CZ128*CT128</f>
        <v>0</v>
      </c>
      <c r="DB128" s="54">
        <f t="shared" ref="DB128:DB162" si="145">+DA128*CT128</f>
        <v>0</v>
      </c>
    </row>
    <row r="129" spans="1:106">
      <c r="A129" s="25">
        <v>67</v>
      </c>
      <c r="B129" s="51">
        <f t="shared" si="101"/>
        <v>-99</v>
      </c>
      <c r="C129" s="74">
        <f t="shared" si="122"/>
        <v>5.0000000000000131E-6</v>
      </c>
      <c r="D129" s="52">
        <f t="shared" si="102"/>
        <v>0.12734062500000332</v>
      </c>
      <c r="E129" s="53">
        <f t="shared" si="123"/>
        <v>305.61750000000796</v>
      </c>
      <c r="F129" s="51">
        <f t="shared" si="103"/>
        <v>-30256.132500000789</v>
      </c>
      <c r="G129" s="52">
        <f t="shared" si="104"/>
        <v>25436.25</v>
      </c>
      <c r="H129" s="51">
        <f t="shared" si="105"/>
        <v>61047000</v>
      </c>
      <c r="I129" s="51">
        <f t="shared" si="124"/>
        <v>-6043653000</v>
      </c>
      <c r="J129" s="54">
        <f t="shared" si="125"/>
        <v>598321647000</v>
      </c>
      <c r="Y129" s="25">
        <v>67</v>
      </c>
      <c r="Z129" s="51">
        <f t="shared" si="106"/>
        <v>-99</v>
      </c>
      <c r="AA129" s="74">
        <f t="shared" si="126"/>
        <v>-9.2108134226272979E-5</v>
      </c>
      <c r="AB129" s="52">
        <f t="shared" si="107"/>
        <v>0</v>
      </c>
      <c r="AC129" s="53">
        <f t="shared" si="127"/>
        <v>0</v>
      </c>
      <c r="AD129" s="51">
        <f t="shared" si="128"/>
        <v>0</v>
      </c>
      <c r="AE129" s="52">
        <f t="shared" si="108"/>
        <v>0</v>
      </c>
      <c r="AF129" s="51">
        <f t="shared" si="109"/>
        <v>0</v>
      </c>
      <c r="AG129" s="51">
        <f t="shared" si="129"/>
        <v>0</v>
      </c>
      <c r="AH129" s="54">
        <f t="shared" si="130"/>
        <v>0</v>
      </c>
      <c r="AW129" s="25">
        <v>67</v>
      </c>
      <c r="AX129" s="51">
        <f t="shared" si="110"/>
        <v>-99</v>
      </c>
      <c r="AY129" s="74">
        <f t="shared" si="131"/>
        <v>-8.5075646713305596E-5</v>
      </c>
      <c r="AZ129" s="52">
        <f t="shared" si="111"/>
        <v>0</v>
      </c>
      <c r="BA129" s="53">
        <f t="shared" si="132"/>
        <v>0</v>
      </c>
      <c r="BB129" s="51">
        <f t="shared" si="133"/>
        <v>0</v>
      </c>
      <c r="BC129" s="52">
        <f t="shared" si="112"/>
        <v>0</v>
      </c>
      <c r="BD129" s="51">
        <f t="shared" si="113"/>
        <v>0</v>
      </c>
      <c r="BE129" s="51">
        <f t="shared" si="134"/>
        <v>0</v>
      </c>
      <c r="BF129" s="54">
        <f t="shared" si="135"/>
        <v>0</v>
      </c>
      <c r="BU129" s="25">
        <v>67</v>
      </c>
      <c r="BV129" s="51">
        <f t="shared" si="114"/>
        <v>-99</v>
      </c>
      <c r="BW129" s="74">
        <f t="shared" si="136"/>
        <v>-8.4836126787400754E-5</v>
      </c>
      <c r="BX129" s="52">
        <f t="shared" si="115"/>
        <v>0</v>
      </c>
      <c r="BY129" s="53">
        <f t="shared" si="137"/>
        <v>0</v>
      </c>
      <c r="BZ129" s="51">
        <f t="shared" si="138"/>
        <v>0</v>
      </c>
      <c r="CA129" s="52">
        <f t="shared" si="116"/>
        <v>0</v>
      </c>
      <c r="CB129" s="51">
        <f t="shared" si="117"/>
        <v>0</v>
      </c>
      <c r="CC129" s="51">
        <f t="shared" si="139"/>
        <v>0</v>
      </c>
      <c r="CD129" s="54">
        <f t="shared" si="140"/>
        <v>0</v>
      </c>
      <c r="CS129" s="25">
        <v>67</v>
      </c>
      <c r="CT129" s="51">
        <f t="shared" si="118"/>
        <v>-99</v>
      </c>
      <c r="CU129" s="74">
        <f t="shared" si="141"/>
        <v>-8.4835417485569834E-5</v>
      </c>
      <c r="CV129" s="52">
        <f t="shared" si="119"/>
        <v>0</v>
      </c>
      <c r="CW129" s="53">
        <f t="shared" si="142"/>
        <v>0</v>
      </c>
      <c r="CX129" s="51">
        <f t="shared" si="143"/>
        <v>0</v>
      </c>
      <c r="CY129" s="52">
        <f t="shared" si="120"/>
        <v>0</v>
      </c>
      <c r="CZ129" s="51">
        <f t="shared" si="121"/>
        <v>0</v>
      </c>
      <c r="DA129" s="51">
        <f t="shared" si="144"/>
        <v>0</v>
      </c>
      <c r="DB129" s="54">
        <f t="shared" si="145"/>
        <v>0</v>
      </c>
    </row>
    <row r="130" spans="1:106">
      <c r="A130" s="25">
        <v>68</v>
      </c>
      <c r="B130" s="51">
        <f t="shared" si="101"/>
        <v>-105</v>
      </c>
      <c r="C130" s="74">
        <f t="shared" si="122"/>
        <v>-2.5000000000000066E-5</v>
      </c>
      <c r="D130" s="52">
        <f t="shared" si="102"/>
        <v>0</v>
      </c>
      <c r="E130" s="53">
        <f t="shared" si="123"/>
        <v>0</v>
      </c>
      <c r="F130" s="51">
        <f t="shared" si="103"/>
        <v>0</v>
      </c>
      <c r="G130" s="52">
        <f t="shared" si="104"/>
        <v>0</v>
      </c>
      <c r="H130" s="51">
        <f t="shared" si="105"/>
        <v>0</v>
      </c>
      <c r="I130" s="51">
        <f t="shared" si="124"/>
        <v>0</v>
      </c>
      <c r="J130" s="54">
        <f t="shared" si="125"/>
        <v>0</v>
      </c>
      <c r="Y130" s="25">
        <v>68</v>
      </c>
      <c r="Z130" s="51">
        <f t="shared" si="106"/>
        <v>-105</v>
      </c>
      <c r="AA130" s="74">
        <f t="shared" si="126"/>
        <v>-1.0777028366951602E-4</v>
      </c>
      <c r="AB130" s="52">
        <f t="shared" si="107"/>
        <v>0</v>
      </c>
      <c r="AC130" s="53">
        <f t="shared" si="127"/>
        <v>0</v>
      </c>
      <c r="AD130" s="51">
        <f t="shared" si="128"/>
        <v>0</v>
      </c>
      <c r="AE130" s="52">
        <f t="shared" si="108"/>
        <v>0</v>
      </c>
      <c r="AF130" s="51">
        <f t="shared" si="109"/>
        <v>0</v>
      </c>
      <c r="AG130" s="51">
        <f t="shared" si="129"/>
        <v>0</v>
      </c>
      <c r="AH130" s="54">
        <f t="shared" si="130"/>
        <v>0</v>
      </c>
      <c r="AW130" s="25">
        <v>68</v>
      </c>
      <c r="AX130" s="51">
        <f t="shared" si="110"/>
        <v>-105</v>
      </c>
      <c r="AY130" s="74">
        <f t="shared" si="131"/>
        <v>-1.0377207978110614E-4</v>
      </c>
      <c r="AZ130" s="52">
        <f t="shared" si="111"/>
        <v>0</v>
      </c>
      <c r="BA130" s="53">
        <f t="shared" si="132"/>
        <v>0</v>
      </c>
      <c r="BB130" s="51">
        <f t="shared" si="133"/>
        <v>0</v>
      </c>
      <c r="BC130" s="52">
        <f t="shared" si="112"/>
        <v>0</v>
      </c>
      <c r="BD130" s="51">
        <f t="shared" si="113"/>
        <v>0</v>
      </c>
      <c r="BE130" s="51">
        <f t="shared" si="134"/>
        <v>0</v>
      </c>
      <c r="BF130" s="54">
        <f t="shared" si="135"/>
        <v>0</v>
      </c>
      <c r="BU130" s="25">
        <v>68</v>
      </c>
      <c r="BV130" s="51">
        <f t="shared" si="114"/>
        <v>-105</v>
      </c>
      <c r="BW130" s="74">
        <f t="shared" si="136"/>
        <v>-1.0365782014849876E-4</v>
      </c>
      <c r="BX130" s="52">
        <f t="shared" si="115"/>
        <v>0</v>
      </c>
      <c r="BY130" s="53">
        <f t="shared" si="137"/>
        <v>0</v>
      </c>
      <c r="BZ130" s="51">
        <f t="shared" si="138"/>
        <v>0</v>
      </c>
      <c r="CA130" s="52">
        <f t="shared" si="116"/>
        <v>0</v>
      </c>
      <c r="CB130" s="51">
        <f t="shared" si="117"/>
        <v>0</v>
      </c>
      <c r="CC130" s="51">
        <f t="shared" si="139"/>
        <v>0</v>
      </c>
      <c r="CD130" s="54">
        <f t="shared" si="140"/>
        <v>0</v>
      </c>
      <c r="CS130" s="25">
        <v>68</v>
      </c>
      <c r="CT130" s="51">
        <f t="shared" si="118"/>
        <v>-105</v>
      </c>
      <c r="CU130" s="74">
        <f t="shared" si="141"/>
        <v>-1.0365731672742505E-4</v>
      </c>
      <c r="CV130" s="52">
        <f t="shared" si="119"/>
        <v>0</v>
      </c>
      <c r="CW130" s="53">
        <f t="shared" si="142"/>
        <v>0</v>
      </c>
      <c r="CX130" s="51">
        <f t="shared" si="143"/>
        <v>0</v>
      </c>
      <c r="CY130" s="52">
        <f t="shared" si="120"/>
        <v>0</v>
      </c>
      <c r="CZ130" s="51">
        <f t="shared" si="121"/>
        <v>0</v>
      </c>
      <c r="DA130" s="51">
        <f t="shared" si="144"/>
        <v>0</v>
      </c>
      <c r="DB130" s="54">
        <f t="shared" si="145"/>
        <v>0</v>
      </c>
    </row>
    <row r="131" spans="1:106">
      <c r="A131" s="25">
        <v>69</v>
      </c>
      <c r="B131" s="51">
        <f t="shared" si="101"/>
        <v>-111</v>
      </c>
      <c r="C131" s="74">
        <f t="shared" si="122"/>
        <v>-5.5000000000000036E-5</v>
      </c>
      <c r="D131" s="52">
        <f t="shared" si="102"/>
        <v>0</v>
      </c>
      <c r="E131" s="53">
        <f t="shared" si="123"/>
        <v>0</v>
      </c>
      <c r="F131" s="51">
        <f t="shared" si="103"/>
        <v>0</v>
      </c>
      <c r="G131" s="52">
        <f t="shared" si="104"/>
        <v>0</v>
      </c>
      <c r="H131" s="51">
        <f t="shared" si="105"/>
        <v>0</v>
      </c>
      <c r="I131" s="51">
        <f t="shared" si="124"/>
        <v>0</v>
      </c>
      <c r="J131" s="54">
        <f t="shared" si="125"/>
        <v>0</v>
      </c>
      <c r="Y131" s="25">
        <v>69</v>
      </c>
      <c r="Z131" s="51">
        <f t="shared" si="106"/>
        <v>-111</v>
      </c>
      <c r="AA131" s="74">
        <f t="shared" si="126"/>
        <v>-1.2343243311275907E-4</v>
      </c>
      <c r="AB131" s="52">
        <f t="shared" si="107"/>
        <v>0</v>
      </c>
      <c r="AC131" s="53">
        <f t="shared" si="127"/>
        <v>0</v>
      </c>
      <c r="AD131" s="51">
        <f t="shared" si="128"/>
        <v>0</v>
      </c>
      <c r="AE131" s="52">
        <f t="shared" si="108"/>
        <v>0</v>
      </c>
      <c r="AF131" s="51">
        <f t="shared" si="109"/>
        <v>0</v>
      </c>
      <c r="AG131" s="51">
        <f t="shared" si="129"/>
        <v>0</v>
      </c>
      <c r="AH131" s="54">
        <f t="shared" si="130"/>
        <v>0</v>
      </c>
      <c r="AW131" s="25">
        <v>69</v>
      </c>
      <c r="AX131" s="51">
        <f t="shared" si="110"/>
        <v>-111</v>
      </c>
      <c r="AY131" s="74">
        <f t="shared" si="131"/>
        <v>-1.2246851284890669E-4</v>
      </c>
      <c r="AZ131" s="52">
        <f t="shared" si="111"/>
        <v>0</v>
      </c>
      <c r="BA131" s="53">
        <f t="shared" si="132"/>
        <v>0</v>
      </c>
      <c r="BB131" s="51">
        <f t="shared" si="133"/>
        <v>0</v>
      </c>
      <c r="BC131" s="52">
        <f t="shared" si="112"/>
        <v>0</v>
      </c>
      <c r="BD131" s="51">
        <f t="shared" si="113"/>
        <v>0</v>
      </c>
      <c r="BE131" s="51">
        <f t="shared" si="134"/>
        <v>0</v>
      </c>
      <c r="BF131" s="54">
        <f t="shared" si="135"/>
        <v>0</v>
      </c>
      <c r="BU131" s="25">
        <v>69</v>
      </c>
      <c r="BV131" s="51">
        <f t="shared" si="114"/>
        <v>-111</v>
      </c>
      <c r="BW131" s="74">
        <f t="shared" si="136"/>
        <v>-1.2247951350959676E-4</v>
      </c>
      <c r="BX131" s="52">
        <f t="shared" si="115"/>
        <v>0</v>
      </c>
      <c r="BY131" s="53">
        <f t="shared" si="137"/>
        <v>0</v>
      </c>
      <c r="BZ131" s="51">
        <f t="shared" si="138"/>
        <v>0</v>
      </c>
      <c r="CA131" s="52">
        <f t="shared" si="116"/>
        <v>0</v>
      </c>
      <c r="CB131" s="51">
        <f t="shared" si="117"/>
        <v>0</v>
      </c>
      <c r="CC131" s="51">
        <f t="shared" si="139"/>
        <v>0</v>
      </c>
      <c r="CD131" s="54">
        <f t="shared" si="140"/>
        <v>0</v>
      </c>
      <c r="CS131" s="25">
        <v>69</v>
      </c>
      <c r="CT131" s="51">
        <f t="shared" si="118"/>
        <v>-111</v>
      </c>
      <c r="CU131" s="74">
        <f t="shared" si="141"/>
        <v>-1.2247921596928026E-4</v>
      </c>
      <c r="CV131" s="52">
        <f t="shared" si="119"/>
        <v>0</v>
      </c>
      <c r="CW131" s="53">
        <f t="shared" si="142"/>
        <v>0</v>
      </c>
      <c r="CX131" s="51">
        <f t="shared" si="143"/>
        <v>0</v>
      </c>
      <c r="CY131" s="52">
        <f t="shared" si="120"/>
        <v>0</v>
      </c>
      <c r="CZ131" s="51">
        <f t="shared" si="121"/>
        <v>0</v>
      </c>
      <c r="DA131" s="51">
        <f t="shared" si="144"/>
        <v>0</v>
      </c>
      <c r="DB131" s="54">
        <f t="shared" si="145"/>
        <v>0</v>
      </c>
    </row>
    <row r="132" spans="1:106">
      <c r="A132" s="25">
        <v>70</v>
      </c>
      <c r="B132" s="51">
        <f t="shared" si="101"/>
        <v>-117</v>
      </c>
      <c r="C132" s="74">
        <f t="shared" si="122"/>
        <v>-8.5000000000000006E-5</v>
      </c>
      <c r="D132" s="52">
        <f t="shared" si="102"/>
        <v>0</v>
      </c>
      <c r="E132" s="53">
        <f t="shared" si="123"/>
        <v>0</v>
      </c>
      <c r="F132" s="51">
        <f t="shared" si="103"/>
        <v>0</v>
      </c>
      <c r="G132" s="52">
        <f t="shared" si="104"/>
        <v>0</v>
      </c>
      <c r="H132" s="51">
        <f t="shared" si="105"/>
        <v>0</v>
      </c>
      <c r="I132" s="51">
        <f t="shared" si="124"/>
        <v>0</v>
      </c>
      <c r="J132" s="54">
        <f t="shared" si="125"/>
        <v>0</v>
      </c>
      <c r="Y132" s="25">
        <v>70</v>
      </c>
      <c r="Z132" s="51">
        <f t="shared" si="106"/>
        <v>-117</v>
      </c>
      <c r="AA132" s="74">
        <f t="shared" si="126"/>
        <v>-1.3909458255600212E-4</v>
      </c>
      <c r="AB132" s="52">
        <f t="shared" si="107"/>
        <v>0</v>
      </c>
      <c r="AC132" s="53">
        <f t="shared" si="127"/>
        <v>0</v>
      </c>
      <c r="AD132" s="51">
        <f t="shared" si="128"/>
        <v>0</v>
      </c>
      <c r="AE132" s="52">
        <f t="shared" si="108"/>
        <v>0</v>
      </c>
      <c r="AF132" s="51">
        <f t="shared" si="109"/>
        <v>0</v>
      </c>
      <c r="AG132" s="51">
        <f t="shared" si="129"/>
        <v>0</v>
      </c>
      <c r="AH132" s="54">
        <f t="shared" si="130"/>
        <v>0</v>
      </c>
      <c r="AW132" s="25">
        <v>70</v>
      </c>
      <c r="AX132" s="51">
        <f t="shared" si="110"/>
        <v>-117</v>
      </c>
      <c r="AY132" s="74">
        <f t="shared" si="131"/>
        <v>-1.4116494591670723E-4</v>
      </c>
      <c r="AZ132" s="52">
        <f t="shared" si="111"/>
        <v>0</v>
      </c>
      <c r="BA132" s="53">
        <f t="shared" si="132"/>
        <v>0</v>
      </c>
      <c r="BB132" s="51">
        <f t="shared" si="133"/>
        <v>0</v>
      </c>
      <c r="BC132" s="52">
        <f t="shared" si="112"/>
        <v>0</v>
      </c>
      <c r="BD132" s="51">
        <f t="shared" si="113"/>
        <v>0</v>
      </c>
      <c r="BE132" s="51">
        <f t="shared" si="134"/>
        <v>0</v>
      </c>
      <c r="BF132" s="54">
        <f t="shared" si="135"/>
        <v>0</v>
      </c>
      <c r="BU132" s="25">
        <v>70</v>
      </c>
      <c r="BV132" s="51">
        <f t="shared" si="114"/>
        <v>-117</v>
      </c>
      <c r="BW132" s="74">
        <f t="shared" si="136"/>
        <v>-1.4130120687069476E-4</v>
      </c>
      <c r="BX132" s="52">
        <f t="shared" si="115"/>
        <v>0</v>
      </c>
      <c r="BY132" s="53">
        <f t="shared" si="137"/>
        <v>0</v>
      </c>
      <c r="BZ132" s="51">
        <f t="shared" si="138"/>
        <v>0</v>
      </c>
      <c r="CA132" s="52">
        <f t="shared" si="116"/>
        <v>0</v>
      </c>
      <c r="CB132" s="51">
        <f t="shared" si="117"/>
        <v>0</v>
      </c>
      <c r="CC132" s="51">
        <f t="shared" si="139"/>
        <v>0</v>
      </c>
      <c r="CD132" s="54">
        <f t="shared" si="140"/>
        <v>0</v>
      </c>
      <c r="CS132" s="25">
        <v>70</v>
      </c>
      <c r="CT132" s="51">
        <f t="shared" si="118"/>
        <v>-117</v>
      </c>
      <c r="CU132" s="74">
        <f t="shared" si="141"/>
        <v>-1.4130111521113548E-4</v>
      </c>
      <c r="CV132" s="52">
        <f t="shared" si="119"/>
        <v>0</v>
      </c>
      <c r="CW132" s="53">
        <f t="shared" si="142"/>
        <v>0</v>
      </c>
      <c r="CX132" s="51">
        <f t="shared" si="143"/>
        <v>0</v>
      </c>
      <c r="CY132" s="52">
        <f t="shared" si="120"/>
        <v>0</v>
      </c>
      <c r="CZ132" s="51">
        <f t="shared" si="121"/>
        <v>0</v>
      </c>
      <c r="DA132" s="51">
        <f t="shared" si="144"/>
        <v>0</v>
      </c>
      <c r="DB132" s="54">
        <f t="shared" si="145"/>
        <v>0</v>
      </c>
    </row>
    <row r="133" spans="1:106">
      <c r="A133" s="25">
        <v>71</v>
      </c>
      <c r="B133" s="51">
        <f t="shared" si="101"/>
        <v>-123</v>
      </c>
      <c r="C133" s="74">
        <f t="shared" si="122"/>
        <v>-1.1500000000000008E-4</v>
      </c>
      <c r="D133" s="52">
        <f t="shared" si="102"/>
        <v>0</v>
      </c>
      <c r="E133" s="53">
        <f t="shared" si="123"/>
        <v>0</v>
      </c>
      <c r="F133" s="51">
        <f t="shared" si="103"/>
        <v>0</v>
      </c>
      <c r="G133" s="52">
        <f t="shared" si="104"/>
        <v>0</v>
      </c>
      <c r="H133" s="51">
        <f t="shared" si="105"/>
        <v>0</v>
      </c>
      <c r="I133" s="51">
        <f t="shared" si="124"/>
        <v>0</v>
      </c>
      <c r="J133" s="54">
        <f t="shared" si="125"/>
        <v>0</v>
      </c>
      <c r="Y133" s="25">
        <v>71</v>
      </c>
      <c r="Z133" s="51">
        <f t="shared" si="106"/>
        <v>-123</v>
      </c>
      <c r="AA133" s="74">
        <f t="shared" si="126"/>
        <v>-1.5475673199924516E-4</v>
      </c>
      <c r="AB133" s="52">
        <f t="shared" si="107"/>
        <v>0</v>
      </c>
      <c r="AC133" s="53">
        <f t="shared" si="127"/>
        <v>0</v>
      </c>
      <c r="AD133" s="51">
        <f t="shared" si="128"/>
        <v>0</v>
      </c>
      <c r="AE133" s="52">
        <f t="shared" si="108"/>
        <v>0</v>
      </c>
      <c r="AF133" s="51">
        <f t="shared" si="109"/>
        <v>0</v>
      </c>
      <c r="AG133" s="51">
        <f t="shared" si="129"/>
        <v>0</v>
      </c>
      <c r="AH133" s="54">
        <f t="shared" si="130"/>
        <v>0</v>
      </c>
      <c r="AW133" s="25">
        <v>71</v>
      </c>
      <c r="AX133" s="51">
        <f t="shared" si="110"/>
        <v>-123</v>
      </c>
      <c r="AY133" s="74">
        <f t="shared" si="131"/>
        <v>-1.5986137898450778E-4</v>
      </c>
      <c r="AZ133" s="52">
        <f t="shared" si="111"/>
        <v>0</v>
      </c>
      <c r="BA133" s="53">
        <f t="shared" si="132"/>
        <v>0</v>
      </c>
      <c r="BB133" s="51">
        <f t="shared" si="133"/>
        <v>0</v>
      </c>
      <c r="BC133" s="52">
        <f t="shared" si="112"/>
        <v>0</v>
      </c>
      <c r="BD133" s="51">
        <f t="shared" si="113"/>
        <v>0</v>
      </c>
      <c r="BE133" s="51">
        <f t="shared" si="134"/>
        <v>0</v>
      </c>
      <c r="BF133" s="54">
        <f t="shared" si="135"/>
        <v>0</v>
      </c>
      <c r="BU133" s="25">
        <v>71</v>
      </c>
      <c r="BV133" s="51">
        <f t="shared" si="114"/>
        <v>-123</v>
      </c>
      <c r="BW133" s="74">
        <f t="shared" si="136"/>
        <v>-1.6012290023179277E-4</v>
      </c>
      <c r="BX133" s="52">
        <f t="shared" si="115"/>
        <v>0</v>
      </c>
      <c r="BY133" s="53">
        <f t="shared" si="137"/>
        <v>0</v>
      </c>
      <c r="BZ133" s="51">
        <f t="shared" si="138"/>
        <v>0</v>
      </c>
      <c r="CA133" s="52">
        <f t="shared" si="116"/>
        <v>0</v>
      </c>
      <c r="CB133" s="51">
        <f t="shared" si="117"/>
        <v>0</v>
      </c>
      <c r="CC133" s="51">
        <f t="shared" si="139"/>
        <v>0</v>
      </c>
      <c r="CD133" s="54">
        <f t="shared" si="140"/>
        <v>0</v>
      </c>
      <c r="CS133" s="25">
        <v>71</v>
      </c>
      <c r="CT133" s="51">
        <f t="shared" si="118"/>
        <v>-123</v>
      </c>
      <c r="CU133" s="74">
        <f t="shared" si="141"/>
        <v>-1.601230144529907E-4</v>
      </c>
      <c r="CV133" s="52">
        <f t="shared" si="119"/>
        <v>0</v>
      </c>
      <c r="CW133" s="53">
        <f t="shared" si="142"/>
        <v>0</v>
      </c>
      <c r="CX133" s="51">
        <f t="shared" si="143"/>
        <v>0</v>
      </c>
      <c r="CY133" s="52">
        <f t="shared" si="120"/>
        <v>0</v>
      </c>
      <c r="CZ133" s="51">
        <f t="shared" si="121"/>
        <v>0</v>
      </c>
      <c r="DA133" s="51">
        <f t="shared" si="144"/>
        <v>0</v>
      </c>
      <c r="DB133" s="54">
        <f t="shared" si="145"/>
        <v>0</v>
      </c>
    </row>
    <row r="134" spans="1:106">
      <c r="A134" s="25">
        <v>72</v>
      </c>
      <c r="B134" s="51">
        <f t="shared" si="101"/>
        <v>-129</v>
      </c>
      <c r="C134" s="74">
        <f t="shared" si="122"/>
        <v>-1.4500000000000006E-4</v>
      </c>
      <c r="D134" s="52">
        <f t="shared" si="102"/>
        <v>0</v>
      </c>
      <c r="E134" s="53">
        <f t="shared" si="123"/>
        <v>0</v>
      </c>
      <c r="F134" s="51">
        <f t="shared" si="103"/>
        <v>0</v>
      </c>
      <c r="G134" s="52">
        <f t="shared" si="104"/>
        <v>0</v>
      </c>
      <c r="H134" s="51">
        <f t="shared" si="105"/>
        <v>0</v>
      </c>
      <c r="I134" s="51">
        <f t="shared" si="124"/>
        <v>0</v>
      </c>
      <c r="J134" s="54">
        <f t="shared" si="125"/>
        <v>0</v>
      </c>
      <c r="Y134" s="25">
        <v>72</v>
      </c>
      <c r="Z134" s="51">
        <f t="shared" si="106"/>
        <v>-129</v>
      </c>
      <c r="AA134" s="74">
        <f t="shared" si="126"/>
        <v>-1.7041888144248826E-4</v>
      </c>
      <c r="AB134" s="52">
        <f t="shared" si="107"/>
        <v>0</v>
      </c>
      <c r="AC134" s="53">
        <f t="shared" si="127"/>
        <v>0</v>
      </c>
      <c r="AD134" s="51">
        <f t="shared" si="128"/>
        <v>0</v>
      </c>
      <c r="AE134" s="52">
        <f t="shared" si="108"/>
        <v>0</v>
      </c>
      <c r="AF134" s="51">
        <f t="shared" si="109"/>
        <v>0</v>
      </c>
      <c r="AG134" s="51">
        <f t="shared" si="129"/>
        <v>0</v>
      </c>
      <c r="AH134" s="54">
        <f t="shared" si="130"/>
        <v>0</v>
      </c>
      <c r="AW134" s="25">
        <v>72</v>
      </c>
      <c r="AX134" s="51">
        <f t="shared" si="110"/>
        <v>-129</v>
      </c>
      <c r="AY134" s="74">
        <f t="shared" si="131"/>
        <v>-1.7855781205230827E-4</v>
      </c>
      <c r="AZ134" s="52">
        <f t="shared" si="111"/>
        <v>0</v>
      </c>
      <c r="BA134" s="53">
        <f t="shared" si="132"/>
        <v>0</v>
      </c>
      <c r="BB134" s="51">
        <f t="shared" si="133"/>
        <v>0</v>
      </c>
      <c r="BC134" s="52">
        <f t="shared" si="112"/>
        <v>0</v>
      </c>
      <c r="BD134" s="51">
        <f t="shared" si="113"/>
        <v>0</v>
      </c>
      <c r="BE134" s="51">
        <f t="shared" si="134"/>
        <v>0</v>
      </c>
      <c r="BF134" s="54">
        <f t="shared" si="135"/>
        <v>0</v>
      </c>
      <c r="BU134" s="25">
        <v>72</v>
      </c>
      <c r="BV134" s="51">
        <f t="shared" si="114"/>
        <v>-129</v>
      </c>
      <c r="BW134" s="74">
        <f t="shared" si="136"/>
        <v>-1.7894459359289077E-4</v>
      </c>
      <c r="BX134" s="52">
        <f t="shared" si="115"/>
        <v>0</v>
      </c>
      <c r="BY134" s="53">
        <f t="shared" si="137"/>
        <v>0</v>
      </c>
      <c r="BZ134" s="51">
        <f t="shared" si="138"/>
        <v>0</v>
      </c>
      <c r="CA134" s="52">
        <f t="shared" si="116"/>
        <v>0</v>
      </c>
      <c r="CB134" s="51">
        <f t="shared" si="117"/>
        <v>0</v>
      </c>
      <c r="CC134" s="51">
        <f t="shared" si="139"/>
        <v>0</v>
      </c>
      <c r="CD134" s="54">
        <f t="shared" si="140"/>
        <v>0</v>
      </c>
      <c r="CS134" s="25">
        <v>72</v>
      </c>
      <c r="CT134" s="51">
        <f t="shared" si="118"/>
        <v>-129</v>
      </c>
      <c r="CU134" s="74">
        <f t="shared" si="141"/>
        <v>-1.7894491369484586E-4</v>
      </c>
      <c r="CV134" s="52">
        <f t="shared" si="119"/>
        <v>0</v>
      </c>
      <c r="CW134" s="53">
        <f t="shared" si="142"/>
        <v>0</v>
      </c>
      <c r="CX134" s="51">
        <f t="shared" si="143"/>
        <v>0</v>
      </c>
      <c r="CY134" s="52">
        <f t="shared" si="120"/>
        <v>0</v>
      </c>
      <c r="CZ134" s="51">
        <f t="shared" si="121"/>
        <v>0</v>
      </c>
      <c r="DA134" s="51">
        <f t="shared" si="144"/>
        <v>0</v>
      </c>
      <c r="DB134" s="54">
        <f t="shared" si="145"/>
        <v>0</v>
      </c>
    </row>
    <row r="135" spans="1:106">
      <c r="A135" s="25">
        <v>73</v>
      </c>
      <c r="B135" s="51">
        <f t="shared" si="101"/>
        <v>-135</v>
      </c>
      <c r="C135" s="74">
        <f t="shared" si="122"/>
        <v>-1.7500000000000003E-4</v>
      </c>
      <c r="D135" s="52">
        <f t="shared" si="102"/>
        <v>0</v>
      </c>
      <c r="E135" s="53">
        <f t="shared" si="123"/>
        <v>0</v>
      </c>
      <c r="F135" s="51">
        <f t="shared" si="103"/>
        <v>0</v>
      </c>
      <c r="G135" s="52">
        <f t="shared" si="104"/>
        <v>0</v>
      </c>
      <c r="H135" s="51">
        <f t="shared" si="105"/>
        <v>0</v>
      </c>
      <c r="I135" s="51">
        <f t="shared" si="124"/>
        <v>0</v>
      </c>
      <c r="J135" s="54">
        <f t="shared" si="125"/>
        <v>0</v>
      </c>
      <c r="Y135" s="25">
        <v>73</v>
      </c>
      <c r="Z135" s="51">
        <f t="shared" si="106"/>
        <v>-135</v>
      </c>
      <c r="AA135" s="74">
        <f t="shared" si="126"/>
        <v>-1.8608103088573131E-4</v>
      </c>
      <c r="AB135" s="52">
        <f t="shared" si="107"/>
        <v>0</v>
      </c>
      <c r="AC135" s="53">
        <f t="shared" si="127"/>
        <v>0</v>
      </c>
      <c r="AD135" s="51">
        <f t="shared" si="128"/>
        <v>0</v>
      </c>
      <c r="AE135" s="52">
        <f t="shared" si="108"/>
        <v>0</v>
      </c>
      <c r="AF135" s="51">
        <f t="shared" si="109"/>
        <v>0</v>
      </c>
      <c r="AG135" s="51">
        <f t="shared" si="129"/>
        <v>0</v>
      </c>
      <c r="AH135" s="54">
        <f t="shared" si="130"/>
        <v>0</v>
      </c>
      <c r="AW135" s="25">
        <v>73</v>
      </c>
      <c r="AX135" s="51">
        <f t="shared" si="110"/>
        <v>-135</v>
      </c>
      <c r="AY135" s="74">
        <f t="shared" si="131"/>
        <v>-1.9725424512010881E-4</v>
      </c>
      <c r="AZ135" s="52">
        <f t="shared" si="111"/>
        <v>0</v>
      </c>
      <c r="BA135" s="53">
        <f t="shared" si="132"/>
        <v>0</v>
      </c>
      <c r="BB135" s="51">
        <f t="shared" si="133"/>
        <v>0</v>
      </c>
      <c r="BC135" s="52">
        <f t="shared" si="112"/>
        <v>0</v>
      </c>
      <c r="BD135" s="51">
        <f t="shared" si="113"/>
        <v>0</v>
      </c>
      <c r="BE135" s="51">
        <f t="shared" si="134"/>
        <v>0</v>
      </c>
      <c r="BF135" s="54">
        <f t="shared" si="135"/>
        <v>0</v>
      </c>
      <c r="BU135" s="25">
        <v>73</v>
      </c>
      <c r="BV135" s="51">
        <f t="shared" si="114"/>
        <v>-135</v>
      </c>
      <c r="BW135" s="74">
        <f t="shared" si="136"/>
        <v>-1.9776628695398877E-4</v>
      </c>
      <c r="BX135" s="52">
        <f t="shared" si="115"/>
        <v>0</v>
      </c>
      <c r="BY135" s="53">
        <f t="shared" si="137"/>
        <v>0</v>
      </c>
      <c r="BZ135" s="51">
        <f t="shared" si="138"/>
        <v>0</v>
      </c>
      <c r="CA135" s="52">
        <f t="shared" si="116"/>
        <v>0</v>
      </c>
      <c r="CB135" s="51">
        <f t="shared" si="117"/>
        <v>0</v>
      </c>
      <c r="CC135" s="51">
        <f t="shared" si="139"/>
        <v>0</v>
      </c>
      <c r="CD135" s="54">
        <f t="shared" si="140"/>
        <v>0</v>
      </c>
      <c r="CS135" s="25">
        <v>73</v>
      </c>
      <c r="CT135" s="51">
        <f t="shared" si="118"/>
        <v>-135</v>
      </c>
      <c r="CU135" s="74">
        <f t="shared" si="141"/>
        <v>-1.9776681293670107E-4</v>
      </c>
      <c r="CV135" s="52">
        <f t="shared" si="119"/>
        <v>0</v>
      </c>
      <c r="CW135" s="53">
        <f t="shared" si="142"/>
        <v>0</v>
      </c>
      <c r="CX135" s="51">
        <f t="shared" si="143"/>
        <v>0</v>
      </c>
      <c r="CY135" s="52">
        <f t="shared" si="120"/>
        <v>0</v>
      </c>
      <c r="CZ135" s="51">
        <f t="shared" si="121"/>
        <v>0</v>
      </c>
      <c r="DA135" s="51">
        <f t="shared" si="144"/>
        <v>0</v>
      </c>
      <c r="DB135" s="54">
        <f t="shared" si="145"/>
        <v>0</v>
      </c>
    </row>
    <row r="136" spans="1:106">
      <c r="A136" s="25">
        <v>74</v>
      </c>
      <c r="B136" s="51">
        <f t="shared" si="101"/>
        <v>-141</v>
      </c>
      <c r="C136" s="74">
        <f t="shared" si="122"/>
        <v>-2.05E-4</v>
      </c>
      <c r="D136" s="52">
        <f t="shared" si="102"/>
        <v>0</v>
      </c>
      <c r="E136" s="53">
        <f t="shared" si="123"/>
        <v>0</v>
      </c>
      <c r="F136" s="51">
        <f t="shared" si="103"/>
        <v>0</v>
      </c>
      <c r="G136" s="52">
        <f t="shared" si="104"/>
        <v>0</v>
      </c>
      <c r="H136" s="51">
        <f t="shared" si="105"/>
        <v>0</v>
      </c>
      <c r="I136" s="51">
        <f t="shared" si="124"/>
        <v>0</v>
      </c>
      <c r="J136" s="54">
        <f t="shared" si="125"/>
        <v>0</v>
      </c>
      <c r="Y136" s="25">
        <v>74</v>
      </c>
      <c r="Z136" s="51">
        <f t="shared" si="106"/>
        <v>-141</v>
      </c>
      <c r="AA136" s="74">
        <f t="shared" si="126"/>
        <v>-2.0174318032897435E-4</v>
      </c>
      <c r="AB136" s="52">
        <f t="shared" si="107"/>
        <v>0</v>
      </c>
      <c r="AC136" s="53">
        <f t="shared" si="127"/>
        <v>0</v>
      </c>
      <c r="AD136" s="51">
        <f t="shared" si="128"/>
        <v>0</v>
      </c>
      <c r="AE136" s="52">
        <f t="shared" si="108"/>
        <v>0</v>
      </c>
      <c r="AF136" s="51">
        <f t="shared" si="109"/>
        <v>0</v>
      </c>
      <c r="AG136" s="51">
        <f t="shared" si="129"/>
        <v>0</v>
      </c>
      <c r="AH136" s="54">
        <f t="shared" si="130"/>
        <v>0</v>
      </c>
      <c r="AW136" s="25">
        <v>74</v>
      </c>
      <c r="AX136" s="51">
        <f t="shared" si="110"/>
        <v>-141</v>
      </c>
      <c r="AY136" s="74">
        <f t="shared" si="131"/>
        <v>-2.1595067818790936E-4</v>
      </c>
      <c r="AZ136" s="52">
        <f t="shared" si="111"/>
        <v>0</v>
      </c>
      <c r="BA136" s="53">
        <f t="shared" si="132"/>
        <v>0</v>
      </c>
      <c r="BB136" s="51">
        <f t="shared" si="133"/>
        <v>0</v>
      </c>
      <c r="BC136" s="52">
        <f t="shared" si="112"/>
        <v>0</v>
      </c>
      <c r="BD136" s="51">
        <f t="shared" si="113"/>
        <v>0</v>
      </c>
      <c r="BE136" s="51">
        <f t="shared" si="134"/>
        <v>0</v>
      </c>
      <c r="BF136" s="54">
        <f t="shared" si="135"/>
        <v>0</v>
      </c>
      <c r="BU136" s="25">
        <v>74</v>
      </c>
      <c r="BV136" s="51">
        <f t="shared" si="114"/>
        <v>-141</v>
      </c>
      <c r="BW136" s="74">
        <f t="shared" si="136"/>
        <v>-2.1658798031508678E-4</v>
      </c>
      <c r="BX136" s="52">
        <f t="shared" si="115"/>
        <v>0</v>
      </c>
      <c r="BY136" s="53">
        <f t="shared" si="137"/>
        <v>0</v>
      </c>
      <c r="BZ136" s="51">
        <f t="shared" si="138"/>
        <v>0</v>
      </c>
      <c r="CA136" s="52">
        <f t="shared" si="116"/>
        <v>0</v>
      </c>
      <c r="CB136" s="51">
        <f t="shared" si="117"/>
        <v>0</v>
      </c>
      <c r="CC136" s="51">
        <f t="shared" si="139"/>
        <v>0</v>
      </c>
      <c r="CD136" s="54">
        <f t="shared" si="140"/>
        <v>0</v>
      </c>
      <c r="CS136" s="25">
        <v>74</v>
      </c>
      <c r="CT136" s="51">
        <f t="shared" si="118"/>
        <v>-141</v>
      </c>
      <c r="CU136" s="74">
        <f t="shared" si="141"/>
        <v>-2.1658871217855629E-4</v>
      </c>
      <c r="CV136" s="52">
        <f t="shared" si="119"/>
        <v>0</v>
      </c>
      <c r="CW136" s="53">
        <f t="shared" si="142"/>
        <v>0</v>
      </c>
      <c r="CX136" s="51">
        <f t="shared" si="143"/>
        <v>0</v>
      </c>
      <c r="CY136" s="52">
        <f t="shared" si="120"/>
        <v>0</v>
      </c>
      <c r="CZ136" s="51">
        <f t="shared" si="121"/>
        <v>0</v>
      </c>
      <c r="DA136" s="51">
        <f t="shared" si="144"/>
        <v>0</v>
      </c>
      <c r="DB136" s="54">
        <f t="shared" si="145"/>
        <v>0</v>
      </c>
    </row>
    <row r="137" spans="1:106">
      <c r="A137" s="25">
        <v>75</v>
      </c>
      <c r="B137" s="51">
        <f t="shared" si="101"/>
        <v>-147</v>
      </c>
      <c r="C137" s="74">
        <f t="shared" si="122"/>
        <v>-2.3500000000000007E-4</v>
      </c>
      <c r="D137" s="52">
        <f t="shared" si="102"/>
        <v>0</v>
      </c>
      <c r="E137" s="53">
        <f t="shared" si="123"/>
        <v>0</v>
      </c>
      <c r="F137" s="51">
        <f t="shared" si="103"/>
        <v>0</v>
      </c>
      <c r="G137" s="52">
        <f t="shared" si="104"/>
        <v>0</v>
      </c>
      <c r="H137" s="51">
        <f t="shared" si="105"/>
        <v>0</v>
      </c>
      <c r="I137" s="51">
        <f t="shared" si="124"/>
        <v>0</v>
      </c>
      <c r="J137" s="54">
        <f t="shared" si="125"/>
        <v>0</v>
      </c>
      <c r="Y137" s="25">
        <v>75</v>
      </c>
      <c r="Z137" s="51">
        <f t="shared" si="106"/>
        <v>-147</v>
      </c>
      <c r="AA137" s="74">
        <f t="shared" si="126"/>
        <v>-2.174053297722174E-4</v>
      </c>
      <c r="AB137" s="52">
        <f t="shared" si="107"/>
        <v>0</v>
      </c>
      <c r="AC137" s="53">
        <f t="shared" si="127"/>
        <v>0</v>
      </c>
      <c r="AD137" s="51">
        <f t="shared" si="128"/>
        <v>0</v>
      </c>
      <c r="AE137" s="52">
        <f t="shared" si="108"/>
        <v>0</v>
      </c>
      <c r="AF137" s="51">
        <f t="shared" si="109"/>
        <v>0</v>
      </c>
      <c r="AG137" s="51">
        <f t="shared" si="129"/>
        <v>0</v>
      </c>
      <c r="AH137" s="54">
        <f t="shared" si="130"/>
        <v>0</v>
      </c>
      <c r="AW137" s="25">
        <v>75</v>
      </c>
      <c r="AX137" s="51">
        <f t="shared" si="110"/>
        <v>-147</v>
      </c>
      <c r="AY137" s="74">
        <f t="shared" si="131"/>
        <v>-2.346471112557099E-4</v>
      </c>
      <c r="AZ137" s="52">
        <f t="shared" si="111"/>
        <v>0</v>
      </c>
      <c r="BA137" s="53">
        <f t="shared" si="132"/>
        <v>0</v>
      </c>
      <c r="BB137" s="51">
        <f t="shared" si="133"/>
        <v>0</v>
      </c>
      <c r="BC137" s="52">
        <f t="shared" si="112"/>
        <v>0</v>
      </c>
      <c r="BD137" s="51">
        <f t="shared" si="113"/>
        <v>0</v>
      </c>
      <c r="BE137" s="51">
        <f t="shared" si="134"/>
        <v>0</v>
      </c>
      <c r="BF137" s="54">
        <f t="shared" si="135"/>
        <v>0</v>
      </c>
      <c r="BU137" s="25">
        <v>75</v>
      </c>
      <c r="BV137" s="51">
        <f t="shared" si="114"/>
        <v>-147</v>
      </c>
      <c r="BW137" s="74">
        <f t="shared" si="136"/>
        <v>-2.3540967367618478E-4</v>
      </c>
      <c r="BX137" s="52">
        <f t="shared" si="115"/>
        <v>0</v>
      </c>
      <c r="BY137" s="53">
        <f t="shared" si="137"/>
        <v>0</v>
      </c>
      <c r="BZ137" s="51">
        <f t="shared" si="138"/>
        <v>0</v>
      </c>
      <c r="CA137" s="52">
        <f t="shared" si="116"/>
        <v>0</v>
      </c>
      <c r="CB137" s="51">
        <f t="shared" si="117"/>
        <v>0</v>
      </c>
      <c r="CC137" s="51">
        <f t="shared" si="139"/>
        <v>0</v>
      </c>
      <c r="CD137" s="54">
        <f t="shared" si="140"/>
        <v>0</v>
      </c>
      <c r="CS137" s="25">
        <v>75</v>
      </c>
      <c r="CT137" s="51">
        <f t="shared" si="118"/>
        <v>-147</v>
      </c>
      <c r="CU137" s="74">
        <f t="shared" si="141"/>
        <v>-2.354106114204115E-4</v>
      </c>
      <c r="CV137" s="52">
        <f t="shared" si="119"/>
        <v>0</v>
      </c>
      <c r="CW137" s="53">
        <f t="shared" si="142"/>
        <v>0</v>
      </c>
      <c r="CX137" s="51">
        <f t="shared" si="143"/>
        <v>0</v>
      </c>
      <c r="CY137" s="52">
        <f t="shared" si="120"/>
        <v>0</v>
      </c>
      <c r="CZ137" s="51">
        <f t="shared" si="121"/>
        <v>0</v>
      </c>
      <c r="DA137" s="51">
        <f t="shared" si="144"/>
        <v>0</v>
      </c>
      <c r="DB137" s="54">
        <f t="shared" si="145"/>
        <v>0</v>
      </c>
    </row>
    <row r="138" spans="1:106">
      <c r="A138" s="25">
        <v>76</v>
      </c>
      <c r="B138" s="51">
        <f t="shared" si="101"/>
        <v>-153</v>
      </c>
      <c r="C138" s="74">
        <f t="shared" si="122"/>
        <v>-2.6500000000000004E-4</v>
      </c>
      <c r="D138" s="52">
        <f t="shared" si="102"/>
        <v>0</v>
      </c>
      <c r="E138" s="53">
        <f t="shared" si="123"/>
        <v>0</v>
      </c>
      <c r="F138" s="51">
        <f t="shared" si="103"/>
        <v>0</v>
      </c>
      <c r="G138" s="52">
        <f t="shared" si="104"/>
        <v>0</v>
      </c>
      <c r="H138" s="51">
        <f t="shared" si="105"/>
        <v>0</v>
      </c>
      <c r="I138" s="51">
        <f t="shared" si="124"/>
        <v>0</v>
      </c>
      <c r="J138" s="54">
        <f t="shared" si="125"/>
        <v>0</v>
      </c>
      <c r="Y138" s="25">
        <v>76</v>
      </c>
      <c r="Z138" s="51">
        <f t="shared" si="106"/>
        <v>-153</v>
      </c>
      <c r="AA138" s="74">
        <f t="shared" si="126"/>
        <v>-2.3306747921546044E-4</v>
      </c>
      <c r="AB138" s="52">
        <f t="shared" si="107"/>
        <v>0</v>
      </c>
      <c r="AC138" s="53">
        <f t="shared" si="127"/>
        <v>0</v>
      </c>
      <c r="AD138" s="51">
        <f t="shared" si="128"/>
        <v>0</v>
      </c>
      <c r="AE138" s="52">
        <f t="shared" si="108"/>
        <v>0</v>
      </c>
      <c r="AF138" s="51">
        <f t="shared" si="109"/>
        <v>0</v>
      </c>
      <c r="AG138" s="51">
        <f t="shared" si="129"/>
        <v>0</v>
      </c>
      <c r="AH138" s="54">
        <f t="shared" si="130"/>
        <v>0</v>
      </c>
      <c r="AW138" s="25">
        <v>76</v>
      </c>
      <c r="AX138" s="51">
        <f t="shared" si="110"/>
        <v>-153</v>
      </c>
      <c r="AY138" s="74">
        <f t="shared" si="131"/>
        <v>-2.5334354432351048E-4</v>
      </c>
      <c r="AZ138" s="52">
        <f t="shared" si="111"/>
        <v>0</v>
      </c>
      <c r="BA138" s="53">
        <f t="shared" si="132"/>
        <v>0</v>
      </c>
      <c r="BB138" s="51">
        <f t="shared" si="133"/>
        <v>0</v>
      </c>
      <c r="BC138" s="52">
        <f t="shared" si="112"/>
        <v>0</v>
      </c>
      <c r="BD138" s="51">
        <f t="shared" si="113"/>
        <v>0</v>
      </c>
      <c r="BE138" s="51">
        <f t="shared" si="134"/>
        <v>0</v>
      </c>
      <c r="BF138" s="54">
        <f t="shared" si="135"/>
        <v>0</v>
      </c>
      <c r="BU138" s="25">
        <v>76</v>
      </c>
      <c r="BV138" s="51">
        <f t="shared" si="114"/>
        <v>-153</v>
      </c>
      <c r="BW138" s="74">
        <f t="shared" si="136"/>
        <v>-2.5423136703728278E-4</v>
      </c>
      <c r="BX138" s="52">
        <f t="shared" si="115"/>
        <v>0</v>
      </c>
      <c r="BY138" s="53">
        <f t="shared" si="137"/>
        <v>0</v>
      </c>
      <c r="BZ138" s="51">
        <f t="shared" si="138"/>
        <v>0</v>
      </c>
      <c r="CA138" s="52">
        <f t="shared" si="116"/>
        <v>0</v>
      </c>
      <c r="CB138" s="51">
        <f t="shared" si="117"/>
        <v>0</v>
      </c>
      <c r="CC138" s="51">
        <f t="shared" si="139"/>
        <v>0</v>
      </c>
      <c r="CD138" s="54">
        <f t="shared" si="140"/>
        <v>0</v>
      </c>
      <c r="CS138" s="25">
        <v>76</v>
      </c>
      <c r="CT138" s="51">
        <f t="shared" si="118"/>
        <v>-153</v>
      </c>
      <c r="CU138" s="74">
        <f t="shared" si="141"/>
        <v>-2.5423251066226672E-4</v>
      </c>
      <c r="CV138" s="52">
        <f t="shared" si="119"/>
        <v>0</v>
      </c>
      <c r="CW138" s="53">
        <f t="shared" si="142"/>
        <v>0</v>
      </c>
      <c r="CX138" s="51">
        <f t="shared" si="143"/>
        <v>0</v>
      </c>
      <c r="CY138" s="52">
        <f t="shared" si="120"/>
        <v>0</v>
      </c>
      <c r="CZ138" s="51">
        <f t="shared" si="121"/>
        <v>0</v>
      </c>
      <c r="DA138" s="51">
        <f t="shared" si="144"/>
        <v>0</v>
      </c>
      <c r="DB138" s="54">
        <f t="shared" si="145"/>
        <v>0</v>
      </c>
    </row>
    <row r="139" spans="1:106">
      <c r="A139" s="25">
        <v>77</v>
      </c>
      <c r="B139" s="51">
        <f t="shared" si="101"/>
        <v>-159</v>
      </c>
      <c r="C139" s="74">
        <f t="shared" si="122"/>
        <v>-2.9500000000000001E-4</v>
      </c>
      <c r="D139" s="52">
        <f t="shared" si="102"/>
        <v>0</v>
      </c>
      <c r="E139" s="53">
        <f t="shared" si="123"/>
        <v>0</v>
      </c>
      <c r="F139" s="51">
        <f t="shared" si="103"/>
        <v>0</v>
      </c>
      <c r="G139" s="52">
        <f t="shared" si="104"/>
        <v>0</v>
      </c>
      <c r="H139" s="51">
        <f t="shared" si="105"/>
        <v>0</v>
      </c>
      <c r="I139" s="51">
        <f t="shared" si="124"/>
        <v>0</v>
      </c>
      <c r="J139" s="54">
        <f t="shared" si="125"/>
        <v>0</v>
      </c>
      <c r="Y139" s="25">
        <v>77</v>
      </c>
      <c r="Z139" s="51">
        <f t="shared" si="106"/>
        <v>-159</v>
      </c>
      <c r="AA139" s="74">
        <f t="shared" si="126"/>
        <v>-2.4872962865870349E-4</v>
      </c>
      <c r="AB139" s="52">
        <f t="shared" si="107"/>
        <v>0</v>
      </c>
      <c r="AC139" s="53">
        <f t="shared" si="127"/>
        <v>0</v>
      </c>
      <c r="AD139" s="51">
        <f t="shared" si="128"/>
        <v>0</v>
      </c>
      <c r="AE139" s="52">
        <f t="shared" si="108"/>
        <v>0</v>
      </c>
      <c r="AF139" s="51">
        <f t="shared" si="109"/>
        <v>0</v>
      </c>
      <c r="AG139" s="51">
        <f t="shared" si="129"/>
        <v>0</v>
      </c>
      <c r="AH139" s="54">
        <f t="shared" si="130"/>
        <v>0</v>
      </c>
      <c r="AW139" s="25">
        <v>77</v>
      </c>
      <c r="AX139" s="51">
        <f t="shared" si="110"/>
        <v>-159</v>
      </c>
      <c r="AY139" s="74">
        <f t="shared" si="131"/>
        <v>-2.7203997739131097E-4</v>
      </c>
      <c r="AZ139" s="52">
        <f t="shared" si="111"/>
        <v>0</v>
      </c>
      <c r="BA139" s="53">
        <f t="shared" si="132"/>
        <v>0</v>
      </c>
      <c r="BB139" s="51">
        <f t="shared" si="133"/>
        <v>0</v>
      </c>
      <c r="BC139" s="52">
        <f t="shared" si="112"/>
        <v>0</v>
      </c>
      <c r="BD139" s="51">
        <f t="shared" si="113"/>
        <v>0</v>
      </c>
      <c r="BE139" s="51">
        <f t="shared" si="134"/>
        <v>0</v>
      </c>
      <c r="BF139" s="54">
        <f t="shared" si="135"/>
        <v>0</v>
      </c>
      <c r="BU139" s="25">
        <v>77</v>
      </c>
      <c r="BV139" s="51">
        <f t="shared" si="114"/>
        <v>-159</v>
      </c>
      <c r="BW139" s="74">
        <f t="shared" si="136"/>
        <v>-2.7305306039838073E-4</v>
      </c>
      <c r="BX139" s="52">
        <f t="shared" si="115"/>
        <v>0</v>
      </c>
      <c r="BY139" s="53">
        <f t="shared" si="137"/>
        <v>0</v>
      </c>
      <c r="BZ139" s="51">
        <f t="shared" si="138"/>
        <v>0</v>
      </c>
      <c r="CA139" s="52">
        <f t="shared" si="116"/>
        <v>0</v>
      </c>
      <c r="CB139" s="51">
        <f t="shared" si="117"/>
        <v>0</v>
      </c>
      <c r="CC139" s="51">
        <f t="shared" si="139"/>
        <v>0</v>
      </c>
      <c r="CD139" s="54">
        <f t="shared" si="140"/>
        <v>0</v>
      </c>
      <c r="CS139" s="25">
        <v>77</v>
      </c>
      <c r="CT139" s="51">
        <f t="shared" si="118"/>
        <v>-159</v>
      </c>
      <c r="CU139" s="74">
        <f t="shared" si="141"/>
        <v>-2.7305440990412188E-4</v>
      </c>
      <c r="CV139" s="52">
        <f t="shared" si="119"/>
        <v>0</v>
      </c>
      <c r="CW139" s="53">
        <f t="shared" si="142"/>
        <v>0</v>
      </c>
      <c r="CX139" s="51">
        <f t="shared" si="143"/>
        <v>0</v>
      </c>
      <c r="CY139" s="52">
        <f t="shared" si="120"/>
        <v>0</v>
      </c>
      <c r="CZ139" s="51">
        <f t="shared" si="121"/>
        <v>0</v>
      </c>
      <c r="DA139" s="51">
        <f t="shared" si="144"/>
        <v>0</v>
      </c>
      <c r="DB139" s="54">
        <f t="shared" si="145"/>
        <v>0</v>
      </c>
    </row>
    <row r="140" spans="1:106">
      <c r="A140" s="25">
        <v>78</v>
      </c>
      <c r="B140" s="51">
        <f t="shared" si="101"/>
        <v>-165</v>
      </c>
      <c r="C140" s="74">
        <f t="shared" si="122"/>
        <v>-3.2500000000000009E-4</v>
      </c>
      <c r="D140" s="52">
        <f t="shared" si="102"/>
        <v>0</v>
      </c>
      <c r="E140" s="53">
        <f t="shared" si="123"/>
        <v>0</v>
      </c>
      <c r="F140" s="51">
        <f t="shared" si="103"/>
        <v>0</v>
      </c>
      <c r="G140" s="52">
        <f t="shared" si="104"/>
        <v>0</v>
      </c>
      <c r="H140" s="51">
        <f t="shared" si="105"/>
        <v>0</v>
      </c>
      <c r="I140" s="51">
        <f t="shared" si="124"/>
        <v>0</v>
      </c>
      <c r="J140" s="54">
        <f t="shared" si="125"/>
        <v>0</v>
      </c>
      <c r="Y140" s="25">
        <v>78</v>
      </c>
      <c r="Z140" s="51">
        <f t="shared" si="106"/>
        <v>-165</v>
      </c>
      <c r="AA140" s="74">
        <f t="shared" si="126"/>
        <v>-2.6439177810194659E-4</v>
      </c>
      <c r="AB140" s="52">
        <f t="shared" si="107"/>
        <v>0</v>
      </c>
      <c r="AC140" s="53">
        <f t="shared" si="127"/>
        <v>0</v>
      </c>
      <c r="AD140" s="51">
        <f t="shared" si="128"/>
        <v>0</v>
      </c>
      <c r="AE140" s="52">
        <f t="shared" si="108"/>
        <v>0</v>
      </c>
      <c r="AF140" s="51">
        <f t="shared" si="109"/>
        <v>0</v>
      </c>
      <c r="AG140" s="51">
        <f t="shared" si="129"/>
        <v>0</v>
      </c>
      <c r="AH140" s="54">
        <f t="shared" si="130"/>
        <v>0</v>
      </c>
      <c r="AW140" s="25">
        <v>78</v>
      </c>
      <c r="AX140" s="51">
        <f t="shared" si="110"/>
        <v>-165</v>
      </c>
      <c r="AY140" s="74">
        <f t="shared" si="131"/>
        <v>-2.9073641045911146E-4</v>
      </c>
      <c r="AZ140" s="52">
        <f t="shared" si="111"/>
        <v>0</v>
      </c>
      <c r="BA140" s="53">
        <f t="shared" si="132"/>
        <v>0</v>
      </c>
      <c r="BB140" s="51">
        <f t="shared" si="133"/>
        <v>0</v>
      </c>
      <c r="BC140" s="52">
        <f t="shared" si="112"/>
        <v>0</v>
      </c>
      <c r="BD140" s="51">
        <f t="shared" si="113"/>
        <v>0</v>
      </c>
      <c r="BE140" s="51">
        <f t="shared" si="134"/>
        <v>0</v>
      </c>
      <c r="BF140" s="54">
        <f t="shared" si="135"/>
        <v>0</v>
      </c>
      <c r="BU140" s="25">
        <v>78</v>
      </c>
      <c r="BV140" s="51">
        <f t="shared" si="114"/>
        <v>-165</v>
      </c>
      <c r="BW140" s="74">
        <f t="shared" si="136"/>
        <v>-2.9187475375947879E-4</v>
      </c>
      <c r="BX140" s="52">
        <f t="shared" si="115"/>
        <v>0</v>
      </c>
      <c r="BY140" s="53">
        <f t="shared" si="137"/>
        <v>0</v>
      </c>
      <c r="BZ140" s="51">
        <f t="shared" si="138"/>
        <v>0</v>
      </c>
      <c r="CA140" s="52">
        <f t="shared" si="116"/>
        <v>0</v>
      </c>
      <c r="CB140" s="51">
        <f t="shared" si="117"/>
        <v>0</v>
      </c>
      <c r="CC140" s="51">
        <f t="shared" si="139"/>
        <v>0</v>
      </c>
      <c r="CD140" s="54">
        <f t="shared" si="140"/>
        <v>0</v>
      </c>
      <c r="CS140" s="25">
        <v>78</v>
      </c>
      <c r="CT140" s="51">
        <f t="shared" si="118"/>
        <v>-165</v>
      </c>
      <c r="CU140" s="74">
        <f t="shared" si="141"/>
        <v>-2.9187630914597715E-4</v>
      </c>
      <c r="CV140" s="52">
        <f t="shared" si="119"/>
        <v>0</v>
      </c>
      <c r="CW140" s="53">
        <f t="shared" si="142"/>
        <v>0</v>
      </c>
      <c r="CX140" s="51">
        <f t="shared" si="143"/>
        <v>0</v>
      </c>
      <c r="CY140" s="52">
        <f t="shared" si="120"/>
        <v>0</v>
      </c>
      <c r="CZ140" s="51">
        <f t="shared" si="121"/>
        <v>0</v>
      </c>
      <c r="DA140" s="51">
        <f t="shared" si="144"/>
        <v>0</v>
      </c>
      <c r="DB140" s="54">
        <f t="shared" si="145"/>
        <v>0</v>
      </c>
    </row>
    <row r="141" spans="1:106">
      <c r="A141" s="25">
        <v>79</v>
      </c>
      <c r="B141" s="51">
        <f t="shared" si="101"/>
        <v>-171</v>
      </c>
      <c r="C141" s="74">
        <f t="shared" si="122"/>
        <v>-3.5500000000000006E-4</v>
      </c>
      <c r="D141" s="52">
        <f t="shared" si="102"/>
        <v>0</v>
      </c>
      <c r="E141" s="53">
        <f t="shared" si="123"/>
        <v>0</v>
      </c>
      <c r="F141" s="51">
        <f t="shared" si="103"/>
        <v>0</v>
      </c>
      <c r="G141" s="52">
        <f t="shared" si="104"/>
        <v>0</v>
      </c>
      <c r="H141" s="51">
        <f t="shared" si="105"/>
        <v>0</v>
      </c>
      <c r="I141" s="51">
        <f t="shared" si="124"/>
        <v>0</v>
      </c>
      <c r="J141" s="54">
        <f t="shared" si="125"/>
        <v>0</v>
      </c>
      <c r="Y141" s="25">
        <v>79</v>
      </c>
      <c r="Z141" s="51">
        <f t="shared" si="106"/>
        <v>-171</v>
      </c>
      <c r="AA141" s="74">
        <f t="shared" si="126"/>
        <v>-2.8005392754518963E-4</v>
      </c>
      <c r="AB141" s="52">
        <f t="shared" si="107"/>
        <v>0</v>
      </c>
      <c r="AC141" s="53">
        <f t="shared" si="127"/>
        <v>0</v>
      </c>
      <c r="AD141" s="51">
        <f t="shared" si="128"/>
        <v>0</v>
      </c>
      <c r="AE141" s="52">
        <f t="shared" si="108"/>
        <v>0</v>
      </c>
      <c r="AF141" s="51">
        <f t="shared" si="109"/>
        <v>0</v>
      </c>
      <c r="AG141" s="51">
        <f t="shared" si="129"/>
        <v>0</v>
      </c>
      <c r="AH141" s="54">
        <f t="shared" si="130"/>
        <v>0</v>
      </c>
      <c r="AW141" s="25">
        <v>79</v>
      </c>
      <c r="AX141" s="51">
        <f t="shared" si="110"/>
        <v>-171</v>
      </c>
      <c r="AY141" s="74">
        <f t="shared" si="131"/>
        <v>-3.0943284352691206E-4</v>
      </c>
      <c r="AZ141" s="52">
        <f t="shared" si="111"/>
        <v>0</v>
      </c>
      <c r="BA141" s="53">
        <f t="shared" si="132"/>
        <v>0</v>
      </c>
      <c r="BB141" s="51">
        <f t="shared" si="133"/>
        <v>0</v>
      </c>
      <c r="BC141" s="52">
        <f t="shared" si="112"/>
        <v>0</v>
      </c>
      <c r="BD141" s="51">
        <f t="shared" si="113"/>
        <v>0</v>
      </c>
      <c r="BE141" s="51">
        <f t="shared" si="134"/>
        <v>0</v>
      </c>
      <c r="BF141" s="54">
        <f t="shared" si="135"/>
        <v>0</v>
      </c>
      <c r="BU141" s="25">
        <v>79</v>
      </c>
      <c r="BV141" s="51">
        <f t="shared" si="114"/>
        <v>-171</v>
      </c>
      <c r="BW141" s="74">
        <f t="shared" si="136"/>
        <v>-3.1069644712057674E-4</v>
      </c>
      <c r="BX141" s="52">
        <f t="shared" si="115"/>
        <v>0</v>
      </c>
      <c r="BY141" s="53">
        <f t="shared" si="137"/>
        <v>0</v>
      </c>
      <c r="BZ141" s="51">
        <f t="shared" si="138"/>
        <v>0</v>
      </c>
      <c r="CA141" s="52">
        <f t="shared" si="116"/>
        <v>0</v>
      </c>
      <c r="CB141" s="51">
        <f t="shared" si="117"/>
        <v>0</v>
      </c>
      <c r="CC141" s="51">
        <f t="shared" si="139"/>
        <v>0</v>
      </c>
      <c r="CD141" s="54">
        <f t="shared" si="140"/>
        <v>0</v>
      </c>
      <c r="CS141" s="25">
        <v>79</v>
      </c>
      <c r="CT141" s="51">
        <f t="shared" si="118"/>
        <v>-171</v>
      </c>
      <c r="CU141" s="74">
        <f t="shared" si="141"/>
        <v>-3.1069820838783231E-4</v>
      </c>
      <c r="CV141" s="52">
        <f t="shared" si="119"/>
        <v>0</v>
      </c>
      <c r="CW141" s="53">
        <f t="shared" si="142"/>
        <v>0</v>
      </c>
      <c r="CX141" s="51">
        <f t="shared" si="143"/>
        <v>0</v>
      </c>
      <c r="CY141" s="52">
        <f t="shared" si="120"/>
        <v>0</v>
      </c>
      <c r="CZ141" s="51">
        <f t="shared" si="121"/>
        <v>0</v>
      </c>
      <c r="DA141" s="51">
        <f t="shared" si="144"/>
        <v>0</v>
      </c>
      <c r="DB141" s="54">
        <f t="shared" si="145"/>
        <v>0</v>
      </c>
    </row>
    <row r="142" spans="1:106">
      <c r="A142" s="25">
        <v>80</v>
      </c>
      <c r="B142" s="51">
        <f t="shared" si="101"/>
        <v>-177</v>
      </c>
      <c r="C142" s="74">
        <f t="shared" si="122"/>
        <v>-3.8500000000000003E-4</v>
      </c>
      <c r="D142" s="52">
        <f t="shared" si="102"/>
        <v>0</v>
      </c>
      <c r="E142" s="53">
        <f t="shared" si="123"/>
        <v>0</v>
      </c>
      <c r="F142" s="51">
        <f t="shared" si="103"/>
        <v>0</v>
      </c>
      <c r="G142" s="52">
        <f t="shared" si="104"/>
        <v>0</v>
      </c>
      <c r="H142" s="51">
        <f t="shared" si="105"/>
        <v>0</v>
      </c>
      <c r="I142" s="51">
        <f t="shared" si="124"/>
        <v>0</v>
      </c>
      <c r="J142" s="54">
        <f t="shared" si="125"/>
        <v>0</v>
      </c>
      <c r="Y142" s="25">
        <v>80</v>
      </c>
      <c r="Z142" s="51">
        <f t="shared" si="106"/>
        <v>-177</v>
      </c>
      <c r="AA142" s="74">
        <f t="shared" si="126"/>
        <v>-2.9571607698843268E-4</v>
      </c>
      <c r="AB142" s="52">
        <f t="shared" si="107"/>
        <v>0</v>
      </c>
      <c r="AC142" s="53">
        <f t="shared" si="127"/>
        <v>0</v>
      </c>
      <c r="AD142" s="51">
        <f t="shared" si="128"/>
        <v>0</v>
      </c>
      <c r="AE142" s="52">
        <f t="shared" si="108"/>
        <v>0</v>
      </c>
      <c r="AF142" s="51">
        <f t="shared" si="109"/>
        <v>0</v>
      </c>
      <c r="AG142" s="51">
        <f t="shared" si="129"/>
        <v>0</v>
      </c>
      <c r="AH142" s="54">
        <f t="shared" si="130"/>
        <v>0</v>
      </c>
      <c r="AW142" s="25">
        <v>80</v>
      </c>
      <c r="AX142" s="51">
        <f t="shared" si="110"/>
        <v>-177</v>
      </c>
      <c r="AY142" s="74">
        <f t="shared" si="131"/>
        <v>-3.2812927659471255E-4</v>
      </c>
      <c r="AZ142" s="52">
        <f t="shared" si="111"/>
        <v>0</v>
      </c>
      <c r="BA142" s="53">
        <f t="shared" si="132"/>
        <v>0</v>
      </c>
      <c r="BB142" s="51">
        <f t="shared" si="133"/>
        <v>0</v>
      </c>
      <c r="BC142" s="52">
        <f t="shared" si="112"/>
        <v>0</v>
      </c>
      <c r="BD142" s="51">
        <f t="shared" si="113"/>
        <v>0</v>
      </c>
      <c r="BE142" s="51">
        <f t="shared" si="134"/>
        <v>0</v>
      </c>
      <c r="BF142" s="54">
        <f t="shared" si="135"/>
        <v>0</v>
      </c>
      <c r="BU142" s="25">
        <v>80</v>
      </c>
      <c r="BV142" s="51">
        <f t="shared" si="114"/>
        <v>-177</v>
      </c>
      <c r="BW142" s="74">
        <f t="shared" si="136"/>
        <v>-3.2951814048167479E-4</v>
      </c>
      <c r="BX142" s="52">
        <f t="shared" si="115"/>
        <v>0</v>
      </c>
      <c r="BY142" s="53">
        <f t="shared" si="137"/>
        <v>0</v>
      </c>
      <c r="BZ142" s="51">
        <f t="shared" si="138"/>
        <v>0</v>
      </c>
      <c r="CA142" s="52">
        <f t="shared" si="116"/>
        <v>0</v>
      </c>
      <c r="CB142" s="51">
        <f t="shared" si="117"/>
        <v>0</v>
      </c>
      <c r="CC142" s="51">
        <f t="shared" si="139"/>
        <v>0</v>
      </c>
      <c r="CD142" s="54">
        <f t="shared" si="140"/>
        <v>0</v>
      </c>
      <c r="CS142" s="25">
        <v>80</v>
      </c>
      <c r="CT142" s="51">
        <f t="shared" si="118"/>
        <v>-177</v>
      </c>
      <c r="CU142" s="74">
        <f t="shared" si="141"/>
        <v>-3.2952010762968747E-4</v>
      </c>
      <c r="CV142" s="52">
        <f t="shared" si="119"/>
        <v>0</v>
      </c>
      <c r="CW142" s="53">
        <f t="shared" si="142"/>
        <v>0</v>
      </c>
      <c r="CX142" s="51">
        <f t="shared" si="143"/>
        <v>0</v>
      </c>
      <c r="CY142" s="52">
        <f t="shared" si="120"/>
        <v>0</v>
      </c>
      <c r="CZ142" s="51">
        <f t="shared" si="121"/>
        <v>0</v>
      </c>
      <c r="DA142" s="51">
        <f t="shared" si="144"/>
        <v>0</v>
      </c>
      <c r="DB142" s="54">
        <f t="shared" si="145"/>
        <v>0</v>
      </c>
    </row>
    <row r="143" spans="1:106">
      <c r="A143" s="25">
        <v>81</v>
      </c>
      <c r="B143" s="51">
        <f t="shared" si="101"/>
        <v>-183</v>
      </c>
      <c r="C143" s="74">
        <f t="shared" si="122"/>
        <v>-4.1500000000000011E-4</v>
      </c>
      <c r="D143" s="52">
        <f t="shared" si="102"/>
        <v>0</v>
      </c>
      <c r="E143" s="53">
        <f t="shared" si="123"/>
        <v>0</v>
      </c>
      <c r="F143" s="51">
        <f t="shared" si="103"/>
        <v>0</v>
      </c>
      <c r="G143" s="52">
        <f t="shared" si="104"/>
        <v>0</v>
      </c>
      <c r="H143" s="51">
        <f t="shared" si="105"/>
        <v>0</v>
      </c>
      <c r="I143" s="51">
        <f t="shared" si="124"/>
        <v>0</v>
      </c>
      <c r="J143" s="54">
        <f t="shared" si="125"/>
        <v>0</v>
      </c>
      <c r="Y143" s="25">
        <v>81</v>
      </c>
      <c r="Z143" s="51">
        <f t="shared" si="106"/>
        <v>-183</v>
      </c>
      <c r="AA143" s="74">
        <f t="shared" si="126"/>
        <v>-3.1137822643167572E-4</v>
      </c>
      <c r="AB143" s="52">
        <f t="shared" si="107"/>
        <v>0</v>
      </c>
      <c r="AC143" s="53">
        <f t="shared" si="127"/>
        <v>0</v>
      </c>
      <c r="AD143" s="51">
        <f t="shared" si="128"/>
        <v>0</v>
      </c>
      <c r="AE143" s="52">
        <f t="shared" si="108"/>
        <v>0</v>
      </c>
      <c r="AF143" s="51">
        <f t="shared" si="109"/>
        <v>0</v>
      </c>
      <c r="AG143" s="51">
        <f t="shared" si="129"/>
        <v>0</v>
      </c>
      <c r="AH143" s="54">
        <f t="shared" si="130"/>
        <v>0</v>
      </c>
      <c r="AW143" s="25">
        <v>81</v>
      </c>
      <c r="AX143" s="51">
        <f t="shared" si="110"/>
        <v>-183</v>
      </c>
      <c r="AY143" s="74">
        <f t="shared" si="131"/>
        <v>-3.4682570966251315E-4</v>
      </c>
      <c r="AZ143" s="52">
        <f t="shared" si="111"/>
        <v>0</v>
      </c>
      <c r="BA143" s="53">
        <f t="shared" si="132"/>
        <v>0</v>
      </c>
      <c r="BB143" s="51">
        <f t="shared" si="133"/>
        <v>0</v>
      </c>
      <c r="BC143" s="52">
        <f t="shared" si="112"/>
        <v>0</v>
      </c>
      <c r="BD143" s="51">
        <f t="shared" si="113"/>
        <v>0</v>
      </c>
      <c r="BE143" s="51">
        <f t="shared" si="134"/>
        <v>0</v>
      </c>
      <c r="BF143" s="54">
        <f t="shared" si="135"/>
        <v>0</v>
      </c>
      <c r="BU143" s="25">
        <v>81</v>
      </c>
      <c r="BV143" s="51">
        <f t="shared" si="114"/>
        <v>-183</v>
      </c>
      <c r="BW143" s="74">
        <f t="shared" si="136"/>
        <v>-3.4833983384277274E-4</v>
      </c>
      <c r="BX143" s="52">
        <f t="shared" si="115"/>
        <v>0</v>
      </c>
      <c r="BY143" s="53">
        <f t="shared" si="137"/>
        <v>0</v>
      </c>
      <c r="BZ143" s="51">
        <f t="shared" si="138"/>
        <v>0</v>
      </c>
      <c r="CA143" s="52">
        <f t="shared" si="116"/>
        <v>0</v>
      </c>
      <c r="CB143" s="51">
        <f t="shared" si="117"/>
        <v>0</v>
      </c>
      <c r="CC143" s="51">
        <f t="shared" si="139"/>
        <v>0</v>
      </c>
      <c r="CD143" s="54">
        <f t="shared" si="140"/>
        <v>0</v>
      </c>
      <c r="CS143" s="25">
        <v>81</v>
      </c>
      <c r="CT143" s="51">
        <f t="shared" si="118"/>
        <v>-183</v>
      </c>
      <c r="CU143" s="74">
        <f t="shared" si="141"/>
        <v>-3.4834200687154274E-4</v>
      </c>
      <c r="CV143" s="52">
        <f t="shared" si="119"/>
        <v>0</v>
      </c>
      <c r="CW143" s="53">
        <f t="shared" si="142"/>
        <v>0</v>
      </c>
      <c r="CX143" s="51">
        <f t="shared" si="143"/>
        <v>0</v>
      </c>
      <c r="CY143" s="52">
        <f t="shared" si="120"/>
        <v>0</v>
      </c>
      <c r="CZ143" s="51">
        <f t="shared" si="121"/>
        <v>0</v>
      </c>
      <c r="DA143" s="51">
        <f t="shared" si="144"/>
        <v>0</v>
      </c>
      <c r="DB143" s="54">
        <f t="shared" si="145"/>
        <v>0</v>
      </c>
    </row>
    <row r="144" spans="1:106">
      <c r="A144" s="25">
        <v>82</v>
      </c>
      <c r="B144" s="51">
        <f t="shared" si="101"/>
        <v>-189</v>
      </c>
      <c r="C144" s="74">
        <f t="shared" si="122"/>
        <v>-4.4500000000000008E-4</v>
      </c>
      <c r="D144" s="52">
        <f t="shared" si="102"/>
        <v>0</v>
      </c>
      <c r="E144" s="53">
        <f t="shared" si="123"/>
        <v>0</v>
      </c>
      <c r="F144" s="51">
        <f t="shared" si="103"/>
        <v>0</v>
      </c>
      <c r="G144" s="52">
        <f t="shared" si="104"/>
        <v>0</v>
      </c>
      <c r="H144" s="51">
        <f t="shared" si="105"/>
        <v>0</v>
      </c>
      <c r="I144" s="51">
        <f t="shared" si="124"/>
        <v>0</v>
      </c>
      <c r="J144" s="54">
        <f t="shared" si="125"/>
        <v>0</v>
      </c>
      <c r="Y144" s="25">
        <v>82</v>
      </c>
      <c r="Z144" s="51">
        <f t="shared" si="106"/>
        <v>-189</v>
      </c>
      <c r="AA144" s="74">
        <f t="shared" si="126"/>
        <v>-3.2704037587491882E-4</v>
      </c>
      <c r="AB144" s="52">
        <f t="shared" si="107"/>
        <v>0</v>
      </c>
      <c r="AC144" s="53">
        <f t="shared" si="127"/>
        <v>0</v>
      </c>
      <c r="AD144" s="51">
        <f t="shared" si="128"/>
        <v>0</v>
      </c>
      <c r="AE144" s="52">
        <f t="shared" si="108"/>
        <v>0</v>
      </c>
      <c r="AF144" s="51">
        <f t="shared" si="109"/>
        <v>0</v>
      </c>
      <c r="AG144" s="51">
        <f t="shared" si="129"/>
        <v>0</v>
      </c>
      <c r="AH144" s="54">
        <f t="shared" si="130"/>
        <v>0</v>
      </c>
      <c r="AW144" s="25">
        <v>82</v>
      </c>
      <c r="AX144" s="51">
        <f t="shared" si="110"/>
        <v>-189</v>
      </c>
      <c r="AY144" s="74">
        <f t="shared" si="131"/>
        <v>-3.6552214273031364E-4</v>
      </c>
      <c r="AZ144" s="52">
        <f t="shared" si="111"/>
        <v>0</v>
      </c>
      <c r="BA144" s="53">
        <f t="shared" si="132"/>
        <v>0</v>
      </c>
      <c r="BB144" s="51">
        <f t="shared" si="133"/>
        <v>0</v>
      </c>
      <c r="BC144" s="52">
        <f t="shared" si="112"/>
        <v>0</v>
      </c>
      <c r="BD144" s="51">
        <f t="shared" si="113"/>
        <v>0</v>
      </c>
      <c r="BE144" s="51">
        <f t="shared" si="134"/>
        <v>0</v>
      </c>
      <c r="BF144" s="54">
        <f t="shared" si="135"/>
        <v>0</v>
      </c>
      <c r="BU144" s="25">
        <v>82</v>
      </c>
      <c r="BV144" s="51">
        <f t="shared" si="114"/>
        <v>-189</v>
      </c>
      <c r="BW144" s="74">
        <f t="shared" si="136"/>
        <v>-3.671615272038708E-4</v>
      </c>
      <c r="BX144" s="52">
        <f t="shared" si="115"/>
        <v>0</v>
      </c>
      <c r="BY144" s="53">
        <f t="shared" si="137"/>
        <v>0</v>
      </c>
      <c r="BZ144" s="51">
        <f t="shared" si="138"/>
        <v>0</v>
      </c>
      <c r="CA144" s="52">
        <f t="shared" si="116"/>
        <v>0</v>
      </c>
      <c r="CB144" s="51">
        <f t="shared" si="117"/>
        <v>0</v>
      </c>
      <c r="CC144" s="51">
        <f t="shared" si="139"/>
        <v>0</v>
      </c>
      <c r="CD144" s="54">
        <f t="shared" si="140"/>
        <v>0</v>
      </c>
      <c r="CS144" s="25">
        <v>82</v>
      </c>
      <c r="CT144" s="51">
        <f t="shared" si="118"/>
        <v>-189</v>
      </c>
      <c r="CU144" s="74">
        <f t="shared" si="141"/>
        <v>-3.671639061133979E-4</v>
      </c>
      <c r="CV144" s="52">
        <f t="shared" si="119"/>
        <v>0</v>
      </c>
      <c r="CW144" s="53">
        <f t="shared" si="142"/>
        <v>0</v>
      </c>
      <c r="CX144" s="51">
        <f t="shared" si="143"/>
        <v>0</v>
      </c>
      <c r="CY144" s="52">
        <f t="shared" si="120"/>
        <v>0</v>
      </c>
      <c r="CZ144" s="51">
        <f t="shared" si="121"/>
        <v>0</v>
      </c>
      <c r="DA144" s="51">
        <f t="shared" si="144"/>
        <v>0</v>
      </c>
      <c r="DB144" s="54">
        <f t="shared" si="145"/>
        <v>0</v>
      </c>
    </row>
    <row r="145" spans="1:106">
      <c r="A145" s="25">
        <v>83</v>
      </c>
      <c r="B145" s="51">
        <f t="shared" si="101"/>
        <v>-195</v>
      </c>
      <c r="C145" s="74">
        <f t="shared" si="122"/>
        <v>-4.7500000000000005E-4</v>
      </c>
      <c r="D145" s="52">
        <f t="shared" si="102"/>
        <v>0</v>
      </c>
      <c r="E145" s="53">
        <f t="shared" si="123"/>
        <v>0</v>
      </c>
      <c r="F145" s="51">
        <f t="shared" si="103"/>
        <v>0</v>
      </c>
      <c r="G145" s="52">
        <f t="shared" si="104"/>
        <v>0</v>
      </c>
      <c r="H145" s="51">
        <f t="shared" si="105"/>
        <v>0</v>
      </c>
      <c r="I145" s="51">
        <f t="shared" si="124"/>
        <v>0</v>
      </c>
      <c r="J145" s="54">
        <f t="shared" si="125"/>
        <v>0</v>
      </c>
      <c r="Y145" s="25">
        <v>83</v>
      </c>
      <c r="Z145" s="51">
        <f t="shared" si="106"/>
        <v>-195</v>
      </c>
      <c r="AA145" s="74">
        <f t="shared" si="126"/>
        <v>-3.4270252531816181E-4</v>
      </c>
      <c r="AB145" s="52">
        <f t="shared" si="107"/>
        <v>0</v>
      </c>
      <c r="AC145" s="53">
        <f t="shared" si="127"/>
        <v>0</v>
      </c>
      <c r="AD145" s="51">
        <f t="shared" si="128"/>
        <v>0</v>
      </c>
      <c r="AE145" s="52">
        <f t="shared" si="108"/>
        <v>0</v>
      </c>
      <c r="AF145" s="51">
        <f t="shared" si="109"/>
        <v>0</v>
      </c>
      <c r="AG145" s="51">
        <f t="shared" si="129"/>
        <v>0</v>
      </c>
      <c r="AH145" s="54">
        <f t="shared" si="130"/>
        <v>0</v>
      </c>
      <c r="AW145" s="25">
        <v>83</v>
      </c>
      <c r="AX145" s="51">
        <f t="shared" si="110"/>
        <v>-195</v>
      </c>
      <c r="AY145" s="74">
        <f t="shared" si="131"/>
        <v>-3.8421857579811424E-4</v>
      </c>
      <c r="AZ145" s="52">
        <f t="shared" si="111"/>
        <v>0</v>
      </c>
      <c r="BA145" s="53">
        <f t="shared" si="132"/>
        <v>0</v>
      </c>
      <c r="BB145" s="51">
        <f t="shared" si="133"/>
        <v>0</v>
      </c>
      <c r="BC145" s="52">
        <f t="shared" si="112"/>
        <v>0</v>
      </c>
      <c r="BD145" s="51">
        <f t="shared" si="113"/>
        <v>0</v>
      </c>
      <c r="BE145" s="51">
        <f t="shared" si="134"/>
        <v>0</v>
      </c>
      <c r="BF145" s="54">
        <f t="shared" si="135"/>
        <v>0</v>
      </c>
      <c r="BU145" s="25">
        <v>83</v>
      </c>
      <c r="BV145" s="51">
        <f t="shared" si="114"/>
        <v>-195</v>
      </c>
      <c r="BW145" s="74">
        <f t="shared" si="136"/>
        <v>-3.8598322056496875E-4</v>
      </c>
      <c r="BX145" s="52">
        <f t="shared" si="115"/>
        <v>0</v>
      </c>
      <c r="BY145" s="53">
        <f t="shared" si="137"/>
        <v>0</v>
      </c>
      <c r="BZ145" s="51">
        <f t="shared" si="138"/>
        <v>0</v>
      </c>
      <c r="CA145" s="52">
        <f t="shared" si="116"/>
        <v>0</v>
      </c>
      <c r="CB145" s="51">
        <f t="shared" si="117"/>
        <v>0</v>
      </c>
      <c r="CC145" s="51">
        <f t="shared" si="139"/>
        <v>0</v>
      </c>
      <c r="CD145" s="54">
        <f t="shared" si="140"/>
        <v>0</v>
      </c>
      <c r="CS145" s="25">
        <v>83</v>
      </c>
      <c r="CT145" s="51">
        <f t="shared" si="118"/>
        <v>-195</v>
      </c>
      <c r="CU145" s="74">
        <f t="shared" si="141"/>
        <v>-3.8598580535525317E-4</v>
      </c>
      <c r="CV145" s="52">
        <f t="shared" si="119"/>
        <v>0</v>
      </c>
      <c r="CW145" s="53">
        <f t="shared" si="142"/>
        <v>0</v>
      </c>
      <c r="CX145" s="51">
        <f t="shared" si="143"/>
        <v>0</v>
      </c>
      <c r="CY145" s="52">
        <f t="shared" si="120"/>
        <v>0</v>
      </c>
      <c r="CZ145" s="51">
        <f t="shared" si="121"/>
        <v>0</v>
      </c>
      <c r="DA145" s="51">
        <f t="shared" si="144"/>
        <v>0</v>
      </c>
      <c r="DB145" s="54">
        <f t="shared" si="145"/>
        <v>0</v>
      </c>
    </row>
    <row r="146" spans="1:106">
      <c r="A146" s="25">
        <v>84</v>
      </c>
      <c r="B146" s="51">
        <f t="shared" si="101"/>
        <v>-201</v>
      </c>
      <c r="C146" s="74">
        <f t="shared" si="122"/>
        <v>-5.0500000000000002E-4</v>
      </c>
      <c r="D146" s="52">
        <f t="shared" si="102"/>
        <v>0</v>
      </c>
      <c r="E146" s="53">
        <f t="shared" si="123"/>
        <v>0</v>
      </c>
      <c r="F146" s="51">
        <f t="shared" si="103"/>
        <v>0</v>
      </c>
      <c r="G146" s="52">
        <f t="shared" si="104"/>
        <v>0</v>
      </c>
      <c r="H146" s="51">
        <f t="shared" si="105"/>
        <v>0</v>
      </c>
      <c r="I146" s="51">
        <f t="shared" si="124"/>
        <v>0</v>
      </c>
      <c r="J146" s="54">
        <f t="shared" si="125"/>
        <v>0</v>
      </c>
      <c r="Y146" s="25">
        <v>84</v>
      </c>
      <c r="Z146" s="51">
        <f t="shared" si="106"/>
        <v>-201</v>
      </c>
      <c r="AA146" s="74">
        <f t="shared" si="126"/>
        <v>-3.5836467476140491E-4</v>
      </c>
      <c r="AB146" s="52">
        <f t="shared" si="107"/>
        <v>0</v>
      </c>
      <c r="AC146" s="53">
        <f t="shared" si="127"/>
        <v>0</v>
      </c>
      <c r="AD146" s="51">
        <f t="shared" si="128"/>
        <v>0</v>
      </c>
      <c r="AE146" s="52">
        <f t="shared" si="108"/>
        <v>0</v>
      </c>
      <c r="AF146" s="51">
        <f t="shared" si="109"/>
        <v>0</v>
      </c>
      <c r="AG146" s="51">
        <f t="shared" si="129"/>
        <v>0</v>
      </c>
      <c r="AH146" s="54">
        <f t="shared" si="130"/>
        <v>0</v>
      </c>
      <c r="AW146" s="25">
        <v>84</v>
      </c>
      <c r="AX146" s="51">
        <f t="shared" si="110"/>
        <v>-201</v>
      </c>
      <c r="AY146" s="74">
        <f t="shared" si="131"/>
        <v>-4.0291500886591473E-4</v>
      </c>
      <c r="AZ146" s="52">
        <f t="shared" si="111"/>
        <v>0</v>
      </c>
      <c r="BA146" s="53">
        <f t="shared" si="132"/>
        <v>0</v>
      </c>
      <c r="BB146" s="51">
        <f t="shared" si="133"/>
        <v>0</v>
      </c>
      <c r="BC146" s="52">
        <f t="shared" si="112"/>
        <v>0</v>
      </c>
      <c r="BD146" s="51">
        <f t="shared" si="113"/>
        <v>0</v>
      </c>
      <c r="BE146" s="51">
        <f t="shared" si="134"/>
        <v>0</v>
      </c>
      <c r="BF146" s="54">
        <f t="shared" si="135"/>
        <v>0</v>
      </c>
      <c r="BU146" s="25">
        <v>84</v>
      </c>
      <c r="BV146" s="51">
        <f t="shared" si="114"/>
        <v>-201</v>
      </c>
      <c r="BW146" s="74">
        <f t="shared" si="136"/>
        <v>-4.0480491392606681E-4</v>
      </c>
      <c r="BX146" s="52">
        <f t="shared" si="115"/>
        <v>0</v>
      </c>
      <c r="BY146" s="53">
        <f t="shared" si="137"/>
        <v>0</v>
      </c>
      <c r="BZ146" s="51">
        <f t="shared" si="138"/>
        <v>0</v>
      </c>
      <c r="CA146" s="52">
        <f t="shared" si="116"/>
        <v>0</v>
      </c>
      <c r="CB146" s="51">
        <f t="shared" si="117"/>
        <v>0</v>
      </c>
      <c r="CC146" s="51">
        <f t="shared" si="139"/>
        <v>0</v>
      </c>
      <c r="CD146" s="54">
        <f t="shared" si="140"/>
        <v>0</v>
      </c>
      <c r="CS146" s="25">
        <v>84</v>
      </c>
      <c r="CT146" s="51">
        <f t="shared" si="118"/>
        <v>-201</v>
      </c>
      <c r="CU146" s="74">
        <f t="shared" si="141"/>
        <v>-4.0480770459710834E-4</v>
      </c>
      <c r="CV146" s="52">
        <f t="shared" si="119"/>
        <v>0</v>
      </c>
      <c r="CW146" s="53">
        <f t="shared" si="142"/>
        <v>0</v>
      </c>
      <c r="CX146" s="51">
        <f t="shared" si="143"/>
        <v>0</v>
      </c>
      <c r="CY146" s="52">
        <f t="shared" si="120"/>
        <v>0</v>
      </c>
      <c r="CZ146" s="51">
        <f t="shared" si="121"/>
        <v>0</v>
      </c>
      <c r="DA146" s="51">
        <f t="shared" si="144"/>
        <v>0</v>
      </c>
      <c r="DB146" s="54">
        <f t="shared" si="145"/>
        <v>0</v>
      </c>
    </row>
    <row r="147" spans="1:106">
      <c r="A147" s="25">
        <v>85</v>
      </c>
      <c r="B147" s="51">
        <f t="shared" si="101"/>
        <v>-207</v>
      </c>
      <c r="C147" s="74">
        <f t="shared" si="122"/>
        <v>-5.350000000000001E-4</v>
      </c>
      <c r="D147" s="52">
        <f t="shared" si="102"/>
        <v>0</v>
      </c>
      <c r="E147" s="53">
        <f t="shared" si="123"/>
        <v>0</v>
      </c>
      <c r="F147" s="51">
        <f t="shared" si="103"/>
        <v>0</v>
      </c>
      <c r="G147" s="52">
        <f t="shared" si="104"/>
        <v>0</v>
      </c>
      <c r="H147" s="51">
        <f t="shared" si="105"/>
        <v>0</v>
      </c>
      <c r="I147" s="51">
        <f t="shared" si="124"/>
        <v>0</v>
      </c>
      <c r="J147" s="54">
        <f t="shared" si="125"/>
        <v>0</v>
      </c>
      <c r="Y147" s="25">
        <v>85</v>
      </c>
      <c r="Z147" s="51">
        <f t="shared" si="106"/>
        <v>-207</v>
      </c>
      <c r="AA147" s="74">
        <f t="shared" si="126"/>
        <v>-3.740268242046479E-4</v>
      </c>
      <c r="AB147" s="52">
        <f t="shared" si="107"/>
        <v>0</v>
      </c>
      <c r="AC147" s="53">
        <f t="shared" si="127"/>
        <v>0</v>
      </c>
      <c r="AD147" s="51">
        <f t="shared" si="128"/>
        <v>0</v>
      </c>
      <c r="AE147" s="52">
        <f t="shared" si="108"/>
        <v>0</v>
      </c>
      <c r="AF147" s="51">
        <f t="shared" si="109"/>
        <v>0</v>
      </c>
      <c r="AG147" s="51">
        <f t="shared" si="129"/>
        <v>0</v>
      </c>
      <c r="AH147" s="54">
        <f t="shared" si="130"/>
        <v>0</v>
      </c>
      <c r="AW147" s="25">
        <v>85</v>
      </c>
      <c r="AX147" s="51">
        <f t="shared" si="110"/>
        <v>-207</v>
      </c>
      <c r="AY147" s="74">
        <f t="shared" si="131"/>
        <v>-4.2161144193371533E-4</v>
      </c>
      <c r="AZ147" s="52">
        <f t="shared" si="111"/>
        <v>0</v>
      </c>
      <c r="BA147" s="53">
        <f t="shared" si="132"/>
        <v>0</v>
      </c>
      <c r="BB147" s="51">
        <f t="shared" si="133"/>
        <v>0</v>
      </c>
      <c r="BC147" s="52">
        <f t="shared" si="112"/>
        <v>0</v>
      </c>
      <c r="BD147" s="51">
        <f t="shared" si="113"/>
        <v>0</v>
      </c>
      <c r="BE147" s="51">
        <f t="shared" si="134"/>
        <v>0</v>
      </c>
      <c r="BF147" s="54">
        <f t="shared" si="135"/>
        <v>0</v>
      </c>
      <c r="BU147" s="25">
        <v>85</v>
      </c>
      <c r="BV147" s="51">
        <f t="shared" si="114"/>
        <v>-207</v>
      </c>
      <c r="BW147" s="74">
        <f t="shared" si="136"/>
        <v>-4.2362660728716476E-4</v>
      </c>
      <c r="BX147" s="52">
        <f t="shared" si="115"/>
        <v>0</v>
      </c>
      <c r="BY147" s="53">
        <f t="shared" si="137"/>
        <v>0</v>
      </c>
      <c r="BZ147" s="51">
        <f t="shared" si="138"/>
        <v>0</v>
      </c>
      <c r="CA147" s="52">
        <f t="shared" si="116"/>
        <v>0</v>
      </c>
      <c r="CB147" s="51">
        <f t="shared" si="117"/>
        <v>0</v>
      </c>
      <c r="CC147" s="51">
        <f t="shared" si="139"/>
        <v>0</v>
      </c>
      <c r="CD147" s="54">
        <f t="shared" si="140"/>
        <v>0</v>
      </c>
      <c r="CS147" s="25">
        <v>85</v>
      </c>
      <c r="CT147" s="51">
        <f t="shared" si="118"/>
        <v>-207</v>
      </c>
      <c r="CU147" s="74">
        <f t="shared" si="141"/>
        <v>-4.2362960383896361E-4</v>
      </c>
      <c r="CV147" s="52">
        <f t="shared" si="119"/>
        <v>0</v>
      </c>
      <c r="CW147" s="53">
        <f t="shared" si="142"/>
        <v>0</v>
      </c>
      <c r="CX147" s="51">
        <f t="shared" si="143"/>
        <v>0</v>
      </c>
      <c r="CY147" s="52">
        <f t="shared" si="120"/>
        <v>0</v>
      </c>
      <c r="CZ147" s="51">
        <f t="shared" si="121"/>
        <v>0</v>
      </c>
      <c r="DA147" s="51">
        <f t="shared" si="144"/>
        <v>0</v>
      </c>
      <c r="DB147" s="54">
        <f t="shared" si="145"/>
        <v>0</v>
      </c>
    </row>
    <row r="148" spans="1:106">
      <c r="A148" s="25">
        <v>86</v>
      </c>
      <c r="B148" s="51">
        <f t="shared" si="101"/>
        <v>-213</v>
      </c>
      <c r="C148" s="74">
        <f t="shared" si="122"/>
        <v>-5.6500000000000018E-4</v>
      </c>
      <c r="D148" s="52">
        <f t="shared" si="102"/>
        <v>0</v>
      </c>
      <c r="E148" s="53">
        <f t="shared" si="123"/>
        <v>0</v>
      </c>
      <c r="F148" s="51">
        <f t="shared" si="103"/>
        <v>0</v>
      </c>
      <c r="G148" s="52">
        <f t="shared" si="104"/>
        <v>0</v>
      </c>
      <c r="H148" s="51">
        <f t="shared" si="105"/>
        <v>0</v>
      </c>
      <c r="I148" s="51">
        <f t="shared" si="124"/>
        <v>0</v>
      </c>
      <c r="J148" s="54">
        <f t="shared" si="125"/>
        <v>0</v>
      </c>
      <c r="Y148" s="25">
        <v>86</v>
      </c>
      <c r="Z148" s="51">
        <f t="shared" si="106"/>
        <v>-213</v>
      </c>
      <c r="AA148" s="74">
        <f t="shared" si="126"/>
        <v>-3.89688973647891E-4</v>
      </c>
      <c r="AB148" s="52">
        <f t="shared" si="107"/>
        <v>0</v>
      </c>
      <c r="AC148" s="53">
        <f t="shared" si="127"/>
        <v>0</v>
      </c>
      <c r="AD148" s="51">
        <f t="shared" si="128"/>
        <v>0</v>
      </c>
      <c r="AE148" s="52">
        <f t="shared" si="108"/>
        <v>0</v>
      </c>
      <c r="AF148" s="51">
        <f t="shared" si="109"/>
        <v>0</v>
      </c>
      <c r="AG148" s="51">
        <f t="shared" si="129"/>
        <v>0</v>
      </c>
      <c r="AH148" s="54">
        <f t="shared" si="130"/>
        <v>0</v>
      </c>
      <c r="AW148" s="25">
        <v>86</v>
      </c>
      <c r="AX148" s="51">
        <f t="shared" si="110"/>
        <v>-213</v>
      </c>
      <c r="AY148" s="74">
        <f t="shared" si="131"/>
        <v>-4.4030787500151582E-4</v>
      </c>
      <c r="AZ148" s="52">
        <f t="shared" si="111"/>
        <v>0</v>
      </c>
      <c r="BA148" s="53">
        <f t="shared" si="132"/>
        <v>0</v>
      </c>
      <c r="BB148" s="51">
        <f t="shared" si="133"/>
        <v>0</v>
      </c>
      <c r="BC148" s="52">
        <f t="shared" si="112"/>
        <v>0</v>
      </c>
      <c r="BD148" s="51">
        <f t="shared" si="113"/>
        <v>0</v>
      </c>
      <c r="BE148" s="51">
        <f t="shared" si="134"/>
        <v>0</v>
      </c>
      <c r="BF148" s="54">
        <f t="shared" si="135"/>
        <v>0</v>
      </c>
      <c r="BU148" s="25">
        <v>86</v>
      </c>
      <c r="BV148" s="51">
        <f t="shared" si="114"/>
        <v>-213</v>
      </c>
      <c r="BW148" s="74">
        <f t="shared" si="136"/>
        <v>-4.4244830064826281E-4</v>
      </c>
      <c r="BX148" s="52">
        <f t="shared" si="115"/>
        <v>0</v>
      </c>
      <c r="BY148" s="53">
        <f t="shared" si="137"/>
        <v>0</v>
      </c>
      <c r="BZ148" s="51">
        <f t="shared" si="138"/>
        <v>0</v>
      </c>
      <c r="CA148" s="52">
        <f t="shared" si="116"/>
        <v>0</v>
      </c>
      <c r="CB148" s="51">
        <f t="shared" si="117"/>
        <v>0</v>
      </c>
      <c r="CC148" s="51">
        <f t="shared" si="139"/>
        <v>0</v>
      </c>
      <c r="CD148" s="54">
        <f t="shared" si="140"/>
        <v>0</v>
      </c>
      <c r="CS148" s="25">
        <v>86</v>
      </c>
      <c r="CT148" s="51">
        <f t="shared" si="118"/>
        <v>-213</v>
      </c>
      <c r="CU148" s="74">
        <f t="shared" si="141"/>
        <v>-4.4245150308081877E-4</v>
      </c>
      <c r="CV148" s="52">
        <f t="shared" si="119"/>
        <v>0</v>
      </c>
      <c r="CW148" s="53">
        <f t="shared" si="142"/>
        <v>0</v>
      </c>
      <c r="CX148" s="51">
        <f t="shared" si="143"/>
        <v>0</v>
      </c>
      <c r="CY148" s="52">
        <f t="shared" si="120"/>
        <v>0</v>
      </c>
      <c r="CZ148" s="51">
        <f t="shared" si="121"/>
        <v>0</v>
      </c>
      <c r="DA148" s="51">
        <f t="shared" si="144"/>
        <v>0</v>
      </c>
      <c r="DB148" s="54">
        <f t="shared" si="145"/>
        <v>0</v>
      </c>
    </row>
    <row r="149" spans="1:106">
      <c r="A149" s="25">
        <v>87</v>
      </c>
      <c r="B149" s="51">
        <f t="shared" si="101"/>
        <v>-219</v>
      </c>
      <c r="C149" s="74">
        <f t="shared" si="122"/>
        <v>-5.9500000000000004E-4</v>
      </c>
      <c r="D149" s="52">
        <f t="shared" si="102"/>
        <v>0</v>
      </c>
      <c r="E149" s="53">
        <f t="shared" si="123"/>
        <v>0</v>
      </c>
      <c r="F149" s="51">
        <f t="shared" si="103"/>
        <v>0</v>
      </c>
      <c r="G149" s="52">
        <f t="shared" si="104"/>
        <v>0</v>
      </c>
      <c r="H149" s="51">
        <f t="shared" si="105"/>
        <v>0</v>
      </c>
      <c r="I149" s="51">
        <f t="shared" si="124"/>
        <v>0</v>
      </c>
      <c r="J149" s="54">
        <f t="shared" si="125"/>
        <v>0</v>
      </c>
      <c r="Y149" s="25">
        <v>87</v>
      </c>
      <c r="Z149" s="51">
        <f t="shared" si="106"/>
        <v>-219</v>
      </c>
      <c r="AA149" s="74">
        <f t="shared" si="126"/>
        <v>-4.053511230911341E-4</v>
      </c>
      <c r="AB149" s="52">
        <f t="shared" si="107"/>
        <v>0</v>
      </c>
      <c r="AC149" s="53">
        <f t="shared" si="127"/>
        <v>0</v>
      </c>
      <c r="AD149" s="51">
        <f t="shared" si="128"/>
        <v>0</v>
      </c>
      <c r="AE149" s="52">
        <f t="shared" si="108"/>
        <v>0</v>
      </c>
      <c r="AF149" s="51">
        <f t="shared" si="109"/>
        <v>0</v>
      </c>
      <c r="AG149" s="51">
        <f t="shared" si="129"/>
        <v>0</v>
      </c>
      <c r="AH149" s="54">
        <f t="shared" si="130"/>
        <v>0</v>
      </c>
      <c r="AW149" s="25">
        <v>87</v>
      </c>
      <c r="AX149" s="51">
        <f t="shared" si="110"/>
        <v>-219</v>
      </c>
      <c r="AY149" s="74">
        <f t="shared" si="131"/>
        <v>-4.5900430806931642E-4</v>
      </c>
      <c r="AZ149" s="52">
        <f t="shared" si="111"/>
        <v>0</v>
      </c>
      <c r="BA149" s="53">
        <f t="shared" si="132"/>
        <v>0</v>
      </c>
      <c r="BB149" s="51">
        <f t="shared" si="133"/>
        <v>0</v>
      </c>
      <c r="BC149" s="52">
        <f t="shared" si="112"/>
        <v>0</v>
      </c>
      <c r="BD149" s="51">
        <f t="shared" si="113"/>
        <v>0</v>
      </c>
      <c r="BE149" s="51">
        <f t="shared" si="134"/>
        <v>0</v>
      </c>
      <c r="BF149" s="54">
        <f t="shared" si="135"/>
        <v>0</v>
      </c>
      <c r="BU149" s="25">
        <v>87</v>
      </c>
      <c r="BV149" s="51">
        <f t="shared" si="114"/>
        <v>-219</v>
      </c>
      <c r="BW149" s="74">
        <f t="shared" si="136"/>
        <v>-4.6126999400936076E-4</v>
      </c>
      <c r="BX149" s="52">
        <f t="shared" si="115"/>
        <v>0</v>
      </c>
      <c r="BY149" s="53">
        <f t="shared" si="137"/>
        <v>0</v>
      </c>
      <c r="BZ149" s="51">
        <f t="shared" si="138"/>
        <v>0</v>
      </c>
      <c r="CA149" s="52">
        <f t="shared" si="116"/>
        <v>0</v>
      </c>
      <c r="CB149" s="51">
        <f t="shared" si="117"/>
        <v>0</v>
      </c>
      <c r="CC149" s="51">
        <f t="shared" si="139"/>
        <v>0</v>
      </c>
      <c r="CD149" s="54">
        <f t="shared" si="140"/>
        <v>0</v>
      </c>
      <c r="CS149" s="25">
        <v>87</v>
      </c>
      <c r="CT149" s="51">
        <f t="shared" si="118"/>
        <v>-219</v>
      </c>
      <c r="CU149" s="74">
        <f t="shared" si="141"/>
        <v>-4.6127340232267393E-4</v>
      </c>
      <c r="CV149" s="52">
        <f t="shared" si="119"/>
        <v>0</v>
      </c>
      <c r="CW149" s="53">
        <f t="shared" si="142"/>
        <v>0</v>
      </c>
      <c r="CX149" s="51">
        <f t="shared" si="143"/>
        <v>0</v>
      </c>
      <c r="CY149" s="52">
        <f t="shared" si="120"/>
        <v>0</v>
      </c>
      <c r="CZ149" s="51">
        <f t="shared" si="121"/>
        <v>0</v>
      </c>
      <c r="DA149" s="51">
        <f t="shared" si="144"/>
        <v>0</v>
      </c>
      <c r="DB149" s="54">
        <f t="shared" si="145"/>
        <v>0</v>
      </c>
    </row>
    <row r="150" spans="1:106">
      <c r="A150" s="25">
        <v>88</v>
      </c>
      <c r="B150" s="51">
        <f t="shared" si="101"/>
        <v>-225</v>
      </c>
      <c r="C150" s="74">
        <f t="shared" si="122"/>
        <v>-6.2500000000000012E-4</v>
      </c>
      <c r="D150" s="52">
        <f t="shared" si="102"/>
        <v>0</v>
      </c>
      <c r="E150" s="53">
        <f t="shared" si="123"/>
        <v>0</v>
      </c>
      <c r="F150" s="51">
        <f t="shared" si="103"/>
        <v>0</v>
      </c>
      <c r="G150" s="52">
        <f t="shared" si="104"/>
        <v>0</v>
      </c>
      <c r="H150" s="51">
        <f t="shared" si="105"/>
        <v>0</v>
      </c>
      <c r="I150" s="51">
        <f t="shared" si="124"/>
        <v>0</v>
      </c>
      <c r="J150" s="54">
        <f t="shared" si="125"/>
        <v>0</v>
      </c>
      <c r="Y150" s="25">
        <v>88</v>
      </c>
      <c r="Z150" s="51">
        <f t="shared" si="106"/>
        <v>-225</v>
      </c>
      <c r="AA150" s="74">
        <f t="shared" si="126"/>
        <v>-4.2101327253437709E-4</v>
      </c>
      <c r="AB150" s="52">
        <f t="shared" si="107"/>
        <v>0</v>
      </c>
      <c r="AC150" s="53">
        <f t="shared" si="127"/>
        <v>0</v>
      </c>
      <c r="AD150" s="51">
        <f t="shared" si="128"/>
        <v>0</v>
      </c>
      <c r="AE150" s="52">
        <f t="shared" si="108"/>
        <v>0</v>
      </c>
      <c r="AF150" s="51">
        <f t="shared" si="109"/>
        <v>0</v>
      </c>
      <c r="AG150" s="51">
        <f t="shared" si="129"/>
        <v>0</v>
      </c>
      <c r="AH150" s="54">
        <f t="shared" si="130"/>
        <v>0</v>
      </c>
      <c r="AW150" s="25">
        <v>88</v>
      </c>
      <c r="AX150" s="51">
        <f t="shared" si="110"/>
        <v>-225</v>
      </c>
      <c r="AY150" s="74">
        <f t="shared" si="131"/>
        <v>-4.7770074113711691E-4</v>
      </c>
      <c r="AZ150" s="52">
        <f t="shared" si="111"/>
        <v>0</v>
      </c>
      <c r="BA150" s="53">
        <f t="shared" si="132"/>
        <v>0</v>
      </c>
      <c r="BB150" s="51">
        <f t="shared" si="133"/>
        <v>0</v>
      </c>
      <c r="BC150" s="52">
        <f t="shared" si="112"/>
        <v>0</v>
      </c>
      <c r="BD150" s="51">
        <f t="shared" si="113"/>
        <v>0</v>
      </c>
      <c r="BE150" s="51">
        <f t="shared" si="134"/>
        <v>0</v>
      </c>
      <c r="BF150" s="54">
        <f t="shared" si="135"/>
        <v>0</v>
      </c>
      <c r="BU150" s="25">
        <v>88</v>
      </c>
      <c r="BV150" s="51">
        <f t="shared" si="114"/>
        <v>-225</v>
      </c>
      <c r="BW150" s="74">
        <f t="shared" si="136"/>
        <v>-4.8009168737045882E-4</v>
      </c>
      <c r="BX150" s="52">
        <f t="shared" si="115"/>
        <v>0</v>
      </c>
      <c r="BY150" s="53">
        <f t="shared" si="137"/>
        <v>0</v>
      </c>
      <c r="BZ150" s="51">
        <f t="shared" si="138"/>
        <v>0</v>
      </c>
      <c r="CA150" s="52">
        <f t="shared" si="116"/>
        <v>0</v>
      </c>
      <c r="CB150" s="51">
        <f t="shared" si="117"/>
        <v>0</v>
      </c>
      <c r="CC150" s="51">
        <f t="shared" si="139"/>
        <v>0</v>
      </c>
      <c r="CD150" s="54">
        <f t="shared" si="140"/>
        <v>0</v>
      </c>
      <c r="CS150" s="25">
        <v>88</v>
      </c>
      <c r="CT150" s="51">
        <f t="shared" si="118"/>
        <v>-225</v>
      </c>
      <c r="CU150" s="74">
        <f t="shared" si="141"/>
        <v>-4.800953015645292E-4</v>
      </c>
      <c r="CV150" s="52">
        <f t="shared" si="119"/>
        <v>0</v>
      </c>
      <c r="CW150" s="53">
        <f t="shared" si="142"/>
        <v>0</v>
      </c>
      <c r="CX150" s="51">
        <f t="shared" si="143"/>
        <v>0</v>
      </c>
      <c r="CY150" s="52">
        <f t="shared" si="120"/>
        <v>0</v>
      </c>
      <c r="CZ150" s="51">
        <f t="shared" si="121"/>
        <v>0</v>
      </c>
      <c r="DA150" s="51">
        <f t="shared" si="144"/>
        <v>0</v>
      </c>
      <c r="DB150" s="54">
        <f t="shared" si="145"/>
        <v>0</v>
      </c>
    </row>
    <row r="151" spans="1:106">
      <c r="A151" s="25">
        <v>89</v>
      </c>
      <c r="B151" s="51">
        <f t="shared" si="101"/>
        <v>-231</v>
      </c>
      <c r="C151" s="74">
        <f t="shared" si="122"/>
        <v>-6.5499999999999998E-4</v>
      </c>
      <c r="D151" s="52">
        <f t="shared" si="102"/>
        <v>0</v>
      </c>
      <c r="E151" s="53">
        <f t="shared" si="123"/>
        <v>0</v>
      </c>
      <c r="F151" s="51">
        <f t="shared" si="103"/>
        <v>0</v>
      </c>
      <c r="G151" s="52">
        <f t="shared" si="104"/>
        <v>0</v>
      </c>
      <c r="H151" s="51">
        <f t="shared" si="105"/>
        <v>0</v>
      </c>
      <c r="I151" s="51">
        <f t="shared" si="124"/>
        <v>0</v>
      </c>
      <c r="J151" s="54">
        <f t="shared" si="125"/>
        <v>0</v>
      </c>
      <c r="Y151" s="25">
        <v>89</v>
      </c>
      <c r="Z151" s="51">
        <f t="shared" si="106"/>
        <v>-231</v>
      </c>
      <c r="AA151" s="74">
        <f t="shared" si="126"/>
        <v>-4.3667542197762019E-4</v>
      </c>
      <c r="AB151" s="52">
        <f t="shared" si="107"/>
        <v>0</v>
      </c>
      <c r="AC151" s="53">
        <f t="shared" si="127"/>
        <v>0</v>
      </c>
      <c r="AD151" s="51">
        <f t="shared" si="128"/>
        <v>0</v>
      </c>
      <c r="AE151" s="52">
        <f t="shared" si="108"/>
        <v>0</v>
      </c>
      <c r="AF151" s="51">
        <f t="shared" si="109"/>
        <v>0</v>
      </c>
      <c r="AG151" s="51">
        <f t="shared" si="129"/>
        <v>0</v>
      </c>
      <c r="AH151" s="54">
        <f t="shared" si="130"/>
        <v>0</v>
      </c>
      <c r="AW151" s="25">
        <v>89</v>
      </c>
      <c r="AX151" s="51">
        <f t="shared" si="110"/>
        <v>-231</v>
      </c>
      <c r="AY151" s="74">
        <f t="shared" si="131"/>
        <v>-4.963971742049174E-4</v>
      </c>
      <c r="AZ151" s="52">
        <f t="shared" si="111"/>
        <v>0</v>
      </c>
      <c r="BA151" s="53">
        <f t="shared" si="132"/>
        <v>0</v>
      </c>
      <c r="BB151" s="51">
        <f t="shared" si="133"/>
        <v>0</v>
      </c>
      <c r="BC151" s="52">
        <f t="shared" si="112"/>
        <v>0</v>
      </c>
      <c r="BD151" s="51">
        <f t="shared" si="113"/>
        <v>0</v>
      </c>
      <c r="BE151" s="51">
        <f t="shared" si="134"/>
        <v>0</v>
      </c>
      <c r="BF151" s="54">
        <f t="shared" si="135"/>
        <v>0</v>
      </c>
      <c r="BU151" s="25">
        <v>89</v>
      </c>
      <c r="BV151" s="51">
        <f t="shared" si="114"/>
        <v>-231</v>
      </c>
      <c r="BW151" s="74">
        <f t="shared" si="136"/>
        <v>-4.9891338073155677E-4</v>
      </c>
      <c r="BX151" s="52">
        <f t="shared" si="115"/>
        <v>0</v>
      </c>
      <c r="BY151" s="53">
        <f t="shared" si="137"/>
        <v>0</v>
      </c>
      <c r="BZ151" s="51">
        <f t="shared" si="138"/>
        <v>0</v>
      </c>
      <c r="CA151" s="52">
        <f t="shared" si="116"/>
        <v>0</v>
      </c>
      <c r="CB151" s="51">
        <f t="shared" si="117"/>
        <v>0</v>
      </c>
      <c r="CC151" s="51">
        <f t="shared" si="139"/>
        <v>0</v>
      </c>
      <c r="CD151" s="54">
        <f t="shared" si="140"/>
        <v>0</v>
      </c>
      <c r="CS151" s="25">
        <v>89</v>
      </c>
      <c r="CT151" s="51">
        <f t="shared" si="118"/>
        <v>-231</v>
      </c>
      <c r="CU151" s="74">
        <f t="shared" si="141"/>
        <v>-4.989172008063843E-4</v>
      </c>
      <c r="CV151" s="52">
        <f t="shared" si="119"/>
        <v>0</v>
      </c>
      <c r="CW151" s="53">
        <f t="shared" si="142"/>
        <v>0</v>
      </c>
      <c r="CX151" s="51">
        <f t="shared" si="143"/>
        <v>0</v>
      </c>
      <c r="CY151" s="52">
        <f t="shared" si="120"/>
        <v>0</v>
      </c>
      <c r="CZ151" s="51">
        <f t="shared" si="121"/>
        <v>0</v>
      </c>
      <c r="DA151" s="51">
        <f t="shared" si="144"/>
        <v>0</v>
      </c>
      <c r="DB151" s="54">
        <f t="shared" si="145"/>
        <v>0</v>
      </c>
    </row>
    <row r="152" spans="1:106">
      <c r="A152" s="25">
        <v>90</v>
      </c>
      <c r="B152" s="51">
        <f t="shared" si="101"/>
        <v>-237</v>
      </c>
      <c r="C152" s="74">
        <f t="shared" si="122"/>
        <v>-6.8500000000000006E-4</v>
      </c>
      <c r="D152" s="52">
        <f t="shared" si="102"/>
        <v>0</v>
      </c>
      <c r="E152" s="53">
        <f t="shared" si="123"/>
        <v>0</v>
      </c>
      <c r="F152" s="51">
        <f t="shared" si="103"/>
        <v>0</v>
      </c>
      <c r="G152" s="52">
        <f t="shared" si="104"/>
        <v>0</v>
      </c>
      <c r="H152" s="51">
        <f t="shared" si="105"/>
        <v>0</v>
      </c>
      <c r="I152" s="51">
        <f t="shared" si="124"/>
        <v>0</v>
      </c>
      <c r="J152" s="54">
        <f t="shared" si="125"/>
        <v>0</v>
      </c>
      <c r="Y152" s="25">
        <v>90</v>
      </c>
      <c r="Z152" s="51">
        <f t="shared" si="106"/>
        <v>-237</v>
      </c>
      <c r="AA152" s="74">
        <f t="shared" si="126"/>
        <v>-4.5233757142086318E-4</v>
      </c>
      <c r="AB152" s="52">
        <f t="shared" si="107"/>
        <v>0</v>
      </c>
      <c r="AC152" s="53">
        <f t="shared" si="127"/>
        <v>0</v>
      </c>
      <c r="AD152" s="51">
        <f t="shared" si="128"/>
        <v>0</v>
      </c>
      <c r="AE152" s="52">
        <f t="shared" si="108"/>
        <v>0</v>
      </c>
      <c r="AF152" s="51">
        <f t="shared" si="109"/>
        <v>0</v>
      </c>
      <c r="AG152" s="51">
        <f t="shared" si="129"/>
        <v>0</v>
      </c>
      <c r="AH152" s="54">
        <f t="shared" si="130"/>
        <v>0</v>
      </c>
      <c r="AW152" s="25">
        <v>90</v>
      </c>
      <c r="AX152" s="51">
        <f t="shared" si="110"/>
        <v>-237</v>
      </c>
      <c r="AY152" s="74">
        <f t="shared" si="131"/>
        <v>-5.15093607272718E-4</v>
      </c>
      <c r="AZ152" s="52">
        <f t="shared" si="111"/>
        <v>0</v>
      </c>
      <c r="BA152" s="53">
        <f t="shared" si="132"/>
        <v>0</v>
      </c>
      <c r="BB152" s="51">
        <f t="shared" si="133"/>
        <v>0</v>
      </c>
      <c r="BC152" s="52">
        <f t="shared" si="112"/>
        <v>0</v>
      </c>
      <c r="BD152" s="51">
        <f t="shared" si="113"/>
        <v>0</v>
      </c>
      <c r="BE152" s="51">
        <f t="shared" si="134"/>
        <v>0</v>
      </c>
      <c r="BF152" s="54">
        <f t="shared" si="135"/>
        <v>0</v>
      </c>
      <c r="BU152" s="25">
        <v>90</v>
      </c>
      <c r="BV152" s="51">
        <f t="shared" si="114"/>
        <v>-237</v>
      </c>
      <c r="BW152" s="74">
        <f t="shared" si="136"/>
        <v>-5.1773507409265482E-4</v>
      </c>
      <c r="BX152" s="52">
        <f t="shared" si="115"/>
        <v>0</v>
      </c>
      <c r="BY152" s="53">
        <f t="shared" si="137"/>
        <v>0</v>
      </c>
      <c r="BZ152" s="51">
        <f t="shared" si="138"/>
        <v>0</v>
      </c>
      <c r="CA152" s="52">
        <f t="shared" si="116"/>
        <v>0</v>
      </c>
      <c r="CB152" s="51">
        <f t="shared" si="117"/>
        <v>0</v>
      </c>
      <c r="CC152" s="51">
        <f t="shared" si="139"/>
        <v>0</v>
      </c>
      <c r="CD152" s="54">
        <f t="shared" si="140"/>
        <v>0</v>
      </c>
      <c r="CS152" s="25">
        <v>90</v>
      </c>
      <c r="CT152" s="51">
        <f t="shared" si="118"/>
        <v>-237</v>
      </c>
      <c r="CU152" s="74">
        <f t="shared" si="141"/>
        <v>-5.1773910004823957E-4</v>
      </c>
      <c r="CV152" s="52">
        <f t="shared" si="119"/>
        <v>0</v>
      </c>
      <c r="CW152" s="53">
        <f t="shared" si="142"/>
        <v>0</v>
      </c>
      <c r="CX152" s="51">
        <f t="shared" si="143"/>
        <v>0</v>
      </c>
      <c r="CY152" s="52">
        <f t="shared" si="120"/>
        <v>0</v>
      </c>
      <c r="CZ152" s="51">
        <f t="shared" si="121"/>
        <v>0</v>
      </c>
      <c r="DA152" s="51">
        <f t="shared" si="144"/>
        <v>0</v>
      </c>
      <c r="DB152" s="54">
        <f t="shared" si="145"/>
        <v>0</v>
      </c>
    </row>
    <row r="153" spans="1:106">
      <c r="A153" s="25">
        <v>91</v>
      </c>
      <c r="B153" s="51">
        <f t="shared" si="101"/>
        <v>-243</v>
      </c>
      <c r="C153" s="74">
        <f t="shared" si="122"/>
        <v>-7.1500000000000014E-4</v>
      </c>
      <c r="D153" s="52">
        <f t="shared" si="102"/>
        <v>0</v>
      </c>
      <c r="E153" s="53">
        <f t="shared" si="123"/>
        <v>0</v>
      </c>
      <c r="F153" s="51">
        <f t="shared" si="103"/>
        <v>0</v>
      </c>
      <c r="G153" s="52">
        <f t="shared" si="104"/>
        <v>0</v>
      </c>
      <c r="H153" s="51">
        <f t="shared" si="105"/>
        <v>0</v>
      </c>
      <c r="I153" s="51">
        <f t="shared" si="124"/>
        <v>0</v>
      </c>
      <c r="J153" s="54">
        <f t="shared" si="125"/>
        <v>0</v>
      </c>
      <c r="Y153" s="25">
        <v>91</v>
      </c>
      <c r="Z153" s="51">
        <f t="shared" si="106"/>
        <v>-243</v>
      </c>
      <c r="AA153" s="74">
        <f t="shared" si="126"/>
        <v>-4.6799972086410628E-4</v>
      </c>
      <c r="AB153" s="52">
        <f t="shared" si="107"/>
        <v>0</v>
      </c>
      <c r="AC153" s="53">
        <f t="shared" si="127"/>
        <v>0</v>
      </c>
      <c r="AD153" s="51">
        <f t="shared" si="128"/>
        <v>0</v>
      </c>
      <c r="AE153" s="52">
        <f t="shared" si="108"/>
        <v>0</v>
      </c>
      <c r="AF153" s="51">
        <f t="shared" si="109"/>
        <v>0</v>
      </c>
      <c r="AG153" s="51">
        <f t="shared" si="129"/>
        <v>0</v>
      </c>
      <c r="AH153" s="54">
        <f t="shared" si="130"/>
        <v>0</v>
      </c>
      <c r="AW153" s="25">
        <v>91</v>
      </c>
      <c r="AX153" s="51">
        <f t="shared" si="110"/>
        <v>-243</v>
      </c>
      <c r="AY153" s="74">
        <f t="shared" si="131"/>
        <v>-5.3379004034051849E-4</v>
      </c>
      <c r="AZ153" s="52">
        <f t="shared" si="111"/>
        <v>0</v>
      </c>
      <c r="BA153" s="53">
        <f t="shared" si="132"/>
        <v>0</v>
      </c>
      <c r="BB153" s="51">
        <f t="shared" si="133"/>
        <v>0</v>
      </c>
      <c r="BC153" s="52">
        <f t="shared" si="112"/>
        <v>0</v>
      </c>
      <c r="BD153" s="51">
        <f t="shared" si="113"/>
        <v>0</v>
      </c>
      <c r="BE153" s="51">
        <f t="shared" si="134"/>
        <v>0</v>
      </c>
      <c r="BF153" s="54">
        <f t="shared" si="135"/>
        <v>0</v>
      </c>
      <c r="BU153" s="25">
        <v>91</v>
      </c>
      <c r="BV153" s="51">
        <f t="shared" si="114"/>
        <v>-243</v>
      </c>
      <c r="BW153" s="74">
        <f t="shared" si="136"/>
        <v>-5.3655676745375277E-4</v>
      </c>
      <c r="BX153" s="52">
        <f t="shared" si="115"/>
        <v>0</v>
      </c>
      <c r="BY153" s="53">
        <f t="shared" si="137"/>
        <v>0</v>
      </c>
      <c r="BZ153" s="51">
        <f t="shared" si="138"/>
        <v>0</v>
      </c>
      <c r="CA153" s="52">
        <f t="shared" si="116"/>
        <v>0</v>
      </c>
      <c r="CB153" s="51">
        <f t="shared" si="117"/>
        <v>0</v>
      </c>
      <c r="CC153" s="51">
        <f t="shared" si="139"/>
        <v>0</v>
      </c>
      <c r="CD153" s="54">
        <f t="shared" si="140"/>
        <v>0</v>
      </c>
      <c r="CS153" s="25">
        <v>91</v>
      </c>
      <c r="CT153" s="51">
        <f t="shared" si="118"/>
        <v>-243</v>
      </c>
      <c r="CU153" s="74">
        <f t="shared" si="141"/>
        <v>-5.3656099929009484E-4</v>
      </c>
      <c r="CV153" s="52">
        <f t="shared" si="119"/>
        <v>0</v>
      </c>
      <c r="CW153" s="53">
        <f t="shared" si="142"/>
        <v>0</v>
      </c>
      <c r="CX153" s="51">
        <f t="shared" si="143"/>
        <v>0</v>
      </c>
      <c r="CY153" s="52">
        <f t="shared" si="120"/>
        <v>0</v>
      </c>
      <c r="CZ153" s="51">
        <f t="shared" si="121"/>
        <v>0</v>
      </c>
      <c r="DA153" s="51">
        <f t="shared" si="144"/>
        <v>0</v>
      </c>
      <c r="DB153" s="54">
        <f t="shared" si="145"/>
        <v>0</v>
      </c>
    </row>
    <row r="154" spans="1:106">
      <c r="A154" s="25">
        <v>92</v>
      </c>
      <c r="B154" s="51">
        <f t="shared" si="101"/>
        <v>-249</v>
      </c>
      <c r="C154" s="74">
        <f t="shared" si="122"/>
        <v>-7.45E-4</v>
      </c>
      <c r="D154" s="52">
        <f t="shared" si="102"/>
        <v>0</v>
      </c>
      <c r="E154" s="53">
        <f t="shared" si="123"/>
        <v>0</v>
      </c>
      <c r="F154" s="51">
        <f t="shared" si="103"/>
        <v>0</v>
      </c>
      <c r="G154" s="52">
        <f t="shared" si="104"/>
        <v>0</v>
      </c>
      <c r="H154" s="51">
        <f t="shared" si="105"/>
        <v>0</v>
      </c>
      <c r="I154" s="51">
        <f t="shared" si="124"/>
        <v>0</v>
      </c>
      <c r="J154" s="54">
        <f t="shared" si="125"/>
        <v>0</v>
      </c>
      <c r="Y154" s="25">
        <v>92</v>
      </c>
      <c r="Z154" s="51">
        <f t="shared" si="106"/>
        <v>-249</v>
      </c>
      <c r="AA154" s="74">
        <f t="shared" si="126"/>
        <v>-4.8366187030734938E-4</v>
      </c>
      <c r="AB154" s="52">
        <f t="shared" si="107"/>
        <v>0</v>
      </c>
      <c r="AC154" s="53">
        <f t="shared" si="127"/>
        <v>0</v>
      </c>
      <c r="AD154" s="51">
        <f t="shared" si="128"/>
        <v>0</v>
      </c>
      <c r="AE154" s="52">
        <f t="shared" si="108"/>
        <v>0</v>
      </c>
      <c r="AF154" s="51">
        <f t="shared" si="109"/>
        <v>0</v>
      </c>
      <c r="AG154" s="51">
        <f t="shared" si="129"/>
        <v>0</v>
      </c>
      <c r="AH154" s="54">
        <f t="shared" si="130"/>
        <v>0</v>
      </c>
      <c r="AW154" s="25">
        <v>92</v>
      </c>
      <c r="AX154" s="51">
        <f t="shared" si="110"/>
        <v>-249</v>
      </c>
      <c r="AY154" s="74">
        <f t="shared" si="131"/>
        <v>-5.5248647340831909E-4</v>
      </c>
      <c r="AZ154" s="52">
        <f t="shared" si="111"/>
        <v>0</v>
      </c>
      <c r="BA154" s="53">
        <f t="shared" si="132"/>
        <v>0</v>
      </c>
      <c r="BB154" s="51">
        <f t="shared" si="133"/>
        <v>0</v>
      </c>
      <c r="BC154" s="52">
        <f t="shared" si="112"/>
        <v>0</v>
      </c>
      <c r="BD154" s="51">
        <f t="shared" si="113"/>
        <v>0</v>
      </c>
      <c r="BE154" s="51">
        <f t="shared" si="134"/>
        <v>0</v>
      </c>
      <c r="BF154" s="54">
        <f t="shared" si="135"/>
        <v>0</v>
      </c>
      <c r="BU154" s="25">
        <v>92</v>
      </c>
      <c r="BV154" s="51">
        <f t="shared" si="114"/>
        <v>-249</v>
      </c>
      <c r="BW154" s="74">
        <f t="shared" si="136"/>
        <v>-5.5537846081485072E-4</v>
      </c>
      <c r="BX154" s="52">
        <f t="shared" si="115"/>
        <v>0</v>
      </c>
      <c r="BY154" s="53">
        <f t="shared" si="137"/>
        <v>0</v>
      </c>
      <c r="BZ154" s="51">
        <f t="shared" si="138"/>
        <v>0</v>
      </c>
      <c r="CA154" s="52">
        <f t="shared" si="116"/>
        <v>0</v>
      </c>
      <c r="CB154" s="51">
        <f t="shared" si="117"/>
        <v>0</v>
      </c>
      <c r="CC154" s="51">
        <f t="shared" si="139"/>
        <v>0</v>
      </c>
      <c r="CD154" s="54">
        <f t="shared" si="140"/>
        <v>0</v>
      </c>
      <c r="CS154" s="25">
        <v>92</v>
      </c>
      <c r="CT154" s="51">
        <f t="shared" si="118"/>
        <v>-249</v>
      </c>
      <c r="CU154" s="74">
        <f t="shared" si="141"/>
        <v>-5.553828985319499E-4</v>
      </c>
      <c r="CV154" s="52">
        <f t="shared" si="119"/>
        <v>0</v>
      </c>
      <c r="CW154" s="53">
        <f t="shared" si="142"/>
        <v>0</v>
      </c>
      <c r="CX154" s="51">
        <f t="shared" si="143"/>
        <v>0</v>
      </c>
      <c r="CY154" s="52">
        <f t="shared" si="120"/>
        <v>0</v>
      </c>
      <c r="CZ154" s="51">
        <f t="shared" si="121"/>
        <v>0</v>
      </c>
      <c r="DA154" s="51">
        <f t="shared" si="144"/>
        <v>0</v>
      </c>
      <c r="DB154" s="54">
        <f t="shared" si="145"/>
        <v>0</v>
      </c>
    </row>
    <row r="155" spans="1:106">
      <c r="A155" s="25">
        <v>93</v>
      </c>
      <c r="B155" s="51">
        <f t="shared" si="101"/>
        <v>-255</v>
      </c>
      <c r="C155" s="74">
        <f t="shared" si="122"/>
        <v>-7.7500000000000008E-4</v>
      </c>
      <c r="D155" s="52">
        <f t="shared" si="102"/>
        <v>0</v>
      </c>
      <c r="E155" s="53">
        <f t="shared" si="123"/>
        <v>0</v>
      </c>
      <c r="F155" s="51">
        <f t="shared" si="103"/>
        <v>0</v>
      </c>
      <c r="G155" s="52">
        <f t="shared" si="104"/>
        <v>0</v>
      </c>
      <c r="H155" s="51">
        <f t="shared" si="105"/>
        <v>0</v>
      </c>
      <c r="I155" s="51">
        <f t="shared" si="124"/>
        <v>0</v>
      </c>
      <c r="J155" s="54">
        <f t="shared" si="125"/>
        <v>0</v>
      </c>
      <c r="Y155" s="25">
        <v>93</v>
      </c>
      <c r="Z155" s="51">
        <f t="shared" si="106"/>
        <v>-255</v>
      </c>
      <c r="AA155" s="74">
        <f t="shared" si="126"/>
        <v>-4.9932401975059243E-4</v>
      </c>
      <c r="AB155" s="52">
        <f t="shared" si="107"/>
        <v>0</v>
      </c>
      <c r="AC155" s="53">
        <f t="shared" si="127"/>
        <v>0</v>
      </c>
      <c r="AD155" s="51">
        <f t="shared" si="128"/>
        <v>0</v>
      </c>
      <c r="AE155" s="52">
        <f t="shared" si="108"/>
        <v>0</v>
      </c>
      <c r="AF155" s="51">
        <f t="shared" si="109"/>
        <v>0</v>
      </c>
      <c r="AG155" s="51">
        <f t="shared" si="129"/>
        <v>0</v>
      </c>
      <c r="AH155" s="54">
        <f t="shared" si="130"/>
        <v>0</v>
      </c>
      <c r="AW155" s="25">
        <v>93</v>
      </c>
      <c r="AX155" s="51">
        <f t="shared" si="110"/>
        <v>-255</v>
      </c>
      <c r="AY155" s="74">
        <f t="shared" si="131"/>
        <v>-5.7118290647611958E-4</v>
      </c>
      <c r="AZ155" s="52">
        <f t="shared" si="111"/>
        <v>0</v>
      </c>
      <c r="BA155" s="53">
        <f t="shared" si="132"/>
        <v>0</v>
      </c>
      <c r="BB155" s="51">
        <f t="shared" si="133"/>
        <v>0</v>
      </c>
      <c r="BC155" s="52">
        <f t="shared" si="112"/>
        <v>0</v>
      </c>
      <c r="BD155" s="51">
        <f t="shared" si="113"/>
        <v>0</v>
      </c>
      <c r="BE155" s="51">
        <f t="shared" si="134"/>
        <v>0</v>
      </c>
      <c r="BF155" s="54">
        <f t="shared" si="135"/>
        <v>0</v>
      </c>
      <c r="BU155" s="25">
        <v>93</v>
      </c>
      <c r="BV155" s="51">
        <f t="shared" si="114"/>
        <v>-255</v>
      </c>
      <c r="BW155" s="74">
        <f t="shared" si="136"/>
        <v>-5.7420015417594878E-4</v>
      </c>
      <c r="BX155" s="52">
        <f t="shared" si="115"/>
        <v>0</v>
      </c>
      <c r="BY155" s="53">
        <f t="shared" si="137"/>
        <v>0</v>
      </c>
      <c r="BZ155" s="51">
        <f t="shared" si="138"/>
        <v>0</v>
      </c>
      <c r="CA155" s="52">
        <f t="shared" si="116"/>
        <v>0</v>
      </c>
      <c r="CB155" s="51">
        <f t="shared" si="117"/>
        <v>0</v>
      </c>
      <c r="CC155" s="51">
        <f t="shared" si="139"/>
        <v>0</v>
      </c>
      <c r="CD155" s="54">
        <f t="shared" si="140"/>
        <v>0</v>
      </c>
      <c r="CS155" s="25">
        <v>93</v>
      </c>
      <c r="CT155" s="51">
        <f t="shared" si="118"/>
        <v>-255</v>
      </c>
      <c r="CU155" s="74">
        <f t="shared" si="141"/>
        <v>-5.7420479777380517E-4</v>
      </c>
      <c r="CV155" s="52">
        <f t="shared" si="119"/>
        <v>0</v>
      </c>
      <c r="CW155" s="53">
        <f t="shared" si="142"/>
        <v>0</v>
      </c>
      <c r="CX155" s="51">
        <f t="shared" si="143"/>
        <v>0</v>
      </c>
      <c r="CY155" s="52">
        <f t="shared" si="120"/>
        <v>0</v>
      </c>
      <c r="CZ155" s="51">
        <f t="shared" si="121"/>
        <v>0</v>
      </c>
      <c r="DA155" s="51">
        <f t="shared" si="144"/>
        <v>0</v>
      </c>
      <c r="DB155" s="54">
        <f t="shared" si="145"/>
        <v>0</v>
      </c>
    </row>
    <row r="156" spans="1:106">
      <c r="A156" s="25">
        <v>94</v>
      </c>
      <c r="B156" s="51">
        <f t="shared" si="101"/>
        <v>-261</v>
      </c>
      <c r="C156" s="74">
        <f t="shared" si="122"/>
        <v>-8.0500000000000016E-4</v>
      </c>
      <c r="D156" s="52">
        <f t="shared" si="102"/>
        <v>0</v>
      </c>
      <c r="E156" s="53">
        <f t="shared" si="123"/>
        <v>0</v>
      </c>
      <c r="F156" s="51">
        <f t="shared" si="103"/>
        <v>0</v>
      </c>
      <c r="G156" s="52">
        <f t="shared" si="104"/>
        <v>0</v>
      </c>
      <c r="H156" s="51">
        <f t="shared" si="105"/>
        <v>0</v>
      </c>
      <c r="I156" s="51">
        <f t="shared" si="124"/>
        <v>0</v>
      </c>
      <c r="J156" s="54">
        <f t="shared" si="125"/>
        <v>0</v>
      </c>
      <c r="Y156" s="25">
        <v>94</v>
      </c>
      <c r="Z156" s="51">
        <f t="shared" si="106"/>
        <v>-261</v>
      </c>
      <c r="AA156" s="74">
        <f t="shared" si="126"/>
        <v>-5.1498616919383542E-4</v>
      </c>
      <c r="AB156" s="52">
        <f t="shared" si="107"/>
        <v>0</v>
      </c>
      <c r="AC156" s="53">
        <f t="shared" si="127"/>
        <v>0</v>
      </c>
      <c r="AD156" s="51">
        <f t="shared" si="128"/>
        <v>0</v>
      </c>
      <c r="AE156" s="52">
        <f t="shared" si="108"/>
        <v>0</v>
      </c>
      <c r="AF156" s="51">
        <f t="shared" si="109"/>
        <v>0</v>
      </c>
      <c r="AG156" s="51">
        <f t="shared" si="129"/>
        <v>0</v>
      </c>
      <c r="AH156" s="54">
        <f t="shared" si="130"/>
        <v>0</v>
      </c>
      <c r="AW156" s="25">
        <v>94</v>
      </c>
      <c r="AX156" s="51">
        <f t="shared" si="110"/>
        <v>-261</v>
      </c>
      <c r="AY156" s="74">
        <f t="shared" si="131"/>
        <v>-5.8987933954392018E-4</v>
      </c>
      <c r="AZ156" s="52">
        <f t="shared" si="111"/>
        <v>0</v>
      </c>
      <c r="BA156" s="53">
        <f t="shared" si="132"/>
        <v>0</v>
      </c>
      <c r="BB156" s="51">
        <f t="shared" si="133"/>
        <v>0</v>
      </c>
      <c r="BC156" s="52">
        <f t="shared" si="112"/>
        <v>0</v>
      </c>
      <c r="BD156" s="51">
        <f t="shared" si="113"/>
        <v>0</v>
      </c>
      <c r="BE156" s="51">
        <f t="shared" si="134"/>
        <v>0</v>
      </c>
      <c r="BF156" s="54">
        <f t="shared" si="135"/>
        <v>0</v>
      </c>
      <c r="BU156" s="25">
        <v>94</v>
      </c>
      <c r="BV156" s="51">
        <f t="shared" si="114"/>
        <v>-261</v>
      </c>
      <c r="BW156" s="74">
        <f t="shared" si="136"/>
        <v>-5.9302184753704673E-4</v>
      </c>
      <c r="BX156" s="52">
        <f t="shared" si="115"/>
        <v>0</v>
      </c>
      <c r="BY156" s="53">
        <f t="shared" si="137"/>
        <v>0</v>
      </c>
      <c r="BZ156" s="51">
        <f t="shared" si="138"/>
        <v>0</v>
      </c>
      <c r="CA156" s="52">
        <f t="shared" si="116"/>
        <v>0</v>
      </c>
      <c r="CB156" s="51">
        <f t="shared" si="117"/>
        <v>0</v>
      </c>
      <c r="CC156" s="51">
        <f t="shared" si="139"/>
        <v>0</v>
      </c>
      <c r="CD156" s="54">
        <f t="shared" si="140"/>
        <v>0</v>
      </c>
      <c r="CS156" s="25">
        <v>94</v>
      </c>
      <c r="CT156" s="51">
        <f t="shared" si="118"/>
        <v>-261</v>
      </c>
      <c r="CU156" s="74">
        <f t="shared" si="141"/>
        <v>-5.9302669701566044E-4</v>
      </c>
      <c r="CV156" s="52">
        <f t="shared" si="119"/>
        <v>0</v>
      </c>
      <c r="CW156" s="53">
        <f t="shared" si="142"/>
        <v>0</v>
      </c>
      <c r="CX156" s="51">
        <f t="shared" si="143"/>
        <v>0</v>
      </c>
      <c r="CY156" s="52">
        <f t="shared" si="120"/>
        <v>0</v>
      </c>
      <c r="CZ156" s="51">
        <f t="shared" si="121"/>
        <v>0</v>
      </c>
      <c r="DA156" s="51">
        <f t="shared" si="144"/>
        <v>0</v>
      </c>
      <c r="DB156" s="54">
        <f t="shared" si="145"/>
        <v>0</v>
      </c>
    </row>
    <row r="157" spans="1:106">
      <c r="A157" s="25">
        <v>95</v>
      </c>
      <c r="B157" s="51">
        <f t="shared" si="101"/>
        <v>-267</v>
      </c>
      <c r="C157" s="74">
        <f t="shared" si="122"/>
        <v>-8.3500000000000002E-4</v>
      </c>
      <c r="D157" s="52">
        <f t="shared" si="102"/>
        <v>0</v>
      </c>
      <c r="E157" s="53">
        <f t="shared" si="123"/>
        <v>0</v>
      </c>
      <c r="F157" s="51">
        <f t="shared" si="103"/>
        <v>0</v>
      </c>
      <c r="G157" s="52">
        <f t="shared" si="104"/>
        <v>0</v>
      </c>
      <c r="H157" s="51">
        <f t="shared" si="105"/>
        <v>0</v>
      </c>
      <c r="I157" s="51">
        <f t="shared" si="124"/>
        <v>0</v>
      </c>
      <c r="J157" s="54">
        <f t="shared" si="125"/>
        <v>0</v>
      </c>
      <c r="Y157" s="25">
        <v>95</v>
      </c>
      <c r="Z157" s="51">
        <f t="shared" si="106"/>
        <v>-267</v>
      </c>
      <c r="AA157" s="74">
        <f t="shared" si="126"/>
        <v>-5.3064831863707841E-4</v>
      </c>
      <c r="AB157" s="52">
        <f t="shared" si="107"/>
        <v>0</v>
      </c>
      <c r="AC157" s="53">
        <f t="shared" si="127"/>
        <v>0</v>
      </c>
      <c r="AD157" s="51">
        <f t="shared" si="128"/>
        <v>0</v>
      </c>
      <c r="AE157" s="52">
        <f t="shared" si="108"/>
        <v>0</v>
      </c>
      <c r="AF157" s="51">
        <f t="shared" si="109"/>
        <v>0</v>
      </c>
      <c r="AG157" s="51">
        <f t="shared" si="129"/>
        <v>0</v>
      </c>
      <c r="AH157" s="54">
        <f t="shared" si="130"/>
        <v>0</v>
      </c>
      <c r="AW157" s="25">
        <v>95</v>
      </c>
      <c r="AX157" s="51">
        <f t="shared" si="110"/>
        <v>-267</v>
      </c>
      <c r="AY157" s="74">
        <f t="shared" si="131"/>
        <v>-6.0857577261172067E-4</v>
      </c>
      <c r="AZ157" s="52">
        <f t="shared" si="111"/>
        <v>0</v>
      </c>
      <c r="BA157" s="53">
        <f t="shared" si="132"/>
        <v>0</v>
      </c>
      <c r="BB157" s="51">
        <f t="shared" si="133"/>
        <v>0</v>
      </c>
      <c r="BC157" s="52">
        <f t="shared" si="112"/>
        <v>0</v>
      </c>
      <c r="BD157" s="51">
        <f t="shared" si="113"/>
        <v>0</v>
      </c>
      <c r="BE157" s="51">
        <f t="shared" si="134"/>
        <v>0</v>
      </c>
      <c r="BF157" s="54">
        <f t="shared" si="135"/>
        <v>0</v>
      </c>
      <c r="BU157" s="25">
        <v>95</v>
      </c>
      <c r="BV157" s="51">
        <f t="shared" si="114"/>
        <v>-267</v>
      </c>
      <c r="BW157" s="74">
        <f t="shared" si="136"/>
        <v>-6.1184354089814479E-4</v>
      </c>
      <c r="BX157" s="52">
        <f t="shared" si="115"/>
        <v>0</v>
      </c>
      <c r="BY157" s="53">
        <f t="shared" si="137"/>
        <v>0</v>
      </c>
      <c r="BZ157" s="51">
        <f t="shared" si="138"/>
        <v>0</v>
      </c>
      <c r="CA157" s="52">
        <f t="shared" si="116"/>
        <v>0</v>
      </c>
      <c r="CB157" s="51">
        <f t="shared" si="117"/>
        <v>0</v>
      </c>
      <c r="CC157" s="51">
        <f t="shared" si="139"/>
        <v>0</v>
      </c>
      <c r="CD157" s="54">
        <f t="shared" si="140"/>
        <v>0</v>
      </c>
      <c r="CS157" s="25">
        <v>95</v>
      </c>
      <c r="CT157" s="51">
        <f t="shared" si="118"/>
        <v>-267</v>
      </c>
      <c r="CU157" s="74">
        <f t="shared" si="141"/>
        <v>-6.1184859625751571E-4</v>
      </c>
      <c r="CV157" s="52">
        <f t="shared" si="119"/>
        <v>0</v>
      </c>
      <c r="CW157" s="53">
        <f t="shared" si="142"/>
        <v>0</v>
      </c>
      <c r="CX157" s="51">
        <f t="shared" si="143"/>
        <v>0</v>
      </c>
      <c r="CY157" s="52">
        <f t="shared" si="120"/>
        <v>0</v>
      </c>
      <c r="CZ157" s="51">
        <f t="shared" si="121"/>
        <v>0</v>
      </c>
      <c r="DA157" s="51">
        <f t="shared" si="144"/>
        <v>0</v>
      </c>
      <c r="DB157" s="54">
        <f t="shared" si="145"/>
        <v>0</v>
      </c>
    </row>
    <row r="158" spans="1:106">
      <c r="A158" s="25">
        <v>96</v>
      </c>
      <c r="B158" s="51">
        <f t="shared" si="101"/>
        <v>-273</v>
      </c>
      <c r="C158" s="74">
        <f t="shared" si="122"/>
        <v>-8.650000000000001E-4</v>
      </c>
      <c r="D158" s="52">
        <f t="shared" si="102"/>
        <v>0</v>
      </c>
      <c r="E158" s="53">
        <f t="shared" si="123"/>
        <v>0</v>
      </c>
      <c r="F158" s="51">
        <f t="shared" si="103"/>
        <v>0</v>
      </c>
      <c r="G158" s="52">
        <f t="shared" si="104"/>
        <v>0</v>
      </c>
      <c r="H158" s="51">
        <f t="shared" si="105"/>
        <v>0</v>
      </c>
      <c r="I158" s="51">
        <f t="shared" si="124"/>
        <v>0</v>
      </c>
      <c r="J158" s="54">
        <f t="shared" si="125"/>
        <v>0</v>
      </c>
      <c r="Y158" s="25">
        <v>96</v>
      </c>
      <c r="Z158" s="51">
        <f t="shared" si="106"/>
        <v>-273</v>
      </c>
      <c r="AA158" s="74">
        <f t="shared" si="126"/>
        <v>-5.4631046808032162E-4</v>
      </c>
      <c r="AB158" s="52">
        <f t="shared" si="107"/>
        <v>0</v>
      </c>
      <c r="AC158" s="53">
        <f t="shared" si="127"/>
        <v>0</v>
      </c>
      <c r="AD158" s="51">
        <f t="shared" si="128"/>
        <v>0</v>
      </c>
      <c r="AE158" s="52">
        <f t="shared" si="108"/>
        <v>0</v>
      </c>
      <c r="AF158" s="51">
        <f t="shared" si="109"/>
        <v>0</v>
      </c>
      <c r="AG158" s="51">
        <f t="shared" si="129"/>
        <v>0</v>
      </c>
      <c r="AH158" s="54">
        <f t="shared" si="130"/>
        <v>0</v>
      </c>
      <c r="AW158" s="25">
        <v>96</v>
      </c>
      <c r="AX158" s="51">
        <f t="shared" si="110"/>
        <v>-273</v>
      </c>
      <c r="AY158" s="74">
        <f t="shared" si="131"/>
        <v>-6.2727220567952127E-4</v>
      </c>
      <c r="AZ158" s="52">
        <f t="shared" si="111"/>
        <v>0</v>
      </c>
      <c r="BA158" s="53">
        <f t="shared" si="132"/>
        <v>0</v>
      </c>
      <c r="BB158" s="51">
        <f t="shared" si="133"/>
        <v>0</v>
      </c>
      <c r="BC158" s="52">
        <f t="shared" si="112"/>
        <v>0</v>
      </c>
      <c r="BD158" s="51">
        <f t="shared" si="113"/>
        <v>0</v>
      </c>
      <c r="BE158" s="51">
        <f t="shared" si="134"/>
        <v>0</v>
      </c>
      <c r="BF158" s="54">
        <f t="shared" si="135"/>
        <v>0</v>
      </c>
      <c r="BU158" s="25">
        <v>96</v>
      </c>
      <c r="BV158" s="51">
        <f t="shared" si="114"/>
        <v>-273</v>
      </c>
      <c r="BW158" s="74">
        <f t="shared" si="136"/>
        <v>-6.3066523425924273E-4</v>
      </c>
      <c r="BX158" s="52">
        <f t="shared" si="115"/>
        <v>0</v>
      </c>
      <c r="BY158" s="53">
        <f t="shared" si="137"/>
        <v>0</v>
      </c>
      <c r="BZ158" s="51">
        <f t="shared" si="138"/>
        <v>0</v>
      </c>
      <c r="CA158" s="52">
        <f t="shared" si="116"/>
        <v>0</v>
      </c>
      <c r="CB158" s="51">
        <f t="shared" si="117"/>
        <v>0</v>
      </c>
      <c r="CC158" s="51">
        <f t="shared" si="139"/>
        <v>0</v>
      </c>
      <c r="CD158" s="54">
        <f t="shared" si="140"/>
        <v>0</v>
      </c>
      <c r="CS158" s="25">
        <v>96</v>
      </c>
      <c r="CT158" s="51">
        <f t="shared" si="118"/>
        <v>-273</v>
      </c>
      <c r="CU158" s="74">
        <f t="shared" si="141"/>
        <v>-6.3067049549937076E-4</v>
      </c>
      <c r="CV158" s="52">
        <f t="shared" si="119"/>
        <v>0</v>
      </c>
      <c r="CW158" s="53">
        <f t="shared" si="142"/>
        <v>0</v>
      </c>
      <c r="CX158" s="51">
        <f t="shared" si="143"/>
        <v>0</v>
      </c>
      <c r="CY158" s="52">
        <f t="shared" si="120"/>
        <v>0</v>
      </c>
      <c r="CZ158" s="51">
        <f t="shared" si="121"/>
        <v>0</v>
      </c>
      <c r="DA158" s="51">
        <f t="shared" si="144"/>
        <v>0</v>
      </c>
      <c r="DB158" s="54">
        <f t="shared" si="145"/>
        <v>0</v>
      </c>
    </row>
    <row r="159" spans="1:106">
      <c r="A159" s="25">
        <v>97</v>
      </c>
      <c r="B159" s="51">
        <f t="shared" si="101"/>
        <v>-279</v>
      </c>
      <c r="C159" s="74">
        <f t="shared" si="122"/>
        <v>-8.9500000000000018E-4</v>
      </c>
      <c r="D159" s="52">
        <f t="shared" si="102"/>
        <v>0</v>
      </c>
      <c r="E159" s="53">
        <f t="shared" si="123"/>
        <v>0</v>
      </c>
      <c r="F159" s="51">
        <f t="shared" si="103"/>
        <v>0</v>
      </c>
      <c r="G159" s="52">
        <f t="shared" si="104"/>
        <v>0</v>
      </c>
      <c r="H159" s="51">
        <f t="shared" ref="H159:H190" si="146">+G159*$M$53</f>
        <v>0</v>
      </c>
      <c r="I159" s="51">
        <f t="shared" si="124"/>
        <v>0</v>
      </c>
      <c r="J159" s="54">
        <f t="shared" si="125"/>
        <v>0</v>
      </c>
      <c r="Y159" s="25">
        <v>97</v>
      </c>
      <c r="Z159" s="51">
        <f t="shared" si="106"/>
        <v>-279</v>
      </c>
      <c r="AA159" s="74">
        <f t="shared" si="126"/>
        <v>-5.6197261752356461E-4</v>
      </c>
      <c r="AB159" s="52">
        <f t="shared" si="107"/>
        <v>0</v>
      </c>
      <c r="AC159" s="53">
        <f t="shared" si="127"/>
        <v>0</v>
      </c>
      <c r="AD159" s="51">
        <f t="shared" si="128"/>
        <v>0</v>
      </c>
      <c r="AE159" s="52">
        <f t="shared" si="108"/>
        <v>0</v>
      </c>
      <c r="AF159" s="51">
        <f t="shared" ref="AF159:AF190" si="147">+AE159*$M$53</f>
        <v>0</v>
      </c>
      <c r="AG159" s="51">
        <f t="shared" si="129"/>
        <v>0</v>
      </c>
      <c r="AH159" s="54">
        <f t="shared" si="130"/>
        <v>0</v>
      </c>
      <c r="AW159" s="25">
        <v>97</v>
      </c>
      <c r="AX159" s="51">
        <f t="shared" si="110"/>
        <v>-279</v>
      </c>
      <c r="AY159" s="74">
        <f t="shared" si="131"/>
        <v>-6.4596863874732176E-4</v>
      </c>
      <c r="AZ159" s="52">
        <f t="shared" si="111"/>
        <v>0</v>
      </c>
      <c r="BA159" s="53">
        <f t="shared" si="132"/>
        <v>0</v>
      </c>
      <c r="BB159" s="51">
        <f t="shared" si="133"/>
        <v>0</v>
      </c>
      <c r="BC159" s="52">
        <f t="shared" si="112"/>
        <v>0</v>
      </c>
      <c r="BD159" s="51">
        <f t="shared" ref="BD159:BD190" si="148">+BC159*$M$53</f>
        <v>0</v>
      </c>
      <c r="BE159" s="51">
        <f t="shared" si="134"/>
        <v>0</v>
      </c>
      <c r="BF159" s="54">
        <f t="shared" si="135"/>
        <v>0</v>
      </c>
      <c r="BU159" s="25">
        <v>97</v>
      </c>
      <c r="BV159" s="51">
        <f t="shared" si="114"/>
        <v>-279</v>
      </c>
      <c r="BW159" s="74">
        <f t="shared" si="136"/>
        <v>-6.4948692762034079E-4</v>
      </c>
      <c r="BX159" s="52">
        <f t="shared" si="115"/>
        <v>0</v>
      </c>
      <c r="BY159" s="53">
        <f t="shared" si="137"/>
        <v>0</v>
      </c>
      <c r="BZ159" s="51">
        <f t="shared" si="138"/>
        <v>0</v>
      </c>
      <c r="CA159" s="52">
        <f t="shared" si="116"/>
        <v>0</v>
      </c>
      <c r="CB159" s="51">
        <f t="shared" ref="CB159:CB190" si="149">+CA159*$M$53</f>
        <v>0</v>
      </c>
      <c r="CC159" s="51">
        <f t="shared" si="139"/>
        <v>0</v>
      </c>
      <c r="CD159" s="54">
        <f t="shared" si="140"/>
        <v>0</v>
      </c>
      <c r="CS159" s="25">
        <v>97</v>
      </c>
      <c r="CT159" s="51">
        <f t="shared" si="118"/>
        <v>-279</v>
      </c>
      <c r="CU159" s="74">
        <f t="shared" si="141"/>
        <v>-6.4949239474122603E-4</v>
      </c>
      <c r="CV159" s="52">
        <f t="shared" si="119"/>
        <v>0</v>
      </c>
      <c r="CW159" s="53">
        <f t="shared" si="142"/>
        <v>0</v>
      </c>
      <c r="CX159" s="51">
        <f t="shared" si="143"/>
        <v>0</v>
      </c>
      <c r="CY159" s="52">
        <f t="shared" si="120"/>
        <v>0</v>
      </c>
      <c r="CZ159" s="51">
        <f t="shared" ref="CZ159:CZ190" si="150">+CY159*$M$53</f>
        <v>0</v>
      </c>
      <c r="DA159" s="51">
        <f t="shared" si="144"/>
        <v>0</v>
      </c>
      <c r="DB159" s="54">
        <f t="shared" si="145"/>
        <v>0</v>
      </c>
    </row>
    <row r="160" spans="1:106">
      <c r="A160" s="25">
        <v>98</v>
      </c>
      <c r="B160" s="51">
        <f t="shared" si="101"/>
        <v>-285</v>
      </c>
      <c r="C160" s="74">
        <f t="shared" si="122"/>
        <v>-9.2500000000000004E-4</v>
      </c>
      <c r="D160" s="52">
        <f t="shared" si="102"/>
        <v>0</v>
      </c>
      <c r="E160" s="53">
        <f t="shared" si="123"/>
        <v>0</v>
      </c>
      <c r="F160" s="51">
        <f t="shared" si="103"/>
        <v>0</v>
      </c>
      <c r="G160" s="52">
        <f t="shared" si="104"/>
        <v>0</v>
      </c>
      <c r="H160" s="51">
        <f t="shared" si="146"/>
        <v>0</v>
      </c>
      <c r="I160" s="51">
        <f t="shared" si="124"/>
        <v>0</v>
      </c>
      <c r="J160" s="54">
        <f t="shared" si="125"/>
        <v>0</v>
      </c>
      <c r="Y160" s="25">
        <v>98</v>
      </c>
      <c r="Z160" s="51">
        <f t="shared" si="106"/>
        <v>-285</v>
      </c>
      <c r="AA160" s="74">
        <f t="shared" si="126"/>
        <v>-5.776347669668076E-4</v>
      </c>
      <c r="AB160" s="52">
        <f t="shared" si="107"/>
        <v>0</v>
      </c>
      <c r="AC160" s="53">
        <f t="shared" si="127"/>
        <v>0</v>
      </c>
      <c r="AD160" s="51">
        <f t="shared" si="128"/>
        <v>0</v>
      </c>
      <c r="AE160" s="52">
        <f t="shared" si="108"/>
        <v>0</v>
      </c>
      <c r="AF160" s="51">
        <f t="shared" si="147"/>
        <v>0</v>
      </c>
      <c r="AG160" s="51">
        <f t="shared" si="129"/>
        <v>0</v>
      </c>
      <c r="AH160" s="54">
        <f t="shared" si="130"/>
        <v>0</v>
      </c>
      <c r="AW160" s="25">
        <v>98</v>
      </c>
      <c r="AX160" s="51">
        <f t="shared" si="110"/>
        <v>-285</v>
      </c>
      <c r="AY160" s="74">
        <f t="shared" si="131"/>
        <v>-6.6466507181512236E-4</v>
      </c>
      <c r="AZ160" s="52">
        <f t="shared" si="111"/>
        <v>0</v>
      </c>
      <c r="BA160" s="53">
        <f t="shared" si="132"/>
        <v>0</v>
      </c>
      <c r="BB160" s="51">
        <f t="shared" si="133"/>
        <v>0</v>
      </c>
      <c r="BC160" s="52">
        <f t="shared" si="112"/>
        <v>0</v>
      </c>
      <c r="BD160" s="51">
        <f t="shared" si="148"/>
        <v>0</v>
      </c>
      <c r="BE160" s="51">
        <f t="shared" si="134"/>
        <v>0</v>
      </c>
      <c r="BF160" s="54">
        <f t="shared" si="135"/>
        <v>0</v>
      </c>
      <c r="BU160" s="25">
        <v>98</v>
      </c>
      <c r="BV160" s="51">
        <f t="shared" si="114"/>
        <v>-285</v>
      </c>
      <c r="BW160" s="74">
        <f t="shared" si="136"/>
        <v>-6.6830862098143874E-4</v>
      </c>
      <c r="BX160" s="52">
        <f t="shared" si="115"/>
        <v>0</v>
      </c>
      <c r="BY160" s="53">
        <f t="shared" si="137"/>
        <v>0</v>
      </c>
      <c r="BZ160" s="51">
        <f t="shared" si="138"/>
        <v>0</v>
      </c>
      <c r="CA160" s="52">
        <f t="shared" si="116"/>
        <v>0</v>
      </c>
      <c r="CB160" s="51">
        <f t="shared" si="149"/>
        <v>0</v>
      </c>
      <c r="CC160" s="51">
        <f t="shared" si="139"/>
        <v>0</v>
      </c>
      <c r="CD160" s="54">
        <f t="shared" si="140"/>
        <v>0</v>
      </c>
      <c r="CS160" s="25">
        <v>98</v>
      </c>
      <c r="CT160" s="51">
        <f t="shared" si="118"/>
        <v>-285</v>
      </c>
      <c r="CU160" s="74">
        <f t="shared" si="141"/>
        <v>-6.683142939830813E-4</v>
      </c>
      <c r="CV160" s="52">
        <f t="shared" si="119"/>
        <v>0</v>
      </c>
      <c r="CW160" s="53">
        <f t="shared" si="142"/>
        <v>0</v>
      </c>
      <c r="CX160" s="51">
        <f t="shared" si="143"/>
        <v>0</v>
      </c>
      <c r="CY160" s="52">
        <f t="shared" si="120"/>
        <v>0</v>
      </c>
      <c r="CZ160" s="51">
        <f t="shared" si="150"/>
        <v>0</v>
      </c>
      <c r="DA160" s="51">
        <f t="shared" si="144"/>
        <v>0</v>
      </c>
      <c r="DB160" s="54">
        <f t="shared" si="145"/>
        <v>0</v>
      </c>
    </row>
    <row r="161" spans="1:106">
      <c r="A161" s="25">
        <v>99</v>
      </c>
      <c r="B161" s="51">
        <f t="shared" si="101"/>
        <v>-291</v>
      </c>
      <c r="C161" s="74">
        <f t="shared" si="122"/>
        <v>-9.5500000000000012E-4</v>
      </c>
      <c r="D161" s="52">
        <f t="shared" si="102"/>
        <v>0</v>
      </c>
      <c r="E161" s="53">
        <f t="shared" si="123"/>
        <v>0</v>
      </c>
      <c r="F161" s="51">
        <f t="shared" si="103"/>
        <v>0</v>
      </c>
      <c r="G161" s="52">
        <f t="shared" si="104"/>
        <v>0</v>
      </c>
      <c r="H161" s="51">
        <f t="shared" si="146"/>
        <v>0</v>
      </c>
      <c r="I161" s="51">
        <f t="shared" si="124"/>
        <v>0</v>
      </c>
      <c r="J161" s="54">
        <f t="shared" si="125"/>
        <v>0</v>
      </c>
      <c r="Y161" s="25">
        <v>99</v>
      </c>
      <c r="Z161" s="51">
        <f t="shared" si="106"/>
        <v>-291</v>
      </c>
      <c r="AA161" s="74">
        <f t="shared" si="126"/>
        <v>-5.9329691641005081E-4</v>
      </c>
      <c r="AB161" s="52">
        <f t="shared" si="107"/>
        <v>0</v>
      </c>
      <c r="AC161" s="53">
        <f t="shared" si="127"/>
        <v>0</v>
      </c>
      <c r="AD161" s="51">
        <f t="shared" si="128"/>
        <v>0</v>
      </c>
      <c r="AE161" s="52">
        <f t="shared" si="108"/>
        <v>0</v>
      </c>
      <c r="AF161" s="51">
        <f t="shared" si="147"/>
        <v>0</v>
      </c>
      <c r="AG161" s="51">
        <f t="shared" si="129"/>
        <v>0</v>
      </c>
      <c r="AH161" s="54">
        <f t="shared" si="130"/>
        <v>0</v>
      </c>
      <c r="AW161" s="25">
        <v>99</v>
      </c>
      <c r="AX161" s="51">
        <f t="shared" si="110"/>
        <v>-291</v>
      </c>
      <c r="AY161" s="74">
        <f t="shared" si="131"/>
        <v>-6.8336150488292286E-4</v>
      </c>
      <c r="AZ161" s="52">
        <f t="shared" si="111"/>
        <v>0</v>
      </c>
      <c r="BA161" s="53">
        <f t="shared" si="132"/>
        <v>0</v>
      </c>
      <c r="BB161" s="51">
        <f t="shared" si="133"/>
        <v>0</v>
      </c>
      <c r="BC161" s="52">
        <f t="shared" si="112"/>
        <v>0</v>
      </c>
      <c r="BD161" s="51">
        <f t="shared" si="148"/>
        <v>0</v>
      </c>
      <c r="BE161" s="51">
        <f t="shared" si="134"/>
        <v>0</v>
      </c>
      <c r="BF161" s="54">
        <f t="shared" si="135"/>
        <v>0</v>
      </c>
      <c r="BU161" s="25">
        <v>99</v>
      </c>
      <c r="BV161" s="51">
        <f t="shared" si="114"/>
        <v>-291</v>
      </c>
      <c r="BW161" s="74">
        <f t="shared" si="136"/>
        <v>-6.871303143425368E-4</v>
      </c>
      <c r="BX161" s="52">
        <f t="shared" si="115"/>
        <v>0</v>
      </c>
      <c r="BY161" s="53">
        <f t="shared" si="137"/>
        <v>0</v>
      </c>
      <c r="BZ161" s="51">
        <f t="shared" si="138"/>
        <v>0</v>
      </c>
      <c r="CA161" s="52">
        <f t="shared" si="116"/>
        <v>0</v>
      </c>
      <c r="CB161" s="51">
        <f t="shared" si="149"/>
        <v>0</v>
      </c>
      <c r="CC161" s="51">
        <f t="shared" si="139"/>
        <v>0</v>
      </c>
      <c r="CD161" s="54">
        <f t="shared" si="140"/>
        <v>0</v>
      </c>
      <c r="CS161" s="25">
        <v>99</v>
      </c>
      <c r="CT161" s="51">
        <f t="shared" si="118"/>
        <v>-291</v>
      </c>
      <c r="CU161" s="74">
        <f t="shared" si="141"/>
        <v>-6.8713619322493635E-4</v>
      </c>
      <c r="CV161" s="52">
        <f t="shared" si="119"/>
        <v>0</v>
      </c>
      <c r="CW161" s="53">
        <f t="shared" si="142"/>
        <v>0</v>
      </c>
      <c r="CX161" s="51">
        <f t="shared" si="143"/>
        <v>0</v>
      </c>
      <c r="CY161" s="52">
        <f t="shared" si="120"/>
        <v>0</v>
      </c>
      <c r="CZ161" s="51">
        <f t="shared" si="150"/>
        <v>0</v>
      </c>
      <c r="DA161" s="51">
        <f t="shared" si="144"/>
        <v>0</v>
      </c>
      <c r="DB161" s="54">
        <f t="shared" si="145"/>
        <v>0</v>
      </c>
    </row>
    <row r="162" spans="1:106">
      <c r="A162" s="25">
        <v>100</v>
      </c>
      <c r="B162" s="51">
        <f t="shared" si="101"/>
        <v>-297</v>
      </c>
      <c r="C162" s="74">
        <f t="shared" si="122"/>
        <v>-9.850000000000002E-4</v>
      </c>
      <c r="D162" s="52">
        <f t="shared" si="102"/>
        <v>0</v>
      </c>
      <c r="E162" s="53">
        <f t="shared" si="123"/>
        <v>0</v>
      </c>
      <c r="F162" s="51">
        <f t="shared" si="103"/>
        <v>0</v>
      </c>
      <c r="G162" s="52">
        <f t="shared" si="104"/>
        <v>0</v>
      </c>
      <c r="H162" s="51">
        <f t="shared" si="146"/>
        <v>0</v>
      </c>
      <c r="I162" s="51">
        <f t="shared" si="124"/>
        <v>0</v>
      </c>
      <c r="J162" s="54">
        <f t="shared" si="125"/>
        <v>0</v>
      </c>
      <c r="Y162" s="25">
        <v>100</v>
      </c>
      <c r="Z162" s="51">
        <f t="shared" si="106"/>
        <v>-297</v>
      </c>
      <c r="AA162" s="74">
        <f t="shared" si="126"/>
        <v>-6.089590658532938E-4</v>
      </c>
      <c r="AB162" s="52">
        <f t="shared" si="107"/>
        <v>0</v>
      </c>
      <c r="AC162" s="53">
        <f t="shared" si="127"/>
        <v>0</v>
      </c>
      <c r="AD162" s="51">
        <f t="shared" si="128"/>
        <v>0</v>
      </c>
      <c r="AE162" s="52">
        <f t="shared" si="108"/>
        <v>0</v>
      </c>
      <c r="AF162" s="51">
        <f t="shared" si="147"/>
        <v>0</v>
      </c>
      <c r="AG162" s="51">
        <f t="shared" si="129"/>
        <v>0</v>
      </c>
      <c r="AH162" s="54">
        <f t="shared" si="130"/>
        <v>0</v>
      </c>
      <c r="AW162" s="25">
        <v>100</v>
      </c>
      <c r="AX162" s="51">
        <f t="shared" si="110"/>
        <v>-297</v>
      </c>
      <c r="AY162" s="74">
        <f t="shared" si="131"/>
        <v>-7.0205793795072335E-4</v>
      </c>
      <c r="AZ162" s="52">
        <f t="shared" si="111"/>
        <v>0</v>
      </c>
      <c r="BA162" s="53">
        <f t="shared" si="132"/>
        <v>0</v>
      </c>
      <c r="BB162" s="51">
        <f t="shared" si="133"/>
        <v>0</v>
      </c>
      <c r="BC162" s="52">
        <f t="shared" si="112"/>
        <v>0</v>
      </c>
      <c r="BD162" s="51">
        <f t="shared" si="148"/>
        <v>0</v>
      </c>
      <c r="BE162" s="51">
        <f t="shared" si="134"/>
        <v>0</v>
      </c>
      <c r="BF162" s="54">
        <f t="shared" si="135"/>
        <v>0</v>
      </c>
      <c r="BU162" s="25">
        <v>100</v>
      </c>
      <c r="BV162" s="51">
        <f t="shared" si="114"/>
        <v>-297</v>
      </c>
      <c r="BW162" s="74">
        <f t="shared" si="136"/>
        <v>-7.0595200770363475E-4</v>
      </c>
      <c r="BX162" s="52">
        <f t="shared" si="115"/>
        <v>0</v>
      </c>
      <c r="BY162" s="53">
        <f t="shared" si="137"/>
        <v>0</v>
      </c>
      <c r="BZ162" s="51">
        <f t="shared" si="138"/>
        <v>0</v>
      </c>
      <c r="CA162" s="52">
        <f t="shared" si="116"/>
        <v>0</v>
      </c>
      <c r="CB162" s="51">
        <f t="shared" si="149"/>
        <v>0</v>
      </c>
      <c r="CC162" s="51">
        <f t="shared" si="139"/>
        <v>0</v>
      </c>
      <c r="CD162" s="54">
        <f t="shared" si="140"/>
        <v>0</v>
      </c>
      <c r="CS162" s="25">
        <v>100</v>
      </c>
      <c r="CT162" s="51">
        <f t="shared" si="118"/>
        <v>-297</v>
      </c>
      <c r="CU162" s="74">
        <f t="shared" si="141"/>
        <v>-7.0595809246679162E-4</v>
      </c>
      <c r="CV162" s="52">
        <f t="shared" si="119"/>
        <v>0</v>
      </c>
      <c r="CW162" s="53">
        <f t="shared" si="142"/>
        <v>0</v>
      </c>
      <c r="CX162" s="51">
        <f t="shared" si="143"/>
        <v>0</v>
      </c>
      <c r="CY162" s="52">
        <f t="shared" si="120"/>
        <v>0</v>
      </c>
      <c r="CZ162" s="51">
        <f t="shared" si="150"/>
        <v>0</v>
      </c>
      <c r="DA162" s="51">
        <f t="shared" si="144"/>
        <v>0</v>
      </c>
      <c r="DB162" s="54">
        <f t="shared" si="145"/>
        <v>0</v>
      </c>
    </row>
  </sheetData>
  <conditionalFormatting sqref="C63:C162">
    <cfRule type="dataBar" priority="14">
      <dataBar>
        <cfvo type="num" val="0"/>
        <cfvo type="num" val="$C$63"/>
        <color theme="9" tint="0.59999389629810485"/>
      </dataBar>
      <extLst>
        <ext xmlns:x14="http://schemas.microsoft.com/office/spreadsheetml/2009/9/main" uri="{B025F937-C7B1-47D3-B67F-A62EFF666E3E}">
          <x14:id>{17B9FF54-E72B-4FEC-980B-6C14E9E92C0E}</x14:id>
        </ext>
      </extLst>
    </cfRule>
  </conditionalFormatting>
  <conditionalFormatting sqref="D63:D162">
    <cfRule type="dataBar" priority="15">
      <dataBar>
        <cfvo type="num" val="0"/>
        <cfvo type="num" val="$D$63"/>
        <color theme="9" tint="0.59999389629810485"/>
      </dataBar>
      <extLst>
        <ext xmlns:x14="http://schemas.microsoft.com/office/spreadsheetml/2009/9/main" uri="{B025F937-C7B1-47D3-B67F-A62EFF666E3E}">
          <x14:id>{B24AB501-201E-4D14-B59C-56D044AD08A2}</x14:id>
        </ext>
      </extLst>
    </cfRule>
  </conditionalFormatting>
  <conditionalFormatting sqref="AA63:AA162">
    <cfRule type="dataBar" priority="7">
      <dataBar>
        <cfvo type="num" val="0"/>
        <cfvo type="num" val="$C$63"/>
        <color theme="9" tint="0.59999389629810485"/>
      </dataBar>
      <extLst>
        <ext xmlns:x14="http://schemas.microsoft.com/office/spreadsheetml/2009/9/main" uri="{B025F937-C7B1-47D3-B67F-A62EFF666E3E}">
          <x14:id>{D0767EA9-0F61-474D-9D1D-C7DFCE15FE7D}</x14:id>
        </ext>
      </extLst>
    </cfRule>
  </conditionalFormatting>
  <conditionalFormatting sqref="AB63:AB162">
    <cfRule type="dataBar" priority="8">
      <dataBar>
        <cfvo type="num" val="0"/>
        <cfvo type="num" val="$D$63"/>
        <color theme="9" tint="0.59999389629810485"/>
      </dataBar>
      <extLst>
        <ext xmlns:x14="http://schemas.microsoft.com/office/spreadsheetml/2009/9/main" uri="{B025F937-C7B1-47D3-B67F-A62EFF666E3E}">
          <x14:id>{E0B2B9AB-2A5C-412D-986D-C3A965C53A00}</x14:id>
        </ext>
      </extLst>
    </cfRule>
  </conditionalFormatting>
  <conditionalFormatting sqref="AY63:AY162">
    <cfRule type="dataBar" priority="5">
      <dataBar>
        <cfvo type="num" val="0"/>
        <cfvo type="num" val="$C$63"/>
        <color theme="9" tint="0.59999389629810485"/>
      </dataBar>
      <extLst>
        <ext xmlns:x14="http://schemas.microsoft.com/office/spreadsheetml/2009/9/main" uri="{B025F937-C7B1-47D3-B67F-A62EFF666E3E}">
          <x14:id>{47AEB7D4-5DB0-410F-A15F-7909C6E8826A}</x14:id>
        </ext>
      </extLst>
    </cfRule>
  </conditionalFormatting>
  <conditionalFormatting sqref="AZ63:AZ162">
    <cfRule type="dataBar" priority="6">
      <dataBar>
        <cfvo type="num" val="0"/>
        <cfvo type="num" val="$D$63"/>
        <color theme="9" tint="0.59999389629810485"/>
      </dataBar>
      <extLst>
        <ext xmlns:x14="http://schemas.microsoft.com/office/spreadsheetml/2009/9/main" uri="{B025F937-C7B1-47D3-B67F-A62EFF666E3E}">
          <x14:id>{0A09C4EF-3046-439B-941D-88337EA76E39}</x14:id>
        </ext>
      </extLst>
    </cfRule>
  </conditionalFormatting>
  <conditionalFormatting sqref="BW63:BW162">
    <cfRule type="dataBar" priority="3">
      <dataBar>
        <cfvo type="num" val="0"/>
        <cfvo type="num" val="$C$63"/>
        <color theme="9" tint="0.59999389629810485"/>
      </dataBar>
      <extLst>
        <ext xmlns:x14="http://schemas.microsoft.com/office/spreadsheetml/2009/9/main" uri="{B025F937-C7B1-47D3-B67F-A62EFF666E3E}">
          <x14:id>{57BFADDC-D99A-4899-8B19-B1D32F599E3B}</x14:id>
        </ext>
      </extLst>
    </cfRule>
  </conditionalFormatting>
  <conditionalFormatting sqref="BX63:BX162">
    <cfRule type="dataBar" priority="4">
      <dataBar>
        <cfvo type="num" val="0"/>
        <cfvo type="num" val="$D$63"/>
        <color theme="9" tint="0.59999389629810485"/>
      </dataBar>
      <extLst>
        <ext xmlns:x14="http://schemas.microsoft.com/office/spreadsheetml/2009/9/main" uri="{B025F937-C7B1-47D3-B67F-A62EFF666E3E}">
          <x14:id>{C012D037-F7A5-42F6-A077-3E7841B34186}</x14:id>
        </ext>
      </extLst>
    </cfRule>
  </conditionalFormatting>
  <conditionalFormatting sqref="CU63:CU162">
    <cfRule type="dataBar" priority="1">
      <dataBar>
        <cfvo type="num" val="0"/>
        <cfvo type="num" val="$C$63"/>
        <color theme="9" tint="0.59999389629810485"/>
      </dataBar>
      <extLst>
        <ext xmlns:x14="http://schemas.microsoft.com/office/spreadsheetml/2009/9/main" uri="{B025F937-C7B1-47D3-B67F-A62EFF666E3E}">
          <x14:id>{E12716BA-3EBB-49FE-B7C3-8FE491A8B8A9}</x14:id>
        </ext>
      </extLst>
    </cfRule>
  </conditionalFormatting>
  <conditionalFormatting sqref="CV63:CV162">
    <cfRule type="dataBar" priority="2">
      <dataBar>
        <cfvo type="num" val="0"/>
        <cfvo type="num" val="$D$63"/>
        <color theme="9" tint="0.59999389629810485"/>
      </dataBar>
      <extLst>
        <ext xmlns:x14="http://schemas.microsoft.com/office/spreadsheetml/2009/9/main" uri="{B025F937-C7B1-47D3-B67F-A62EFF666E3E}">
          <x14:id>{BCF58127-E5CD-438F-B657-C7018D68570C}</x14:id>
        </ext>
      </extLst>
    </cfRule>
  </conditionalFormatting>
  <pageMargins left="0.59055118110236227" right="0.59055118110236227" top="0.78740157480314965" bottom="0.78740157480314965" header="0.31496062992125984" footer="0.31496062992125984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B9FF54-E72B-4FEC-980B-6C14E9E92C0E}">
            <x14:dataBar minLength="0" maxLength="100" border="1" gradient="0" direction="leftToRight">
              <x14:cfvo type="num">
                <xm:f>0</xm:f>
              </x14:cfvo>
              <x14:cfvo type="num">
                <xm:f>$C$63</xm:f>
              </x14:cfvo>
              <x14:borderColor theme="9" tint="0.59999389629810485"/>
              <x14:negativeFillColor rgb="FFFF0000"/>
              <x14:axisColor rgb="FF000000"/>
            </x14:dataBar>
          </x14:cfRule>
          <xm:sqref>C63:C162</xm:sqref>
        </x14:conditionalFormatting>
        <x14:conditionalFormatting xmlns:xm="http://schemas.microsoft.com/office/excel/2006/main">
          <x14:cfRule type="dataBar" id="{B24AB501-201E-4D14-B59C-56D044AD08A2}">
            <x14:dataBar minLength="0" maxLength="100" border="1" gradient="0" direction="leftToRight">
              <x14:cfvo type="num">
                <xm:f>0</xm:f>
              </x14:cfvo>
              <x14:cfvo type="num">
                <xm:f>$D$63</xm:f>
              </x14:cfvo>
              <x14:borderColor theme="9" tint="0.59999389629810485"/>
              <x14:negativeFillColor rgb="FFFF0000"/>
              <x14:axisColor rgb="FF000000"/>
            </x14:dataBar>
          </x14:cfRule>
          <xm:sqref>D63:D162</xm:sqref>
        </x14:conditionalFormatting>
        <x14:conditionalFormatting xmlns:xm="http://schemas.microsoft.com/office/excel/2006/main">
          <x14:cfRule type="dataBar" id="{D0767EA9-0F61-474D-9D1D-C7DFCE15FE7D}">
            <x14:dataBar minLength="0" maxLength="100" border="1" gradient="0" direction="leftToRight">
              <x14:cfvo type="num">
                <xm:f>0</xm:f>
              </x14:cfvo>
              <x14:cfvo type="num">
                <xm:f>$C$63</xm:f>
              </x14:cfvo>
              <x14:borderColor theme="9" tint="0.59999389629810485"/>
              <x14:negativeFillColor rgb="FFFF0000"/>
              <x14:axisColor rgb="FF000000"/>
            </x14:dataBar>
          </x14:cfRule>
          <xm:sqref>AA63:AA162</xm:sqref>
        </x14:conditionalFormatting>
        <x14:conditionalFormatting xmlns:xm="http://schemas.microsoft.com/office/excel/2006/main">
          <x14:cfRule type="dataBar" id="{E0B2B9AB-2A5C-412D-986D-C3A965C53A00}">
            <x14:dataBar minLength="0" maxLength="100" border="1" gradient="0" direction="leftToRight">
              <x14:cfvo type="num">
                <xm:f>0</xm:f>
              </x14:cfvo>
              <x14:cfvo type="num">
                <xm:f>$D$63</xm:f>
              </x14:cfvo>
              <x14:borderColor theme="9" tint="0.59999389629810485"/>
              <x14:negativeFillColor rgb="FFFF0000"/>
              <x14:axisColor rgb="FF000000"/>
            </x14:dataBar>
          </x14:cfRule>
          <xm:sqref>AB63:AB162</xm:sqref>
        </x14:conditionalFormatting>
        <x14:conditionalFormatting xmlns:xm="http://schemas.microsoft.com/office/excel/2006/main">
          <x14:cfRule type="dataBar" id="{47AEB7D4-5DB0-410F-A15F-7909C6E8826A}">
            <x14:dataBar minLength="0" maxLength="100" border="1" gradient="0" direction="leftToRight">
              <x14:cfvo type="num">
                <xm:f>0</xm:f>
              </x14:cfvo>
              <x14:cfvo type="num">
                <xm:f>$C$63</xm:f>
              </x14:cfvo>
              <x14:borderColor theme="9" tint="0.59999389629810485"/>
              <x14:negativeFillColor rgb="FFFF0000"/>
              <x14:axisColor rgb="FF000000"/>
            </x14:dataBar>
          </x14:cfRule>
          <xm:sqref>AY63:AY162</xm:sqref>
        </x14:conditionalFormatting>
        <x14:conditionalFormatting xmlns:xm="http://schemas.microsoft.com/office/excel/2006/main">
          <x14:cfRule type="dataBar" id="{0A09C4EF-3046-439B-941D-88337EA76E39}">
            <x14:dataBar minLength="0" maxLength="100" border="1" gradient="0" direction="leftToRight">
              <x14:cfvo type="num">
                <xm:f>0</xm:f>
              </x14:cfvo>
              <x14:cfvo type="num">
                <xm:f>$D$63</xm:f>
              </x14:cfvo>
              <x14:borderColor theme="9" tint="0.59999389629810485"/>
              <x14:negativeFillColor rgb="FFFF0000"/>
              <x14:axisColor rgb="FF000000"/>
            </x14:dataBar>
          </x14:cfRule>
          <xm:sqref>AZ63:AZ162</xm:sqref>
        </x14:conditionalFormatting>
        <x14:conditionalFormatting xmlns:xm="http://schemas.microsoft.com/office/excel/2006/main">
          <x14:cfRule type="dataBar" id="{57BFADDC-D99A-4899-8B19-B1D32F599E3B}">
            <x14:dataBar minLength="0" maxLength="100" border="1" gradient="0" direction="leftToRight">
              <x14:cfvo type="num">
                <xm:f>0</xm:f>
              </x14:cfvo>
              <x14:cfvo type="num">
                <xm:f>$C$63</xm:f>
              </x14:cfvo>
              <x14:borderColor theme="9" tint="0.59999389629810485"/>
              <x14:negativeFillColor rgb="FFFF0000"/>
              <x14:axisColor rgb="FF000000"/>
            </x14:dataBar>
          </x14:cfRule>
          <xm:sqref>BW63:BW162</xm:sqref>
        </x14:conditionalFormatting>
        <x14:conditionalFormatting xmlns:xm="http://schemas.microsoft.com/office/excel/2006/main">
          <x14:cfRule type="dataBar" id="{C012D037-F7A5-42F6-A077-3E7841B34186}">
            <x14:dataBar minLength="0" maxLength="100" border="1" gradient="0" direction="leftToRight">
              <x14:cfvo type="num">
                <xm:f>0</xm:f>
              </x14:cfvo>
              <x14:cfvo type="num">
                <xm:f>$D$63</xm:f>
              </x14:cfvo>
              <x14:borderColor theme="9" tint="0.59999389629810485"/>
              <x14:negativeFillColor rgb="FFFF0000"/>
              <x14:axisColor rgb="FF000000"/>
            </x14:dataBar>
          </x14:cfRule>
          <xm:sqref>BX63:BX162</xm:sqref>
        </x14:conditionalFormatting>
        <x14:conditionalFormatting xmlns:xm="http://schemas.microsoft.com/office/excel/2006/main">
          <x14:cfRule type="dataBar" id="{E12716BA-3EBB-49FE-B7C3-8FE491A8B8A9}">
            <x14:dataBar minLength="0" maxLength="100" border="1" gradient="0" direction="leftToRight">
              <x14:cfvo type="num">
                <xm:f>0</xm:f>
              </x14:cfvo>
              <x14:cfvo type="num">
                <xm:f>$C$63</xm:f>
              </x14:cfvo>
              <x14:borderColor theme="9" tint="0.59999389629810485"/>
              <x14:negativeFillColor rgb="FFFF0000"/>
              <x14:axisColor rgb="FF000000"/>
            </x14:dataBar>
          </x14:cfRule>
          <xm:sqref>CU63:CU162</xm:sqref>
        </x14:conditionalFormatting>
        <x14:conditionalFormatting xmlns:xm="http://schemas.microsoft.com/office/excel/2006/main">
          <x14:cfRule type="dataBar" id="{BCF58127-E5CD-438F-B657-C7018D68570C}">
            <x14:dataBar minLength="0" maxLength="100" border="1" gradient="0" direction="leftToRight">
              <x14:cfvo type="num">
                <xm:f>0</xm:f>
              </x14:cfvo>
              <x14:cfvo type="num">
                <xm:f>$D$63</xm:f>
              </x14:cfvo>
              <x14:borderColor theme="9" tint="0.59999389629810485"/>
              <x14:negativeFillColor rgb="FFFF0000"/>
              <x14:axisColor rgb="FF000000"/>
            </x14:dataBar>
          </x14:cfRule>
          <xm:sqref>CV63:CV162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13</vt:i4>
      </vt:variant>
    </vt:vector>
  </HeadingPairs>
  <TitlesOfParts>
    <vt:vector size="24" baseType="lpstr">
      <vt:lpstr>Input</vt:lpstr>
      <vt:lpstr>Mesh &amp; Convergence</vt:lpstr>
      <vt:lpstr>Strain Equation</vt:lpstr>
      <vt:lpstr>Loadcase</vt:lpstr>
      <vt:lpstr>P0</vt:lpstr>
      <vt:lpstr>P_c</vt:lpstr>
      <vt:lpstr>P_fy</vt:lpstr>
      <vt:lpstr>P_es</vt:lpstr>
      <vt:lpstr>P-M chart</vt:lpstr>
      <vt:lpstr>Inverse P-M</vt:lpstr>
      <vt:lpstr>Newton</vt:lpstr>
      <vt:lpstr>As</vt:lpstr>
      <vt:lpstr>b</vt:lpstr>
      <vt:lpstr>dia</vt:lpstr>
      <vt:lpstr>eco</vt:lpstr>
      <vt:lpstr>ecu</vt:lpstr>
      <vt:lpstr>Es</vt:lpstr>
      <vt:lpstr>fck</vt:lpstr>
      <vt:lpstr>fy</vt:lpstr>
      <vt:lpstr>h</vt:lpstr>
      <vt:lpstr>Input!ipos</vt:lpstr>
      <vt:lpstr>n</vt:lpstr>
      <vt:lpstr>pc</vt:lpstr>
      <vt:lpstr>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Xuan hung</cp:lastModifiedBy>
  <dcterms:created xsi:type="dcterms:W3CDTF">2026-06-11T07:38:13Z</dcterms:created>
  <dcterms:modified xsi:type="dcterms:W3CDTF">2026-07-14T04:45:25Z</dcterms:modified>
</cp:coreProperties>
</file>